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9C544405-4BC3-4349-A054-6A0A6CCEBD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13" i="1"/>
  <c r="B14" i="1"/>
  <c r="B15" i="1"/>
  <c r="B17" i="1"/>
  <c r="B18" i="1"/>
  <c r="B19" i="1"/>
  <c r="B20" i="1"/>
  <c r="B21" i="1"/>
  <c r="B22" i="1"/>
  <c r="B23" i="1"/>
  <c r="B25" i="1"/>
  <c r="B26" i="1"/>
  <c r="B27" i="1"/>
  <c r="B28" i="1"/>
  <c r="B30" i="1"/>
  <c r="B31" i="1"/>
  <c r="B32" i="1"/>
  <c r="B33" i="1"/>
  <c r="B35" i="1"/>
  <c r="B36" i="1"/>
  <c r="B37" i="1"/>
  <c r="B38" i="1"/>
  <c r="B39" i="1"/>
  <c r="B41" i="1"/>
  <c r="B42" i="1"/>
  <c r="B43" i="1"/>
  <c r="B44" i="1"/>
  <c r="B45" i="1"/>
  <c r="B47" i="1"/>
  <c r="B48" i="1"/>
  <c r="B49" i="1"/>
  <c r="B50" i="1"/>
  <c r="B51" i="1"/>
  <c r="B53" i="1"/>
  <c r="B54" i="1"/>
  <c r="B55" i="1"/>
  <c r="B57" i="1"/>
  <c r="B58" i="1"/>
  <c r="B59" i="1"/>
  <c r="B60" i="1"/>
  <c r="B61" i="1"/>
  <c r="B63" i="1"/>
  <c r="B64" i="1"/>
  <c r="B65" i="1"/>
  <c r="B66" i="1"/>
  <c r="B67" i="1"/>
  <c r="B68" i="1"/>
  <c r="B69" i="1"/>
  <c r="B70" i="1"/>
  <c r="B72" i="1"/>
  <c r="B73" i="1"/>
  <c r="B74" i="1"/>
  <c r="B75" i="1"/>
  <c r="B76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2" i="1"/>
  <c r="B93" i="1"/>
  <c r="B94" i="1"/>
  <c r="B95" i="1"/>
  <c r="K91" i="1"/>
  <c r="L91" i="1"/>
  <c r="M91" i="1"/>
  <c r="N91" i="1"/>
  <c r="O91" i="1"/>
  <c r="P91" i="1"/>
  <c r="K77" i="1"/>
  <c r="L77" i="1"/>
  <c r="M77" i="1"/>
  <c r="N77" i="1"/>
  <c r="O77" i="1"/>
  <c r="P77" i="1"/>
  <c r="K71" i="1"/>
  <c r="L71" i="1"/>
  <c r="M71" i="1"/>
  <c r="N71" i="1"/>
  <c r="O71" i="1"/>
  <c r="P71" i="1"/>
  <c r="K62" i="1"/>
  <c r="L62" i="1"/>
  <c r="M62" i="1"/>
  <c r="N62" i="1"/>
  <c r="O62" i="1"/>
  <c r="P62" i="1"/>
  <c r="K56" i="1"/>
  <c r="L56" i="1"/>
  <c r="M56" i="1"/>
  <c r="N56" i="1"/>
  <c r="O56" i="1"/>
  <c r="P56" i="1"/>
  <c r="K52" i="1"/>
  <c r="L52" i="1"/>
  <c r="M52" i="1"/>
  <c r="N52" i="1"/>
  <c r="O52" i="1"/>
  <c r="P52" i="1"/>
  <c r="K46" i="1"/>
  <c r="L46" i="1"/>
  <c r="M46" i="1"/>
  <c r="N46" i="1"/>
  <c r="O46" i="1"/>
  <c r="P46" i="1"/>
  <c r="K40" i="1"/>
  <c r="L40" i="1"/>
  <c r="M40" i="1"/>
  <c r="N40" i="1"/>
  <c r="O40" i="1"/>
  <c r="P40" i="1"/>
  <c r="K34" i="1"/>
  <c r="L34" i="1"/>
  <c r="M34" i="1"/>
  <c r="N34" i="1"/>
  <c r="O34" i="1"/>
  <c r="P34" i="1"/>
  <c r="K29" i="1"/>
  <c r="L29" i="1"/>
  <c r="M29" i="1"/>
  <c r="N29" i="1"/>
  <c r="O29" i="1"/>
  <c r="P29" i="1"/>
  <c r="K24" i="1"/>
  <c r="L24" i="1"/>
  <c r="M24" i="1"/>
  <c r="N24" i="1"/>
  <c r="O24" i="1"/>
  <c r="P24" i="1"/>
  <c r="K16" i="1"/>
  <c r="L16" i="1"/>
  <c r="M16" i="1"/>
  <c r="N16" i="1"/>
  <c r="O16" i="1"/>
  <c r="P16" i="1"/>
  <c r="K9" i="1"/>
  <c r="L9" i="1"/>
  <c r="M9" i="1"/>
  <c r="N9" i="1"/>
  <c r="O9" i="1"/>
  <c r="P9" i="1"/>
  <c r="J9" i="1"/>
  <c r="T91" i="1"/>
  <c r="T77" i="1"/>
  <c r="T71" i="1"/>
  <c r="R62" i="1"/>
  <c r="Q62" i="1"/>
  <c r="T62" i="1"/>
  <c r="C62" i="1"/>
  <c r="D62" i="1"/>
  <c r="E62" i="1"/>
  <c r="F62" i="1"/>
  <c r="G62" i="1"/>
  <c r="H62" i="1"/>
  <c r="I62" i="1"/>
  <c r="J62" i="1"/>
  <c r="S62" i="1"/>
  <c r="T56" i="1"/>
  <c r="T52" i="1"/>
  <c r="T46" i="1"/>
  <c r="T40" i="1"/>
  <c r="T34" i="1"/>
  <c r="T29" i="1"/>
  <c r="T24" i="1"/>
  <c r="T16" i="1"/>
  <c r="T9" i="1"/>
  <c r="C16" i="1"/>
  <c r="D16" i="1"/>
  <c r="E16" i="1"/>
  <c r="F16" i="1"/>
  <c r="G16" i="1"/>
  <c r="H16" i="1"/>
  <c r="I16" i="1"/>
  <c r="J16" i="1"/>
  <c r="S16" i="1"/>
  <c r="Q16" i="1"/>
  <c r="R16" i="1"/>
  <c r="B9" i="1" l="1"/>
  <c r="B91" i="1"/>
  <c r="M8" i="1"/>
  <c r="B77" i="1"/>
  <c r="N8" i="1"/>
  <c r="K8" i="1"/>
  <c r="L8" i="1"/>
  <c r="P8" i="1"/>
  <c r="O8" i="1"/>
  <c r="T8" i="1"/>
  <c r="C71" i="1" l="1"/>
  <c r="D71" i="1"/>
  <c r="E71" i="1"/>
  <c r="F71" i="1"/>
  <c r="G71" i="1"/>
  <c r="H71" i="1"/>
  <c r="I71" i="1"/>
  <c r="J71" i="1"/>
  <c r="S71" i="1"/>
  <c r="Q71" i="1"/>
  <c r="R71" i="1"/>
  <c r="B62" i="1" l="1"/>
  <c r="B16" i="1"/>
  <c r="C9" i="1"/>
  <c r="D9" i="1"/>
  <c r="E9" i="1"/>
  <c r="F9" i="1"/>
  <c r="G9" i="1"/>
  <c r="H9" i="1"/>
  <c r="I9" i="1"/>
  <c r="S9" i="1"/>
  <c r="Q9" i="1"/>
  <c r="R9" i="1"/>
  <c r="B24" i="1"/>
  <c r="C24" i="1"/>
  <c r="D24" i="1"/>
  <c r="E24" i="1"/>
  <c r="F24" i="1"/>
  <c r="G24" i="1"/>
  <c r="H24" i="1"/>
  <c r="I24" i="1"/>
  <c r="J24" i="1"/>
  <c r="S24" i="1"/>
  <c r="Q24" i="1"/>
  <c r="R24" i="1"/>
  <c r="B29" i="1"/>
  <c r="C29" i="1"/>
  <c r="D29" i="1"/>
  <c r="E29" i="1"/>
  <c r="F29" i="1"/>
  <c r="G29" i="1"/>
  <c r="H29" i="1"/>
  <c r="I29" i="1"/>
  <c r="J29" i="1"/>
  <c r="S29" i="1"/>
  <c r="Q29" i="1"/>
  <c r="R29" i="1"/>
  <c r="B34" i="1"/>
  <c r="C34" i="1"/>
  <c r="D34" i="1"/>
  <c r="E34" i="1"/>
  <c r="F34" i="1"/>
  <c r="G34" i="1"/>
  <c r="H34" i="1"/>
  <c r="I34" i="1"/>
  <c r="J34" i="1"/>
  <c r="S34" i="1"/>
  <c r="Q34" i="1"/>
  <c r="R34" i="1"/>
  <c r="B40" i="1"/>
  <c r="C40" i="1"/>
  <c r="D40" i="1"/>
  <c r="E40" i="1"/>
  <c r="F40" i="1"/>
  <c r="G40" i="1"/>
  <c r="H40" i="1"/>
  <c r="I40" i="1"/>
  <c r="J40" i="1"/>
  <c r="S40" i="1"/>
  <c r="Q40" i="1"/>
  <c r="R40" i="1"/>
  <c r="B46" i="1"/>
  <c r="C46" i="1"/>
  <c r="D46" i="1"/>
  <c r="E46" i="1"/>
  <c r="F46" i="1"/>
  <c r="G46" i="1"/>
  <c r="H46" i="1"/>
  <c r="I46" i="1"/>
  <c r="J46" i="1"/>
  <c r="S46" i="1"/>
  <c r="Q46" i="1"/>
  <c r="R46" i="1"/>
  <c r="B52" i="1"/>
  <c r="C52" i="1"/>
  <c r="D52" i="1"/>
  <c r="E52" i="1"/>
  <c r="F52" i="1"/>
  <c r="G52" i="1"/>
  <c r="H52" i="1"/>
  <c r="I52" i="1"/>
  <c r="J52" i="1"/>
  <c r="S52" i="1"/>
  <c r="Q52" i="1"/>
  <c r="R52" i="1"/>
  <c r="B56" i="1"/>
  <c r="C56" i="1"/>
  <c r="D56" i="1"/>
  <c r="E56" i="1"/>
  <c r="F56" i="1"/>
  <c r="G56" i="1"/>
  <c r="H56" i="1"/>
  <c r="I56" i="1"/>
  <c r="J56" i="1"/>
  <c r="S56" i="1"/>
  <c r="Q56" i="1"/>
  <c r="R56" i="1"/>
  <c r="B71" i="1"/>
  <c r="C77" i="1"/>
  <c r="D77" i="1"/>
  <c r="E77" i="1"/>
  <c r="F77" i="1"/>
  <c r="G77" i="1"/>
  <c r="H77" i="1"/>
  <c r="I77" i="1"/>
  <c r="J77" i="1"/>
  <c r="S77" i="1"/>
  <c r="Q77" i="1"/>
  <c r="R77" i="1"/>
  <c r="C91" i="1"/>
  <c r="D91" i="1"/>
  <c r="E91" i="1"/>
  <c r="F91" i="1"/>
  <c r="G91" i="1"/>
  <c r="H91" i="1"/>
  <c r="I91" i="1"/>
  <c r="J91" i="1"/>
  <c r="S91" i="1"/>
  <c r="Q91" i="1"/>
  <c r="R91" i="1"/>
  <c r="B8" i="1" l="1"/>
  <c r="J8" i="1"/>
  <c r="Q8" i="1"/>
  <c r="R8" i="1"/>
  <c r="H8" i="1"/>
  <c r="F8" i="1"/>
  <c r="D8" i="1"/>
  <c r="S8" i="1"/>
  <c r="I8" i="1"/>
  <c r="G8" i="1"/>
  <c r="E8" i="1"/>
  <c r="C8" i="1"/>
</calcChain>
</file>

<file path=xl/sharedStrings.xml><?xml version="1.0" encoding="utf-8"?>
<sst xmlns="http://schemas.openxmlformats.org/spreadsheetml/2006/main" count="971" uniqueCount="208">
  <si>
    <t>Εκτάσεις σε στρέμματα, παραγωγή σε τόνους</t>
  </si>
  <si>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</si>
  <si>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</si>
  <si>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</si>
  <si>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</si>
  <si>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</si>
  <si>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</si>
  <si>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</si>
  <si>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</si>
  <si>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</si>
  <si>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</si>
  <si>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</si>
  <si>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</si>
  <si>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</si>
  <si>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</si>
  <si>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</si>
  <si>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</si>
  <si>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</si>
  <si>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</si>
  <si>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</si>
  <si>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</si>
  <si>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</si>
  <si>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</si>
  <si>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</si>
  <si>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</si>
  <si>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</si>
  <si>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</si>
  <si>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</si>
  <si>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</si>
  <si>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</si>
  <si>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</si>
  <si>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</si>
  <si>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</si>
  <si>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</si>
  <si>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</si>
  <si>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</si>
  <si>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</si>
  <si>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</si>
  <si>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</si>
  <si>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</si>
  <si>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</si>
  <si>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</si>
  <si>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</si>
  <si>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</si>
  <si>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</si>
  <si>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</si>
  <si>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</si>
  <si>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</si>
  <si>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</si>
  <si>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</si>
  <si>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</si>
  <si>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</si>
  <si>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</si>
  <si>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</si>
  <si>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</si>
  <si>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</si>
  <si>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</si>
  <si>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</si>
  <si>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</si>
  <si>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</si>
  <si>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</si>
  <si>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</si>
  <si>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</si>
  <si>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</si>
  <si>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</si>
  <si>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</si>
  <si>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</si>
  <si>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</si>
  <si>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</si>
  <si>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</si>
  <si>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</si>
  <si>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</si>
  <si>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</si>
  <si>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</si>
  <si>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</si>
  <si>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</si>
  <si>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</si>
  <si>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</si>
  <si>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</si>
  <si>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</si>
  <si>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</si>
  <si>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</si>
  <si>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</si>
  <si>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</si>
  <si>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</si>
  <si>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</si>
  <si>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</si>
  <si>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</si>
  <si>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</si>
  <si>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</si>
  <si>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</si>
  <si>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</si>
  <si>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</si>
  <si>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</si>
  <si>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</si>
  <si>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</si>
  <si>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</si>
  <si>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</si>
  <si>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</si>
  <si>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</si>
  <si>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</si>
  <si>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</si>
  <si>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</si>
  <si>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</si>
  <si>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</si>
  <si>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</si>
  <si>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</si>
  <si>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</si>
  <si>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</si>
  <si>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</si>
  <si>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</si>
  <si>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</si>
  <si>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</si>
  <si>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</si>
  <si>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</si>
  <si>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</si>
  <si>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</si>
  <si>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</si>
  <si>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</si>
  <si>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</si>
  <si>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</si>
  <si>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</si>
  <si>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</si>
  <si>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</si>
  <si>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</si>
  <si>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</si>
  <si>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</si>
  <si>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</si>
  <si>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</si>
  <si>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</si>
  <si>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</si>
  <si>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</si>
  <si>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</si>
  <si>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</si>
  <si>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</si>
  <si>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</si>
  <si>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</si>
  <si>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</si>
  <si>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</si>
  <si>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</si>
  <si>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</si>
  <si>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</si>
  <si>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</si>
  <si>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</si>
  <si>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</si>
  <si>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</si>
  <si>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</si>
  <si>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</si>
  <si>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</si>
  <si>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</si>
  <si>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</si>
  <si>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</si>
  <si>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</si>
  <si>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</si>
  <si>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</si>
  <si>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</si>
  <si>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</si>
  <si>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</si>
  <si>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</si>
  <si>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</si>
  <si>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</si>
  <si>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</si>
  <si>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</si>
  <si>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</si>
  <si>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</si>
  <si>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</si>
  <si>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</si>
  <si>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</si>
  <si>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</si>
  <si>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</si>
  <si>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</si>
  <si>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</si>
  <si>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</si>
  <si>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</si>
  <si>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</si>
  <si>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</si>
  <si>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</si>
  <si>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</si>
  <si>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</si>
  <si>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</si>
  <si>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t>Areas in stremmas (1 stremma = 0.1 ha), production in tons</t>
  </si>
  <si>
    <t xml:space="preserve">   Καρπάθου - Ηρωικής Νήσου Κάσου</t>
  </si>
  <si>
    <t xml:space="preserve">  Karpathos - Heroic Island of Kasos</t>
  </si>
  <si>
    <t>Κέας - Κύθνου</t>
  </si>
  <si>
    <t xml:space="preserve">  Kea - Kythnos</t>
  </si>
  <si>
    <t>—</t>
  </si>
  <si>
    <t>Σύνολο καλλιεργού-μενων εκτάσεων</t>
  </si>
  <si>
    <t>Total cultivated area</t>
  </si>
  <si>
    <t>Veltch</t>
  </si>
  <si>
    <t>Βίκος</t>
  </si>
  <si>
    <t>Ρόβι</t>
  </si>
  <si>
    <t>Bitter Veltch</t>
  </si>
  <si>
    <t>Λούπινα</t>
  </si>
  <si>
    <t>Lupin</t>
  </si>
  <si>
    <t xml:space="preserve">Λαθούρια </t>
  </si>
  <si>
    <t>Veltching</t>
  </si>
  <si>
    <t>Μπιζέλια κτηνοτροφικά</t>
  </si>
  <si>
    <t>Fodder Peas</t>
  </si>
  <si>
    <t>Κουκιά κτηνοτροφικά</t>
  </si>
  <si>
    <t>Fodder broad beans</t>
  </si>
  <si>
    <t>Fodder Lentils</t>
  </si>
  <si>
    <t>Φακή κτηνοτροφική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</si>
  <si>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</si>
  <si>
    <r>
      <t>Other</t>
    </r>
    <r>
      <rPr>
        <vertAlign val="superscript"/>
        <sz val="11"/>
        <rFont val="Calibri"/>
        <family val="2"/>
        <charset val="161"/>
        <scheme val="minor"/>
      </rPr>
      <t>(1)</t>
    </r>
  </si>
  <si>
    <t xml:space="preserve">Σπόρος τριφυλλιών
</t>
  </si>
  <si>
    <t>Clover seeds</t>
  </si>
  <si>
    <t>Πίνακας 2δ. Κτηνοτροφικά όσπρια. Εκτάσεις και παραγωγή, κατά Περιφέρεια και Περιφερειακή Ενότητα, 2024</t>
  </si>
  <si>
    <t>Table 2d. Fodder pulses. Areas and production,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</si>
</sst>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161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 applyProtection="1">
      <alignment horizontal="centerContinuous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 vertical="center" wrapText="1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49" fontId="6" fillId="0" borderId="15" xfId="0" applyNumberFormat="1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49" fontId="6" fillId="0" borderId="16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49" fontId="3" fillId="0" borderId="16" xfId="0" applyNumberFormat="1" applyFont="1" applyBorder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3" fontId="4" fillId="0" borderId="0" xfId="0" applyNumberFormat="1" applyFont="1"/>
    <xf numFmtId="3" fontId="3" fillId="0" borderId="0" xfId="0" applyNumberFormat="1" applyFont="1" applyProtection="1">
      <protection locked="0"/>
    </xf>
    <xf numFmtId="0" fontId="6" fillId="0" borderId="0" xfId="0" applyFont="1" applyAlignment="1" applyProtection="1">
      <alignment vertical="center" wrapText="1"/>
      <protection locked="0"/>
    </xf>
    <xf numFmtId="3" fontId="6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wrapText="1" inden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9" fontId="1" fillId="0" borderId="16" xfId="0" applyNumberFormat="1" applyFont="1" applyBorder="1" applyAlignment="1" applyProtection="1">
      <alignment horizontal="left" indent="1"/>
      <protection locked="0"/>
    </xf>
    <xf numFmtId="49" fontId="1" fillId="0" borderId="16" xfId="0" applyNumberFormat="1" applyFont="1" applyBorder="1" applyAlignment="1" applyProtection="1">
      <alignment horizontal="left" wrapText="1" indent="1"/>
      <protection locked="0"/>
    </xf>
    <xf numFmtId="49" fontId="3" fillId="0" borderId="16" xfId="0" applyNumberFormat="1" applyFont="1" applyBorder="1" applyAlignment="1" applyProtection="1">
      <alignment horizontal="left" indent="1"/>
      <protection locked="0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49" fontId="3" fillId="0" borderId="17" xfId="0" applyNumberFormat="1" applyFont="1" applyBorder="1" applyAlignment="1" applyProtection="1">
      <alignment horizontal="left" wrapText="1" indent="1"/>
      <protection locked="0"/>
    </xf>
    <xf numFmtId="3" fontId="7" fillId="0" borderId="11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 applyProtection="1">
      <alignment horizontal="left" inden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9" fillId="0" borderId="1" xfId="0" applyFont="1" applyBorder="1" applyAlignment="1" applyProtection="1">
      <alignment horizontal="left"/>
      <protection locked="0"/>
    </xf>
    <xf numFmtId="3" fontId="7" fillId="0" borderId="10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3" fontId="7" fillId="0" borderId="19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 applyProtection="1">
      <alignment horizontal="left" wrapText="1"/>
      <protection locked="0"/>
    </xf>
    <xf numFmtId="3" fontId="6" fillId="0" borderId="0" xfId="0" applyNumberFormat="1" applyFont="1" applyProtection="1">
      <protection locked="0"/>
    </xf>
    <xf numFmtId="0" fontId="9" fillId="0" borderId="1" xfId="0" applyFont="1" applyBorder="1" applyProtection="1"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7" fillId="0" borderId="16" xfId="0" applyFont="1" applyBorder="1" applyAlignment="1">
      <alignment horizontal="right" vertical="top"/>
    </xf>
    <xf numFmtId="3" fontId="7" fillId="0" borderId="16" xfId="0" applyNumberFormat="1" applyFont="1" applyBorder="1" applyAlignment="1">
      <alignment horizontal="right" vertical="top"/>
    </xf>
    <xf numFmtId="3" fontId="7" fillId="0" borderId="10" xfId="0" applyNumberFormat="1" applyFont="1" applyBorder="1"/>
    <xf numFmtId="0" fontId="7" fillId="0" borderId="9" xfId="0" applyFont="1" applyBorder="1" applyAlignment="1">
      <alignment horizontal="right" vertical="top"/>
    </xf>
    <xf numFmtId="0" fontId="7" fillId="0" borderId="26" xfId="0" applyFont="1" applyBorder="1" applyAlignment="1">
      <alignment horizontal="right" vertical="top"/>
    </xf>
    <xf numFmtId="0" fontId="7" fillId="0" borderId="17" xfId="0" applyFont="1" applyBorder="1" applyAlignment="1">
      <alignment horizontal="right" vertical="top"/>
    </xf>
    <xf numFmtId="3" fontId="6" fillId="2" borderId="4" xfId="0" applyNumberFormat="1" applyFont="1" applyFill="1" applyBorder="1" applyAlignment="1">
      <alignment horizontal="right" vertical="center"/>
    </xf>
    <xf numFmtId="3" fontId="6" fillId="2" borderId="8" xfId="0" applyNumberFormat="1" applyFont="1" applyFill="1" applyBorder="1" applyAlignment="1">
      <alignment horizontal="right" vertical="center"/>
    </xf>
    <xf numFmtId="3" fontId="6" fillId="2" borderId="7" xfId="0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>
      <alignment horizontal="right" vertical="center"/>
    </xf>
    <xf numFmtId="3" fontId="6" fillId="2" borderId="10" xfId="0" applyNumberFormat="1" applyFont="1" applyFill="1" applyBorder="1" applyAlignment="1">
      <alignment horizontal="right" vertical="center"/>
    </xf>
    <xf numFmtId="3" fontId="6" fillId="2" borderId="9" xfId="0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  <protection locked="0"/>
    </xf>
    <xf numFmtId="3" fontId="6" fillId="2" borderId="10" xfId="0" applyNumberFormat="1" applyFont="1" applyFill="1" applyBorder="1" applyAlignment="1" applyProtection="1">
      <alignment horizontal="right" vertical="center"/>
      <protection locked="0"/>
    </xf>
    <xf numFmtId="3" fontId="6" fillId="2" borderId="9" xfId="0" applyNumberFormat="1" applyFont="1" applyFill="1" applyBorder="1" applyAlignment="1" applyProtection="1">
      <alignment horizontal="right" vertical="center"/>
      <protection locked="0"/>
    </xf>
    <xf numFmtId="3" fontId="3" fillId="2" borderId="9" xfId="0" applyNumberFormat="1" applyFont="1" applyFill="1" applyBorder="1" applyAlignment="1" applyProtection="1">
      <alignment horizontal="right" vertical="center"/>
      <protection locked="0"/>
    </xf>
    <xf numFmtId="3" fontId="3" fillId="2" borderId="27" xfId="0" applyNumberFormat="1" applyFont="1" applyFill="1" applyBorder="1" applyAlignment="1" applyProtection="1">
      <alignment horizontal="right" vertical="center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4" fillId="0" borderId="32" xfId="0" applyFont="1" applyBorder="1" applyAlignment="1" applyProtection="1">
      <alignment horizontal="center" vertical="center" wrapText="1"/>
      <protection locked="0"/>
    </xf>
    <xf numFmtId="0" fontId="4" fillId="0" borderId="33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14"/>
  <sheetViews>
    <sheetView showGridLines="0" tabSelected="1" zoomScaleNormal="100" workbookViewId="0">
      <selection activeCell="S9" sqref="S9"/>
    </sheetView>
  </sheetViews>
  <sheetFormatPr defaultRowHeight="14.4" x14ac:dyDescent="0.3"/>
  <cols>
    <col min="1" max="1" width="43.33203125" style="3" customWidth="1"/>
    <col min="2" max="2" width="12.33203125" style="3" customWidth="1"/>
    <col min="3" max="3" width="7.5546875" style="3" bestFit="1" customWidth="1"/>
    <col min="4" max="4" width="6.5546875" style="3" bestFit="1" customWidth="1"/>
    <col min="5" max="5" width="5.5546875" style="3" bestFit="1" customWidth="1"/>
    <col min="6" max="6" width="5.21875" style="3" customWidth="1"/>
    <col min="7" max="7" width="7.5546875" style="3" bestFit="1" customWidth="1"/>
    <col min="8" max="8" width="6.5546875" style="3" bestFit="1" customWidth="1"/>
    <col min="9" max="10" width="5.5546875" style="3" bestFit="1" customWidth="1"/>
    <col min="11" max="11" width="7.5546875" style="3" bestFit="1" customWidth="1"/>
    <col min="12" max="12" width="6.5546875" style="3" customWidth="1"/>
    <col min="13" max="13" width="6.5546875" style="3" bestFit="1" customWidth="1"/>
    <col min="14" max="14" width="7.33203125" style="3" customWidth="1"/>
    <col min="15" max="15" width="7.77734375" style="3" customWidth="1"/>
    <col min="16" max="16" width="6" style="3" customWidth="1"/>
    <col min="17" max="17" width="7.5546875" style="3" bestFit="1" customWidth="1"/>
    <col min="18" max="19" width="6.5546875" style="3" bestFit="1" customWidth="1"/>
    <col min="20" max="20" width="5.5546875" style="3" bestFit="1" customWidth="1"/>
    <col min="21" max="21" width="40.33203125" style="3" bestFit="1" customWidth="1"/>
    <col min="22" max="22" width="7.6640625" style="3" customWidth="1"/>
    <col min="23" max="24" width="6.44140625" style="3" customWidth="1"/>
    <col min="25" max="25" width="7.5546875" style="3" bestFit="1" customWidth="1"/>
    <col min="26" max="26" width="6.109375" style="3" customWidth="1"/>
    <col min="27" max="27" width="2.109375" style="3" bestFit="1" customWidth="1"/>
    <col min="28" max="28" width="6.44140625" style="3" customWidth="1"/>
    <col min="29" max="16384" width="8.88671875" style="3"/>
  </cols>
  <sheetData>
    <row r="2" spans="1:27" ht="18" x14ac:dyDescent="0.3">
      <c r="A2" s="75" t="s">
        <v>206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1"/>
      <c r="W2" s="1"/>
      <c r="X2" s="2"/>
      <c r="Y2" s="2"/>
      <c r="Z2" s="2"/>
      <c r="AA2" s="2"/>
    </row>
    <row r="3" spans="1:27" ht="18" customHeight="1" x14ac:dyDescent="0.3">
      <c r="A3" s="75" t="s">
        <v>207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1"/>
      <c r="W3" s="1"/>
      <c r="X3" s="2"/>
      <c r="Y3" s="2"/>
      <c r="Z3" s="2"/>
      <c r="AA3" s="2"/>
    </row>
    <row r="4" spans="1:27" ht="15" customHeight="1" thickBot="1" x14ac:dyDescent="0.35">
      <c r="A4" s="38" t="s">
        <v>0</v>
      </c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R4" s="45"/>
      <c r="S4" s="5"/>
      <c r="T4" s="5"/>
      <c r="U4" s="45" t="s">
        <v>180</v>
      </c>
      <c r="V4" s="6"/>
      <c r="W4" s="6"/>
      <c r="Y4" s="5"/>
      <c r="Z4" s="5"/>
      <c r="AA4" s="5"/>
    </row>
    <row r="5" spans="1:27" ht="63.15" customHeight="1" x14ac:dyDescent="0.3">
      <c r="A5" s="76" t="s">
        <v>1</v>
      </c>
      <c r="B5" s="64" t="s">
        <v>186</v>
      </c>
      <c r="C5" s="66" t="s">
        <v>189</v>
      </c>
      <c r="D5" s="68"/>
      <c r="E5" s="66" t="s">
        <v>190</v>
      </c>
      <c r="F5" s="68"/>
      <c r="G5" s="66" t="s">
        <v>192</v>
      </c>
      <c r="H5" s="68"/>
      <c r="I5" s="66" t="s">
        <v>194</v>
      </c>
      <c r="J5" s="68"/>
      <c r="K5" s="66" t="s">
        <v>196</v>
      </c>
      <c r="L5" s="68"/>
      <c r="M5" s="66" t="s">
        <v>198</v>
      </c>
      <c r="N5" s="68"/>
      <c r="O5" s="66" t="s">
        <v>201</v>
      </c>
      <c r="P5" s="68"/>
      <c r="Q5" s="66" t="s">
        <v>202</v>
      </c>
      <c r="R5" s="67"/>
      <c r="S5" s="69" t="s">
        <v>204</v>
      </c>
      <c r="T5" s="67"/>
      <c r="U5" s="70" t="s">
        <v>2</v>
      </c>
      <c r="V5" s="7"/>
      <c r="W5" s="7"/>
    </row>
    <row r="6" spans="1:27" ht="63.15" customHeight="1" x14ac:dyDescent="0.3">
      <c r="A6" s="77"/>
      <c r="B6" s="79" t="s">
        <v>187</v>
      </c>
      <c r="C6" s="73" t="s">
        <v>188</v>
      </c>
      <c r="D6" s="74"/>
      <c r="E6" s="73" t="s">
        <v>191</v>
      </c>
      <c r="F6" s="74"/>
      <c r="G6" s="73" t="s">
        <v>193</v>
      </c>
      <c r="H6" s="74"/>
      <c r="I6" s="73" t="s">
        <v>195</v>
      </c>
      <c r="J6" s="74"/>
      <c r="K6" s="73" t="s">
        <v>197</v>
      </c>
      <c r="L6" s="74"/>
      <c r="M6" s="73" t="s">
        <v>199</v>
      </c>
      <c r="N6" s="74"/>
      <c r="O6" s="73" t="s">
        <v>200</v>
      </c>
      <c r="P6" s="74"/>
      <c r="Q6" s="73" t="s">
        <v>203</v>
      </c>
      <c r="R6" s="81"/>
      <c r="S6" s="82" t="s">
        <v>205</v>
      </c>
      <c r="T6" s="81"/>
      <c r="U6" s="71"/>
      <c r="V6" s="7"/>
      <c r="W6" s="7"/>
    </row>
    <row r="7" spans="1:27" x14ac:dyDescent="0.3">
      <c r="A7" s="78"/>
      <c r="B7" s="80"/>
      <c r="C7" s="8">
        <v>1</v>
      </c>
      <c r="D7" s="8">
        <v>2</v>
      </c>
      <c r="E7" s="8">
        <v>1</v>
      </c>
      <c r="F7" s="8">
        <v>2</v>
      </c>
      <c r="G7" s="8">
        <v>1</v>
      </c>
      <c r="H7" s="8">
        <v>2</v>
      </c>
      <c r="I7" s="8">
        <v>1</v>
      </c>
      <c r="J7" s="8">
        <v>2</v>
      </c>
      <c r="K7" s="8">
        <v>1</v>
      </c>
      <c r="L7" s="8">
        <v>2</v>
      </c>
      <c r="M7" s="8">
        <v>1</v>
      </c>
      <c r="N7" s="8">
        <v>2</v>
      </c>
      <c r="O7" s="8">
        <v>1</v>
      </c>
      <c r="P7" s="8">
        <v>2</v>
      </c>
      <c r="Q7" s="8">
        <v>1</v>
      </c>
      <c r="R7" s="9">
        <v>2</v>
      </c>
      <c r="S7" s="46">
        <v>1</v>
      </c>
      <c r="T7" s="9">
        <v>2</v>
      </c>
      <c r="U7" s="72"/>
      <c r="V7" s="7"/>
      <c r="W7" s="7"/>
    </row>
    <row r="8" spans="1:27" ht="23.85" customHeight="1" x14ac:dyDescent="0.3">
      <c r="A8" s="10" t="s">
        <v>3</v>
      </c>
      <c r="B8" s="55">
        <f>SUM(B9,B16,B24,B29,B34,B40,B46,B52,B56,B62,B71,B77,B91)</f>
        <v>878098</v>
      </c>
      <c r="C8" s="53">
        <f t="shared" ref="C8:S8" si="0">SUM(C9,C16,C24,C29,C34,C40,C46,C52,C56,C62,C71,C77,C91)</f>
        <v>373403</v>
      </c>
      <c r="D8" s="53">
        <f t="shared" si="0"/>
        <v>79535.678000000014</v>
      </c>
      <c r="E8" s="53">
        <f t="shared" si="0"/>
        <v>852</v>
      </c>
      <c r="F8" s="53">
        <f t="shared" si="0"/>
        <v>127.154</v>
      </c>
      <c r="G8" s="53">
        <f t="shared" si="0"/>
        <v>193007</v>
      </c>
      <c r="H8" s="53">
        <f t="shared" si="0"/>
        <v>31593.671000000002</v>
      </c>
      <c r="I8" s="53">
        <f t="shared" si="0"/>
        <v>3832</v>
      </c>
      <c r="J8" s="53">
        <f>SUM(J9,J16,J24,J29,J34,J40,J46,J52,J56,J62,J71,J77,J91)</f>
        <v>715.91500000000008</v>
      </c>
      <c r="K8" s="53">
        <f t="shared" ref="K8:P8" si="1">SUM(K9,K16,K24,K29,K34,K40,K46,K52,K56,K62,K71,K77,K91)</f>
        <v>119595</v>
      </c>
      <c r="L8" s="53">
        <f t="shared" si="1"/>
        <v>23762.756999999998</v>
      </c>
      <c r="M8" s="53">
        <f t="shared" si="1"/>
        <v>47602</v>
      </c>
      <c r="N8" s="53">
        <f t="shared" si="1"/>
        <v>8825.125</v>
      </c>
      <c r="O8" s="53">
        <f t="shared" si="1"/>
        <v>669</v>
      </c>
      <c r="P8" s="53">
        <f t="shared" si="1"/>
        <v>88.137</v>
      </c>
      <c r="Q8" s="53">
        <f>SUM(Q9,Q16,Q24,Q29,Q34,Q40,Q46,Q52,Q56,Q62,Q71,Q77,Q91)</f>
        <v>139138</v>
      </c>
      <c r="R8" s="54">
        <f>SUM(R9,R16,R24,R29,R34,R40,R46,R52,R56,R62,R71,R77,R91)</f>
        <v>37752.506999999998</v>
      </c>
      <c r="S8" s="55">
        <f t="shared" si="0"/>
        <v>58216</v>
      </c>
      <c r="T8" s="54">
        <f>SUM(T9,T16,T24,T29,T34,T40,T46,T52,T56,T62,T71,T77,T91)</f>
        <v>6611.8760000000011</v>
      </c>
      <c r="U8" s="11" t="s">
        <v>4</v>
      </c>
      <c r="V8" s="2"/>
      <c r="W8" s="2"/>
    </row>
    <row r="9" spans="1:27" ht="20.7" customHeight="1" x14ac:dyDescent="0.3">
      <c r="A9" s="12" t="s">
        <v>5</v>
      </c>
      <c r="B9" s="58">
        <f>SUM(B10:B15)</f>
        <v>53632</v>
      </c>
      <c r="C9" s="56">
        <f>SUM(C10:C15)</f>
        <v>38862</v>
      </c>
      <c r="D9" s="56">
        <f t="shared" ref="D9:S9" si="2">SUM(D10:D15)</f>
        <v>16036.571</v>
      </c>
      <c r="E9" s="56">
        <f t="shared" si="2"/>
        <v>8</v>
      </c>
      <c r="F9" s="56">
        <f t="shared" si="2"/>
        <v>1.78</v>
      </c>
      <c r="G9" s="56">
        <f t="shared" si="2"/>
        <v>597</v>
      </c>
      <c r="H9" s="56">
        <f t="shared" si="2"/>
        <v>127.57499999999999</v>
      </c>
      <c r="I9" s="56">
        <f t="shared" si="2"/>
        <v>5</v>
      </c>
      <c r="J9" s="56">
        <f>SUM(J10:J15)</f>
        <v>0.67</v>
      </c>
      <c r="K9" s="56">
        <f t="shared" ref="K9:P9" si="3">SUM(K10:K15)</f>
        <v>4840</v>
      </c>
      <c r="L9" s="56">
        <f t="shared" si="3"/>
        <v>1091.1420000000001</v>
      </c>
      <c r="M9" s="56">
        <f t="shared" si="3"/>
        <v>3167</v>
      </c>
      <c r="N9" s="56">
        <f t="shared" si="3"/>
        <v>794.15100000000007</v>
      </c>
      <c r="O9" s="56">
        <f t="shared" si="3"/>
        <v>22</v>
      </c>
      <c r="P9" s="56">
        <f t="shared" si="3"/>
        <v>3.5</v>
      </c>
      <c r="Q9" s="56">
        <f>SUM(Q10:Q15)</f>
        <v>6131</v>
      </c>
      <c r="R9" s="57">
        <f>SUM(R10:R15)</f>
        <v>2223.6950000000002</v>
      </c>
      <c r="S9" s="58">
        <f t="shared" si="2"/>
        <v>1008</v>
      </c>
      <c r="T9" s="57">
        <f>SUM(T10:T15)</f>
        <v>144.14400000000001</v>
      </c>
      <c r="U9" s="13" t="s">
        <v>6</v>
      </c>
      <c r="V9" s="13"/>
      <c r="W9" s="13"/>
      <c r="X9" s="2"/>
    </row>
    <row r="10" spans="1:27" x14ac:dyDescent="0.3">
      <c r="A10" s="14" t="s">
        <v>104</v>
      </c>
      <c r="B10" s="62">
        <f>SUM(C10,E10,G10,I10,K10,M10,O10,Q10)</f>
        <v>1580</v>
      </c>
      <c r="C10" s="30">
        <v>767</v>
      </c>
      <c r="D10" s="29">
        <v>145.62</v>
      </c>
      <c r="E10" s="40" t="s">
        <v>185</v>
      </c>
      <c r="F10" s="29" t="s">
        <v>185</v>
      </c>
      <c r="G10" s="30">
        <v>18</v>
      </c>
      <c r="H10" s="29">
        <v>4.84</v>
      </c>
      <c r="I10" s="40" t="s">
        <v>185</v>
      </c>
      <c r="J10" s="29" t="s">
        <v>185</v>
      </c>
      <c r="K10" s="29">
        <v>376</v>
      </c>
      <c r="L10" s="29">
        <v>106.86499999999999</v>
      </c>
      <c r="M10" s="29">
        <v>358</v>
      </c>
      <c r="N10" s="29">
        <v>78.465000000000003</v>
      </c>
      <c r="O10" s="29" t="s">
        <v>185</v>
      </c>
      <c r="P10" s="29" t="s">
        <v>185</v>
      </c>
      <c r="Q10" s="30">
        <v>61</v>
      </c>
      <c r="R10" s="39">
        <v>15.88</v>
      </c>
      <c r="S10" s="47" t="s">
        <v>185</v>
      </c>
      <c r="T10" s="39" t="s">
        <v>185</v>
      </c>
      <c r="U10" s="15" t="s">
        <v>7</v>
      </c>
    </row>
    <row r="11" spans="1:27" x14ac:dyDescent="0.3">
      <c r="A11" s="14" t="s">
        <v>105</v>
      </c>
      <c r="B11" s="62">
        <f t="shared" ref="B11:B74" si="4">SUM(C11,E11,G11,I11,K11,M11,O11,Q11)</f>
        <v>13089</v>
      </c>
      <c r="C11" s="30">
        <v>10725</v>
      </c>
      <c r="D11" s="29">
        <v>2287.7939999999999</v>
      </c>
      <c r="E11" s="40" t="s">
        <v>185</v>
      </c>
      <c r="F11" s="29" t="s">
        <v>185</v>
      </c>
      <c r="G11" s="30">
        <v>160</v>
      </c>
      <c r="H11" s="29">
        <v>27.465</v>
      </c>
      <c r="I11" s="40">
        <v>5</v>
      </c>
      <c r="J11" s="29">
        <v>0.67</v>
      </c>
      <c r="K11" s="29">
        <v>775</v>
      </c>
      <c r="L11" s="29">
        <v>171.76499999999999</v>
      </c>
      <c r="M11" s="29">
        <v>138</v>
      </c>
      <c r="N11" s="29">
        <v>27.62</v>
      </c>
      <c r="O11" s="29" t="s">
        <v>185</v>
      </c>
      <c r="P11" s="29" t="s">
        <v>185</v>
      </c>
      <c r="Q11" s="30">
        <v>1286</v>
      </c>
      <c r="R11" s="39">
        <v>418.21</v>
      </c>
      <c r="S11" s="47" t="s">
        <v>185</v>
      </c>
      <c r="T11" s="39" t="s">
        <v>185</v>
      </c>
      <c r="U11" s="15" t="s">
        <v>8</v>
      </c>
    </row>
    <row r="12" spans="1:27" x14ac:dyDescent="0.3">
      <c r="A12" s="14" t="s">
        <v>106</v>
      </c>
      <c r="B12" s="62">
        <f t="shared" si="4"/>
        <v>17918</v>
      </c>
      <c r="C12" s="30">
        <v>10823</v>
      </c>
      <c r="D12" s="29">
        <v>2754.07</v>
      </c>
      <c r="E12" s="40">
        <v>8</v>
      </c>
      <c r="F12" s="29">
        <v>1.78</v>
      </c>
      <c r="G12" s="30">
        <v>401</v>
      </c>
      <c r="H12" s="29">
        <v>89.57</v>
      </c>
      <c r="I12" s="30" t="s">
        <v>185</v>
      </c>
      <c r="J12" s="29" t="s">
        <v>185</v>
      </c>
      <c r="K12" s="29">
        <v>3200</v>
      </c>
      <c r="L12" s="29">
        <v>673.19</v>
      </c>
      <c r="M12" s="29">
        <v>2518</v>
      </c>
      <c r="N12" s="29">
        <v>636.6</v>
      </c>
      <c r="O12" s="29">
        <v>22</v>
      </c>
      <c r="P12" s="29">
        <v>3.5</v>
      </c>
      <c r="Q12" s="30">
        <v>946</v>
      </c>
      <c r="R12" s="39">
        <v>255.3</v>
      </c>
      <c r="S12" s="48">
        <v>1008</v>
      </c>
      <c r="T12" s="39">
        <v>144.14400000000001</v>
      </c>
      <c r="U12" s="15" t="s">
        <v>9</v>
      </c>
      <c r="Z12" s="16"/>
    </row>
    <row r="13" spans="1:27" x14ac:dyDescent="0.3">
      <c r="A13" s="14" t="s">
        <v>107</v>
      </c>
      <c r="B13" s="62">
        <f t="shared" si="4"/>
        <v>0</v>
      </c>
      <c r="C13" s="30" t="s">
        <v>185</v>
      </c>
      <c r="D13" s="29" t="s">
        <v>185</v>
      </c>
      <c r="E13" s="40" t="s">
        <v>185</v>
      </c>
      <c r="F13" s="29" t="s">
        <v>185</v>
      </c>
      <c r="G13" s="30" t="s">
        <v>185</v>
      </c>
      <c r="H13" s="29" t="s">
        <v>185</v>
      </c>
      <c r="I13" s="30" t="s">
        <v>185</v>
      </c>
      <c r="J13" s="29" t="s">
        <v>185</v>
      </c>
      <c r="K13" s="29" t="s">
        <v>185</v>
      </c>
      <c r="L13" s="29" t="s">
        <v>185</v>
      </c>
      <c r="M13" s="29" t="s">
        <v>185</v>
      </c>
      <c r="N13" s="29" t="s">
        <v>185</v>
      </c>
      <c r="O13" s="29" t="s">
        <v>185</v>
      </c>
      <c r="P13" s="29" t="s">
        <v>185</v>
      </c>
      <c r="Q13" s="30" t="s">
        <v>185</v>
      </c>
      <c r="R13" s="39" t="s">
        <v>185</v>
      </c>
      <c r="S13" s="48" t="s">
        <v>185</v>
      </c>
      <c r="T13" s="39" t="s">
        <v>185</v>
      </c>
      <c r="U13" s="15" t="s">
        <v>10</v>
      </c>
    </row>
    <row r="14" spans="1:27" x14ac:dyDescent="0.3">
      <c r="A14" s="14" t="s">
        <v>108</v>
      </c>
      <c r="B14" s="62">
        <f t="shared" si="4"/>
        <v>6229</v>
      </c>
      <c r="C14" s="30">
        <v>2143</v>
      </c>
      <c r="D14" s="29">
        <v>686.22799999999995</v>
      </c>
      <c r="E14" s="40" t="s">
        <v>185</v>
      </c>
      <c r="F14" s="29" t="s">
        <v>185</v>
      </c>
      <c r="G14" s="30">
        <v>12</v>
      </c>
      <c r="H14" s="29">
        <v>3.6</v>
      </c>
      <c r="I14" s="40" t="s">
        <v>185</v>
      </c>
      <c r="J14" s="29" t="s">
        <v>185</v>
      </c>
      <c r="K14" s="29">
        <v>208</v>
      </c>
      <c r="L14" s="29">
        <v>74.13</v>
      </c>
      <c r="M14" s="29">
        <v>143</v>
      </c>
      <c r="N14" s="29">
        <v>47.5</v>
      </c>
      <c r="O14" s="29" t="s">
        <v>185</v>
      </c>
      <c r="P14" s="29" t="s">
        <v>185</v>
      </c>
      <c r="Q14" s="30">
        <v>3723</v>
      </c>
      <c r="R14" s="39">
        <v>1476.92</v>
      </c>
      <c r="S14" s="47" t="s">
        <v>185</v>
      </c>
      <c r="T14" s="39" t="s">
        <v>185</v>
      </c>
      <c r="U14" s="15" t="s">
        <v>11</v>
      </c>
      <c r="V14" s="17"/>
    </row>
    <row r="15" spans="1:27" x14ac:dyDescent="0.3">
      <c r="A15" s="14" t="s">
        <v>109</v>
      </c>
      <c r="B15" s="62">
        <f t="shared" si="4"/>
        <v>14816</v>
      </c>
      <c r="C15" s="30">
        <v>14404</v>
      </c>
      <c r="D15" s="29">
        <v>10162.859</v>
      </c>
      <c r="E15" s="40" t="s">
        <v>185</v>
      </c>
      <c r="F15" s="29" t="s">
        <v>185</v>
      </c>
      <c r="G15" s="40">
        <v>6</v>
      </c>
      <c r="H15" s="29">
        <v>2.1</v>
      </c>
      <c r="I15" s="40" t="s">
        <v>185</v>
      </c>
      <c r="J15" s="29" t="s">
        <v>185</v>
      </c>
      <c r="K15" s="29">
        <v>281</v>
      </c>
      <c r="L15" s="29">
        <v>65.191999999999993</v>
      </c>
      <c r="M15" s="29">
        <v>10</v>
      </c>
      <c r="N15" s="29">
        <v>3.9660000000000002</v>
      </c>
      <c r="O15" s="29" t="s">
        <v>185</v>
      </c>
      <c r="P15" s="29" t="s">
        <v>185</v>
      </c>
      <c r="Q15" s="30">
        <v>115</v>
      </c>
      <c r="R15" s="39">
        <v>57.384999999999998</v>
      </c>
      <c r="S15" s="47" t="s">
        <v>185</v>
      </c>
      <c r="T15" s="39" t="s">
        <v>185</v>
      </c>
      <c r="U15" s="15" t="s">
        <v>12</v>
      </c>
      <c r="V15" s="17"/>
    </row>
    <row r="16" spans="1:27" s="20" customFormat="1" ht="25.8" customHeight="1" x14ac:dyDescent="0.3">
      <c r="A16" s="12" t="s">
        <v>13</v>
      </c>
      <c r="B16" s="61">
        <f>SUM(B17:B23)</f>
        <v>419794</v>
      </c>
      <c r="C16" s="59">
        <f t="shared" ref="C16:S16" si="5">SUM(C17:C23)</f>
        <v>120211</v>
      </c>
      <c r="D16" s="59">
        <f t="shared" si="5"/>
        <v>21516.199000000001</v>
      </c>
      <c r="E16" s="59">
        <f t="shared" si="5"/>
        <v>9</v>
      </c>
      <c r="F16" s="59">
        <f t="shared" si="5"/>
        <v>1.35</v>
      </c>
      <c r="G16" s="59">
        <f>SUM(G17:G23)</f>
        <v>189291</v>
      </c>
      <c r="H16" s="59">
        <f t="shared" si="5"/>
        <v>30712.447999999997</v>
      </c>
      <c r="I16" s="59">
        <f t="shared" si="5"/>
        <v>67</v>
      </c>
      <c r="J16" s="59">
        <f t="shared" si="5"/>
        <v>13.875</v>
      </c>
      <c r="K16" s="59">
        <f t="shared" si="5"/>
        <v>59265</v>
      </c>
      <c r="L16" s="59">
        <f t="shared" si="5"/>
        <v>10598.12</v>
      </c>
      <c r="M16" s="59">
        <f t="shared" si="5"/>
        <v>29404</v>
      </c>
      <c r="N16" s="59">
        <f t="shared" si="5"/>
        <v>4690.567</v>
      </c>
      <c r="O16" s="59">
        <f t="shared" si="5"/>
        <v>20</v>
      </c>
      <c r="P16" s="59">
        <f t="shared" si="5"/>
        <v>3.4249999999999998</v>
      </c>
      <c r="Q16" s="59">
        <f>SUM(Q17:Q23)</f>
        <v>21527</v>
      </c>
      <c r="R16" s="60">
        <f>SUM(R17:R23)</f>
        <v>4183.8229999999994</v>
      </c>
      <c r="S16" s="61">
        <f t="shared" si="5"/>
        <v>27476</v>
      </c>
      <c r="T16" s="60">
        <f>SUM(T17:T23)</f>
        <v>4322.991</v>
      </c>
      <c r="U16" s="18" t="s">
        <v>14</v>
      </c>
      <c r="V16" s="19"/>
      <c r="W16" s="18"/>
      <c r="Y16" s="44"/>
    </row>
    <row r="17" spans="1:23" x14ac:dyDescent="0.3">
      <c r="A17" s="14" t="s">
        <v>110</v>
      </c>
      <c r="B17" s="62">
        <f t="shared" si="4"/>
        <v>147605</v>
      </c>
      <c r="C17" s="30">
        <v>48046</v>
      </c>
      <c r="D17" s="29">
        <v>8483.8889999999992</v>
      </c>
      <c r="E17" s="40" t="s">
        <v>185</v>
      </c>
      <c r="F17" s="29" t="s">
        <v>185</v>
      </c>
      <c r="G17" s="30">
        <v>59998</v>
      </c>
      <c r="H17" s="29">
        <v>9706.5049999999992</v>
      </c>
      <c r="I17" s="30" t="s">
        <v>185</v>
      </c>
      <c r="J17" s="29" t="s">
        <v>185</v>
      </c>
      <c r="K17" s="29">
        <v>14853</v>
      </c>
      <c r="L17" s="29">
        <v>2667.2330000000002</v>
      </c>
      <c r="M17" s="29">
        <v>6099</v>
      </c>
      <c r="N17" s="29">
        <v>984.65599999999995</v>
      </c>
      <c r="O17" s="29">
        <v>10</v>
      </c>
      <c r="P17" s="29">
        <v>1.875</v>
      </c>
      <c r="Q17" s="30">
        <v>18599</v>
      </c>
      <c r="R17" s="39">
        <v>3523.1489999999999</v>
      </c>
      <c r="S17" s="48">
        <v>635</v>
      </c>
      <c r="T17" s="39">
        <v>66.956000000000003</v>
      </c>
      <c r="U17" s="15" t="s">
        <v>15</v>
      </c>
    </row>
    <row r="18" spans="1:23" x14ac:dyDescent="0.3">
      <c r="A18" s="14" t="s">
        <v>111</v>
      </c>
      <c r="B18" s="62">
        <f t="shared" si="4"/>
        <v>3595</v>
      </c>
      <c r="C18" s="30">
        <v>3195</v>
      </c>
      <c r="D18" s="29">
        <v>596.29999999999995</v>
      </c>
      <c r="E18" s="40" t="s">
        <v>185</v>
      </c>
      <c r="F18" s="29" t="s">
        <v>185</v>
      </c>
      <c r="G18" s="30" t="s">
        <v>185</v>
      </c>
      <c r="H18" s="29" t="s">
        <v>185</v>
      </c>
      <c r="I18" s="30" t="s">
        <v>185</v>
      </c>
      <c r="J18" s="29" t="s">
        <v>185</v>
      </c>
      <c r="K18" s="29">
        <v>99</v>
      </c>
      <c r="L18" s="29">
        <v>16.41</v>
      </c>
      <c r="M18" s="29">
        <v>42</v>
      </c>
      <c r="N18" s="29">
        <v>7.68</v>
      </c>
      <c r="O18" s="29" t="s">
        <v>185</v>
      </c>
      <c r="P18" s="29" t="s">
        <v>185</v>
      </c>
      <c r="Q18" s="30">
        <v>259</v>
      </c>
      <c r="R18" s="39">
        <v>56.7</v>
      </c>
      <c r="S18" s="48">
        <v>12</v>
      </c>
      <c r="T18" s="39">
        <v>0.96</v>
      </c>
      <c r="U18" s="15" t="s">
        <v>16</v>
      </c>
    </row>
    <row r="19" spans="1:23" x14ac:dyDescent="0.3">
      <c r="A19" s="14" t="s">
        <v>112</v>
      </c>
      <c r="B19" s="62">
        <f t="shared" si="4"/>
        <v>162185</v>
      </c>
      <c r="C19" s="30">
        <v>31593</v>
      </c>
      <c r="D19" s="29">
        <v>5211.4930000000004</v>
      </c>
      <c r="E19" s="30">
        <v>9</v>
      </c>
      <c r="F19" s="29">
        <v>1.35</v>
      </c>
      <c r="G19" s="30">
        <v>91376</v>
      </c>
      <c r="H19" s="29">
        <v>16838.853999999999</v>
      </c>
      <c r="I19" s="30">
        <v>8</v>
      </c>
      <c r="J19" s="29">
        <v>1.5</v>
      </c>
      <c r="K19" s="29">
        <v>27177</v>
      </c>
      <c r="L19" s="29">
        <v>4990.9080000000004</v>
      </c>
      <c r="M19" s="29">
        <v>10155</v>
      </c>
      <c r="N19" s="29">
        <v>1979.377</v>
      </c>
      <c r="O19" s="29">
        <v>10</v>
      </c>
      <c r="P19" s="29">
        <v>1.55</v>
      </c>
      <c r="Q19" s="30">
        <v>1857</v>
      </c>
      <c r="R19" s="39">
        <v>355.69400000000002</v>
      </c>
      <c r="S19" s="48">
        <v>26023</v>
      </c>
      <c r="T19" s="39">
        <v>4191.5330000000004</v>
      </c>
      <c r="U19" s="15" t="s">
        <v>17</v>
      </c>
      <c r="V19" s="17"/>
    </row>
    <row r="20" spans="1:23" x14ac:dyDescent="0.3">
      <c r="A20" s="14" t="s">
        <v>113</v>
      </c>
      <c r="B20" s="62">
        <f t="shared" si="4"/>
        <v>6887</v>
      </c>
      <c r="C20" s="30">
        <v>4571</v>
      </c>
      <c r="D20" s="29">
        <v>891.24900000000002</v>
      </c>
      <c r="E20" s="40" t="s">
        <v>185</v>
      </c>
      <c r="F20" s="29" t="s">
        <v>185</v>
      </c>
      <c r="G20" s="30">
        <v>24</v>
      </c>
      <c r="H20" s="29">
        <v>4.8</v>
      </c>
      <c r="I20" s="40" t="s">
        <v>185</v>
      </c>
      <c r="J20" s="29" t="s">
        <v>185</v>
      </c>
      <c r="K20" s="29">
        <v>1963</v>
      </c>
      <c r="L20" s="29">
        <v>595.21100000000001</v>
      </c>
      <c r="M20" s="29">
        <v>302</v>
      </c>
      <c r="N20" s="29">
        <v>61.61</v>
      </c>
      <c r="O20" s="29" t="s">
        <v>185</v>
      </c>
      <c r="P20" s="29" t="s">
        <v>185</v>
      </c>
      <c r="Q20" s="30">
        <v>27</v>
      </c>
      <c r="R20" s="39">
        <v>5.74</v>
      </c>
      <c r="S20" s="47">
        <v>4</v>
      </c>
      <c r="T20" s="39">
        <v>0.4</v>
      </c>
      <c r="U20" s="15" t="s">
        <v>18</v>
      </c>
    </row>
    <row r="21" spans="1:23" x14ac:dyDescent="0.3">
      <c r="A21" s="14" t="s">
        <v>114</v>
      </c>
      <c r="B21" s="62">
        <f t="shared" si="4"/>
        <v>8180</v>
      </c>
      <c r="C21" s="30">
        <v>6743</v>
      </c>
      <c r="D21" s="29">
        <v>1632.83</v>
      </c>
      <c r="E21" s="40" t="s">
        <v>185</v>
      </c>
      <c r="F21" s="29" t="s">
        <v>185</v>
      </c>
      <c r="G21" s="30">
        <v>205</v>
      </c>
      <c r="H21" s="29">
        <v>42</v>
      </c>
      <c r="I21" s="40" t="s">
        <v>185</v>
      </c>
      <c r="J21" s="29" t="s">
        <v>185</v>
      </c>
      <c r="K21" s="29">
        <v>919</v>
      </c>
      <c r="L21" s="29">
        <v>178.84</v>
      </c>
      <c r="M21" s="29">
        <v>203</v>
      </c>
      <c r="N21" s="29">
        <v>52.3</v>
      </c>
      <c r="O21" s="29" t="s">
        <v>185</v>
      </c>
      <c r="P21" s="29" t="s">
        <v>185</v>
      </c>
      <c r="Q21" s="30">
        <v>110</v>
      </c>
      <c r="R21" s="39">
        <v>27</v>
      </c>
      <c r="S21" s="48" t="s">
        <v>185</v>
      </c>
      <c r="T21" s="49" t="s">
        <v>185</v>
      </c>
      <c r="U21" s="15" t="s">
        <v>19</v>
      </c>
    </row>
    <row r="22" spans="1:23" x14ac:dyDescent="0.3">
      <c r="A22" s="14" t="s">
        <v>115</v>
      </c>
      <c r="B22" s="62">
        <f t="shared" si="4"/>
        <v>14606</v>
      </c>
      <c r="C22" s="30">
        <v>4661</v>
      </c>
      <c r="D22" s="29">
        <v>1148.115</v>
      </c>
      <c r="E22" s="40" t="s">
        <v>185</v>
      </c>
      <c r="F22" s="29" t="s">
        <v>185</v>
      </c>
      <c r="G22" s="30">
        <v>4777</v>
      </c>
      <c r="H22" s="29">
        <v>1438.425</v>
      </c>
      <c r="I22" s="40">
        <v>34</v>
      </c>
      <c r="J22" s="29">
        <v>7</v>
      </c>
      <c r="K22" s="29">
        <v>3684</v>
      </c>
      <c r="L22" s="29">
        <v>1070.32</v>
      </c>
      <c r="M22" s="29">
        <v>1006</v>
      </c>
      <c r="N22" s="29">
        <v>323.82</v>
      </c>
      <c r="O22" s="29" t="s">
        <v>185</v>
      </c>
      <c r="P22" s="29" t="s">
        <v>185</v>
      </c>
      <c r="Q22" s="30">
        <v>444</v>
      </c>
      <c r="R22" s="39">
        <v>168.69</v>
      </c>
      <c r="S22" s="48">
        <v>156</v>
      </c>
      <c r="T22" s="49">
        <v>16.8</v>
      </c>
      <c r="U22" s="15" t="s">
        <v>20</v>
      </c>
    </row>
    <row r="23" spans="1:23" x14ac:dyDescent="0.3">
      <c r="A23" s="14" t="s">
        <v>116</v>
      </c>
      <c r="B23" s="62">
        <f t="shared" si="4"/>
        <v>76736</v>
      </c>
      <c r="C23" s="30">
        <v>21402</v>
      </c>
      <c r="D23" s="29">
        <v>3552.3229999999999</v>
      </c>
      <c r="E23" s="30" t="s">
        <v>185</v>
      </c>
      <c r="F23" s="29" t="s">
        <v>185</v>
      </c>
      <c r="G23" s="30">
        <v>32911</v>
      </c>
      <c r="H23" s="29">
        <v>2681.864</v>
      </c>
      <c r="I23" s="40">
        <v>25</v>
      </c>
      <c r="J23" s="29">
        <v>5.375</v>
      </c>
      <c r="K23" s="29">
        <v>10570</v>
      </c>
      <c r="L23" s="29">
        <v>1079.1980000000001</v>
      </c>
      <c r="M23" s="29">
        <v>11597</v>
      </c>
      <c r="N23" s="29">
        <v>1281.124</v>
      </c>
      <c r="O23" s="29" t="s">
        <v>185</v>
      </c>
      <c r="P23" s="29" t="s">
        <v>185</v>
      </c>
      <c r="Q23" s="30">
        <v>231</v>
      </c>
      <c r="R23" s="39">
        <v>46.85</v>
      </c>
      <c r="S23" s="47">
        <v>646</v>
      </c>
      <c r="T23" s="39">
        <v>46.341999999999999</v>
      </c>
      <c r="U23" s="15" t="s">
        <v>21</v>
      </c>
    </row>
    <row r="24" spans="1:23" ht="22.2" customHeight="1" x14ac:dyDescent="0.3">
      <c r="A24" s="12" t="s">
        <v>22</v>
      </c>
      <c r="B24" s="61">
        <f>SUM(B25:B28)</f>
        <v>98624</v>
      </c>
      <c r="C24" s="59">
        <f>SUM(C25:C28)</f>
        <v>20385</v>
      </c>
      <c r="D24" s="59">
        <f t="shared" ref="D24:S24" si="6">SUM(D25:D28)</f>
        <v>2423.4630000000002</v>
      </c>
      <c r="E24" s="59">
        <f t="shared" si="6"/>
        <v>63</v>
      </c>
      <c r="F24" s="59">
        <f t="shared" si="6"/>
        <v>5.04</v>
      </c>
      <c r="G24" s="59">
        <f t="shared" si="6"/>
        <v>602</v>
      </c>
      <c r="H24" s="59">
        <f t="shared" si="6"/>
        <v>108.47</v>
      </c>
      <c r="I24" s="59">
        <f t="shared" si="6"/>
        <v>25</v>
      </c>
      <c r="J24" s="59">
        <f t="shared" si="6"/>
        <v>3.45</v>
      </c>
      <c r="K24" s="59">
        <f t="shared" si="6"/>
        <v>18103</v>
      </c>
      <c r="L24" s="59">
        <f t="shared" si="6"/>
        <v>2481.7599999999998</v>
      </c>
      <c r="M24" s="59">
        <f t="shared" si="6"/>
        <v>771</v>
      </c>
      <c r="N24" s="59">
        <f t="shared" si="6"/>
        <v>95.046000000000006</v>
      </c>
      <c r="O24" s="59">
        <f t="shared" si="6"/>
        <v>0</v>
      </c>
      <c r="P24" s="59">
        <f t="shared" si="6"/>
        <v>0</v>
      </c>
      <c r="Q24" s="59">
        <f>SUM(Q25:Q28)</f>
        <v>58675</v>
      </c>
      <c r="R24" s="60">
        <f>SUM(R25:R28)</f>
        <v>12156.154999999999</v>
      </c>
      <c r="S24" s="61">
        <f t="shared" si="6"/>
        <v>12705</v>
      </c>
      <c r="T24" s="60">
        <f>SUM(T25:T28)</f>
        <v>627.755</v>
      </c>
      <c r="U24" s="21" t="s">
        <v>102</v>
      </c>
    </row>
    <row r="25" spans="1:23" x14ac:dyDescent="0.3">
      <c r="A25" s="14" t="s">
        <v>117</v>
      </c>
      <c r="B25" s="62">
        <f t="shared" si="4"/>
        <v>25949</v>
      </c>
      <c r="C25" s="30">
        <v>16296</v>
      </c>
      <c r="D25" s="29">
        <v>1645.9090000000001</v>
      </c>
      <c r="E25" s="30" t="s">
        <v>185</v>
      </c>
      <c r="F25" s="29" t="s">
        <v>185</v>
      </c>
      <c r="G25" s="30">
        <v>106</v>
      </c>
      <c r="H25" s="29">
        <v>8.48</v>
      </c>
      <c r="I25" s="30" t="s">
        <v>185</v>
      </c>
      <c r="J25" s="29" t="s">
        <v>185</v>
      </c>
      <c r="K25" s="29">
        <v>7633</v>
      </c>
      <c r="L25" s="29">
        <v>802.2</v>
      </c>
      <c r="M25" s="29">
        <v>291</v>
      </c>
      <c r="N25" s="29">
        <v>30.026</v>
      </c>
      <c r="O25" s="29" t="s">
        <v>185</v>
      </c>
      <c r="P25" s="29" t="s">
        <v>185</v>
      </c>
      <c r="Q25" s="30">
        <v>1623</v>
      </c>
      <c r="R25" s="39">
        <v>203.5</v>
      </c>
      <c r="S25" s="48">
        <v>882</v>
      </c>
      <c r="T25" s="39">
        <v>94.2</v>
      </c>
      <c r="U25" s="15" t="s">
        <v>23</v>
      </c>
    </row>
    <row r="26" spans="1:23" x14ac:dyDescent="0.3">
      <c r="A26" s="14" t="s">
        <v>118</v>
      </c>
      <c r="B26" s="62">
        <f t="shared" si="4"/>
        <v>65675</v>
      </c>
      <c r="C26" s="30">
        <v>1690</v>
      </c>
      <c r="D26" s="29">
        <v>213.10400000000001</v>
      </c>
      <c r="E26" s="30">
        <v>63</v>
      </c>
      <c r="F26" s="29">
        <v>5.04</v>
      </c>
      <c r="G26" s="30">
        <v>228</v>
      </c>
      <c r="H26" s="29">
        <v>28.49</v>
      </c>
      <c r="I26" s="30">
        <v>25</v>
      </c>
      <c r="J26" s="29">
        <v>3.45</v>
      </c>
      <c r="K26" s="29">
        <v>7436</v>
      </c>
      <c r="L26" s="29">
        <v>972.8</v>
      </c>
      <c r="M26" s="29">
        <v>430</v>
      </c>
      <c r="N26" s="29">
        <v>46.02</v>
      </c>
      <c r="O26" s="29" t="s">
        <v>185</v>
      </c>
      <c r="P26" s="29" t="s">
        <v>185</v>
      </c>
      <c r="Q26" s="30">
        <v>55803</v>
      </c>
      <c r="R26" s="39">
        <v>11533.174999999999</v>
      </c>
      <c r="S26" s="48">
        <v>11823</v>
      </c>
      <c r="T26" s="39">
        <v>533.55499999999995</v>
      </c>
      <c r="U26" s="15" t="s">
        <v>24</v>
      </c>
    </row>
    <row r="27" spans="1:23" x14ac:dyDescent="0.3">
      <c r="A27" s="14" t="s">
        <v>119</v>
      </c>
      <c r="B27" s="62">
        <f t="shared" si="4"/>
        <v>3036</v>
      </c>
      <c r="C27" s="30">
        <v>1588</v>
      </c>
      <c r="D27" s="29">
        <v>321.14999999999998</v>
      </c>
      <c r="E27" s="40" t="s">
        <v>185</v>
      </c>
      <c r="F27" s="29" t="s">
        <v>185</v>
      </c>
      <c r="G27" s="40">
        <v>225</v>
      </c>
      <c r="H27" s="29">
        <v>58.6</v>
      </c>
      <c r="I27" s="40" t="s">
        <v>185</v>
      </c>
      <c r="J27" s="29" t="s">
        <v>185</v>
      </c>
      <c r="K27" s="29">
        <v>1125</v>
      </c>
      <c r="L27" s="29">
        <v>227.62</v>
      </c>
      <c r="M27" s="29" t="s">
        <v>185</v>
      </c>
      <c r="N27" s="29" t="s">
        <v>185</v>
      </c>
      <c r="O27" s="29" t="s">
        <v>185</v>
      </c>
      <c r="P27" s="29" t="s">
        <v>185</v>
      </c>
      <c r="Q27" s="30">
        <v>98</v>
      </c>
      <c r="R27" s="39">
        <v>29.73</v>
      </c>
      <c r="S27" s="47" t="s">
        <v>185</v>
      </c>
      <c r="T27" s="39" t="s">
        <v>185</v>
      </c>
      <c r="U27" s="15" t="s">
        <v>25</v>
      </c>
    </row>
    <row r="28" spans="1:23" x14ac:dyDescent="0.3">
      <c r="A28" s="14" t="s">
        <v>120</v>
      </c>
      <c r="B28" s="62">
        <f t="shared" si="4"/>
        <v>3964</v>
      </c>
      <c r="C28" s="30">
        <v>811</v>
      </c>
      <c r="D28" s="29">
        <v>243.3</v>
      </c>
      <c r="E28" s="40" t="s">
        <v>185</v>
      </c>
      <c r="F28" s="29" t="s">
        <v>185</v>
      </c>
      <c r="G28" s="30">
        <v>43</v>
      </c>
      <c r="H28" s="29">
        <v>12.9</v>
      </c>
      <c r="I28" s="40" t="s">
        <v>185</v>
      </c>
      <c r="J28" s="29" t="s">
        <v>185</v>
      </c>
      <c r="K28" s="29">
        <v>1909</v>
      </c>
      <c r="L28" s="29">
        <v>479.14</v>
      </c>
      <c r="M28" s="29">
        <v>50</v>
      </c>
      <c r="N28" s="29">
        <v>19</v>
      </c>
      <c r="O28" s="29" t="s">
        <v>185</v>
      </c>
      <c r="P28" s="29" t="s">
        <v>185</v>
      </c>
      <c r="Q28" s="30">
        <v>1151</v>
      </c>
      <c r="R28" s="39">
        <v>389.75</v>
      </c>
      <c r="S28" s="47" t="s">
        <v>185</v>
      </c>
      <c r="T28" s="39" t="s">
        <v>185</v>
      </c>
      <c r="U28" s="15" t="s">
        <v>26</v>
      </c>
    </row>
    <row r="29" spans="1:23" ht="22.8" customHeight="1" x14ac:dyDescent="0.3">
      <c r="A29" s="12" t="s">
        <v>27</v>
      </c>
      <c r="B29" s="61">
        <f>SUM(B30:B33)</f>
        <v>1851</v>
      </c>
      <c r="C29" s="59">
        <f t="shared" ref="C29:S29" si="7">SUM(C30:C33)</f>
        <v>195</v>
      </c>
      <c r="D29" s="59">
        <f t="shared" si="7"/>
        <v>79.38</v>
      </c>
      <c r="E29" s="59">
        <f t="shared" si="7"/>
        <v>0</v>
      </c>
      <c r="F29" s="59">
        <f t="shared" si="7"/>
        <v>0</v>
      </c>
      <c r="G29" s="59">
        <f t="shared" si="7"/>
        <v>7</v>
      </c>
      <c r="H29" s="59">
        <f t="shared" si="7"/>
        <v>1.7999999999999998</v>
      </c>
      <c r="I29" s="59">
        <f t="shared" si="7"/>
        <v>0</v>
      </c>
      <c r="J29" s="59">
        <f t="shared" si="7"/>
        <v>0</v>
      </c>
      <c r="K29" s="59">
        <f t="shared" si="7"/>
        <v>43</v>
      </c>
      <c r="L29" s="59">
        <f t="shared" si="7"/>
        <v>11.8</v>
      </c>
      <c r="M29" s="59">
        <f t="shared" si="7"/>
        <v>2</v>
      </c>
      <c r="N29" s="59">
        <f t="shared" si="7"/>
        <v>0.4</v>
      </c>
      <c r="O29" s="59">
        <f t="shared" si="7"/>
        <v>0</v>
      </c>
      <c r="P29" s="59">
        <f t="shared" si="7"/>
        <v>0</v>
      </c>
      <c r="Q29" s="59">
        <f>SUM(Q30:Q33)</f>
        <v>1604</v>
      </c>
      <c r="R29" s="60">
        <f>SUM(R30:R33)</f>
        <v>678.72</v>
      </c>
      <c r="S29" s="61">
        <f t="shared" si="7"/>
        <v>0</v>
      </c>
      <c r="T29" s="60">
        <f>SUM(T30:T33)</f>
        <v>0</v>
      </c>
      <c r="U29" s="22" t="s">
        <v>28</v>
      </c>
      <c r="V29" s="22"/>
      <c r="W29" s="22"/>
    </row>
    <row r="30" spans="1:23" x14ac:dyDescent="0.3">
      <c r="A30" s="14" t="s">
        <v>121</v>
      </c>
      <c r="B30" s="62">
        <f t="shared" si="4"/>
        <v>312</v>
      </c>
      <c r="C30" s="30">
        <v>73</v>
      </c>
      <c r="D30" s="29">
        <v>22.52</v>
      </c>
      <c r="E30" s="40" t="s">
        <v>185</v>
      </c>
      <c r="F30" s="29" t="s">
        <v>185</v>
      </c>
      <c r="G30" s="30" t="s">
        <v>185</v>
      </c>
      <c r="H30" s="29" t="s">
        <v>185</v>
      </c>
      <c r="I30" s="40" t="s">
        <v>185</v>
      </c>
      <c r="J30" s="29" t="s">
        <v>185</v>
      </c>
      <c r="K30" s="29">
        <v>43</v>
      </c>
      <c r="L30" s="29">
        <v>11.8</v>
      </c>
      <c r="M30" s="29">
        <v>2</v>
      </c>
      <c r="N30" s="29">
        <v>0.4</v>
      </c>
      <c r="O30" s="29" t="s">
        <v>185</v>
      </c>
      <c r="P30" s="29" t="s">
        <v>185</v>
      </c>
      <c r="Q30" s="30">
        <v>194</v>
      </c>
      <c r="R30" s="39">
        <v>85.95</v>
      </c>
      <c r="S30" s="47" t="s">
        <v>185</v>
      </c>
      <c r="T30" s="39" t="s">
        <v>185</v>
      </c>
      <c r="U30" s="15" t="s">
        <v>29</v>
      </c>
    </row>
    <row r="31" spans="1:23" x14ac:dyDescent="0.3">
      <c r="A31" s="14" t="s">
        <v>122</v>
      </c>
      <c r="B31" s="62">
        <f t="shared" si="4"/>
        <v>176</v>
      </c>
      <c r="C31" s="40">
        <v>113</v>
      </c>
      <c r="D31" s="29">
        <v>55.26</v>
      </c>
      <c r="E31" s="40" t="s">
        <v>185</v>
      </c>
      <c r="F31" s="29" t="s">
        <v>185</v>
      </c>
      <c r="G31" s="30">
        <v>5</v>
      </c>
      <c r="H31" s="29">
        <v>1.2</v>
      </c>
      <c r="I31" s="40" t="s">
        <v>185</v>
      </c>
      <c r="J31" s="29" t="s">
        <v>185</v>
      </c>
      <c r="K31" s="29" t="s">
        <v>185</v>
      </c>
      <c r="L31" s="29" t="s">
        <v>185</v>
      </c>
      <c r="M31" s="29" t="s">
        <v>185</v>
      </c>
      <c r="N31" s="29" t="s">
        <v>185</v>
      </c>
      <c r="O31" s="29" t="s">
        <v>185</v>
      </c>
      <c r="P31" s="29" t="s">
        <v>185</v>
      </c>
      <c r="Q31" s="30">
        <v>58</v>
      </c>
      <c r="R31" s="39">
        <v>23.2</v>
      </c>
      <c r="S31" s="47" t="s">
        <v>185</v>
      </c>
      <c r="T31" s="39" t="s">
        <v>185</v>
      </c>
      <c r="U31" s="15" t="s">
        <v>30</v>
      </c>
    </row>
    <row r="32" spans="1:23" x14ac:dyDescent="0.3">
      <c r="A32" s="14" t="s">
        <v>123</v>
      </c>
      <c r="B32" s="62">
        <f t="shared" si="4"/>
        <v>37</v>
      </c>
      <c r="C32" s="30">
        <v>9</v>
      </c>
      <c r="D32" s="29">
        <v>1.6</v>
      </c>
      <c r="E32" s="40" t="s">
        <v>185</v>
      </c>
      <c r="F32" s="29" t="s">
        <v>185</v>
      </c>
      <c r="G32" s="40" t="s">
        <v>185</v>
      </c>
      <c r="H32" s="29" t="s">
        <v>185</v>
      </c>
      <c r="I32" s="40" t="s">
        <v>185</v>
      </c>
      <c r="J32" s="29" t="s">
        <v>185</v>
      </c>
      <c r="K32" s="29" t="s">
        <v>185</v>
      </c>
      <c r="L32" s="29" t="s">
        <v>185</v>
      </c>
      <c r="M32" s="29" t="s">
        <v>185</v>
      </c>
      <c r="N32" s="29" t="s">
        <v>185</v>
      </c>
      <c r="O32" s="29" t="s">
        <v>185</v>
      </c>
      <c r="P32" s="29" t="s">
        <v>185</v>
      </c>
      <c r="Q32" s="30">
        <v>28</v>
      </c>
      <c r="R32" s="39">
        <v>8.4</v>
      </c>
      <c r="S32" s="47" t="s">
        <v>185</v>
      </c>
      <c r="T32" s="39" t="s">
        <v>185</v>
      </c>
      <c r="U32" s="15" t="s">
        <v>31</v>
      </c>
    </row>
    <row r="33" spans="1:23" x14ac:dyDescent="0.3">
      <c r="A33" s="14" t="s">
        <v>124</v>
      </c>
      <c r="B33" s="62">
        <f t="shared" si="4"/>
        <v>1326</v>
      </c>
      <c r="C33" s="30" t="s">
        <v>185</v>
      </c>
      <c r="D33" s="29" t="s">
        <v>185</v>
      </c>
      <c r="E33" s="40" t="s">
        <v>185</v>
      </c>
      <c r="F33" s="29" t="s">
        <v>185</v>
      </c>
      <c r="G33" s="40">
        <v>2</v>
      </c>
      <c r="H33" s="29">
        <v>0.6</v>
      </c>
      <c r="I33" s="40" t="s">
        <v>185</v>
      </c>
      <c r="J33" s="29" t="s">
        <v>185</v>
      </c>
      <c r="K33" s="29" t="s">
        <v>185</v>
      </c>
      <c r="L33" s="29" t="s">
        <v>185</v>
      </c>
      <c r="M33" s="29" t="s">
        <v>185</v>
      </c>
      <c r="N33" s="29" t="s">
        <v>185</v>
      </c>
      <c r="O33" s="29" t="s">
        <v>185</v>
      </c>
      <c r="P33" s="29" t="s">
        <v>185</v>
      </c>
      <c r="Q33" s="30">
        <v>1324</v>
      </c>
      <c r="R33" s="39">
        <v>561.16999999999996</v>
      </c>
      <c r="S33" s="48" t="s">
        <v>185</v>
      </c>
      <c r="T33" s="39" t="s">
        <v>185</v>
      </c>
      <c r="U33" s="15" t="s">
        <v>32</v>
      </c>
    </row>
    <row r="34" spans="1:23" ht="25.8" customHeight="1" x14ac:dyDescent="0.3">
      <c r="A34" s="12" t="s">
        <v>33</v>
      </c>
      <c r="B34" s="61">
        <f>SUM(B35:B39)</f>
        <v>169717</v>
      </c>
      <c r="C34" s="59">
        <f t="shared" ref="C34:S34" si="8">SUM(C35:C39)</f>
        <v>107380</v>
      </c>
      <c r="D34" s="59">
        <f t="shared" si="8"/>
        <v>21851.373</v>
      </c>
      <c r="E34" s="59">
        <f t="shared" si="8"/>
        <v>0</v>
      </c>
      <c r="F34" s="59">
        <f t="shared" si="8"/>
        <v>0</v>
      </c>
      <c r="G34" s="59">
        <f t="shared" si="8"/>
        <v>866</v>
      </c>
      <c r="H34" s="59">
        <f t="shared" si="8"/>
        <v>190.15</v>
      </c>
      <c r="I34" s="59">
        <f t="shared" si="8"/>
        <v>1972</v>
      </c>
      <c r="J34" s="59">
        <f t="shared" si="8"/>
        <v>397.36500000000001</v>
      </c>
      <c r="K34" s="59">
        <f t="shared" si="8"/>
        <v>25864</v>
      </c>
      <c r="L34" s="59">
        <f t="shared" si="8"/>
        <v>6870.4620000000004</v>
      </c>
      <c r="M34" s="59">
        <f t="shared" si="8"/>
        <v>8703</v>
      </c>
      <c r="N34" s="59">
        <f t="shared" si="8"/>
        <v>2069.3710000000001</v>
      </c>
      <c r="O34" s="59">
        <f t="shared" si="8"/>
        <v>625</v>
      </c>
      <c r="P34" s="59">
        <f t="shared" si="8"/>
        <v>80.872</v>
      </c>
      <c r="Q34" s="59">
        <f>SUM(Q35:Q39)</f>
        <v>24307</v>
      </c>
      <c r="R34" s="60">
        <f>SUM(R35:R39)</f>
        <v>6989.4869999999992</v>
      </c>
      <c r="S34" s="61">
        <f t="shared" si="8"/>
        <v>12989</v>
      </c>
      <c r="T34" s="60">
        <f>SUM(T35:T39)</f>
        <v>1062.721</v>
      </c>
      <c r="U34" s="22" t="s">
        <v>34</v>
      </c>
      <c r="V34" s="22"/>
      <c r="W34" s="22"/>
    </row>
    <row r="35" spans="1:23" x14ac:dyDescent="0.3">
      <c r="A35" s="14" t="s">
        <v>125</v>
      </c>
      <c r="B35" s="62">
        <f t="shared" si="4"/>
        <v>104967</v>
      </c>
      <c r="C35" s="30">
        <v>67161</v>
      </c>
      <c r="D35" s="29">
        <v>14698.753000000001</v>
      </c>
      <c r="E35" s="40" t="s">
        <v>185</v>
      </c>
      <c r="F35" s="29" t="s">
        <v>185</v>
      </c>
      <c r="G35" s="30">
        <v>129</v>
      </c>
      <c r="H35" s="29">
        <v>44.85</v>
      </c>
      <c r="I35" s="30">
        <v>1960</v>
      </c>
      <c r="J35" s="29">
        <v>396.16500000000002</v>
      </c>
      <c r="K35" s="29">
        <v>12543</v>
      </c>
      <c r="L35" s="29">
        <v>3064.375</v>
      </c>
      <c r="M35" s="29">
        <v>5113</v>
      </c>
      <c r="N35" s="29">
        <v>1361.27</v>
      </c>
      <c r="O35" s="29">
        <v>623</v>
      </c>
      <c r="P35" s="29">
        <v>80.372</v>
      </c>
      <c r="Q35" s="30">
        <v>17438</v>
      </c>
      <c r="R35" s="39">
        <v>4914.8109999999997</v>
      </c>
      <c r="S35" s="48">
        <v>4783</v>
      </c>
      <c r="T35" s="39">
        <v>689.28200000000004</v>
      </c>
      <c r="U35" s="15" t="s">
        <v>35</v>
      </c>
    </row>
    <row r="36" spans="1:23" x14ac:dyDescent="0.3">
      <c r="A36" s="14" t="s">
        <v>126</v>
      </c>
      <c r="B36" s="62">
        <f t="shared" si="4"/>
        <v>21117</v>
      </c>
      <c r="C36" s="30">
        <v>14110</v>
      </c>
      <c r="D36" s="29">
        <v>2930.5880000000002</v>
      </c>
      <c r="E36" s="30" t="s">
        <v>185</v>
      </c>
      <c r="F36" s="29" t="s">
        <v>185</v>
      </c>
      <c r="G36" s="40" t="s">
        <v>185</v>
      </c>
      <c r="H36" s="29" t="s">
        <v>185</v>
      </c>
      <c r="I36" s="30" t="s">
        <v>185</v>
      </c>
      <c r="J36" s="29" t="s">
        <v>185</v>
      </c>
      <c r="K36" s="29">
        <v>3531</v>
      </c>
      <c r="L36" s="29">
        <v>1301.886</v>
      </c>
      <c r="M36" s="29">
        <v>1363</v>
      </c>
      <c r="N36" s="29">
        <v>345.39100000000002</v>
      </c>
      <c r="O36" s="29">
        <v>2</v>
      </c>
      <c r="P36" s="29">
        <v>0.5</v>
      </c>
      <c r="Q36" s="30">
        <v>2111</v>
      </c>
      <c r="R36" s="39">
        <v>647.19600000000003</v>
      </c>
      <c r="S36" s="48">
        <v>6281</v>
      </c>
      <c r="T36" s="39">
        <v>282.89299999999997</v>
      </c>
      <c r="U36" s="15" t="s">
        <v>36</v>
      </c>
    </row>
    <row r="37" spans="1:23" x14ac:dyDescent="0.3">
      <c r="A37" s="14" t="s">
        <v>127</v>
      </c>
      <c r="B37" s="62">
        <f t="shared" si="4"/>
        <v>32616</v>
      </c>
      <c r="C37" s="30">
        <v>24404</v>
      </c>
      <c r="D37" s="29">
        <v>3874.6970000000001</v>
      </c>
      <c r="E37" s="40" t="s">
        <v>185</v>
      </c>
      <c r="F37" s="29" t="s">
        <v>185</v>
      </c>
      <c r="G37" s="30">
        <v>737</v>
      </c>
      <c r="H37" s="29">
        <v>145.30000000000001</v>
      </c>
      <c r="I37" s="30">
        <v>12</v>
      </c>
      <c r="J37" s="29">
        <v>1.2</v>
      </c>
      <c r="K37" s="29">
        <v>5134</v>
      </c>
      <c r="L37" s="29">
        <v>1056.9110000000001</v>
      </c>
      <c r="M37" s="29">
        <v>2169</v>
      </c>
      <c r="N37" s="29">
        <v>334.81</v>
      </c>
      <c r="O37" s="29" t="s">
        <v>185</v>
      </c>
      <c r="P37" s="29" t="s">
        <v>185</v>
      </c>
      <c r="Q37" s="30">
        <v>160</v>
      </c>
      <c r="R37" s="39">
        <v>45.2</v>
      </c>
      <c r="S37" s="47">
        <v>1840</v>
      </c>
      <c r="T37" s="39">
        <v>78.296000000000006</v>
      </c>
      <c r="U37" s="15" t="s">
        <v>37</v>
      </c>
    </row>
    <row r="38" spans="1:23" x14ac:dyDescent="0.3">
      <c r="A38" s="14" t="s">
        <v>128</v>
      </c>
      <c r="B38" s="62">
        <f t="shared" si="4"/>
        <v>0</v>
      </c>
      <c r="C38" s="30" t="s">
        <v>185</v>
      </c>
      <c r="D38" s="29" t="s">
        <v>185</v>
      </c>
      <c r="E38" s="40" t="s">
        <v>185</v>
      </c>
      <c r="F38" s="29" t="s">
        <v>185</v>
      </c>
      <c r="G38" s="40" t="s">
        <v>185</v>
      </c>
      <c r="H38" s="29" t="s">
        <v>185</v>
      </c>
      <c r="I38" s="40" t="s">
        <v>185</v>
      </c>
      <c r="J38" s="29" t="s">
        <v>185</v>
      </c>
      <c r="K38" s="29" t="s">
        <v>185</v>
      </c>
      <c r="L38" s="29" t="s">
        <v>185</v>
      </c>
      <c r="M38" s="29" t="s">
        <v>185</v>
      </c>
      <c r="N38" s="29" t="s">
        <v>185</v>
      </c>
      <c r="O38" s="29" t="s">
        <v>185</v>
      </c>
      <c r="P38" s="29" t="s">
        <v>185</v>
      </c>
      <c r="Q38" s="30" t="s">
        <v>185</v>
      </c>
      <c r="R38" s="39" t="s">
        <v>185</v>
      </c>
      <c r="S38" s="47" t="s">
        <v>185</v>
      </c>
      <c r="T38" s="39" t="s">
        <v>185</v>
      </c>
      <c r="U38" s="23" t="s">
        <v>38</v>
      </c>
      <c r="V38" s="24"/>
      <c r="W38" s="24"/>
    </row>
    <row r="39" spans="1:23" x14ac:dyDescent="0.3">
      <c r="A39" s="14" t="s">
        <v>129</v>
      </c>
      <c r="B39" s="62">
        <f t="shared" si="4"/>
        <v>11017</v>
      </c>
      <c r="C39" s="30">
        <v>1705</v>
      </c>
      <c r="D39" s="29">
        <v>347.33499999999998</v>
      </c>
      <c r="E39" s="30" t="s">
        <v>185</v>
      </c>
      <c r="F39" s="29" t="s">
        <v>185</v>
      </c>
      <c r="G39" s="40" t="s">
        <v>185</v>
      </c>
      <c r="H39" s="29" t="s">
        <v>185</v>
      </c>
      <c r="I39" s="40" t="s">
        <v>185</v>
      </c>
      <c r="J39" s="29" t="s">
        <v>185</v>
      </c>
      <c r="K39" s="29">
        <v>4656</v>
      </c>
      <c r="L39" s="29">
        <v>1447.29</v>
      </c>
      <c r="M39" s="29">
        <v>58</v>
      </c>
      <c r="N39" s="29">
        <v>27.9</v>
      </c>
      <c r="O39" s="29" t="s">
        <v>185</v>
      </c>
      <c r="P39" s="29" t="s">
        <v>185</v>
      </c>
      <c r="Q39" s="30">
        <v>4598</v>
      </c>
      <c r="R39" s="39">
        <v>1382.28</v>
      </c>
      <c r="S39" s="48">
        <v>85</v>
      </c>
      <c r="T39" s="39">
        <v>12.25</v>
      </c>
      <c r="U39" s="15" t="s">
        <v>39</v>
      </c>
    </row>
    <row r="40" spans="1:23" ht="26.4" customHeight="1" x14ac:dyDescent="0.3">
      <c r="A40" s="12" t="s">
        <v>40</v>
      </c>
      <c r="B40" s="61">
        <f>SUM(B41:B45)</f>
        <v>55505</v>
      </c>
      <c r="C40" s="59">
        <f t="shared" ref="C40:S40" si="9">SUM(C41:C45)</f>
        <v>37546</v>
      </c>
      <c r="D40" s="59">
        <f t="shared" si="9"/>
        <v>8358.2300000000014</v>
      </c>
      <c r="E40" s="59">
        <f t="shared" si="9"/>
        <v>0</v>
      </c>
      <c r="F40" s="59">
        <f t="shared" si="9"/>
        <v>0</v>
      </c>
      <c r="G40" s="59">
        <f t="shared" si="9"/>
        <v>327</v>
      </c>
      <c r="H40" s="59">
        <f t="shared" si="9"/>
        <v>116.703</v>
      </c>
      <c r="I40" s="59">
        <f t="shared" si="9"/>
        <v>247</v>
      </c>
      <c r="J40" s="59">
        <f t="shared" si="9"/>
        <v>51.135000000000005</v>
      </c>
      <c r="K40" s="59">
        <f t="shared" si="9"/>
        <v>5907</v>
      </c>
      <c r="L40" s="59">
        <f t="shared" si="9"/>
        <v>1402.5040000000001</v>
      </c>
      <c r="M40" s="59">
        <f t="shared" si="9"/>
        <v>2825</v>
      </c>
      <c r="N40" s="59">
        <f t="shared" si="9"/>
        <v>647.57199999999989</v>
      </c>
      <c r="O40" s="59">
        <f t="shared" si="9"/>
        <v>0</v>
      </c>
      <c r="P40" s="59">
        <f t="shared" si="9"/>
        <v>0</v>
      </c>
      <c r="Q40" s="59">
        <f>SUM(Q41:Q45)</f>
        <v>8653</v>
      </c>
      <c r="R40" s="60">
        <f>SUM(R41:R45)</f>
        <v>2304.1529999999998</v>
      </c>
      <c r="S40" s="61">
        <f t="shared" si="9"/>
        <v>3997</v>
      </c>
      <c r="T40" s="60">
        <f>SUM(T41:T45)</f>
        <v>450.15499999999997</v>
      </c>
      <c r="U40" s="25" t="s">
        <v>41</v>
      </c>
      <c r="V40" s="25"/>
      <c r="W40" s="25"/>
    </row>
    <row r="41" spans="1:23" x14ac:dyDescent="0.3">
      <c r="A41" s="14" t="s">
        <v>130</v>
      </c>
      <c r="B41" s="62">
        <f t="shared" si="4"/>
        <v>26851</v>
      </c>
      <c r="C41" s="30">
        <v>17440</v>
      </c>
      <c r="D41" s="29">
        <v>4001.761</v>
      </c>
      <c r="E41" s="30" t="s">
        <v>185</v>
      </c>
      <c r="F41" s="29" t="s">
        <v>185</v>
      </c>
      <c r="G41" s="30">
        <v>74</v>
      </c>
      <c r="H41" s="29">
        <v>18.003</v>
      </c>
      <c r="I41" s="30">
        <v>179</v>
      </c>
      <c r="J41" s="29">
        <v>35.954999999999998</v>
      </c>
      <c r="K41" s="29">
        <v>4595</v>
      </c>
      <c r="L41" s="29">
        <v>1098.9069999999999</v>
      </c>
      <c r="M41" s="29">
        <v>1569</v>
      </c>
      <c r="N41" s="29">
        <v>369.60199999999998</v>
      </c>
      <c r="O41" s="29" t="s">
        <v>185</v>
      </c>
      <c r="P41" s="29" t="s">
        <v>185</v>
      </c>
      <c r="Q41" s="30">
        <v>2994</v>
      </c>
      <c r="R41" s="39">
        <v>583.16300000000001</v>
      </c>
      <c r="S41" s="48">
        <v>3917</v>
      </c>
      <c r="T41" s="39">
        <v>440.303</v>
      </c>
      <c r="U41" s="15" t="s">
        <v>42</v>
      </c>
    </row>
    <row r="42" spans="1:23" x14ac:dyDescent="0.3">
      <c r="A42" s="14" t="s">
        <v>131</v>
      </c>
      <c r="B42" s="62">
        <f t="shared" si="4"/>
        <v>18153</v>
      </c>
      <c r="C42" s="30">
        <v>13281</v>
      </c>
      <c r="D42" s="29">
        <v>3007.76</v>
      </c>
      <c r="E42" s="40" t="s">
        <v>185</v>
      </c>
      <c r="F42" s="29" t="s">
        <v>185</v>
      </c>
      <c r="G42" s="30" t="s">
        <v>185</v>
      </c>
      <c r="H42" s="29" t="s">
        <v>185</v>
      </c>
      <c r="I42" s="30">
        <v>27</v>
      </c>
      <c r="J42" s="29">
        <v>6.2</v>
      </c>
      <c r="K42" s="29">
        <v>585</v>
      </c>
      <c r="L42" s="29">
        <v>153.65100000000001</v>
      </c>
      <c r="M42" s="29">
        <v>190</v>
      </c>
      <c r="N42" s="29">
        <v>37.159999999999997</v>
      </c>
      <c r="O42" s="29" t="s">
        <v>185</v>
      </c>
      <c r="P42" s="29" t="s">
        <v>185</v>
      </c>
      <c r="Q42" s="30">
        <v>4070</v>
      </c>
      <c r="R42" s="39">
        <v>1361.54</v>
      </c>
      <c r="S42" s="48">
        <v>80</v>
      </c>
      <c r="T42" s="39">
        <v>9.8520000000000003</v>
      </c>
      <c r="U42" s="15" t="s">
        <v>43</v>
      </c>
    </row>
    <row r="43" spans="1:23" x14ac:dyDescent="0.3">
      <c r="A43" s="14" t="s">
        <v>132</v>
      </c>
      <c r="B43" s="62">
        <f t="shared" si="4"/>
        <v>8420</v>
      </c>
      <c r="C43" s="30">
        <v>5295</v>
      </c>
      <c r="D43" s="29">
        <v>1045.92</v>
      </c>
      <c r="E43" s="30" t="s">
        <v>185</v>
      </c>
      <c r="F43" s="29" t="s">
        <v>185</v>
      </c>
      <c r="G43" s="30" t="s">
        <v>185</v>
      </c>
      <c r="H43" s="29" t="s">
        <v>185</v>
      </c>
      <c r="I43" s="30">
        <v>31</v>
      </c>
      <c r="J43" s="29">
        <v>6.48</v>
      </c>
      <c r="K43" s="29">
        <v>485</v>
      </c>
      <c r="L43" s="29">
        <v>65.745999999999995</v>
      </c>
      <c r="M43" s="29">
        <v>1029</v>
      </c>
      <c r="N43" s="29">
        <v>232.81</v>
      </c>
      <c r="O43" s="29" t="s">
        <v>185</v>
      </c>
      <c r="P43" s="29" t="s">
        <v>185</v>
      </c>
      <c r="Q43" s="30">
        <v>1580</v>
      </c>
      <c r="R43" s="39">
        <v>357.5</v>
      </c>
      <c r="S43" s="50" t="s">
        <v>185</v>
      </c>
      <c r="T43" s="51" t="s">
        <v>185</v>
      </c>
      <c r="U43" s="15" t="s">
        <v>44</v>
      </c>
    </row>
    <row r="44" spans="1:23" x14ac:dyDescent="0.3">
      <c r="A44" s="14" t="s">
        <v>133</v>
      </c>
      <c r="B44" s="62">
        <f t="shared" si="4"/>
        <v>62</v>
      </c>
      <c r="C44" s="40" t="s">
        <v>185</v>
      </c>
      <c r="D44" s="29" t="s">
        <v>185</v>
      </c>
      <c r="E44" s="40" t="s">
        <v>185</v>
      </c>
      <c r="F44" s="29" t="s">
        <v>185</v>
      </c>
      <c r="G44" s="30">
        <v>44</v>
      </c>
      <c r="H44" s="29">
        <v>15.9</v>
      </c>
      <c r="I44" s="40" t="s">
        <v>185</v>
      </c>
      <c r="J44" s="29" t="s">
        <v>185</v>
      </c>
      <c r="K44" s="29">
        <v>11</v>
      </c>
      <c r="L44" s="29">
        <v>3.3</v>
      </c>
      <c r="M44" s="29" t="s">
        <v>185</v>
      </c>
      <c r="N44" s="29" t="s">
        <v>185</v>
      </c>
      <c r="O44" s="29" t="s">
        <v>185</v>
      </c>
      <c r="P44" s="29" t="s">
        <v>185</v>
      </c>
      <c r="Q44" s="30">
        <v>7</v>
      </c>
      <c r="R44" s="39">
        <v>1.75</v>
      </c>
      <c r="S44" s="47" t="s">
        <v>185</v>
      </c>
      <c r="T44" s="39" t="s">
        <v>185</v>
      </c>
      <c r="U44" s="15" t="s">
        <v>45</v>
      </c>
    </row>
    <row r="45" spans="1:23" x14ac:dyDescent="0.3">
      <c r="A45" s="14" t="s">
        <v>134</v>
      </c>
      <c r="B45" s="62">
        <f t="shared" si="4"/>
        <v>2019</v>
      </c>
      <c r="C45" s="30">
        <v>1530</v>
      </c>
      <c r="D45" s="29">
        <v>302.78899999999999</v>
      </c>
      <c r="E45" s="40" t="s">
        <v>185</v>
      </c>
      <c r="F45" s="29" t="s">
        <v>185</v>
      </c>
      <c r="G45" s="30">
        <v>209</v>
      </c>
      <c r="H45" s="29">
        <v>82.8</v>
      </c>
      <c r="I45" s="30">
        <v>10</v>
      </c>
      <c r="J45" s="29">
        <v>2.5</v>
      </c>
      <c r="K45" s="29">
        <v>231</v>
      </c>
      <c r="L45" s="29">
        <v>80.900000000000006</v>
      </c>
      <c r="M45" s="29">
        <v>37</v>
      </c>
      <c r="N45" s="29">
        <v>8</v>
      </c>
      <c r="O45" s="29" t="s">
        <v>185</v>
      </c>
      <c r="P45" s="29" t="s">
        <v>185</v>
      </c>
      <c r="Q45" s="30">
        <v>2</v>
      </c>
      <c r="R45" s="39">
        <v>0.2</v>
      </c>
      <c r="S45" s="48" t="s">
        <v>185</v>
      </c>
      <c r="T45" s="39" t="s">
        <v>185</v>
      </c>
      <c r="U45" s="15" t="s">
        <v>46</v>
      </c>
    </row>
    <row r="46" spans="1:23" ht="30" customHeight="1" x14ac:dyDescent="0.3">
      <c r="A46" s="12" t="s">
        <v>47</v>
      </c>
      <c r="B46" s="61">
        <f t="shared" ref="B46:T46" si="10">SUM(B47:B51)</f>
        <v>409</v>
      </c>
      <c r="C46" s="59">
        <f t="shared" si="10"/>
        <v>266</v>
      </c>
      <c r="D46" s="59">
        <f t="shared" si="10"/>
        <v>48.980999999999995</v>
      </c>
      <c r="E46" s="59">
        <f t="shared" si="10"/>
        <v>0</v>
      </c>
      <c r="F46" s="59">
        <f t="shared" si="10"/>
        <v>0</v>
      </c>
      <c r="G46" s="59">
        <f t="shared" si="10"/>
        <v>0</v>
      </c>
      <c r="H46" s="59">
        <f t="shared" si="10"/>
        <v>0</v>
      </c>
      <c r="I46" s="59">
        <f t="shared" si="10"/>
        <v>0</v>
      </c>
      <c r="J46" s="59">
        <f t="shared" si="10"/>
        <v>0</v>
      </c>
      <c r="K46" s="59">
        <f t="shared" si="10"/>
        <v>23</v>
      </c>
      <c r="L46" s="59">
        <f t="shared" si="10"/>
        <v>5.25</v>
      </c>
      <c r="M46" s="59">
        <f t="shared" si="10"/>
        <v>76</v>
      </c>
      <c r="N46" s="59">
        <f t="shared" si="10"/>
        <v>19.895</v>
      </c>
      <c r="O46" s="59">
        <f t="shared" si="10"/>
        <v>0</v>
      </c>
      <c r="P46" s="59">
        <f t="shared" si="10"/>
        <v>0</v>
      </c>
      <c r="Q46" s="59">
        <f>SUM(Q47:Q51)</f>
        <v>44</v>
      </c>
      <c r="R46" s="60">
        <f>SUM(R47:R51)</f>
        <v>9.8000000000000007</v>
      </c>
      <c r="S46" s="61">
        <f t="shared" si="10"/>
        <v>10</v>
      </c>
      <c r="T46" s="60">
        <f t="shared" si="10"/>
        <v>1.2</v>
      </c>
      <c r="U46" s="22" t="s">
        <v>48</v>
      </c>
      <c r="V46" s="22"/>
      <c r="W46" s="22"/>
    </row>
    <row r="47" spans="1:23" x14ac:dyDescent="0.3">
      <c r="A47" s="14" t="s">
        <v>135</v>
      </c>
      <c r="B47" s="62">
        <f t="shared" si="4"/>
        <v>1</v>
      </c>
      <c r="C47" s="30" t="s">
        <v>185</v>
      </c>
      <c r="D47" s="29" t="s">
        <v>185</v>
      </c>
      <c r="E47" s="40" t="s">
        <v>185</v>
      </c>
      <c r="F47" s="29" t="s">
        <v>185</v>
      </c>
      <c r="G47" s="40" t="s">
        <v>185</v>
      </c>
      <c r="H47" s="29" t="s">
        <v>185</v>
      </c>
      <c r="I47" s="30" t="s">
        <v>185</v>
      </c>
      <c r="J47" s="29" t="s">
        <v>185</v>
      </c>
      <c r="K47" s="29" t="s">
        <v>185</v>
      </c>
      <c r="L47" s="29" t="s">
        <v>185</v>
      </c>
      <c r="M47" s="29">
        <v>1</v>
      </c>
      <c r="N47" s="29">
        <v>0.4</v>
      </c>
      <c r="O47" s="29" t="s">
        <v>185</v>
      </c>
      <c r="P47" s="29" t="s">
        <v>185</v>
      </c>
      <c r="Q47" s="30" t="s">
        <v>185</v>
      </c>
      <c r="R47" s="39" t="s">
        <v>185</v>
      </c>
      <c r="S47" s="47" t="s">
        <v>185</v>
      </c>
      <c r="T47" s="39" t="s">
        <v>185</v>
      </c>
      <c r="U47" s="15" t="s">
        <v>49</v>
      </c>
    </row>
    <row r="48" spans="1:23" x14ac:dyDescent="0.3">
      <c r="A48" s="14" t="s">
        <v>136</v>
      </c>
      <c r="B48" s="62">
        <f t="shared" si="4"/>
        <v>71</v>
      </c>
      <c r="C48" s="30">
        <v>71</v>
      </c>
      <c r="D48" s="29">
        <v>12.2</v>
      </c>
      <c r="E48" s="40" t="s">
        <v>185</v>
      </c>
      <c r="F48" s="29" t="s">
        <v>185</v>
      </c>
      <c r="G48" s="40" t="s">
        <v>185</v>
      </c>
      <c r="H48" s="29" t="s">
        <v>185</v>
      </c>
      <c r="I48" s="40" t="s">
        <v>185</v>
      </c>
      <c r="J48" s="29" t="s">
        <v>185</v>
      </c>
      <c r="K48" s="29" t="s">
        <v>185</v>
      </c>
      <c r="L48" s="29" t="s">
        <v>185</v>
      </c>
      <c r="M48" s="29" t="s">
        <v>185</v>
      </c>
      <c r="N48" s="29" t="s">
        <v>185</v>
      </c>
      <c r="O48" s="29" t="s">
        <v>185</v>
      </c>
      <c r="P48" s="29" t="s">
        <v>185</v>
      </c>
      <c r="Q48" s="30" t="s">
        <v>185</v>
      </c>
      <c r="R48" s="39" t="s">
        <v>185</v>
      </c>
      <c r="S48" s="47" t="s">
        <v>185</v>
      </c>
      <c r="T48" s="39" t="s">
        <v>185</v>
      </c>
      <c r="U48" s="15" t="s">
        <v>50</v>
      </c>
    </row>
    <row r="49" spans="1:25" x14ac:dyDescent="0.3">
      <c r="A49" s="14" t="s">
        <v>137</v>
      </c>
      <c r="B49" s="62">
        <f t="shared" si="4"/>
        <v>0</v>
      </c>
      <c r="C49" s="30" t="s">
        <v>185</v>
      </c>
      <c r="D49" s="29" t="s">
        <v>185</v>
      </c>
      <c r="E49" s="40" t="s">
        <v>185</v>
      </c>
      <c r="F49" s="29" t="s">
        <v>185</v>
      </c>
      <c r="G49" s="40" t="s">
        <v>185</v>
      </c>
      <c r="H49" s="29" t="s">
        <v>185</v>
      </c>
      <c r="I49" s="40" t="s">
        <v>185</v>
      </c>
      <c r="J49" s="29" t="s">
        <v>185</v>
      </c>
      <c r="K49" s="29" t="s">
        <v>185</v>
      </c>
      <c r="L49" s="29" t="s">
        <v>185</v>
      </c>
      <c r="M49" s="29" t="s">
        <v>185</v>
      </c>
      <c r="N49" s="29" t="s">
        <v>185</v>
      </c>
      <c r="O49" s="29" t="s">
        <v>185</v>
      </c>
      <c r="P49" s="29" t="s">
        <v>185</v>
      </c>
      <c r="Q49" s="30" t="s">
        <v>185</v>
      </c>
      <c r="R49" s="39" t="s">
        <v>185</v>
      </c>
      <c r="S49" s="47" t="s">
        <v>185</v>
      </c>
      <c r="T49" s="39" t="s">
        <v>185</v>
      </c>
      <c r="U49" s="15" t="s">
        <v>51</v>
      </c>
    </row>
    <row r="50" spans="1:25" x14ac:dyDescent="0.3">
      <c r="A50" s="14" t="s">
        <v>138</v>
      </c>
      <c r="B50" s="62">
        <f t="shared" si="4"/>
        <v>337</v>
      </c>
      <c r="C50" s="30">
        <v>195</v>
      </c>
      <c r="D50" s="29">
        <v>36.780999999999999</v>
      </c>
      <c r="E50" s="40" t="s">
        <v>185</v>
      </c>
      <c r="F50" s="29" t="s">
        <v>185</v>
      </c>
      <c r="G50" s="40" t="s">
        <v>185</v>
      </c>
      <c r="H50" s="29" t="s">
        <v>185</v>
      </c>
      <c r="I50" s="40" t="s">
        <v>185</v>
      </c>
      <c r="J50" s="29" t="s">
        <v>185</v>
      </c>
      <c r="K50" s="29">
        <v>23</v>
      </c>
      <c r="L50" s="29">
        <v>5.25</v>
      </c>
      <c r="M50" s="29">
        <v>75</v>
      </c>
      <c r="N50" s="29">
        <v>19.495000000000001</v>
      </c>
      <c r="O50" s="29" t="s">
        <v>185</v>
      </c>
      <c r="P50" s="29" t="s">
        <v>185</v>
      </c>
      <c r="Q50" s="30">
        <v>44</v>
      </c>
      <c r="R50" s="39">
        <v>9.8000000000000007</v>
      </c>
      <c r="S50" s="47">
        <v>10</v>
      </c>
      <c r="T50" s="39">
        <v>1.2</v>
      </c>
      <c r="U50" s="15" t="s">
        <v>52</v>
      </c>
    </row>
    <row r="51" spans="1:25" x14ac:dyDescent="0.3">
      <c r="A51" s="14" t="s">
        <v>139</v>
      </c>
      <c r="B51" s="62">
        <f t="shared" si="4"/>
        <v>0</v>
      </c>
      <c r="C51" s="30" t="s">
        <v>185</v>
      </c>
      <c r="D51" s="29" t="s">
        <v>185</v>
      </c>
      <c r="E51" s="40" t="s">
        <v>185</v>
      </c>
      <c r="F51" s="29" t="s">
        <v>185</v>
      </c>
      <c r="G51" s="40" t="s">
        <v>185</v>
      </c>
      <c r="H51" s="29" t="s">
        <v>185</v>
      </c>
      <c r="I51" s="40" t="s">
        <v>185</v>
      </c>
      <c r="J51" s="29" t="s">
        <v>185</v>
      </c>
      <c r="K51" s="29" t="s">
        <v>185</v>
      </c>
      <c r="L51" s="29" t="s">
        <v>185</v>
      </c>
      <c r="M51" s="29" t="s">
        <v>185</v>
      </c>
      <c r="N51" s="29" t="s">
        <v>185</v>
      </c>
      <c r="O51" s="29" t="s">
        <v>185</v>
      </c>
      <c r="P51" s="29" t="s">
        <v>185</v>
      </c>
      <c r="Q51" s="30" t="s">
        <v>185</v>
      </c>
      <c r="R51" s="39" t="s">
        <v>185</v>
      </c>
      <c r="S51" s="47" t="s">
        <v>185</v>
      </c>
      <c r="T51" s="39" t="s">
        <v>185</v>
      </c>
      <c r="U51" s="15" t="s">
        <v>53</v>
      </c>
    </row>
    <row r="52" spans="1:25" ht="27" customHeight="1" x14ac:dyDescent="0.3">
      <c r="A52" s="12" t="s">
        <v>54</v>
      </c>
      <c r="B52" s="61">
        <f>SUM(B53:B55)</f>
        <v>20968</v>
      </c>
      <c r="C52" s="59">
        <f t="shared" ref="C52:S52" si="11">SUM(C53:C55)</f>
        <v>12145</v>
      </c>
      <c r="D52" s="59">
        <f t="shared" si="11"/>
        <v>2305.634</v>
      </c>
      <c r="E52" s="59">
        <f t="shared" si="11"/>
        <v>20</v>
      </c>
      <c r="F52" s="59">
        <f t="shared" si="11"/>
        <v>4.0999999999999996</v>
      </c>
      <c r="G52" s="59">
        <f t="shared" si="11"/>
        <v>694</v>
      </c>
      <c r="H52" s="59">
        <f t="shared" si="11"/>
        <v>153.13999999999999</v>
      </c>
      <c r="I52" s="59">
        <f t="shared" si="11"/>
        <v>76</v>
      </c>
      <c r="J52" s="59">
        <f t="shared" si="11"/>
        <v>15.93</v>
      </c>
      <c r="K52" s="59">
        <f t="shared" si="11"/>
        <v>2497</v>
      </c>
      <c r="L52" s="59">
        <f t="shared" si="11"/>
        <v>502.76400000000001</v>
      </c>
      <c r="M52" s="59">
        <f t="shared" si="11"/>
        <v>139</v>
      </c>
      <c r="N52" s="59">
        <f t="shared" si="11"/>
        <v>24.369999999999997</v>
      </c>
      <c r="O52" s="59">
        <f t="shared" si="11"/>
        <v>0</v>
      </c>
      <c r="P52" s="59">
        <f t="shared" si="11"/>
        <v>0</v>
      </c>
      <c r="Q52" s="59">
        <f>SUM(Q53:Q55)</f>
        <v>5397</v>
      </c>
      <c r="R52" s="60">
        <f>SUM(R53:R55)</f>
        <v>5818.38</v>
      </c>
      <c r="S52" s="61">
        <f t="shared" si="11"/>
        <v>24</v>
      </c>
      <c r="T52" s="60">
        <f>SUM(T53:T55)</f>
        <v>2.1</v>
      </c>
      <c r="U52" s="25" t="s">
        <v>55</v>
      </c>
      <c r="V52" s="25"/>
      <c r="W52" s="25"/>
    </row>
    <row r="53" spans="1:25" x14ac:dyDescent="0.3">
      <c r="A53" s="14" t="s">
        <v>140</v>
      </c>
      <c r="B53" s="62">
        <f t="shared" si="4"/>
        <v>9354</v>
      </c>
      <c r="C53" s="30">
        <v>6467</v>
      </c>
      <c r="D53" s="29">
        <v>1105.81</v>
      </c>
      <c r="E53" s="40">
        <v>20</v>
      </c>
      <c r="F53" s="29">
        <v>4.0999999999999996</v>
      </c>
      <c r="G53" s="30">
        <v>357</v>
      </c>
      <c r="H53" s="29">
        <v>55.29</v>
      </c>
      <c r="I53" s="30">
        <v>76</v>
      </c>
      <c r="J53" s="29">
        <v>15.93</v>
      </c>
      <c r="K53" s="29">
        <v>2255</v>
      </c>
      <c r="L53" s="29">
        <v>450.31400000000002</v>
      </c>
      <c r="M53" s="29">
        <v>51</v>
      </c>
      <c r="N53" s="29">
        <v>7.8</v>
      </c>
      <c r="O53" s="29" t="s">
        <v>185</v>
      </c>
      <c r="P53" s="29" t="s">
        <v>185</v>
      </c>
      <c r="Q53" s="30">
        <v>128</v>
      </c>
      <c r="R53" s="39">
        <v>38.299999999999997</v>
      </c>
      <c r="S53" s="50" t="s">
        <v>185</v>
      </c>
      <c r="T53" s="51" t="s">
        <v>185</v>
      </c>
      <c r="U53" s="15" t="s">
        <v>56</v>
      </c>
    </row>
    <row r="54" spans="1:25" x14ac:dyDescent="0.3">
      <c r="A54" s="14" t="s">
        <v>141</v>
      </c>
      <c r="B54" s="62">
        <f t="shared" si="4"/>
        <v>9183</v>
      </c>
      <c r="C54" s="30">
        <v>4896</v>
      </c>
      <c r="D54" s="29">
        <v>1067.424</v>
      </c>
      <c r="E54" s="30" t="s">
        <v>185</v>
      </c>
      <c r="F54" s="29" t="s">
        <v>185</v>
      </c>
      <c r="G54" s="30">
        <v>58</v>
      </c>
      <c r="H54" s="29">
        <v>14.6</v>
      </c>
      <c r="I54" s="40" t="s">
        <v>185</v>
      </c>
      <c r="J54" s="29" t="s">
        <v>185</v>
      </c>
      <c r="K54" s="29">
        <v>145</v>
      </c>
      <c r="L54" s="29">
        <v>35.65</v>
      </c>
      <c r="M54" s="29">
        <v>4</v>
      </c>
      <c r="N54" s="29">
        <v>0.8</v>
      </c>
      <c r="O54" s="29" t="s">
        <v>185</v>
      </c>
      <c r="P54" s="29" t="s">
        <v>185</v>
      </c>
      <c r="Q54" s="30">
        <v>4080</v>
      </c>
      <c r="R54" s="39">
        <v>1740.35</v>
      </c>
      <c r="S54" s="48">
        <v>19</v>
      </c>
      <c r="T54" s="39">
        <v>1.9</v>
      </c>
      <c r="U54" s="23" t="s">
        <v>57</v>
      </c>
      <c r="V54" s="24"/>
      <c r="W54" s="24"/>
    </row>
    <row r="55" spans="1:25" x14ac:dyDescent="0.3">
      <c r="A55" s="14" t="s">
        <v>142</v>
      </c>
      <c r="B55" s="62">
        <f t="shared" si="4"/>
        <v>2431</v>
      </c>
      <c r="C55" s="30">
        <v>782</v>
      </c>
      <c r="D55" s="29">
        <v>132.4</v>
      </c>
      <c r="E55" s="40" t="s">
        <v>185</v>
      </c>
      <c r="F55" s="29" t="s">
        <v>185</v>
      </c>
      <c r="G55" s="30">
        <v>279</v>
      </c>
      <c r="H55" s="29">
        <v>83.25</v>
      </c>
      <c r="I55" s="30" t="s">
        <v>185</v>
      </c>
      <c r="J55" s="29" t="s">
        <v>185</v>
      </c>
      <c r="K55" s="29">
        <v>97</v>
      </c>
      <c r="L55" s="29">
        <v>16.8</v>
      </c>
      <c r="M55" s="29">
        <v>84</v>
      </c>
      <c r="N55" s="29">
        <v>15.77</v>
      </c>
      <c r="O55" s="29" t="s">
        <v>185</v>
      </c>
      <c r="P55" s="29" t="s">
        <v>185</v>
      </c>
      <c r="Q55" s="30">
        <v>1189</v>
      </c>
      <c r="R55" s="39">
        <v>4039.73</v>
      </c>
      <c r="S55" s="48">
        <v>5</v>
      </c>
      <c r="T55" s="39">
        <v>0.2</v>
      </c>
      <c r="U55" s="15" t="s">
        <v>58</v>
      </c>
    </row>
    <row r="56" spans="1:25" ht="25.8" customHeight="1" x14ac:dyDescent="0.3">
      <c r="A56" s="12" t="s">
        <v>59</v>
      </c>
      <c r="B56" s="61">
        <f>SUM(B57:B61)</f>
        <v>13283</v>
      </c>
      <c r="C56" s="59">
        <f t="shared" ref="C56:S56" si="12">SUM(C57:C61)</f>
        <v>9673</v>
      </c>
      <c r="D56" s="59">
        <f t="shared" si="12"/>
        <v>2624.71</v>
      </c>
      <c r="E56" s="59">
        <f t="shared" si="12"/>
        <v>0</v>
      </c>
      <c r="F56" s="59">
        <f t="shared" si="12"/>
        <v>0</v>
      </c>
      <c r="G56" s="59">
        <f t="shared" si="12"/>
        <v>501</v>
      </c>
      <c r="H56" s="59">
        <f t="shared" si="12"/>
        <v>167.755</v>
      </c>
      <c r="I56" s="59">
        <f t="shared" si="12"/>
        <v>807</v>
      </c>
      <c r="J56" s="59">
        <f t="shared" si="12"/>
        <v>162.82000000000002</v>
      </c>
      <c r="K56" s="59">
        <f t="shared" si="12"/>
        <v>727</v>
      </c>
      <c r="L56" s="59">
        <f t="shared" si="12"/>
        <v>190.09500000000003</v>
      </c>
      <c r="M56" s="59">
        <f t="shared" si="12"/>
        <v>223</v>
      </c>
      <c r="N56" s="59">
        <f t="shared" si="12"/>
        <v>54</v>
      </c>
      <c r="O56" s="59">
        <f t="shared" si="12"/>
        <v>0</v>
      </c>
      <c r="P56" s="59">
        <f t="shared" si="12"/>
        <v>0</v>
      </c>
      <c r="Q56" s="59">
        <f>SUM(Q57:Q61)</f>
        <v>1352</v>
      </c>
      <c r="R56" s="60">
        <f>SUM(R57:R61)</f>
        <v>371.28000000000003</v>
      </c>
      <c r="S56" s="61">
        <f t="shared" si="12"/>
        <v>0</v>
      </c>
      <c r="T56" s="60">
        <f>SUM(T57:T61)</f>
        <v>0</v>
      </c>
      <c r="U56" s="25" t="s">
        <v>60</v>
      </c>
      <c r="V56" s="25"/>
      <c r="W56" s="25"/>
    </row>
    <row r="57" spans="1:25" x14ac:dyDescent="0.3">
      <c r="A57" s="14" t="s">
        <v>143</v>
      </c>
      <c r="B57" s="62">
        <f t="shared" si="4"/>
        <v>4464</v>
      </c>
      <c r="C57" s="30">
        <v>2712</v>
      </c>
      <c r="D57" s="29">
        <v>521.20000000000005</v>
      </c>
      <c r="E57" s="40" t="s">
        <v>185</v>
      </c>
      <c r="F57" s="29" t="s">
        <v>185</v>
      </c>
      <c r="G57" s="30">
        <v>389</v>
      </c>
      <c r="H57" s="29">
        <v>133.9</v>
      </c>
      <c r="I57" s="30">
        <v>33</v>
      </c>
      <c r="J57" s="29">
        <v>6.9</v>
      </c>
      <c r="K57" s="29">
        <v>478</v>
      </c>
      <c r="L57" s="29">
        <v>116.9</v>
      </c>
      <c r="M57" s="29">
        <v>141</v>
      </c>
      <c r="N57" s="29">
        <v>39.15</v>
      </c>
      <c r="O57" s="29" t="s">
        <v>185</v>
      </c>
      <c r="P57" s="29" t="s">
        <v>185</v>
      </c>
      <c r="Q57" s="30">
        <v>711</v>
      </c>
      <c r="R57" s="39">
        <v>178.58</v>
      </c>
      <c r="S57" s="48" t="s">
        <v>185</v>
      </c>
      <c r="T57" s="39" t="s">
        <v>185</v>
      </c>
      <c r="U57" s="15" t="s">
        <v>61</v>
      </c>
    </row>
    <row r="58" spans="1:25" x14ac:dyDescent="0.3">
      <c r="A58" s="14" t="s">
        <v>144</v>
      </c>
      <c r="B58" s="62">
        <f t="shared" si="4"/>
        <v>3576</v>
      </c>
      <c r="C58" s="30">
        <v>2495</v>
      </c>
      <c r="D58" s="29">
        <v>813.95</v>
      </c>
      <c r="E58" s="40" t="s">
        <v>185</v>
      </c>
      <c r="F58" s="29" t="s">
        <v>185</v>
      </c>
      <c r="G58" s="30">
        <v>45</v>
      </c>
      <c r="H58" s="29">
        <v>13</v>
      </c>
      <c r="I58" s="40">
        <v>638</v>
      </c>
      <c r="J58" s="29">
        <v>117.54</v>
      </c>
      <c r="K58" s="29" t="s">
        <v>185</v>
      </c>
      <c r="L58" s="29" t="s">
        <v>185</v>
      </c>
      <c r="M58" s="29">
        <v>67</v>
      </c>
      <c r="N58" s="29">
        <v>10.79</v>
      </c>
      <c r="O58" s="29" t="s">
        <v>185</v>
      </c>
      <c r="P58" s="29" t="s">
        <v>185</v>
      </c>
      <c r="Q58" s="30">
        <v>331</v>
      </c>
      <c r="R58" s="39">
        <v>104</v>
      </c>
      <c r="S58" s="47" t="s">
        <v>185</v>
      </c>
      <c r="T58" s="39" t="s">
        <v>185</v>
      </c>
      <c r="U58" s="15" t="s">
        <v>62</v>
      </c>
    </row>
    <row r="59" spans="1:25" x14ac:dyDescent="0.3">
      <c r="A59" s="14" t="s">
        <v>145</v>
      </c>
      <c r="B59" s="62">
        <f t="shared" si="4"/>
        <v>3594</v>
      </c>
      <c r="C59" s="30">
        <v>3004</v>
      </c>
      <c r="D59" s="29">
        <v>856.04</v>
      </c>
      <c r="E59" s="40" t="s">
        <v>185</v>
      </c>
      <c r="F59" s="29" t="s">
        <v>185</v>
      </c>
      <c r="G59" s="40" t="s">
        <v>185</v>
      </c>
      <c r="H59" s="29" t="s">
        <v>185</v>
      </c>
      <c r="I59" s="30">
        <v>125</v>
      </c>
      <c r="J59" s="29">
        <v>37.28</v>
      </c>
      <c r="K59" s="29">
        <v>218</v>
      </c>
      <c r="L59" s="29">
        <v>66.2</v>
      </c>
      <c r="M59" s="29" t="s">
        <v>185</v>
      </c>
      <c r="N59" s="29" t="s">
        <v>185</v>
      </c>
      <c r="O59" s="29" t="s">
        <v>185</v>
      </c>
      <c r="P59" s="29" t="s">
        <v>185</v>
      </c>
      <c r="Q59" s="30">
        <v>247</v>
      </c>
      <c r="R59" s="39">
        <v>75.2</v>
      </c>
      <c r="S59" s="48" t="s">
        <v>185</v>
      </c>
      <c r="T59" s="39" t="s">
        <v>185</v>
      </c>
      <c r="U59" s="15" t="s">
        <v>63</v>
      </c>
    </row>
    <row r="60" spans="1:25" x14ac:dyDescent="0.3">
      <c r="A60" s="14" t="s">
        <v>146</v>
      </c>
      <c r="B60" s="62">
        <f t="shared" si="4"/>
        <v>510</v>
      </c>
      <c r="C60" s="30">
        <v>441</v>
      </c>
      <c r="D60" s="29">
        <v>109.86</v>
      </c>
      <c r="E60" s="40" t="s">
        <v>185</v>
      </c>
      <c r="F60" s="29" t="s">
        <v>185</v>
      </c>
      <c r="G60" s="30">
        <v>47</v>
      </c>
      <c r="H60" s="29">
        <v>13.904999999999999</v>
      </c>
      <c r="I60" s="40" t="s">
        <v>185</v>
      </c>
      <c r="J60" s="29" t="s">
        <v>185</v>
      </c>
      <c r="K60" s="29">
        <v>6</v>
      </c>
      <c r="L60" s="29">
        <v>1.3</v>
      </c>
      <c r="M60" s="29">
        <v>15</v>
      </c>
      <c r="N60" s="29">
        <v>4.0599999999999996</v>
      </c>
      <c r="O60" s="29" t="s">
        <v>185</v>
      </c>
      <c r="P60" s="29" t="s">
        <v>185</v>
      </c>
      <c r="Q60" s="30">
        <v>1</v>
      </c>
      <c r="R60" s="39">
        <v>0.35</v>
      </c>
      <c r="S60" s="47" t="s">
        <v>185</v>
      </c>
      <c r="T60" s="39" t="s">
        <v>185</v>
      </c>
      <c r="U60" s="15" t="s">
        <v>64</v>
      </c>
    </row>
    <row r="61" spans="1:25" x14ac:dyDescent="0.3">
      <c r="A61" s="14" t="s">
        <v>147</v>
      </c>
      <c r="B61" s="62">
        <f t="shared" si="4"/>
        <v>1139</v>
      </c>
      <c r="C61" s="30">
        <v>1021</v>
      </c>
      <c r="D61" s="29">
        <v>323.66000000000003</v>
      </c>
      <c r="E61" s="40" t="s">
        <v>185</v>
      </c>
      <c r="F61" s="29" t="s">
        <v>185</v>
      </c>
      <c r="G61" s="30">
        <v>20</v>
      </c>
      <c r="H61" s="29">
        <v>6.95</v>
      </c>
      <c r="I61" s="40">
        <v>11</v>
      </c>
      <c r="J61" s="29">
        <v>1.1000000000000001</v>
      </c>
      <c r="K61" s="29">
        <v>25</v>
      </c>
      <c r="L61" s="29">
        <v>5.6950000000000003</v>
      </c>
      <c r="M61" s="29" t="s">
        <v>185</v>
      </c>
      <c r="N61" s="29" t="s">
        <v>185</v>
      </c>
      <c r="O61" s="29" t="s">
        <v>185</v>
      </c>
      <c r="P61" s="29" t="s">
        <v>185</v>
      </c>
      <c r="Q61" s="30">
        <v>62</v>
      </c>
      <c r="R61" s="39">
        <v>13.15</v>
      </c>
      <c r="S61" s="47" t="s">
        <v>185</v>
      </c>
      <c r="T61" s="39" t="s">
        <v>185</v>
      </c>
      <c r="U61" s="15" t="s">
        <v>65</v>
      </c>
    </row>
    <row r="62" spans="1:25" ht="27.6" customHeight="1" x14ac:dyDescent="0.3">
      <c r="A62" s="12" t="s">
        <v>66</v>
      </c>
      <c r="B62" s="61">
        <f t="shared" ref="B62:P62" si="13">SUM(B63:B70)</f>
        <v>2384</v>
      </c>
      <c r="C62" s="59">
        <f t="shared" si="13"/>
        <v>1920</v>
      </c>
      <c r="D62" s="59">
        <f t="shared" si="13"/>
        <v>359.96</v>
      </c>
      <c r="E62" s="59">
        <f t="shared" si="13"/>
        <v>267</v>
      </c>
      <c r="F62" s="59">
        <f t="shared" si="13"/>
        <v>53.4</v>
      </c>
      <c r="G62" s="59">
        <f t="shared" si="13"/>
        <v>0</v>
      </c>
      <c r="H62" s="59">
        <f t="shared" si="13"/>
        <v>0</v>
      </c>
      <c r="I62" s="59">
        <f t="shared" si="13"/>
        <v>0</v>
      </c>
      <c r="J62" s="59">
        <f t="shared" si="13"/>
        <v>0</v>
      </c>
      <c r="K62" s="59">
        <f t="shared" si="13"/>
        <v>152</v>
      </c>
      <c r="L62" s="59">
        <f t="shared" si="13"/>
        <v>39.44</v>
      </c>
      <c r="M62" s="59">
        <f t="shared" si="13"/>
        <v>13</v>
      </c>
      <c r="N62" s="59">
        <f t="shared" si="13"/>
        <v>2.95</v>
      </c>
      <c r="O62" s="59">
        <f t="shared" si="13"/>
        <v>0</v>
      </c>
      <c r="P62" s="59">
        <f t="shared" si="13"/>
        <v>0</v>
      </c>
      <c r="Q62" s="59">
        <f>SUM(Q63:Q70)</f>
        <v>32</v>
      </c>
      <c r="R62" s="60">
        <f>SUM(R63:R70)</f>
        <v>6.8</v>
      </c>
      <c r="S62" s="61">
        <f>SUM(S63:S70)</f>
        <v>0</v>
      </c>
      <c r="T62" s="60">
        <f t="shared" ref="T62" si="14">SUM(T63:T70)</f>
        <v>0</v>
      </c>
      <c r="U62" s="22" t="s">
        <v>67</v>
      </c>
      <c r="V62" s="22"/>
      <c r="W62" s="22"/>
    </row>
    <row r="63" spans="1:25" x14ac:dyDescent="0.3">
      <c r="A63" s="26" t="s">
        <v>148</v>
      </c>
      <c r="B63" s="62">
        <f t="shared" si="4"/>
        <v>0</v>
      </c>
      <c r="C63" s="30" t="s">
        <v>185</v>
      </c>
      <c r="D63" s="29" t="s">
        <v>185</v>
      </c>
      <c r="E63" s="40" t="s">
        <v>185</v>
      </c>
      <c r="F63" s="29" t="s">
        <v>185</v>
      </c>
      <c r="G63" s="30" t="s">
        <v>185</v>
      </c>
      <c r="H63" s="29" t="s">
        <v>185</v>
      </c>
      <c r="I63" s="40" t="s">
        <v>185</v>
      </c>
      <c r="J63" s="29" t="s">
        <v>185</v>
      </c>
      <c r="K63" s="29" t="s">
        <v>185</v>
      </c>
      <c r="L63" s="29" t="s">
        <v>185</v>
      </c>
      <c r="M63" s="29" t="s">
        <v>185</v>
      </c>
      <c r="N63" s="29" t="s">
        <v>185</v>
      </c>
      <c r="O63" s="29" t="s">
        <v>185</v>
      </c>
      <c r="P63" s="29" t="s">
        <v>185</v>
      </c>
      <c r="Q63" s="30" t="s">
        <v>185</v>
      </c>
      <c r="R63" s="39" t="s">
        <v>185</v>
      </c>
      <c r="S63" s="47" t="s">
        <v>185</v>
      </c>
      <c r="T63" s="39" t="s">
        <v>185</v>
      </c>
      <c r="U63" s="23" t="s">
        <v>179</v>
      </c>
      <c r="V63" s="65"/>
      <c r="W63" s="65"/>
      <c r="X63" s="65"/>
      <c r="Y63" s="65"/>
    </row>
    <row r="64" spans="1:25" x14ac:dyDescent="0.3">
      <c r="A64" s="27" t="s">
        <v>149</v>
      </c>
      <c r="B64" s="62">
        <f t="shared" si="4"/>
        <v>0</v>
      </c>
      <c r="C64" s="30" t="s">
        <v>185</v>
      </c>
      <c r="D64" s="29" t="s">
        <v>185</v>
      </c>
      <c r="E64" s="40" t="s">
        <v>185</v>
      </c>
      <c r="F64" s="29" t="s">
        <v>185</v>
      </c>
      <c r="G64" s="30" t="s">
        <v>185</v>
      </c>
      <c r="H64" s="29" t="s">
        <v>185</v>
      </c>
      <c r="I64" s="40" t="s">
        <v>185</v>
      </c>
      <c r="J64" s="29" t="s">
        <v>185</v>
      </c>
      <c r="K64" s="29" t="s">
        <v>185</v>
      </c>
      <c r="L64" s="29" t="s">
        <v>185</v>
      </c>
      <c r="M64" s="29" t="s">
        <v>185</v>
      </c>
      <c r="N64" s="29" t="s">
        <v>185</v>
      </c>
      <c r="O64" s="29" t="s">
        <v>185</v>
      </c>
      <c r="P64" s="29" t="s">
        <v>185</v>
      </c>
      <c r="Q64" s="30" t="s">
        <v>185</v>
      </c>
      <c r="R64" s="39" t="s">
        <v>185</v>
      </c>
      <c r="S64" s="47" t="s">
        <v>185</v>
      </c>
      <c r="T64" s="39" t="s">
        <v>185</v>
      </c>
      <c r="U64" s="23" t="s">
        <v>178</v>
      </c>
      <c r="V64" s="65"/>
      <c r="W64" s="65"/>
      <c r="X64" s="65"/>
      <c r="Y64" s="65"/>
    </row>
    <row r="65" spans="1:25" x14ac:dyDescent="0.3">
      <c r="A65" s="26" t="s">
        <v>150</v>
      </c>
      <c r="B65" s="62">
        <f t="shared" si="4"/>
        <v>0</v>
      </c>
      <c r="C65" s="30" t="s">
        <v>185</v>
      </c>
      <c r="D65" s="29" t="s">
        <v>185</v>
      </c>
      <c r="E65" s="40" t="s">
        <v>185</v>
      </c>
      <c r="F65" s="29" t="s">
        <v>185</v>
      </c>
      <c r="G65" s="30" t="s">
        <v>185</v>
      </c>
      <c r="H65" s="29" t="s">
        <v>185</v>
      </c>
      <c r="I65" s="40" t="s">
        <v>185</v>
      </c>
      <c r="J65" s="29" t="s">
        <v>185</v>
      </c>
      <c r="K65" s="29" t="s">
        <v>185</v>
      </c>
      <c r="L65" s="29" t="s">
        <v>185</v>
      </c>
      <c r="M65" s="29" t="s">
        <v>185</v>
      </c>
      <c r="N65" s="29" t="s">
        <v>185</v>
      </c>
      <c r="O65" s="29" t="s">
        <v>185</v>
      </c>
      <c r="P65" s="29" t="s">
        <v>185</v>
      </c>
      <c r="Q65" s="30" t="s">
        <v>185</v>
      </c>
      <c r="R65" s="39" t="s">
        <v>185</v>
      </c>
      <c r="S65" s="47" t="s">
        <v>185</v>
      </c>
      <c r="T65" s="39" t="s">
        <v>185</v>
      </c>
      <c r="U65" s="23" t="s">
        <v>177</v>
      </c>
      <c r="V65" s="65"/>
      <c r="W65" s="65"/>
      <c r="X65" s="65"/>
      <c r="Y65" s="65"/>
    </row>
    <row r="66" spans="1:25" x14ac:dyDescent="0.3">
      <c r="A66" s="26" t="s">
        <v>151</v>
      </c>
      <c r="B66" s="62">
        <f t="shared" si="4"/>
        <v>0</v>
      </c>
      <c r="C66" s="30" t="s">
        <v>185</v>
      </c>
      <c r="D66" s="29" t="s">
        <v>185</v>
      </c>
      <c r="E66" s="40" t="s">
        <v>185</v>
      </c>
      <c r="F66" s="29" t="s">
        <v>185</v>
      </c>
      <c r="G66" s="30" t="s">
        <v>185</v>
      </c>
      <c r="H66" s="29" t="s">
        <v>185</v>
      </c>
      <c r="I66" s="40" t="s">
        <v>185</v>
      </c>
      <c r="J66" s="29" t="s">
        <v>185</v>
      </c>
      <c r="K66" s="29" t="s">
        <v>185</v>
      </c>
      <c r="L66" s="29" t="s">
        <v>185</v>
      </c>
      <c r="M66" s="29" t="s">
        <v>185</v>
      </c>
      <c r="N66" s="29" t="s">
        <v>185</v>
      </c>
      <c r="O66" s="29" t="s">
        <v>185</v>
      </c>
      <c r="P66" s="29" t="s">
        <v>185</v>
      </c>
      <c r="Q66" s="30" t="s">
        <v>185</v>
      </c>
      <c r="R66" s="39" t="s">
        <v>185</v>
      </c>
      <c r="S66" s="47" t="s">
        <v>185</v>
      </c>
      <c r="T66" s="39" t="s">
        <v>185</v>
      </c>
      <c r="U66" s="23" t="s">
        <v>176</v>
      </c>
      <c r="V66" s="65"/>
      <c r="W66" s="65"/>
      <c r="X66" s="65"/>
      <c r="Y66" s="65"/>
    </row>
    <row r="67" spans="1:25" x14ac:dyDescent="0.3">
      <c r="A67" s="28" t="s">
        <v>152</v>
      </c>
      <c r="B67" s="62">
        <f t="shared" si="4"/>
        <v>1522</v>
      </c>
      <c r="C67" s="30">
        <v>1114</v>
      </c>
      <c r="D67" s="29">
        <v>210.48</v>
      </c>
      <c r="E67" s="40">
        <v>267</v>
      </c>
      <c r="F67" s="29">
        <v>53.4</v>
      </c>
      <c r="G67" s="40" t="s">
        <v>185</v>
      </c>
      <c r="H67" s="29" t="s">
        <v>185</v>
      </c>
      <c r="I67" s="30" t="s">
        <v>185</v>
      </c>
      <c r="J67" s="29" t="s">
        <v>185</v>
      </c>
      <c r="K67" s="29">
        <v>96</v>
      </c>
      <c r="L67" s="29">
        <v>28.8</v>
      </c>
      <c r="M67" s="29">
        <v>13</v>
      </c>
      <c r="N67" s="29">
        <v>2.95</v>
      </c>
      <c r="O67" s="29" t="s">
        <v>185</v>
      </c>
      <c r="P67" s="29" t="s">
        <v>185</v>
      </c>
      <c r="Q67" s="30">
        <v>32</v>
      </c>
      <c r="R67" s="39">
        <v>6.8</v>
      </c>
      <c r="S67" s="47" t="s">
        <v>185</v>
      </c>
      <c r="T67" s="39" t="s">
        <v>185</v>
      </c>
      <c r="U67" s="23" t="s">
        <v>68</v>
      </c>
      <c r="V67" s="65"/>
      <c r="W67" s="65"/>
      <c r="X67" s="65"/>
      <c r="Y67" s="65"/>
    </row>
    <row r="68" spans="1:25" x14ac:dyDescent="0.3">
      <c r="A68" s="28" t="s">
        <v>153</v>
      </c>
      <c r="B68" s="62">
        <f t="shared" si="4"/>
        <v>862</v>
      </c>
      <c r="C68" s="30">
        <v>806</v>
      </c>
      <c r="D68" s="29">
        <v>149.47999999999999</v>
      </c>
      <c r="E68" s="40" t="s">
        <v>185</v>
      </c>
      <c r="F68" s="29" t="s">
        <v>185</v>
      </c>
      <c r="G68" s="40" t="s">
        <v>185</v>
      </c>
      <c r="H68" s="29" t="s">
        <v>185</v>
      </c>
      <c r="I68" s="40" t="s">
        <v>185</v>
      </c>
      <c r="J68" s="29" t="s">
        <v>185</v>
      </c>
      <c r="K68" s="29">
        <v>56</v>
      </c>
      <c r="L68" s="29">
        <v>10.64</v>
      </c>
      <c r="M68" s="29" t="s">
        <v>185</v>
      </c>
      <c r="N68" s="29" t="s">
        <v>185</v>
      </c>
      <c r="O68" s="29" t="s">
        <v>185</v>
      </c>
      <c r="P68" s="29" t="s">
        <v>185</v>
      </c>
      <c r="Q68" s="30" t="s">
        <v>185</v>
      </c>
      <c r="R68" s="39" t="s">
        <v>185</v>
      </c>
      <c r="S68" s="47" t="s">
        <v>185</v>
      </c>
      <c r="T68" s="39" t="s">
        <v>185</v>
      </c>
      <c r="U68" s="23" t="s">
        <v>69</v>
      </c>
      <c r="V68" s="24"/>
      <c r="W68" s="24"/>
      <c r="X68" s="24"/>
    </row>
    <row r="69" spans="1:25" x14ac:dyDescent="0.3">
      <c r="A69" s="28" t="s">
        <v>154</v>
      </c>
      <c r="B69" s="62">
        <f t="shared" si="4"/>
        <v>0</v>
      </c>
      <c r="C69" s="30" t="s">
        <v>185</v>
      </c>
      <c r="D69" s="29" t="s">
        <v>185</v>
      </c>
      <c r="E69" s="40" t="s">
        <v>185</v>
      </c>
      <c r="F69" s="29" t="s">
        <v>185</v>
      </c>
      <c r="G69" s="40" t="s">
        <v>185</v>
      </c>
      <c r="H69" s="29" t="s">
        <v>185</v>
      </c>
      <c r="I69" s="40" t="s">
        <v>185</v>
      </c>
      <c r="J69" s="29" t="s">
        <v>185</v>
      </c>
      <c r="K69" s="29" t="s">
        <v>185</v>
      </c>
      <c r="L69" s="29" t="s">
        <v>185</v>
      </c>
      <c r="M69" s="29" t="s">
        <v>185</v>
      </c>
      <c r="N69" s="29" t="s">
        <v>185</v>
      </c>
      <c r="O69" s="29" t="s">
        <v>185</v>
      </c>
      <c r="P69" s="29" t="s">
        <v>185</v>
      </c>
      <c r="Q69" s="30" t="s">
        <v>185</v>
      </c>
      <c r="R69" s="39" t="s">
        <v>185</v>
      </c>
      <c r="S69" s="47" t="s">
        <v>185</v>
      </c>
      <c r="T69" s="39" t="s">
        <v>185</v>
      </c>
      <c r="U69" s="23" t="s">
        <v>70</v>
      </c>
      <c r="V69" s="24"/>
      <c r="W69" s="24"/>
      <c r="X69" s="24"/>
    </row>
    <row r="70" spans="1:25" x14ac:dyDescent="0.3">
      <c r="A70" s="28" t="s">
        <v>155</v>
      </c>
      <c r="B70" s="62">
        <f t="shared" si="4"/>
        <v>0</v>
      </c>
      <c r="C70" s="30" t="s">
        <v>185</v>
      </c>
      <c r="D70" s="29" t="s">
        <v>185</v>
      </c>
      <c r="E70" s="40" t="s">
        <v>185</v>
      </c>
      <c r="F70" s="29" t="s">
        <v>185</v>
      </c>
      <c r="G70" s="40" t="s">
        <v>185</v>
      </c>
      <c r="H70" s="29" t="s">
        <v>185</v>
      </c>
      <c r="I70" s="40" t="s">
        <v>185</v>
      </c>
      <c r="J70" s="29" t="s">
        <v>185</v>
      </c>
      <c r="K70" s="29" t="s">
        <v>185</v>
      </c>
      <c r="L70" s="29" t="s">
        <v>185</v>
      </c>
      <c r="M70" s="29" t="s">
        <v>185</v>
      </c>
      <c r="N70" s="29" t="s">
        <v>185</v>
      </c>
      <c r="O70" s="29" t="s">
        <v>185</v>
      </c>
      <c r="P70" s="29" t="s">
        <v>185</v>
      </c>
      <c r="Q70" s="30" t="s">
        <v>185</v>
      </c>
      <c r="R70" s="39" t="s">
        <v>185</v>
      </c>
      <c r="S70" s="47" t="s">
        <v>185</v>
      </c>
      <c r="T70" s="39" t="s">
        <v>185</v>
      </c>
      <c r="U70" s="23" t="s">
        <v>71</v>
      </c>
      <c r="V70" s="24"/>
      <c r="W70" s="24"/>
      <c r="X70" s="24"/>
    </row>
    <row r="71" spans="1:25" ht="28.2" customHeight="1" x14ac:dyDescent="0.3">
      <c r="A71" s="12" t="s">
        <v>72</v>
      </c>
      <c r="B71" s="61">
        <f>SUM(B72:B76)</f>
        <v>7485</v>
      </c>
      <c r="C71" s="59">
        <f t="shared" ref="C71:S71" si="15">SUM(C72:C76)</f>
        <v>2668</v>
      </c>
      <c r="D71" s="59">
        <f t="shared" si="15"/>
        <v>434.73399999999998</v>
      </c>
      <c r="E71" s="59">
        <f t="shared" si="15"/>
        <v>0</v>
      </c>
      <c r="F71" s="59">
        <f t="shared" si="15"/>
        <v>0</v>
      </c>
      <c r="G71" s="59">
        <f t="shared" si="15"/>
        <v>59</v>
      </c>
      <c r="H71" s="59">
        <f t="shared" si="15"/>
        <v>11.33</v>
      </c>
      <c r="I71" s="59">
        <f t="shared" si="15"/>
        <v>14</v>
      </c>
      <c r="J71" s="59">
        <f t="shared" si="15"/>
        <v>2.0750000000000002</v>
      </c>
      <c r="K71" s="59">
        <f t="shared" si="15"/>
        <v>1564</v>
      </c>
      <c r="L71" s="59">
        <f t="shared" si="15"/>
        <v>451.125</v>
      </c>
      <c r="M71" s="59">
        <f t="shared" si="15"/>
        <v>1577</v>
      </c>
      <c r="N71" s="59">
        <f t="shared" si="15"/>
        <v>277.13</v>
      </c>
      <c r="O71" s="59">
        <f t="shared" si="15"/>
        <v>0</v>
      </c>
      <c r="P71" s="59">
        <f t="shared" si="15"/>
        <v>0</v>
      </c>
      <c r="Q71" s="59">
        <f>SUM(Q72:Q76)</f>
        <v>1603</v>
      </c>
      <c r="R71" s="60">
        <f>SUM(R72:R76)</f>
        <v>307.96899999999999</v>
      </c>
      <c r="S71" s="61">
        <f t="shared" si="15"/>
        <v>0</v>
      </c>
      <c r="T71" s="60">
        <f>SUM(T72:T76)</f>
        <v>0</v>
      </c>
      <c r="U71" s="25" t="s">
        <v>73</v>
      </c>
      <c r="V71" s="25"/>
      <c r="W71" s="25"/>
    </row>
    <row r="72" spans="1:25" x14ac:dyDescent="0.3">
      <c r="A72" s="14" t="s">
        <v>156</v>
      </c>
      <c r="B72" s="62">
        <f t="shared" si="4"/>
        <v>62</v>
      </c>
      <c r="C72" s="30" t="s">
        <v>185</v>
      </c>
      <c r="D72" s="29" t="s">
        <v>185</v>
      </c>
      <c r="E72" s="40" t="s">
        <v>185</v>
      </c>
      <c r="F72" s="29" t="s">
        <v>185</v>
      </c>
      <c r="G72" s="40" t="s">
        <v>185</v>
      </c>
      <c r="H72" s="29" t="s">
        <v>185</v>
      </c>
      <c r="I72" s="40" t="s">
        <v>185</v>
      </c>
      <c r="J72" s="29" t="s">
        <v>185</v>
      </c>
      <c r="K72" s="29">
        <v>31</v>
      </c>
      <c r="L72" s="29">
        <v>9.25</v>
      </c>
      <c r="M72" s="29">
        <v>28</v>
      </c>
      <c r="N72" s="29">
        <v>6.65</v>
      </c>
      <c r="O72" s="29" t="s">
        <v>185</v>
      </c>
      <c r="P72" s="29" t="s">
        <v>185</v>
      </c>
      <c r="Q72" s="30">
        <v>3</v>
      </c>
      <c r="R72" s="39">
        <v>0.6</v>
      </c>
      <c r="S72" s="48" t="s">
        <v>185</v>
      </c>
      <c r="T72" s="39" t="s">
        <v>185</v>
      </c>
      <c r="U72" s="15" t="s">
        <v>74</v>
      </c>
    </row>
    <row r="73" spans="1:25" x14ac:dyDescent="0.3">
      <c r="A73" s="14" t="s">
        <v>157</v>
      </c>
      <c r="B73" s="62">
        <f t="shared" si="4"/>
        <v>0</v>
      </c>
      <c r="C73" s="30" t="s">
        <v>185</v>
      </c>
      <c r="D73" s="29" t="s">
        <v>185</v>
      </c>
      <c r="E73" s="40" t="s">
        <v>185</v>
      </c>
      <c r="F73" s="29" t="s">
        <v>185</v>
      </c>
      <c r="G73" s="40" t="s">
        <v>185</v>
      </c>
      <c r="H73" s="29" t="s">
        <v>185</v>
      </c>
      <c r="I73" s="40" t="s">
        <v>185</v>
      </c>
      <c r="J73" s="29" t="s">
        <v>185</v>
      </c>
      <c r="K73" s="29" t="s">
        <v>185</v>
      </c>
      <c r="L73" s="29" t="s">
        <v>185</v>
      </c>
      <c r="M73" s="29" t="s">
        <v>185</v>
      </c>
      <c r="N73" s="29" t="s">
        <v>185</v>
      </c>
      <c r="O73" s="29" t="s">
        <v>185</v>
      </c>
      <c r="P73" s="29" t="s">
        <v>185</v>
      </c>
      <c r="Q73" s="30" t="s">
        <v>185</v>
      </c>
      <c r="R73" s="39" t="s">
        <v>185</v>
      </c>
      <c r="S73" s="48" t="s">
        <v>185</v>
      </c>
      <c r="T73" s="39" t="s">
        <v>185</v>
      </c>
      <c r="U73" s="15" t="s">
        <v>75</v>
      </c>
    </row>
    <row r="74" spans="1:25" x14ac:dyDescent="0.3">
      <c r="A74" s="14" t="s">
        <v>158</v>
      </c>
      <c r="B74" s="62">
        <f t="shared" si="4"/>
        <v>7276</v>
      </c>
      <c r="C74" s="30">
        <v>2620</v>
      </c>
      <c r="D74" s="29">
        <v>427.48399999999998</v>
      </c>
      <c r="E74" s="40" t="s">
        <v>185</v>
      </c>
      <c r="F74" s="29" t="s">
        <v>185</v>
      </c>
      <c r="G74" s="30">
        <v>59</v>
      </c>
      <c r="H74" s="29">
        <v>11.33</v>
      </c>
      <c r="I74" s="30" t="s">
        <v>185</v>
      </c>
      <c r="J74" s="29" t="s">
        <v>185</v>
      </c>
      <c r="K74" s="29">
        <v>1493</v>
      </c>
      <c r="L74" s="29">
        <v>425.19499999999999</v>
      </c>
      <c r="M74" s="29">
        <v>1509</v>
      </c>
      <c r="N74" s="29">
        <v>263.24</v>
      </c>
      <c r="O74" s="29" t="s">
        <v>185</v>
      </c>
      <c r="P74" s="29" t="s">
        <v>185</v>
      </c>
      <c r="Q74" s="30">
        <v>1595</v>
      </c>
      <c r="R74" s="39">
        <v>306.46899999999999</v>
      </c>
      <c r="S74" s="47" t="s">
        <v>185</v>
      </c>
      <c r="T74" s="39" t="s">
        <v>185</v>
      </c>
      <c r="U74" s="15" t="s">
        <v>76</v>
      </c>
    </row>
    <row r="75" spans="1:25" x14ac:dyDescent="0.3">
      <c r="A75" s="14" t="s">
        <v>159</v>
      </c>
      <c r="B75" s="62">
        <f t="shared" ref="B75:B76" si="16">SUM(C75,E75,G75,I75,K75,M75,O75,Q75)</f>
        <v>0</v>
      </c>
      <c r="C75" s="30" t="s">
        <v>185</v>
      </c>
      <c r="D75" s="29" t="s">
        <v>185</v>
      </c>
      <c r="E75" s="40" t="s">
        <v>185</v>
      </c>
      <c r="F75" s="29" t="s">
        <v>185</v>
      </c>
      <c r="G75" s="40" t="s">
        <v>185</v>
      </c>
      <c r="H75" s="29" t="s">
        <v>185</v>
      </c>
      <c r="I75" s="40" t="s">
        <v>185</v>
      </c>
      <c r="J75" s="29" t="s">
        <v>185</v>
      </c>
      <c r="K75" s="29" t="s">
        <v>185</v>
      </c>
      <c r="L75" s="29" t="s">
        <v>185</v>
      </c>
      <c r="M75" s="29" t="s">
        <v>185</v>
      </c>
      <c r="N75" s="29" t="s">
        <v>185</v>
      </c>
      <c r="O75" s="29" t="s">
        <v>185</v>
      </c>
      <c r="P75" s="29" t="s">
        <v>185</v>
      </c>
      <c r="Q75" s="30" t="s">
        <v>185</v>
      </c>
      <c r="R75" s="39" t="s">
        <v>185</v>
      </c>
      <c r="S75" s="47" t="s">
        <v>185</v>
      </c>
      <c r="T75" s="39" t="s">
        <v>185</v>
      </c>
      <c r="U75" s="15" t="s">
        <v>77</v>
      </c>
    </row>
    <row r="76" spans="1:25" x14ac:dyDescent="0.3">
      <c r="A76" s="14" t="s">
        <v>160</v>
      </c>
      <c r="B76" s="62">
        <f t="shared" si="16"/>
        <v>147</v>
      </c>
      <c r="C76" s="30">
        <v>48</v>
      </c>
      <c r="D76" s="29">
        <v>7.25</v>
      </c>
      <c r="E76" s="30" t="s">
        <v>185</v>
      </c>
      <c r="F76" s="29" t="s">
        <v>185</v>
      </c>
      <c r="G76" s="30" t="s">
        <v>185</v>
      </c>
      <c r="H76" s="29" t="s">
        <v>185</v>
      </c>
      <c r="I76" s="30">
        <v>14</v>
      </c>
      <c r="J76" s="29">
        <v>2.0750000000000002</v>
      </c>
      <c r="K76" s="29">
        <v>40</v>
      </c>
      <c r="L76" s="29">
        <v>16.68</v>
      </c>
      <c r="M76" s="29">
        <v>40</v>
      </c>
      <c r="N76" s="29">
        <v>7.24</v>
      </c>
      <c r="O76" s="29" t="s">
        <v>185</v>
      </c>
      <c r="P76" s="29" t="s">
        <v>185</v>
      </c>
      <c r="Q76" s="30">
        <v>5</v>
      </c>
      <c r="R76" s="39">
        <v>0.9</v>
      </c>
      <c r="S76" s="47" t="s">
        <v>185</v>
      </c>
      <c r="T76" s="39" t="s">
        <v>185</v>
      </c>
      <c r="U76" s="15" t="s">
        <v>78</v>
      </c>
    </row>
    <row r="77" spans="1:25" ht="25.2" customHeight="1" x14ac:dyDescent="0.3">
      <c r="A77" s="12" t="s">
        <v>79</v>
      </c>
      <c r="B77" s="61">
        <f>SUM(B78:B90)</f>
        <v>11499</v>
      </c>
      <c r="C77" s="59">
        <f t="shared" ref="C77:S77" si="17">SUM(C78:C90)</f>
        <v>2342</v>
      </c>
      <c r="D77" s="59">
        <f t="shared" si="17"/>
        <v>437.21000000000004</v>
      </c>
      <c r="E77" s="59">
        <f t="shared" si="17"/>
        <v>0</v>
      </c>
      <c r="F77" s="59">
        <f t="shared" si="17"/>
        <v>0</v>
      </c>
      <c r="G77" s="59">
        <f t="shared" si="17"/>
        <v>0</v>
      </c>
      <c r="H77" s="59">
        <f t="shared" si="17"/>
        <v>0</v>
      </c>
      <c r="I77" s="59">
        <f t="shared" si="17"/>
        <v>8</v>
      </c>
      <c r="J77" s="59">
        <f t="shared" si="17"/>
        <v>0.8600000000000001</v>
      </c>
      <c r="K77" s="59">
        <f t="shared" si="17"/>
        <v>223</v>
      </c>
      <c r="L77" s="59">
        <f t="shared" si="17"/>
        <v>58.120000000000005</v>
      </c>
      <c r="M77" s="59">
        <f t="shared" si="17"/>
        <v>222</v>
      </c>
      <c r="N77" s="59">
        <f t="shared" si="17"/>
        <v>65.239999999999995</v>
      </c>
      <c r="O77" s="59">
        <f t="shared" si="17"/>
        <v>2</v>
      </c>
      <c r="P77" s="59">
        <f t="shared" si="17"/>
        <v>0.34</v>
      </c>
      <c r="Q77" s="59">
        <f>SUM(Q78:Q90)</f>
        <v>8702</v>
      </c>
      <c r="R77" s="60">
        <f>SUM(R78:R90)</f>
        <v>2577.8900000000003</v>
      </c>
      <c r="S77" s="61">
        <f t="shared" si="17"/>
        <v>0</v>
      </c>
      <c r="T77" s="60">
        <f>SUM(T78:T90)</f>
        <v>0</v>
      </c>
      <c r="U77" s="18" t="s">
        <v>80</v>
      </c>
      <c r="V77" s="18"/>
      <c r="W77" s="18"/>
    </row>
    <row r="78" spans="1:25" x14ac:dyDescent="0.3">
      <c r="A78" s="14" t="s">
        <v>161</v>
      </c>
      <c r="B78" s="62">
        <f t="shared" ref="B78:B90" si="18">SUM(C78,E78,G78,I78,K78,M78,O78,Q78)</f>
        <v>15</v>
      </c>
      <c r="C78" s="30" t="s">
        <v>185</v>
      </c>
      <c r="D78" s="29" t="s">
        <v>185</v>
      </c>
      <c r="E78" s="30" t="s">
        <v>185</v>
      </c>
      <c r="F78" s="29" t="s">
        <v>185</v>
      </c>
      <c r="G78" s="30" t="s">
        <v>185</v>
      </c>
      <c r="H78" s="29" t="s">
        <v>185</v>
      </c>
      <c r="I78" s="30" t="s">
        <v>185</v>
      </c>
      <c r="J78" s="29" t="s">
        <v>185</v>
      </c>
      <c r="K78" s="29" t="s">
        <v>185</v>
      </c>
      <c r="L78" s="29" t="s">
        <v>185</v>
      </c>
      <c r="M78" s="29">
        <v>15</v>
      </c>
      <c r="N78" s="29">
        <v>3</v>
      </c>
      <c r="O78" s="29" t="s">
        <v>185</v>
      </c>
      <c r="P78" s="29" t="s">
        <v>185</v>
      </c>
      <c r="Q78" s="30" t="s">
        <v>185</v>
      </c>
      <c r="R78" s="39" t="s">
        <v>185</v>
      </c>
      <c r="S78" s="47" t="s">
        <v>185</v>
      </c>
      <c r="T78" s="39" t="s">
        <v>185</v>
      </c>
      <c r="U78" s="15" t="s">
        <v>81</v>
      </c>
    </row>
    <row r="79" spans="1:25" x14ac:dyDescent="0.3">
      <c r="A79" s="14" t="s">
        <v>162</v>
      </c>
      <c r="B79" s="62">
        <f t="shared" si="18"/>
        <v>4</v>
      </c>
      <c r="C79" s="40" t="s">
        <v>185</v>
      </c>
      <c r="D79" s="29" t="s">
        <v>185</v>
      </c>
      <c r="E79" s="40" t="s">
        <v>185</v>
      </c>
      <c r="F79" s="29" t="s">
        <v>185</v>
      </c>
      <c r="G79" s="40" t="s">
        <v>185</v>
      </c>
      <c r="H79" s="29" t="s">
        <v>185</v>
      </c>
      <c r="I79" s="40" t="s">
        <v>185</v>
      </c>
      <c r="J79" s="29" t="s">
        <v>185</v>
      </c>
      <c r="K79" s="29" t="s">
        <v>185</v>
      </c>
      <c r="L79" s="29" t="s">
        <v>185</v>
      </c>
      <c r="M79" s="29">
        <v>4</v>
      </c>
      <c r="N79" s="29">
        <v>0.7</v>
      </c>
      <c r="O79" s="29" t="s">
        <v>185</v>
      </c>
      <c r="P79" s="29" t="s">
        <v>185</v>
      </c>
      <c r="Q79" s="30" t="s">
        <v>185</v>
      </c>
      <c r="R79" s="39" t="s">
        <v>185</v>
      </c>
      <c r="S79" s="47" t="s">
        <v>185</v>
      </c>
      <c r="T79" s="39" t="s">
        <v>185</v>
      </c>
      <c r="U79" s="15" t="s">
        <v>82</v>
      </c>
    </row>
    <row r="80" spans="1:25" x14ac:dyDescent="0.3">
      <c r="A80" s="14" t="s">
        <v>163</v>
      </c>
      <c r="B80" s="62">
        <f t="shared" si="18"/>
        <v>0</v>
      </c>
      <c r="C80" s="30" t="s">
        <v>185</v>
      </c>
      <c r="D80" s="29" t="s">
        <v>185</v>
      </c>
      <c r="E80" s="40" t="s">
        <v>185</v>
      </c>
      <c r="F80" s="29" t="s">
        <v>185</v>
      </c>
      <c r="G80" s="40" t="s">
        <v>185</v>
      </c>
      <c r="H80" s="29" t="s">
        <v>185</v>
      </c>
      <c r="I80" s="40" t="s">
        <v>185</v>
      </c>
      <c r="J80" s="29" t="s">
        <v>185</v>
      </c>
      <c r="K80" s="29" t="s">
        <v>185</v>
      </c>
      <c r="L80" s="29" t="s">
        <v>185</v>
      </c>
      <c r="M80" s="29" t="s">
        <v>185</v>
      </c>
      <c r="N80" s="29" t="s">
        <v>185</v>
      </c>
      <c r="O80" s="29" t="s">
        <v>185</v>
      </c>
      <c r="P80" s="29" t="s">
        <v>185</v>
      </c>
      <c r="Q80" s="30" t="s">
        <v>185</v>
      </c>
      <c r="R80" s="39" t="s">
        <v>185</v>
      </c>
      <c r="S80" s="48" t="s">
        <v>185</v>
      </c>
      <c r="T80" s="39" t="s">
        <v>185</v>
      </c>
      <c r="U80" s="15" t="s">
        <v>83</v>
      </c>
    </row>
    <row r="81" spans="1:23" x14ac:dyDescent="0.3">
      <c r="A81" s="14" t="s">
        <v>164</v>
      </c>
      <c r="B81" s="62">
        <f t="shared" si="18"/>
        <v>20</v>
      </c>
      <c r="C81" s="40">
        <v>20</v>
      </c>
      <c r="D81" s="29">
        <v>3.1</v>
      </c>
      <c r="E81" s="40" t="s">
        <v>185</v>
      </c>
      <c r="F81" s="29" t="s">
        <v>185</v>
      </c>
      <c r="G81" s="40" t="s">
        <v>185</v>
      </c>
      <c r="H81" s="29" t="s">
        <v>185</v>
      </c>
      <c r="I81" s="30" t="s">
        <v>185</v>
      </c>
      <c r="J81" s="29" t="s">
        <v>185</v>
      </c>
      <c r="K81" s="29" t="s">
        <v>185</v>
      </c>
      <c r="L81" s="29" t="s">
        <v>185</v>
      </c>
      <c r="M81" s="29" t="s">
        <v>185</v>
      </c>
      <c r="N81" s="29" t="s">
        <v>185</v>
      </c>
      <c r="O81" s="29" t="s">
        <v>185</v>
      </c>
      <c r="P81" s="29" t="s">
        <v>185</v>
      </c>
      <c r="Q81" s="30" t="s">
        <v>185</v>
      </c>
      <c r="R81" s="39" t="s">
        <v>185</v>
      </c>
      <c r="S81" s="47" t="s">
        <v>185</v>
      </c>
      <c r="T81" s="39" t="s">
        <v>185</v>
      </c>
      <c r="U81" s="15" t="s">
        <v>84</v>
      </c>
    </row>
    <row r="82" spans="1:23" x14ac:dyDescent="0.3">
      <c r="A82" s="43" t="s">
        <v>181</v>
      </c>
      <c r="B82" s="62">
        <f t="shared" si="18"/>
        <v>110</v>
      </c>
      <c r="C82" s="30">
        <v>67</v>
      </c>
      <c r="D82" s="29">
        <v>12.37</v>
      </c>
      <c r="E82" s="40" t="s">
        <v>185</v>
      </c>
      <c r="F82" s="29" t="s">
        <v>185</v>
      </c>
      <c r="G82" s="40" t="s">
        <v>185</v>
      </c>
      <c r="H82" s="29" t="s">
        <v>185</v>
      </c>
      <c r="I82" s="40" t="s">
        <v>185</v>
      </c>
      <c r="J82" s="29" t="s">
        <v>185</v>
      </c>
      <c r="K82" s="29">
        <v>25</v>
      </c>
      <c r="L82" s="29">
        <v>5</v>
      </c>
      <c r="M82" s="29">
        <v>18</v>
      </c>
      <c r="N82" s="29">
        <v>4.4000000000000004</v>
      </c>
      <c r="O82" s="29" t="s">
        <v>185</v>
      </c>
      <c r="P82" s="29" t="s">
        <v>185</v>
      </c>
      <c r="Q82" s="30" t="s">
        <v>185</v>
      </c>
      <c r="R82" s="39" t="s">
        <v>185</v>
      </c>
      <c r="S82" s="47" t="s">
        <v>185</v>
      </c>
      <c r="T82" s="39" t="s">
        <v>185</v>
      </c>
      <c r="U82" s="15" t="s">
        <v>182</v>
      </c>
    </row>
    <row r="83" spans="1:23" x14ac:dyDescent="0.3">
      <c r="A83" s="14" t="s">
        <v>183</v>
      </c>
      <c r="B83" s="62">
        <f t="shared" si="18"/>
        <v>9</v>
      </c>
      <c r="C83" s="30" t="s">
        <v>185</v>
      </c>
      <c r="D83" s="29" t="s">
        <v>185</v>
      </c>
      <c r="E83" s="40" t="s">
        <v>185</v>
      </c>
      <c r="F83" s="29" t="s">
        <v>185</v>
      </c>
      <c r="G83" s="40" t="s">
        <v>185</v>
      </c>
      <c r="H83" s="29" t="s">
        <v>185</v>
      </c>
      <c r="I83" s="40" t="s">
        <v>185</v>
      </c>
      <c r="J83" s="29" t="s">
        <v>185</v>
      </c>
      <c r="K83" s="29" t="s">
        <v>185</v>
      </c>
      <c r="L83" s="29" t="s">
        <v>185</v>
      </c>
      <c r="M83" s="29">
        <v>2</v>
      </c>
      <c r="N83" s="29">
        <v>0.35</v>
      </c>
      <c r="O83" s="29" t="s">
        <v>185</v>
      </c>
      <c r="P83" s="29" t="s">
        <v>185</v>
      </c>
      <c r="Q83" s="30">
        <v>7</v>
      </c>
      <c r="R83" s="39">
        <v>1.26</v>
      </c>
      <c r="S83" s="47" t="s">
        <v>185</v>
      </c>
      <c r="T83" s="39" t="s">
        <v>185</v>
      </c>
      <c r="U83" s="15" t="s">
        <v>184</v>
      </c>
    </row>
    <row r="84" spans="1:23" x14ac:dyDescent="0.3">
      <c r="A84" s="14" t="s">
        <v>165</v>
      </c>
      <c r="B84" s="62">
        <f t="shared" si="18"/>
        <v>8240</v>
      </c>
      <c r="C84" s="30">
        <v>240</v>
      </c>
      <c r="D84" s="29">
        <v>73</v>
      </c>
      <c r="E84" s="40" t="s">
        <v>185</v>
      </c>
      <c r="F84" s="29" t="s">
        <v>185</v>
      </c>
      <c r="G84" s="40" t="s">
        <v>185</v>
      </c>
      <c r="H84" s="29" t="s">
        <v>185</v>
      </c>
      <c r="I84" s="40" t="s">
        <v>185</v>
      </c>
      <c r="J84" s="29" t="s">
        <v>185</v>
      </c>
      <c r="K84" s="29" t="s">
        <v>185</v>
      </c>
      <c r="L84" s="29" t="s">
        <v>185</v>
      </c>
      <c r="M84" s="29" t="s">
        <v>185</v>
      </c>
      <c r="N84" s="29" t="s">
        <v>185</v>
      </c>
      <c r="O84" s="29" t="s">
        <v>185</v>
      </c>
      <c r="P84" s="29" t="s">
        <v>185</v>
      </c>
      <c r="Q84" s="30">
        <v>8000</v>
      </c>
      <c r="R84" s="39">
        <v>2400</v>
      </c>
      <c r="S84" s="47" t="s">
        <v>185</v>
      </c>
      <c r="T84" s="39" t="s">
        <v>185</v>
      </c>
      <c r="U84" s="15" t="s">
        <v>85</v>
      </c>
    </row>
    <row r="85" spans="1:23" x14ac:dyDescent="0.3">
      <c r="A85" s="14" t="s">
        <v>166</v>
      </c>
      <c r="B85" s="62">
        <f t="shared" si="18"/>
        <v>116</v>
      </c>
      <c r="C85" s="30" t="s">
        <v>185</v>
      </c>
      <c r="D85" s="29" t="s">
        <v>185</v>
      </c>
      <c r="E85" s="40" t="s">
        <v>185</v>
      </c>
      <c r="F85" s="29" t="s">
        <v>185</v>
      </c>
      <c r="G85" s="40" t="s">
        <v>185</v>
      </c>
      <c r="H85" s="29" t="s">
        <v>185</v>
      </c>
      <c r="I85" s="40">
        <v>6</v>
      </c>
      <c r="J85" s="29">
        <v>0.66</v>
      </c>
      <c r="K85" s="29">
        <v>31</v>
      </c>
      <c r="L85" s="29">
        <v>7.83</v>
      </c>
      <c r="M85" s="29">
        <v>75</v>
      </c>
      <c r="N85" s="29">
        <v>24.99</v>
      </c>
      <c r="O85" s="29">
        <v>2</v>
      </c>
      <c r="P85" s="29">
        <v>0.34</v>
      </c>
      <c r="Q85" s="30">
        <v>2</v>
      </c>
      <c r="R85" s="39">
        <v>0.3</v>
      </c>
      <c r="S85" s="47" t="s">
        <v>185</v>
      </c>
      <c r="T85" s="39" t="s">
        <v>185</v>
      </c>
      <c r="U85" s="15" t="s">
        <v>86</v>
      </c>
    </row>
    <row r="86" spans="1:23" x14ac:dyDescent="0.3">
      <c r="A86" s="14" t="s">
        <v>167</v>
      </c>
      <c r="B86" s="62">
        <f t="shared" si="18"/>
        <v>0</v>
      </c>
      <c r="C86" s="30" t="s">
        <v>185</v>
      </c>
      <c r="D86" s="29" t="s">
        <v>185</v>
      </c>
      <c r="E86" s="40" t="s">
        <v>185</v>
      </c>
      <c r="F86" s="29" t="s">
        <v>185</v>
      </c>
      <c r="G86" s="40" t="s">
        <v>185</v>
      </c>
      <c r="H86" s="29" t="s">
        <v>185</v>
      </c>
      <c r="I86" s="40" t="s">
        <v>185</v>
      </c>
      <c r="J86" s="29" t="s">
        <v>185</v>
      </c>
      <c r="K86" s="29" t="s">
        <v>185</v>
      </c>
      <c r="L86" s="29" t="s">
        <v>185</v>
      </c>
      <c r="M86" s="29" t="s">
        <v>185</v>
      </c>
      <c r="N86" s="29" t="s">
        <v>185</v>
      </c>
      <c r="O86" s="29" t="s">
        <v>185</v>
      </c>
      <c r="P86" s="29" t="s">
        <v>185</v>
      </c>
      <c r="Q86" s="30" t="s">
        <v>185</v>
      </c>
      <c r="R86" s="39" t="s">
        <v>185</v>
      </c>
      <c r="S86" s="47" t="s">
        <v>185</v>
      </c>
      <c r="T86" s="39" t="s">
        <v>185</v>
      </c>
      <c r="U86" s="15" t="s">
        <v>87</v>
      </c>
    </row>
    <row r="87" spans="1:23" x14ac:dyDescent="0.3">
      <c r="A87" s="14" t="s">
        <v>168</v>
      </c>
      <c r="B87" s="62">
        <f t="shared" si="18"/>
        <v>32</v>
      </c>
      <c r="C87" s="30" t="s">
        <v>185</v>
      </c>
      <c r="D87" s="29" t="s">
        <v>185</v>
      </c>
      <c r="E87" s="40" t="s">
        <v>185</v>
      </c>
      <c r="F87" s="29" t="s">
        <v>185</v>
      </c>
      <c r="G87" s="40" t="s">
        <v>185</v>
      </c>
      <c r="H87" s="29" t="s">
        <v>185</v>
      </c>
      <c r="I87" s="40" t="s">
        <v>185</v>
      </c>
      <c r="J87" s="29" t="s">
        <v>185</v>
      </c>
      <c r="K87" s="29" t="s">
        <v>185</v>
      </c>
      <c r="L87" s="29" t="s">
        <v>185</v>
      </c>
      <c r="M87" s="29">
        <v>32</v>
      </c>
      <c r="N87" s="29">
        <v>7.75</v>
      </c>
      <c r="O87" s="29" t="s">
        <v>185</v>
      </c>
      <c r="P87" s="29" t="s">
        <v>185</v>
      </c>
      <c r="Q87" s="30" t="s">
        <v>185</v>
      </c>
      <c r="R87" s="39" t="s">
        <v>185</v>
      </c>
      <c r="S87" s="47" t="s">
        <v>185</v>
      </c>
      <c r="T87" s="39" t="s">
        <v>185</v>
      </c>
      <c r="U87" s="15" t="s">
        <v>88</v>
      </c>
    </row>
    <row r="88" spans="1:23" x14ac:dyDescent="0.3">
      <c r="A88" s="14" t="s">
        <v>169</v>
      </c>
      <c r="B88" s="62">
        <f t="shared" si="18"/>
        <v>690</v>
      </c>
      <c r="C88" s="30">
        <v>638</v>
      </c>
      <c r="D88" s="29">
        <v>95.7</v>
      </c>
      <c r="E88" s="40" t="s">
        <v>185</v>
      </c>
      <c r="F88" s="29" t="s">
        <v>185</v>
      </c>
      <c r="G88" s="40" t="s">
        <v>185</v>
      </c>
      <c r="H88" s="29" t="s">
        <v>185</v>
      </c>
      <c r="I88" s="40">
        <v>2</v>
      </c>
      <c r="J88" s="29">
        <v>0.2</v>
      </c>
      <c r="K88" s="29">
        <v>2</v>
      </c>
      <c r="L88" s="29">
        <v>0.4</v>
      </c>
      <c r="M88" s="29">
        <v>45</v>
      </c>
      <c r="N88" s="29">
        <v>13.3</v>
      </c>
      <c r="O88" s="29" t="s">
        <v>185</v>
      </c>
      <c r="P88" s="29" t="s">
        <v>185</v>
      </c>
      <c r="Q88" s="30">
        <v>3</v>
      </c>
      <c r="R88" s="39">
        <v>0.6</v>
      </c>
      <c r="S88" s="47" t="s">
        <v>185</v>
      </c>
      <c r="T88" s="39" t="s">
        <v>185</v>
      </c>
      <c r="U88" s="15" t="s">
        <v>89</v>
      </c>
    </row>
    <row r="89" spans="1:23" x14ac:dyDescent="0.3">
      <c r="A89" s="14" t="s">
        <v>170</v>
      </c>
      <c r="B89" s="62">
        <f t="shared" si="18"/>
        <v>2209</v>
      </c>
      <c r="C89" s="30">
        <v>1377</v>
      </c>
      <c r="D89" s="29">
        <v>253.04</v>
      </c>
      <c r="E89" s="40" t="s">
        <v>185</v>
      </c>
      <c r="F89" s="29" t="s">
        <v>185</v>
      </c>
      <c r="G89" s="40" t="s">
        <v>185</v>
      </c>
      <c r="H89" s="29" t="s">
        <v>185</v>
      </c>
      <c r="I89" s="40" t="s">
        <v>185</v>
      </c>
      <c r="J89" s="29" t="s">
        <v>185</v>
      </c>
      <c r="K89" s="29">
        <v>141</v>
      </c>
      <c r="L89" s="29">
        <v>40.090000000000003</v>
      </c>
      <c r="M89" s="29">
        <v>31</v>
      </c>
      <c r="N89" s="29">
        <v>10.75</v>
      </c>
      <c r="O89" s="29" t="s">
        <v>185</v>
      </c>
      <c r="P89" s="29" t="s">
        <v>185</v>
      </c>
      <c r="Q89" s="30">
        <v>660</v>
      </c>
      <c r="R89" s="39">
        <v>169.73</v>
      </c>
      <c r="S89" s="47" t="s">
        <v>185</v>
      </c>
      <c r="T89" s="39" t="s">
        <v>185</v>
      </c>
      <c r="U89" s="15" t="s">
        <v>90</v>
      </c>
    </row>
    <row r="90" spans="1:23" x14ac:dyDescent="0.3">
      <c r="A90" s="14" t="s">
        <v>171</v>
      </c>
      <c r="B90" s="62">
        <f t="shared" si="18"/>
        <v>54</v>
      </c>
      <c r="C90" s="30" t="s">
        <v>185</v>
      </c>
      <c r="D90" s="29" t="s">
        <v>185</v>
      </c>
      <c r="E90" s="40" t="s">
        <v>185</v>
      </c>
      <c r="F90" s="29" t="s">
        <v>185</v>
      </c>
      <c r="G90" s="40" t="s">
        <v>185</v>
      </c>
      <c r="H90" s="29" t="s">
        <v>185</v>
      </c>
      <c r="I90" s="40" t="s">
        <v>185</v>
      </c>
      <c r="J90" s="29" t="s">
        <v>185</v>
      </c>
      <c r="K90" s="29">
        <v>24</v>
      </c>
      <c r="L90" s="29">
        <v>4.8</v>
      </c>
      <c r="M90" s="29" t="s">
        <v>185</v>
      </c>
      <c r="N90" s="29" t="s">
        <v>185</v>
      </c>
      <c r="O90" s="29" t="s">
        <v>185</v>
      </c>
      <c r="P90" s="29" t="s">
        <v>185</v>
      </c>
      <c r="Q90" s="30">
        <v>30</v>
      </c>
      <c r="R90" s="39">
        <v>6</v>
      </c>
      <c r="S90" s="47" t="s">
        <v>185</v>
      </c>
      <c r="T90" s="39" t="s">
        <v>185</v>
      </c>
      <c r="U90" s="15" t="s">
        <v>91</v>
      </c>
    </row>
    <row r="91" spans="1:23" ht="25.8" customHeight="1" x14ac:dyDescent="0.3">
      <c r="A91" s="12" t="s">
        <v>92</v>
      </c>
      <c r="B91" s="61">
        <f>SUM(B92:B95)</f>
        <v>22947</v>
      </c>
      <c r="C91" s="59">
        <f t="shared" ref="C91:S91" si="19">SUM(C92:C95)</f>
        <v>19810</v>
      </c>
      <c r="D91" s="59">
        <f t="shared" si="19"/>
        <v>3059.2330000000002</v>
      </c>
      <c r="E91" s="59">
        <f t="shared" si="19"/>
        <v>485</v>
      </c>
      <c r="F91" s="59">
        <f t="shared" si="19"/>
        <v>61.483999999999995</v>
      </c>
      <c r="G91" s="59">
        <f t="shared" si="19"/>
        <v>63</v>
      </c>
      <c r="H91" s="59">
        <f t="shared" si="19"/>
        <v>4.3</v>
      </c>
      <c r="I91" s="59">
        <f t="shared" si="19"/>
        <v>611</v>
      </c>
      <c r="J91" s="59">
        <f t="shared" si="19"/>
        <v>67.734999999999999</v>
      </c>
      <c r="K91" s="59">
        <f t="shared" si="19"/>
        <v>387</v>
      </c>
      <c r="L91" s="59">
        <f t="shared" si="19"/>
        <v>60.174999999999997</v>
      </c>
      <c r="M91" s="59">
        <f t="shared" si="19"/>
        <v>480</v>
      </c>
      <c r="N91" s="59">
        <f t="shared" si="19"/>
        <v>84.432999999999993</v>
      </c>
      <c r="O91" s="59">
        <f t="shared" si="19"/>
        <v>0</v>
      </c>
      <c r="P91" s="59">
        <f t="shared" si="19"/>
        <v>0</v>
      </c>
      <c r="Q91" s="59">
        <f>SUM(Q92:Q95)</f>
        <v>1111</v>
      </c>
      <c r="R91" s="60">
        <f>SUM(R92:R95)</f>
        <v>124.355</v>
      </c>
      <c r="S91" s="61">
        <f t="shared" si="19"/>
        <v>7</v>
      </c>
      <c r="T91" s="60">
        <f>SUM(T92:T95)</f>
        <v>0.81</v>
      </c>
      <c r="U91" s="22" t="s">
        <v>93</v>
      </c>
      <c r="V91" s="22"/>
      <c r="W91" s="22"/>
    </row>
    <row r="92" spans="1:23" x14ac:dyDescent="0.3">
      <c r="A92" s="14" t="s">
        <v>172</v>
      </c>
      <c r="B92" s="62">
        <f t="shared" ref="B92:B95" si="20">SUM(C92,E92,G92,I92,K92,M92,O92,Q92)</f>
        <v>13429</v>
      </c>
      <c r="C92" s="30">
        <v>10847</v>
      </c>
      <c r="D92" s="29">
        <v>1112.931</v>
      </c>
      <c r="E92" s="30">
        <v>365</v>
      </c>
      <c r="F92" s="29">
        <v>36.83</v>
      </c>
      <c r="G92" s="30">
        <v>59</v>
      </c>
      <c r="H92" s="29">
        <v>3.1</v>
      </c>
      <c r="I92" s="30">
        <v>508</v>
      </c>
      <c r="J92" s="29">
        <v>49.09</v>
      </c>
      <c r="K92" s="29">
        <v>302</v>
      </c>
      <c r="L92" s="29">
        <v>36.945</v>
      </c>
      <c r="M92" s="29">
        <v>279</v>
      </c>
      <c r="N92" s="29">
        <v>29.35</v>
      </c>
      <c r="O92" s="29" t="s">
        <v>185</v>
      </c>
      <c r="P92" s="29" t="s">
        <v>185</v>
      </c>
      <c r="Q92" s="30">
        <v>1069</v>
      </c>
      <c r="R92" s="39">
        <v>113.05500000000001</v>
      </c>
      <c r="S92" s="48" t="s">
        <v>185</v>
      </c>
      <c r="T92" s="39" t="s">
        <v>185</v>
      </c>
      <c r="U92" s="15" t="s">
        <v>94</v>
      </c>
    </row>
    <row r="93" spans="1:23" x14ac:dyDescent="0.3">
      <c r="A93" s="14" t="s">
        <v>173</v>
      </c>
      <c r="B93" s="62">
        <f t="shared" si="20"/>
        <v>805</v>
      </c>
      <c r="C93" s="30">
        <v>392</v>
      </c>
      <c r="D93" s="29">
        <v>95.555000000000007</v>
      </c>
      <c r="E93" s="30">
        <v>116</v>
      </c>
      <c r="F93" s="29">
        <v>24.244</v>
      </c>
      <c r="G93" s="30">
        <v>4</v>
      </c>
      <c r="H93" s="29">
        <v>1.2</v>
      </c>
      <c r="I93" s="30">
        <v>99</v>
      </c>
      <c r="J93" s="29">
        <v>17.545000000000002</v>
      </c>
      <c r="K93" s="29">
        <v>19</v>
      </c>
      <c r="L93" s="29">
        <v>3.04</v>
      </c>
      <c r="M93" s="29">
        <v>144</v>
      </c>
      <c r="N93" s="29">
        <v>40.619999999999997</v>
      </c>
      <c r="O93" s="29" t="s">
        <v>185</v>
      </c>
      <c r="P93" s="29" t="s">
        <v>185</v>
      </c>
      <c r="Q93" s="30">
        <v>31</v>
      </c>
      <c r="R93" s="39">
        <v>9.1999999999999993</v>
      </c>
      <c r="S93" s="47" t="s">
        <v>185</v>
      </c>
      <c r="T93" s="39" t="s">
        <v>185</v>
      </c>
      <c r="U93" s="15" t="s">
        <v>95</v>
      </c>
    </row>
    <row r="94" spans="1:23" x14ac:dyDescent="0.3">
      <c r="A94" s="14" t="s">
        <v>174</v>
      </c>
      <c r="B94" s="62">
        <f t="shared" si="20"/>
        <v>7535</v>
      </c>
      <c r="C94" s="30">
        <v>7436</v>
      </c>
      <c r="D94" s="29">
        <v>1598.5360000000001</v>
      </c>
      <c r="E94" s="30">
        <v>4</v>
      </c>
      <c r="F94" s="29">
        <v>0.41</v>
      </c>
      <c r="G94" s="40" t="s">
        <v>185</v>
      </c>
      <c r="H94" s="29" t="s">
        <v>185</v>
      </c>
      <c r="I94" s="40">
        <v>4</v>
      </c>
      <c r="J94" s="29">
        <v>1.1000000000000001</v>
      </c>
      <c r="K94" s="29">
        <v>57</v>
      </c>
      <c r="L94" s="29">
        <v>18</v>
      </c>
      <c r="M94" s="29">
        <v>23</v>
      </c>
      <c r="N94" s="29">
        <v>4.5330000000000004</v>
      </c>
      <c r="O94" s="29" t="s">
        <v>185</v>
      </c>
      <c r="P94" s="29" t="s">
        <v>185</v>
      </c>
      <c r="Q94" s="30">
        <v>11</v>
      </c>
      <c r="R94" s="39">
        <v>2.1</v>
      </c>
      <c r="S94" s="47" t="s">
        <v>185</v>
      </c>
      <c r="T94" s="39" t="s">
        <v>185</v>
      </c>
      <c r="U94" s="15" t="s">
        <v>96</v>
      </c>
    </row>
    <row r="95" spans="1:23" ht="15" thickBot="1" x14ac:dyDescent="0.35">
      <c r="A95" s="31" t="s">
        <v>175</v>
      </c>
      <c r="B95" s="63">
        <f t="shared" si="20"/>
        <v>1178</v>
      </c>
      <c r="C95" s="33">
        <v>1135</v>
      </c>
      <c r="D95" s="32">
        <v>252.21100000000001</v>
      </c>
      <c r="E95" s="41" t="s">
        <v>185</v>
      </c>
      <c r="F95" s="32" t="s">
        <v>185</v>
      </c>
      <c r="G95" s="41" t="s">
        <v>185</v>
      </c>
      <c r="H95" s="32" t="s">
        <v>185</v>
      </c>
      <c r="I95" s="41" t="s">
        <v>185</v>
      </c>
      <c r="J95" s="32" t="s">
        <v>185</v>
      </c>
      <c r="K95" s="32">
        <v>9</v>
      </c>
      <c r="L95" s="32">
        <v>2.19</v>
      </c>
      <c r="M95" s="32">
        <v>34</v>
      </c>
      <c r="N95" s="32">
        <v>9.93</v>
      </c>
      <c r="O95" s="32" t="s">
        <v>185</v>
      </c>
      <c r="P95" s="32" t="s">
        <v>185</v>
      </c>
      <c r="Q95" s="33" t="s">
        <v>185</v>
      </c>
      <c r="R95" s="42" t="s">
        <v>185</v>
      </c>
      <c r="S95" s="52">
        <v>7</v>
      </c>
      <c r="T95" s="42">
        <v>0.81</v>
      </c>
      <c r="U95" s="34" t="s">
        <v>97</v>
      </c>
    </row>
    <row r="96" spans="1:23" x14ac:dyDescent="0.3">
      <c r="A96" s="35" t="s">
        <v>98</v>
      </c>
      <c r="Q96" s="36"/>
      <c r="T96" s="36"/>
      <c r="U96" s="36" t="s">
        <v>99</v>
      </c>
    </row>
    <row r="97" spans="1:21" x14ac:dyDescent="0.3">
      <c r="A97" s="37" t="s">
        <v>103</v>
      </c>
      <c r="U97" s="3" t="s">
        <v>100</v>
      </c>
    </row>
    <row r="114" spans="27:27" x14ac:dyDescent="0.3">
      <c r="AA114" s="3" t="s">
        <v>101</v>
      </c>
    </row>
  </sheetData>
  <mergeCells count="28">
    <mergeCell ref="C6:D6"/>
    <mergeCell ref="E6:F6"/>
    <mergeCell ref="G6:H6"/>
    <mergeCell ref="A2:U2"/>
    <mergeCell ref="A3:U3"/>
    <mergeCell ref="K5:L5"/>
    <mergeCell ref="M5:N5"/>
    <mergeCell ref="O5:P5"/>
    <mergeCell ref="A5:A7"/>
    <mergeCell ref="B6:B7"/>
    <mergeCell ref="I6:J6"/>
    <mergeCell ref="K6:L6"/>
    <mergeCell ref="M6:N6"/>
    <mergeCell ref="O6:P6"/>
    <mergeCell ref="Q6:R6"/>
    <mergeCell ref="S6:T6"/>
    <mergeCell ref="C5:D5"/>
    <mergeCell ref="E5:F5"/>
    <mergeCell ref="G5:H5"/>
    <mergeCell ref="I5:J5"/>
    <mergeCell ref="S5:T5"/>
    <mergeCell ref="V66:Y66"/>
    <mergeCell ref="Q5:R5"/>
    <mergeCell ref="V67:Y67"/>
    <mergeCell ref="V63:Y63"/>
    <mergeCell ref="V64:Y64"/>
    <mergeCell ref="V65:Y65"/>
    <mergeCell ref="U5:U7"/>
  </mergeCells>
  <pageMargins left="0.7" right="0.7" top="0.75" bottom="0.75" header="0.3" footer="0.3"/>
  <pageSetup paperSize="9" orientation="portrait" r:id="rId1"/>
  <headerFooter alignWithMargins="0"/>
  <ignoredErrors>
    <ignoredError sqref="B11:B15 B17:B23 B47:B51 B78:B90 B92:B95 C16:T16 C91:T91 C24:T24 C29:T29 C34:T34 C40:T40 C46:T46 C52:T52 C56:T56 C62:T62 C71:T71 C77:T77" unlockedFormula="1"/>
    <ignoredError sqref="B16 B24:B46 B52:B77 B9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Spyroulis Stergios</cp:lastModifiedBy>
  <cp:lastPrinted>2015-10-01T10:19:44Z</cp:lastPrinted>
  <dcterms:created xsi:type="dcterms:W3CDTF">2017-01-19T08:40:03Z</dcterms:created>
  <dcterms:modified xsi:type="dcterms:W3CDTF">2026-06-23T04:48:33Z</dcterms:modified>
</cp:coreProperties>
</file>