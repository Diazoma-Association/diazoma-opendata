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A9D31E78-98A5-4A91-8DEC-84AB484EE06D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7" i="2"/>
  <c r="B111" i="2"/>
  <c r="B110" i="2"/>
  <c r="B109" i="2"/>
  <c r="B108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0" i="2"/>
  <c r="B89" i="2"/>
  <c r="B88" i="2"/>
  <c r="B87" i="2"/>
  <c r="B86" i="2"/>
  <c r="B83" i="2"/>
  <c r="B82" i="2"/>
  <c r="B81" i="2"/>
  <c r="B80" i="2"/>
  <c r="B79" i="2"/>
  <c r="B78" i="2"/>
  <c r="B77" i="2"/>
  <c r="B76" i="2"/>
  <c r="B73" i="2"/>
  <c r="B72" i="2"/>
  <c r="B71" i="2"/>
  <c r="B70" i="2"/>
  <c r="B69" i="2"/>
  <c r="B66" i="2"/>
  <c r="B65" i="2"/>
  <c r="B64" i="2"/>
  <c r="B61" i="2"/>
  <c r="B60" i="2"/>
  <c r="B59" i="2"/>
  <c r="B58" i="2"/>
  <c r="B57" i="2"/>
  <c r="B54" i="2"/>
  <c r="B53" i="2"/>
  <c r="B52" i="2"/>
  <c r="B51" i="2"/>
  <c r="B50" i="2"/>
  <c r="B47" i="2"/>
  <c r="B46" i="2"/>
  <c r="B45" i="2"/>
  <c r="B44" i="2"/>
  <c r="B43" i="2"/>
  <c r="B40" i="2"/>
  <c r="B39" i="2"/>
  <c r="B38" i="2"/>
  <c r="B37" i="2"/>
  <c r="B34" i="2"/>
  <c r="B33" i="2"/>
  <c r="B32" i="2"/>
  <c r="B31" i="2"/>
  <c r="B29" i="2"/>
  <c r="B28" i="2"/>
  <c r="B27" i="2"/>
  <c r="B26" i="2"/>
  <c r="B25" i="2"/>
  <c r="B24" i="2"/>
  <c r="B23" i="2"/>
  <c r="B16" i="2"/>
  <c r="B18" i="2"/>
  <c r="B19" i="2"/>
  <c r="B20" i="2"/>
  <c r="O106" i="2"/>
  <c r="P106" i="2"/>
  <c r="O91" i="2"/>
  <c r="P91" i="2"/>
  <c r="O84" i="2"/>
  <c r="P84" i="2"/>
  <c r="O74" i="2"/>
  <c r="P74" i="2"/>
  <c r="O67" i="2"/>
  <c r="P67" i="2"/>
  <c r="O62" i="2"/>
  <c r="P62" i="2"/>
  <c r="O55" i="2"/>
  <c r="P55" i="2"/>
  <c r="O48" i="2"/>
  <c r="P48" i="2"/>
  <c r="O41" i="2"/>
  <c r="P41" i="2"/>
  <c r="O35" i="2"/>
  <c r="P35" i="2"/>
  <c r="O30" i="2"/>
  <c r="P30" i="2"/>
  <c r="O21" i="2"/>
  <c r="P21" i="2"/>
  <c r="O13" i="2"/>
  <c r="P13" i="2"/>
  <c r="P11" i="2" l="1"/>
  <c r="O11" i="2"/>
  <c r="D21" i="2" l="1"/>
  <c r="C13" i="2"/>
  <c r="D13" i="2"/>
  <c r="D30" i="2"/>
  <c r="E30" i="2"/>
  <c r="F30" i="2"/>
  <c r="G30" i="2"/>
  <c r="H30" i="2"/>
  <c r="I30" i="2"/>
  <c r="J30" i="2"/>
  <c r="K30" i="2"/>
  <c r="L30" i="2"/>
  <c r="M30" i="2"/>
  <c r="N30" i="2"/>
  <c r="Q30" i="2"/>
  <c r="R30" i="2"/>
  <c r="C30" i="2"/>
  <c r="G21" i="2"/>
  <c r="F21" i="2"/>
  <c r="E21" i="2"/>
  <c r="H21" i="2"/>
  <c r="I21" i="2"/>
  <c r="J21" i="2"/>
  <c r="K21" i="2"/>
  <c r="L21" i="2"/>
  <c r="M21" i="2"/>
  <c r="N21" i="2"/>
  <c r="Q21" i="2"/>
  <c r="R21" i="2"/>
  <c r="C21" i="2"/>
  <c r="R106" i="2"/>
  <c r="Q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R91" i="2"/>
  <c r="Q91" i="2"/>
  <c r="N91" i="2"/>
  <c r="M91" i="2"/>
  <c r="L91" i="2"/>
  <c r="K91" i="2"/>
  <c r="J91" i="2"/>
  <c r="I91" i="2"/>
  <c r="H91" i="2"/>
  <c r="G91" i="2"/>
  <c r="F91" i="2"/>
  <c r="E91" i="2"/>
  <c r="D91" i="2"/>
  <c r="C91" i="2"/>
  <c r="R84" i="2"/>
  <c r="Q84" i="2"/>
  <c r="N84" i="2"/>
  <c r="M84" i="2"/>
  <c r="L84" i="2"/>
  <c r="K84" i="2"/>
  <c r="J84" i="2"/>
  <c r="I84" i="2"/>
  <c r="H84" i="2"/>
  <c r="G84" i="2"/>
  <c r="F84" i="2"/>
  <c r="E84" i="2"/>
  <c r="D84" i="2"/>
  <c r="C84" i="2"/>
  <c r="R74" i="2"/>
  <c r="Q74" i="2"/>
  <c r="N74" i="2"/>
  <c r="M74" i="2"/>
  <c r="L74" i="2"/>
  <c r="K74" i="2"/>
  <c r="J74" i="2"/>
  <c r="I74" i="2"/>
  <c r="H74" i="2"/>
  <c r="G74" i="2"/>
  <c r="F74" i="2"/>
  <c r="E74" i="2"/>
  <c r="D74" i="2"/>
  <c r="C74" i="2"/>
  <c r="R67" i="2"/>
  <c r="Q67" i="2"/>
  <c r="N67" i="2"/>
  <c r="M67" i="2"/>
  <c r="L67" i="2"/>
  <c r="K67" i="2"/>
  <c r="J67" i="2"/>
  <c r="I67" i="2"/>
  <c r="H67" i="2"/>
  <c r="G67" i="2"/>
  <c r="F67" i="2"/>
  <c r="E67" i="2"/>
  <c r="D67" i="2"/>
  <c r="C67" i="2"/>
  <c r="R62" i="2"/>
  <c r="Q62" i="2"/>
  <c r="N62" i="2"/>
  <c r="M62" i="2"/>
  <c r="L62" i="2"/>
  <c r="K62" i="2"/>
  <c r="J62" i="2"/>
  <c r="I62" i="2"/>
  <c r="H62" i="2"/>
  <c r="G62" i="2"/>
  <c r="F62" i="2"/>
  <c r="E62" i="2"/>
  <c r="D62" i="2"/>
  <c r="C62" i="2"/>
  <c r="R55" i="2"/>
  <c r="Q55" i="2"/>
  <c r="N55" i="2"/>
  <c r="M55" i="2"/>
  <c r="L55" i="2"/>
  <c r="K55" i="2"/>
  <c r="J55" i="2"/>
  <c r="I55" i="2"/>
  <c r="H55" i="2"/>
  <c r="G55" i="2"/>
  <c r="F55" i="2"/>
  <c r="E55" i="2"/>
  <c r="D55" i="2"/>
  <c r="C55" i="2"/>
  <c r="R48" i="2"/>
  <c r="Q48" i="2"/>
  <c r="N48" i="2"/>
  <c r="M48" i="2"/>
  <c r="L48" i="2"/>
  <c r="K48" i="2"/>
  <c r="J48" i="2"/>
  <c r="I48" i="2"/>
  <c r="H48" i="2"/>
  <c r="G48" i="2"/>
  <c r="F48" i="2"/>
  <c r="E48" i="2"/>
  <c r="D48" i="2"/>
  <c r="C48" i="2"/>
  <c r="R41" i="2"/>
  <c r="Q41" i="2"/>
  <c r="N41" i="2"/>
  <c r="M41" i="2"/>
  <c r="L41" i="2"/>
  <c r="K41" i="2"/>
  <c r="J41" i="2"/>
  <c r="I41" i="2"/>
  <c r="H41" i="2"/>
  <c r="G41" i="2"/>
  <c r="F41" i="2"/>
  <c r="E41" i="2"/>
  <c r="D41" i="2"/>
  <c r="C41" i="2"/>
  <c r="R35" i="2"/>
  <c r="Q35" i="2"/>
  <c r="N35" i="2"/>
  <c r="M35" i="2"/>
  <c r="L35" i="2"/>
  <c r="K35" i="2"/>
  <c r="J35" i="2"/>
  <c r="I35" i="2"/>
  <c r="H35" i="2"/>
  <c r="G35" i="2"/>
  <c r="F35" i="2"/>
  <c r="E35" i="2"/>
  <c r="D35" i="2"/>
  <c r="C35" i="2"/>
  <c r="R13" i="2"/>
  <c r="Q13" i="2"/>
  <c r="N13" i="2"/>
  <c r="M13" i="2"/>
  <c r="L13" i="2"/>
  <c r="K13" i="2"/>
  <c r="J13" i="2"/>
  <c r="I13" i="2"/>
  <c r="H13" i="2"/>
  <c r="G13" i="2"/>
  <c r="F13" i="2"/>
  <c r="E13" i="2"/>
  <c r="B74" i="2" l="1"/>
  <c r="B35" i="2"/>
  <c r="B48" i="2"/>
  <c r="B91" i="2"/>
  <c r="E11" i="2"/>
  <c r="G11" i="2"/>
  <c r="B30" i="2"/>
  <c r="B106" i="2"/>
  <c r="B67" i="2"/>
  <c r="B55" i="2"/>
  <c r="B41" i="2"/>
  <c r="B21" i="2"/>
  <c r="B13" i="2"/>
  <c r="B84" i="2"/>
  <c r="B62" i="2"/>
  <c r="I11" i="2"/>
  <c r="K11" i="2"/>
  <c r="M11" i="2"/>
  <c r="Q11" i="2"/>
  <c r="C11" i="2"/>
  <c r="F11" i="2"/>
  <c r="H11" i="2"/>
  <c r="J11" i="2"/>
  <c r="L11" i="2"/>
  <c r="N11" i="2"/>
  <c r="R11" i="2"/>
  <c r="D11" i="2"/>
  <c r="B11" i="2" l="1"/>
</calcChain>
</file>

<file path=xl/sharedStrings.xml><?xml version="1.0" encoding="utf-8"?>
<sst xmlns="http://schemas.openxmlformats.org/spreadsheetml/2006/main" count="554" uniqueCount="307">
  <si>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</si>
  <si>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</si>
  <si>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</si>
  <si>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</si>
  <si>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</si>
  <si>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</si>
  <si>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</si>
  <si>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</si>
  <si>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</si>
  <si>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</si>
  <si>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</si>
  <si>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</si>
  <si>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</si>
  <si>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</si>
  <si>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</si>
  <si>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</si>
  <si>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</si>
  <si>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</si>
  <si>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</si>
  <si>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</si>
  <si>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</si>
  <si>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</si>
  <si>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</si>
  <si>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</si>
  <si>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</si>
  <si>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</si>
  <si>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</si>
  <si>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</si>
  <si>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</si>
  <si>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</si>
  <si>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</si>
  <si>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</si>
  <si>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</si>
  <si>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</si>
  <si>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</si>
  <si>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</si>
  <si>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</si>
  <si>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</si>
  <si>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</si>
  <si>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</si>
  <si>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</si>
  <si>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</si>
  <si>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</si>
  <si>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</si>
  <si>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</si>
  <si>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</si>
  <si>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</si>
  <si>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</si>
  <si>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</si>
  <si>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</si>
  <si>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</si>
  <si>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</si>
  <si>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</si>
  <si>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</si>
  <si>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</si>
  <si>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</si>
  <si>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</si>
  <si>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</si>
  <si>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</si>
  <si>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</si>
  <si>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</si>
  <si>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</si>
  <si>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</si>
  <si>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</si>
  <si>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</si>
  <si>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</si>
  <si>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</si>
  <si>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</si>
  <si>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</si>
  <si>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</si>
  <si>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</si>
  <si>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</si>
  <si>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</si>
  <si>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</si>
  <si>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</si>
  <si>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</si>
  <si>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</si>
  <si>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</si>
  <si>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</si>
  <si>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</si>
  <si>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</si>
  <si>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</si>
  <si>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</si>
  <si>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</si>
  <si>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</si>
  <si>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</si>
  <si>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</si>
  <si>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</si>
  <si>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</si>
  <si>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</si>
  <si>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</si>
  <si>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</si>
  <si>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</si>
  <si>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</si>
  <si>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</si>
  <si>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</si>
  <si>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</si>
  <si>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</si>
  <si>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</si>
  <si>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</si>
  <si>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</si>
  <si>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</si>
  <si>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</si>
  <si>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</si>
  <si>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</si>
  <si>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</si>
  <si>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</si>
  <si>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</si>
  <si>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</si>
  <si>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</si>
  <si>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</si>
  <si>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</si>
  <si>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</si>
  <si>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</si>
  <si>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</si>
  <si>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</si>
  <si>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</si>
  <si>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</si>
  <si>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</si>
  <si>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</si>
  <si>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</si>
  <si>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</si>
  <si>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</si>
  <si>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</si>
  <si>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</si>
  <si>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</si>
  <si>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</si>
  <si>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</si>
  <si>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</si>
  <si>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</si>
  <si>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</si>
  <si>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</si>
  <si>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</si>
  <si>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</si>
  <si>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</si>
  <si>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</si>
  <si>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</si>
  <si>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</si>
  <si>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</si>
  <si>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</si>
  <si>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</si>
  <si>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</si>
  <si>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</si>
  <si>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</si>
  <si>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</si>
  <si>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</si>
  <si>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</si>
  <si>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</si>
  <si>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</si>
  <si>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</si>
  <si>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</si>
  <si>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</si>
  <si>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</si>
  <si>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</si>
  <si>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</si>
  <si>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</si>
  <si>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</si>
  <si>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</si>
  <si>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</si>
  <si>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</si>
  <si>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</si>
  <si>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</si>
  <si>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</si>
  <si>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</si>
  <si>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</si>
  <si>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</si>
  <si>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</si>
  <si>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</si>
  <si>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</si>
  <si>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</si>
  <si>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</si>
  <si>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</si>
  <si>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</si>
  <si>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</si>
  <si>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</si>
  <si>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</si>
  <si>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</si>
  <si>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</si>
  <si>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</si>
  <si>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</si>
  <si>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</si>
  <si>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</si>
  <si>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</si>
  <si>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</si>
  <si>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</si>
  <si>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</si>
  <si>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</si>
  <si>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</si>
  <si>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</si>
  <si>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</si>
  <si>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</si>
  <si>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</si>
  <si>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</si>
  <si>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</si>
  <si>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</si>
  <si>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</si>
  <si>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</si>
  <si>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</si>
  <si>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</si>
  <si>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</si>
  <si>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</si>
  <si>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</si>
  <si>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</si>
  <si>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</si>
  <si>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</si>
  <si>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</si>
  <si>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</si>
  <si>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</si>
  <si>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</si>
  <si>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</si>
  <si>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</si>
  <si>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</si>
  <si>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</si>
  <si>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</si>
  <si>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</si>
  <si>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</si>
  <si>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</si>
  <si>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</si>
  <si>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</si>
  <si>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</si>
  <si>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</si>
  <si>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</si>
  <si>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</si>
  <si>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</si>
  <si>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</si>
  <si>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</si>
  <si>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</si>
  <si>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</si>
  <si>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</si>
  <si>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</si>
  <si>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</si>
  <si>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</si>
  <si>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</si>
  <si>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</si>
  <si>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</si>
  <si>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</si>
  <si>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</si>
  <si>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</si>
  <si>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</si>
  <si>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</si>
  <si>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</si>
  <si>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</si>
  <si>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</si>
  <si>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</si>
  <si>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</si>
  <si>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</si>
  <si>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</si>
  <si>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</si>
  <si>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</si>
  <si>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</si>
  <si>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</si>
  <si>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</si>
  <si>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</si>
  <si>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</si>
  <si>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</si>
  <si>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</si>
  <si>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</si>
  <si>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</si>
  <si>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</si>
  <si>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</si>
  <si>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</si>
  <si>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</si>
  <si>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</si>
  <si>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</si>
  <si>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</si>
  <si>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</si>
  <si>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</si>
  <si>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</si>
  <si>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</si>
  <si>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</si>
  <si>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</si>
  <si>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</si>
  <si>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</si>
  <si>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</si>
  <si>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</si>
  <si>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</si>
  <si>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(1) Production refers to hey from self-grown grass or grass from fallow land</t>
  </si>
  <si>
    <t>(2) Bitter veltch, veltching, peas, lentil, etc.</t>
  </si>
  <si>
    <t>Περιφέρειες και Περιφερειακές Ενότητες</t>
  </si>
  <si>
    <t>Περιφέρεια Δυτικής Μακεδονίας</t>
  </si>
  <si>
    <t>Region of Western Macedonia</t>
  </si>
  <si>
    <t>Areas in stremmas (1 stremma = 0.1 ha), production in tons</t>
  </si>
  <si>
    <t>—</t>
  </si>
  <si>
    <t>(1) Η παραγωγή αναφέρεται σε σανό αυτοφυούς χόρτου (κοφτολίβαδων και χόρτου αγραναπαύσεων)</t>
  </si>
  <si>
    <t>(2) Σόργο χλωρό, ρόβη, λαθούρι, μπιζέλια, φακή κλπ.</t>
  </si>
  <si>
    <t>Clovers</t>
  </si>
  <si>
    <t>Multiannual
(alfalfa, etc)</t>
  </si>
  <si>
    <t>Ετήσια</t>
  </si>
  <si>
    <t>Annual</t>
  </si>
  <si>
    <t>Τριφύλλια</t>
  </si>
  <si>
    <t>Total cultivated area</t>
  </si>
  <si>
    <t>Σύνολο
καλλιεργού-μενων εκτάσεων</t>
  </si>
  <si>
    <t xml:space="preserve"> Κριθάρι</t>
  </si>
  <si>
    <t>Barley for hay</t>
  </si>
  <si>
    <t>Βρώμη</t>
  </si>
  <si>
    <t>Oats for hay</t>
  </si>
  <si>
    <t>Veltch for hay</t>
  </si>
  <si>
    <t>Βίκος</t>
  </si>
  <si>
    <r>
      <t>Κοφτολίβαδα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</si>
  <si>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Low land meadows for hey</t>
    </r>
    <r>
      <rPr>
        <vertAlign val="superscript"/>
        <sz val="11"/>
        <rFont val="Calibri"/>
        <family val="2"/>
        <charset val="161"/>
        <scheme val="minor"/>
      </rPr>
      <t>(1)</t>
    </r>
  </si>
  <si>
    <t>Αραβόσιτος χλωρός</t>
  </si>
  <si>
    <t>Maize, fresh</t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</si>
  <si>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</si>
  <si>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</si>
  <si>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Πολυετή 
(μηδική, κλπ.)</t>
  </si>
  <si>
    <t>Πίνακας 2ε. Κτηνοτροφικά φυτά για σανό. Εκτάσεις και παραγωγή, κατά Περιφέρεια και Περιφερειακή Ενότητα, 2024</t>
  </si>
  <si>
    <t>Table 2e. Fodder plants for hey. Areas and production,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</si>
</sst>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14" fillId="0" borderId="7" xfId="0" applyFont="1" applyBorder="1" applyProtection="1">
      <protection locked="0"/>
    </xf>
    <xf numFmtId="0" fontId="0" fillId="0" borderId="0" xfId="0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Alignment="1" applyProtection="1">
      <alignment horizontal="left" indent="2"/>
      <protection locked="0"/>
    </xf>
    <xf numFmtId="49" fontId="0" fillId="0" borderId="0" xfId="0" applyNumberFormat="1" applyAlignment="1" applyProtection="1">
      <alignment horizontal="left" wrapText="1" indent="2"/>
      <protection locked="0"/>
    </xf>
    <xf numFmtId="49" fontId="0" fillId="0" borderId="7" xfId="0" applyNumberFormat="1" applyBorder="1" applyAlignment="1" applyProtection="1">
      <alignment horizontal="left" wrapText="1" indent="1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3" fillId="0" borderId="7" xfId="0" applyFont="1" applyBorder="1" applyProtection="1"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Protection="1"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3" fontId="15" fillId="16" borderId="15" xfId="0" applyNumberFormat="1" applyFont="1" applyFill="1" applyBorder="1" applyAlignment="1">
      <alignment horizontal="right" vertical="center" wrapText="1"/>
    </xf>
    <xf numFmtId="3" fontId="15" fillId="16" borderId="21" xfId="0" applyNumberFormat="1" applyFont="1" applyFill="1" applyBorder="1" applyAlignment="1">
      <alignment horizontal="right" vertical="center" wrapText="1"/>
    </xf>
    <xf numFmtId="3" fontId="15" fillId="16" borderId="16" xfId="0" applyNumberFormat="1" applyFont="1" applyFill="1" applyBorder="1" applyAlignment="1">
      <alignment horizontal="right" vertical="center" wrapText="1"/>
    </xf>
    <xf numFmtId="3" fontId="14" fillId="16" borderId="18" xfId="0" applyNumberFormat="1" applyFont="1" applyFill="1" applyBorder="1" applyAlignment="1" applyProtection="1">
      <alignment horizontal="right" vertical="center"/>
      <protection locked="0"/>
    </xf>
    <xf numFmtId="3" fontId="15" fillId="16" borderId="18" xfId="0" applyNumberFormat="1" applyFont="1" applyFill="1" applyBorder="1" applyAlignment="1">
      <alignment horizontal="right" vertical="center" wrapText="1"/>
    </xf>
    <xf numFmtId="3" fontId="14" fillId="16" borderId="32" xfId="0" applyNumberFormat="1" applyFont="1" applyFill="1" applyBorder="1" applyAlignment="1" applyProtection="1">
      <alignment horizontal="right" vertical="center"/>
      <protection locked="0"/>
    </xf>
    <xf numFmtId="0" fontId="15" fillId="0" borderId="19" xfId="0" applyFont="1" applyBorder="1" applyAlignment="1" applyProtection="1">
      <alignment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27" xfId="0" applyFont="1" applyBorder="1" applyAlignment="1" applyProtection="1">
      <alignment horizontal="center" vertical="center" wrapText="1"/>
      <protection locked="0"/>
    </xf>
    <xf numFmtId="0" fontId="14" fillId="0" borderId="28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30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3" fontId="15" fillId="16" borderId="16" xfId="0" applyNumberFormat="1" applyFont="1" applyFill="1" applyBorder="1" applyAlignment="1">
      <alignment horizontal="right" vertical="center"/>
    </xf>
    <xf numFmtId="3" fontId="15" fillId="16" borderId="15" xfId="0" applyNumberFormat="1" applyFont="1" applyFill="1" applyBorder="1" applyAlignment="1">
      <alignment horizontal="right" vertical="center"/>
    </xf>
    <xf numFmtId="3" fontId="15" fillId="16" borderId="25" xfId="0" applyNumberFormat="1" applyFont="1" applyFill="1" applyBorder="1" applyAlignment="1">
      <alignment horizontal="right" vertical="center"/>
    </xf>
    <xf numFmtId="3" fontId="15" fillId="16" borderId="36" xfId="0" applyNumberFormat="1" applyFont="1" applyFill="1" applyBorder="1" applyAlignment="1">
      <alignment horizontal="right" vertical="center"/>
    </xf>
    <xf numFmtId="3" fontId="15" fillId="16" borderId="0" xfId="0" applyNumberFormat="1" applyFont="1" applyFill="1" applyAlignment="1">
      <alignment horizontal="right" vertical="center"/>
    </xf>
    <xf numFmtId="0" fontId="12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6" borderId="18" xfId="0" applyNumberFormat="1" applyFont="1" applyFill="1" applyBorder="1" applyAlignment="1">
      <alignment horizontal="right" vertical="center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35" xfId="0" applyFont="1" applyBorder="1" applyAlignment="1" applyProtection="1">
      <alignment horizontal="center" vertical="center" wrapText="1"/>
      <protection locked="0"/>
    </xf>
    <xf numFmtId="0" fontId="15" fillId="0" borderId="2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center" vertical="center" wrapText="1"/>
      <protection locked="0"/>
    </xf>
    <xf numFmtId="3" fontId="15" fillId="16" borderId="34" xfId="0" applyNumberFormat="1" applyFont="1" applyFill="1" applyBorder="1" applyAlignment="1">
      <alignment horizontal="right" vertical="center"/>
    </xf>
    <xf numFmtId="3" fontId="15" fillId="16" borderId="21" xfId="0" applyNumberFormat="1" applyFont="1" applyFill="1" applyBorder="1" applyAlignment="1">
      <alignment horizontal="right" vertical="center"/>
    </xf>
    <xf numFmtId="3" fontId="15" fillId="16" borderId="4" xfId="0" applyNumberFormat="1" applyFont="1" applyFill="1" applyBorder="1" applyAlignment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3" fontId="15" fillId="16" borderId="31" xfId="0" applyNumberFormat="1" applyFont="1" applyFill="1" applyBorder="1" applyAlignment="1">
      <alignment horizontal="right" vertical="center"/>
    </xf>
    <xf numFmtId="0" fontId="0" fillId="0" borderId="4" xfId="0" applyBorder="1" applyAlignment="1" applyProtection="1">
      <alignment horizontal="left" wrapText="1" indent="1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0" borderId="31" xfId="0" applyFont="1" applyBorder="1" applyAlignment="1" applyProtection="1">
      <alignment vertical="center" wrapText="1"/>
      <protection locked="0"/>
    </xf>
    <xf numFmtId="0" fontId="15" fillId="0" borderId="26" xfId="0" applyFont="1" applyBorder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/>
      <protection locked="0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27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28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30" t="s">
        <v>7</v>
      </c>
      <c r="E3" s="230"/>
      <c r="F3" s="230"/>
      <c r="G3" s="230"/>
      <c r="H3" s="228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28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28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28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28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28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28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28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28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28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28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28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28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28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28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28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28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28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29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31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32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32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32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32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32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32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32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32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33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34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35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35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35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35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35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35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35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35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35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35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35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36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27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28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28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28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28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28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28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29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24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25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25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25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25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25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25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25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25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25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25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25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25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25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25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25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25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26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9"/>
  <sheetViews>
    <sheetView showGridLines="0" tabSelected="1" zoomScaleNormal="100" workbookViewId="0">
      <selection activeCell="O18" sqref="O18"/>
    </sheetView>
  </sheetViews>
  <sheetFormatPr defaultRowHeight="13.8" x14ac:dyDescent="0.3"/>
  <cols>
    <col min="1" max="1" width="43.21875" style="120" customWidth="1"/>
    <col min="2" max="2" width="11.44140625" style="120" customWidth="1"/>
    <col min="3" max="3" width="7.5546875" style="120" bestFit="1" customWidth="1"/>
    <col min="4" max="4" width="6.5546875" style="120" bestFit="1" customWidth="1"/>
    <col min="5" max="8" width="7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3" width="9.109375" style="120" bestFit="1" customWidth="1"/>
    <col min="14" max="14" width="7.5546875" style="120" bestFit="1" customWidth="1"/>
    <col min="15" max="15" width="7.5546875" style="120" customWidth="1"/>
    <col min="16" max="18" width="7.5546875" style="120" bestFit="1" customWidth="1"/>
    <col min="19" max="19" width="11" style="120" customWidth="1"/>
    <col min="20" max="20" width="12.77734375" style="120" customWidth="1"/>
    <col min="21" max="21" width="11.77734375" style="120" customWidth="1"/>
    <col min="22" max="22" width="6.44140625" style="120" customWidth="1"/>
    <col min="23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22" ht="18" x14ac:dyDescent="0.3">
      <c r="A2" s="191" t="s">
        <v>305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</row>
    <row r="3" spans="1:22" ht="18" x14ac:dyDescent="0.3">
      <c r="A3" s="191" t="s">
        <v>306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2" s="124" customFormat="1" ht="15" thickBot="1" x14ac:dyDescent="0.35">
      <c r="A5" s="143" t="s">
        <v>170</v>
      </c>
      <c r="B5" s="143"/>
      <c r="C5" s="143"/>
      <c r="D5" s="143"/>
      <c r="E5" s="143"/>
      <c r="F5" s="14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45"/>
      <c r="T5" s="145"/>
      <c r="U5" s="146" t="s">
        <v>281</v>
      </c>
    </row>
    <row r="6" spans="1:22" s="124" customFormat="1" ht="26.4" customHeight="1" x14ac:dyDescent="0.3">
      <c r="A6" s="200" t="s">
        <v>278</v>
      </c>
      <c r="B6" s="171" t="s">
        <v>291</v>
      </c>
      <c r="C6" s="161" t="s">
        <v>292</v>
      </c>
      <c r="D6" s="162"/>
      <c r="E6" s="178" t="s">
        <v>294</v>
      </c>
      <c r="F6" s="179"/>
      <c r="G6" s="161" t="s">
        <v>297</v>
      </c>
      <c r="H6" s="162"/>
      <c r="I6" s="174" t="s">
        <v>289</v>
      </c>
      <c r="J6" s="175"/>
      <c r="K6" s="175"/>
      <c r="L6" s="176"/>
      <c r="M6" s="161" t="s">
        <v>298</v>
      </c>
      <c r="N6" s="162"/>
      <c r="O6" s="161" t="s">
        <v>300</v>
      </c>
      <c r="P6" s="162"/>
      <c r="Q6" s="161" t="s">
        <v>302</v>
      </c>
      <c r="R6" s="167"/>
      <c r="S6" s="194" t="s">
        <v>171</v>
      </c>
      <c r="T6" s="195"/>
      <c r="U6" s="195"/>
      <c r="V6" s="150"/>
    </row>
    <row r="7" spans="1:22" s="124" customFormat="1" ht="42.6" customHeight="1" x14ac:dyDescent="0.3">
      <c r="A7" s="201"/>
      <c r="B7" s="172"/>
      <c r="C7" s="163"/>
      <c r="D7" s="164"/>
      <c r="E7" s="180"/>
      <c r="F7" s="181"/>
      <c r="G7" s="163"/>
      <c r="H7" s="164"/>
      <c r="I7" s="165" t="s">
        <v>304</v>
      </c>
      <c r="J7" s="166"/>
      <c r="K7" s="165" t="s">
        <v>287</v>
      </c>
      <c r="L7" s="166"/>
      <c r="M7" s="163"/>
      <c r="N7" s="164"/>
      <c r="O7" s="163"/>
      <c r="P7" s="164"/>
      <c r="Q7" s="163"/>
      <c r="R7" s="168"/>
      <c r="S7" s="196"/>
      <c r="T7" s="197"/>
      <c r="U7" s="197"/>
    </row>
    <row r="8" spans="1:22" s="124" customFormat="1" ht="18" customHeight="1" x14ac:dyDescent="0.3">
      <c r="A8" s="201"/>
      <c r="B8" s="173"/>
      <c r="C8" s="159"/>
      <c r="D8" s="160"/>
      <c r="E8" s="182"/>
      <c r="F8" s="183"/>
      <c r="G8" s="159"/>
      <c r="H8" s="160"/>
      <c r="I8" s="159" t="s">
        <v>285</v>
      </c>
      <c r="J8" s="177"/>
      <c r="K8" s="177"/>
      <c r="L8" s="160"/>
      <c r="M8" s="159"/>
      <c r="N8" s="160"/>
      <c r="O8" s="159"/>
      <c r="P8" s="160"/>
      <c r="Q8" s="159"/>
      <c r="R8" s="169"/>
      <c r="S8" s="196"/>
      <c r="T8" s="197"/>
      <c r="U8" s="197"/>
    </row>
    <row r="9" spans="1:22" s="124" customFormat="1" ht="45" customHeight="1" x14ac:dyDescent="0.3">
      <c r="A9" s="201"/>
      <c r="B9" s="151" t="s">
        <v>290</v>
      </c>
      <c r="C9" s="159" t="s">
        <v>293</v>
      </c>
      <c r="D9" s="160"/>
      <c r="E9" s="182" t="s">
        <v>295</v>
      </c>
      <c r="F9" s="183"/>
      <c r="G9" s="184" t="s">
        <v>296</v>
      </c>
      <c r="H9" s="185"/>
      <c r="I9" s="165" t="s">
        <v>286</v>
      </c>
      <c r="J9" s="166"/>
      <c r="K9" s="165" t="s">
        <v>288</v>
      </c>
      <c r="L9" s="166"/>
      <c r="M9" s="159" t="s">
        <v>299</v>
      </c>
      <c r="N9" s="160"/>
      <c r="O9" s="165" t="s">
        <v>301</v>
      </c>
      <c r="P9" s="166"/>
      <c r="Q9" s="165" t="s">
        <v>303</v>
      </c>
      <c r="R9" s="170"/>
      <c r="S9" s="196"/>
      <c r="T9" s="197"/>
      <c r="U9" s="197"/>
    </row>
    <row r="10" spans="1:22" s="124" customFormat="1" ht="14.4" x14ac:dyDescent="0.3">
      <c r="A10" s="202"/>
      <c r="B10" s="158"/>
      <c r="C10" s="125">
        <v>1</v>
      </c>
      <c r="D10" s="125">
        <v>2</v>
      </c>
      <c r="E10" s="125">
        <v>1</v>
      </c>
      <c r="F10" s="125">
        <v>2</v>
      </c>
      <c r="G10" s="126">
        <v>1</v>
      </c>
      <c r="H10" s="126">
        <v>2</v>
      </c>
      <c r="I10" s="125">
        <v>1</v>
      </c>
      <c r="J10" s="125">
        <v>2</v>
      </c>
      <c r="K10" s="127">
        <v>1</v>
      </c>
      <c r="L10" s="126">
        <v>2</v>
      </c>
      <c r="M10" s="128">
        <v>1</v>
      </c>
      <c r="N10" s="126">
        <v>2</v>
      </c>
      <c r="O10" s="126">
        <v>1</v>
      </c>
      <c r="P10" s="126">
        <v>2</v>
      </c>
      <c r="Q10" s="126">
        <v>1</v>
      </c>
      <c r="R10" s="127">
        <v>2</v>
      </c>
      <c r="S10" s="198"/>
      <c r="T10" s="199"/>
      <c r="U10" s="199"/>
    </row>
    <row r="11" spans="1:22" s="124" customFormat="1" ht="14.4" x14ac:dyDescent="0.3">
      <c r="A11" s="206" t="s">
        <v>172</v>
      </c>
      <c r="B11" s="208">
        <f>SUM(B13,B21,B30,B35,B41,B48,B55,B62,B67,B74,B84,B91,B106)</f>
        <v>4476898</v>
      </c>
      <c r="C11" s="188">
        <f>SUM(C13,C21,C30,C35,C41,C48,C55,C62,C67,C74,C84,C91,C106)</f>
        <v>215829</v>
      </c>
      <c r="D11" s="188">
        <f>SUM(D13,D21,D30,D35,D41,D48,D55,D62,D67,D74,D84,D91,D106)</f>
        <v>70980.800000000003</v>
      </c>
      <c r="E11" s="188">
        <f>SUM(E13,E21,E30,E35,E41,E48,E55,E62,E67,E74,E84,E91,E106)</f>
        <v>391805</v>
      </c>
      <c r="F11" s="188">
        <f t="shared" ref="F11:R11" si="0">SUM(F13,F21,F30,F35,F41,F48,F55,F62,F67,F74,F84,F91,F106)</f>
        <v>148862.19999999998</v>
      </c>
      <c r="G11" s="188">
        <f>SUM(G13,G21,G30,G35,G41,G48,G55,G62,G67,G74,G84,G91,G106)</f>
        <v>319334</v>
      </c>
      <c r="H11" s="188">
        <f t="shared" si="0"/>
        <v>115652.59300000001</v>
      </c>
      <c r="I11" s="188">
        <f t="shared" si="0"/>
        <v>1719742</v>
      </c>
      <c r="J11" s="188">
        <f t="shared" si="0"/>
        <v>1707080.6940000001</v>
      </c>
      <c r="K11" s="188">
        <f t="shared" si="0"/>
        <v>358683</v>
      </c>
      <c r="L11" s="188">
        <f t="shared" si="0"/>
        <v>362541.033</v>
      </c>
      <c r="M11" s="188">
        <f t="shared" si="0"/>
        <v>1082727</v>
      </c>
      <c r="N11" s="203">
        <f t="shared" si="0"/>
        <v>435987.53400000004</v>
      </c>
      <c r="O11" s="188">
        <f t="shared" ref="O11:P11" si="1">SUM(O13,O21,O30,O35,O41,O48,O55,O62,O67,O74,O84,O91,O106)</f>
        <v>175883</v>
      </c>
      <c r="P11" s="189">
        <f t="shared" si="1"/>
        <v>720577.95100000012</v>
      </c>
      <c r="Q11" s="188">
        <f t="shared" si="0"/>
        <v>212895</v>
      </c>
      <c r="R11" s="203">
        <f t="shared" si="0"/>
        <v>103806.48299999999</v>
      </c>
      <c r="S11" s="215" t="s">
        <v>173</v>
      </c>
      <c r="T11" s="216"/>
      <c r="U11" s="216"/>
    </row>
    <row r="12" spans="1:22" s="124" customFormat="1" ht="10.050000000000001" customHeight="1" x14ac:dyDescent="0.3">
      <c r="A12" s="207"/>
      <c r="B12" s="205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204"/>
      <c r="O12" s="187"/>
      <c r="P12" s="186"/>
      <c r="Q12" s="187"/>
      <c r="R12" s="204"/>
      <c r="S12" s="217"/>
      <c r="T12" s="218"/>
      <c r="U12" s="218"/>
    </row>
    <row r="13" spans="1:22" s="124" customFormat="1" ht="14.4" x14ac:dyDescent="0.3">
      <c r="A13" s="192" t="s">
        <v>174</v>
      </c>
      <c r="B13" s="205">
        <f>SUM(B15:B20)</f>
        <v>735401</v>
      </c>
      <c r="C13" s="187">
        <f>SUM(C15:C20)</f>
        <v>7502</v>
      </c>
      <c r="D13" s="190">
        <f>SUM(D15:D20)</f>
        <v>2823.6129999999998</v>
      </c>
      <c r="E13" s="187">
        <f t="shared" ref="E13:R13" si="2">SUM(E15:E20)</f>
        <v>4083</v>
      </c>
      <c r="F13" s="190">
        <f t="shared" si="2"/>
        <v>1572.453</v>
      </c>
      <c r="G13" s="187">
        <f t="shared" si="2"/>
        <v>11785</v>
      </c>
      <c r="H13" s="190">
        <f t="shared" si="2"/>
        <v>4997.4929999999995</v>
      </c>
      <c r="I13" s="187">
        <f t="shared" si="2"/>
        <v>285773</v>
      </c>
      <c r="J13" s="190">
        <f t="shared" si="2"/>
        <v>252195.99899999998</v>
      </c>
      <c r="K13" s="187">
        <f t="shared" si="2"/>
        <v>41099</v>
      </c>
      <c r="L13" s="190">
        <f t="shared" si="2"/>
        <v>37629.56</v>
      </c>
      <c r="M13" s="187">
        <f t="shared" si="2"/>
        <v>345665</v>
      </c>
      <c r="N13" s="190">
        <f t="shared" si="2"/>
        <v>143363.69200000001</v>
      </c>
      <c r="O13" s="187">
        <f t="shared" ref="O13:P13" si="3">SUM(O15:O20)</f>
        <v>26871</v>
      </c>
      <c r="P13" s="190">
        <f t="shared" si="3"/>
        <v>95246.396999999997</v>
      </c>
      <c r="Q13" s="187">
        <f t="shared" si="2"/>
        <v>12623</v>
      </c>
      <c r="R13" s="190">
        <f t="shared" si="2"/>
        <v>11032.56</v>
      </c>
      <c r="S13" s="219" t="s">
        <v>175</v>
      </c>
      <c r="T13" s="220"/>
      <c r="U13" s="220"/>
      <c r="V13" s="144"/>
    </row>
    <row r="14" spans="1:22" s="124" customFormat="1" ht="14.4" x14ac:dyDescent="0.3">
      <c r="A14" s="192"/>
      <c r="B14" s="205"/>
      <c r="C14" s="187"/>
      <c r="D14" s="190"/>
      <c r="E14" s="187"/>
      <c r="F14" s="190"/>
      <c r="G14" s="187"/>
      <c r="H14" s="190"/>
      <c r="I14" s="187"/>
      <c r="J14" s="190"/>
      <c r="K14" s="187"/>
      <c r="L14" s="190"/>
      <c r="M14" s="187"/>
      <c r="N14" s="190"/>
      <c r="O14" s="187"/>
      <c r="P14" s="190"/>
      <c r="Q14" s="187"/>
      <c r="R14" s="190"/>
      <c r="S14" s="219"/>
      <c r="T14" s="220"/>
      <c r="U14" s="220"/>
      <c r="V14" s="144"/>
    </row>
    <row r="15" spans="1:22" s="124" customFormat="1" ht="14.4" x14ac:dyDescent="0.3">
      <c r="A15" s="129" t="s">
        <v>1</v>
      </c>
      <c r="B15" s="155">
        <f>SUM(C15,E15,G15,I15,K15,M15,O15,Q15)</f>
        <v>183087</v>
      </c>
      <c r="C15" s="130">
        <v>1058</v>
      </c>
      <c r="D15" s="131">
        <v>423.58</v>
      </c>
      <c r="E15" s="130">
        <v>691</v>
      </c>
      <c r="F15" s="131">
        <v>261.26299999999998</v>
      </c>
      <c r="G15" s="130">
        <v>6057</v>
      </c>
      <c r="H15" s="131">
        <v>2354.8330000000001</v>
      </c>
      <c r="I15" s="130">
        <v>31561</v>
      </c>
      <c r="J15" s="131">
        <v>33396.75</v>
      </c>
      <c r="K15" s="130">
        <v>15828</v>
      </c>
      <c r="L15" s="131">
        <v>14836.035</v>
      </c>
      <c r="M15" s="130">
        <v>121428</v>
      </c>
      <c r="N15" s="131">
        <v>48944.35</v>
      </c>
      <c r="O15" s="130">
        <v>3811</v>
      </c>
      <c r="P15" s="131">
        <v>12916.71</v>
      </c>
      <c r="Q15" s="130">
        <v>2653</v>
      </c>
      <c r="R15" s="131">
        <v>5730.9549999999999</v>
      </c>
      <c r="S15" s="147" t="s">
        <v>176</v>
      </c>
    </row>
    <row r="16" spans="1:22" s="124" customFormat="1" ht="14.4" x14ac:dyDescent="0.3">
      <c r="A16" s="129" t="s">
        <v>4</v>
      </c>
      <c r="B16" s="155">
        <f t="shared" ref="B16:B20" si="4">SUM(C16,E16,G16,I16,K16,M16,O16,Q16)</f>
        <v>120596</v>
      </c>
      <c r="C16" s="130">
        <v>3678</v>
      </c>
      <c r="D16" s="131">
        <v>1350.491</v>
      </c>
      <c r="E16" s="130">
        <v>2463</v>
      </c>
      <c r="F16" s="131">
        <v>901.55</v>
      </c>
      <c r="G16" s="130">
        <v>2443</v>
      </c>
      <c r="H16" s="131">
        <v>731</v>
      </c>
      <c r="I16" s="130">
        <v>54264</v>
      </c>
      <c r="J16" s="131">
        <v>50743.114000000001</v>
      </c>
      <c r="K16" s="130">
        <v>7534</v>
      </c>
      <c r="L16" s="131">
        <v>6649.7740000000003</v>
      </c>
      <c r="M16" s="130">
        <v>34520</v>
      </c>
      <c r="N16" s="131">
        <v>15358.621999999999</v>
      </c>
      <c r="O16" s="130">
        <v>8261</v>
      </c>
      <c r="P16" s="131">
        <v>32307.15</v>
      </c>
      <c r="Q16" s="130">
        <v>7433</v>
      </c>
      <c r="R16" s="131">
        <v>4018.6120000000001</v>
      </c>
      <c r="S16" s="147" t="s">
        <v>177</v>
      </c>
    </row>
    <row r="17" spans="1:21" s="124" customFormat="1" ht="14.4" x14ac:dyDescent="0.3">
      <c r="A17" s="129" t="s">
        <v>6</v>
      </c>
      <c r="B17" s="155">
        <f>SUM(C17,E17,G17,I17,K17,M17,O17,Q17)</f>
        <v>327298</v>
      </c>
      <c r="C17" s="130">
        <v>763</v>
      </c>
      <c r="D17" s="131">
        <v>265.10700000000003</v>
      </c>
      <c r="E17" s="130">
        <v>274</v>
      </c>
      <c r="F17" s="131">
        <v>115.68</v>
      </c>
      <c r="G17" s="130">
        <v>1217</v>
      </c>
      <c r="H17" s="131">
        <v>414.41</v>
      </c>
      <c r="I17" s="130">
        <v>166963</v>
      </c>
      <c r="J17" s="131">
        <v>132055.89199999999</v>
      </c>
      <c r="K17" s="130">
        <v>4911</v>
      </c>
      <c r="L17" s="131">
        <v>3349.8159999999998</v>
      </c>
      <c r="M17" s="130">
        <v>149196</v>
      </c>
      <c r="N17" s="131">
        <v>47389.872000000003</v>
      </c>
      <c r="O17" s="130">
        <v>3068</v>
      </c>
      <c r="P17" s="131">
        <v>11395.33</v>
      </c>
      <c r="Q17" s="130">
        <v>906</v>
      </c>
      <c r="R17" s="131">
        <v>364.73</v>
      </c>
      <c r="S17" s="147" t="s">
        <v>178</v>
      </c>
    </row>
    <row r="18" spans="1:21" s="124" customFormat="1" ht="14.4" x14ac:dyDescent="0.3">
      <c r="A18" s="129" t="s">
        <v>9</v>
      </c>
      <c r="B18" s="155">
        <f t="shared" si="4"/>
        <v>11</v>
      </c>
      <c r="C18" s="130">
        <v>7</v>
      </c>
      <c r="D18" s="131">
        <v>1.8</v>
      </c>
      <c r="E18" s="130" t="s">
        <v>282</v>
      </c>
      <c r="F18" s="131" t="s">
        <v>282</v>
      </c>
      <c r="G18" s="130" t="s">
        <v>282</v>
      </c>
      <c r="H18" s="131" t="s">
        <v>282</v>
      </c>
      <c r="I18" s="130" t="s">
        <v>282</v>
      </c>
      <c r="J18" s="131" t="s">
        <v>282</v>
      </c>
      <c r="K18" s="130">
        <v>1</v>
      </c>
      <c r="L18" s="131">
        <v>1.1499999999999999</v>
      </c>
      <c r="M18" s="130">
        <v>3</v>
      </c>
      <c r="N18" s="131">
        <v>1.5</v>
      </c>
      <c r="O18" s="130" t="s">
        <v>282</v>
      </c>
      <c r="P18" s="131" t="s">
        <v>282</v>
      </c>
      <c r="Q18" s="130" t="s">
        <v>282</v>
      </c>
      <c r="R18" s="131" t="s">
        <v>282</v>
      </c>
      <c r="S18" s="147" t="s">
        <v>179</v>
      </c>
    </row>
    <row r="19" spans="1:21" s="124" customFormat="1" ht="14.4" x14ac:dyDescent="0.3">
      <c r="A19" s="129" t="s">
        <v>12</v>
      </c>
      <c r="B19" s="155">
        <f t="shared" si="4"/>
        <v>34768</v>
      </c>
      <c r="C19" s="130">
        <v>1693</v>
      </c>
      <c r="D19" s="131">
        <v>672.27800000000002</v>
      </c>
      <c r="E19" s="130">
        <v>535</v>
      </c>
      <c r="F19" s="131">
        <v>239.53</v>
      </c>
      <c r="G19" s="130">
        <v>2003</v>
      </c>
      <c r="H19" s="131">
        <v>1456.89</v>
      </c>
      <c r="I19" s="130">
        <v>13820</v>
      </c>
      <c r="J19" s="131">
        <v>14222.12</v>
      </c>
      <c r="K19" s="130">
        <v>6872</v>
      </c>
      <c r="L19" s="131">
        <v>6087.125</v>
      </c>
      <c r="M19" s="130">
        <v>4555</v>
      </c>
      <c r="N19" s="131">
        <v>1904.19</v>
      </c>
      <c r="O19" s="130">
        <v>4327</v>
      </c>
      <c r="P19" s="131">
        <v>14293.45</v>
      </c>
      <c r="Q19" s="130">
        <v>963</v>
      </c>
      <c r="R19" s="131">
        <v>517.44000000000005</v>
      </c>
      <c r="S19" s="147" t="s">
        <v>180</v>
      </c>
    </row>
    <row r="20" spans="1:21" s="124" customFormat="1" ht="14.4" x14ac:dyDescent="0.3">
      <c r="A20" s="129" t="s">
        <v>14</v>
      </c>
      <c r="B20" s="155">
        <f t="shared" si="4"/>
        <v>69641</v>
      </c>
      <c r="C20" s="130">
        <v>303</v>
      </c>
      <c r="D20" s="131">
        <v>110.357</v>
      </c>
      <c r="E20" s="130">
        <v>120</v>
      </c>
      <c r="F20" s="131">
        <v>54.43</v>
      </c>
      <c r="G20" s="130">
        <v>65</v>
      </c>
      <c r="H20" s="131">
        <v>40.36</v>
      </c>
      <c r="I20" s="130">
        <v>19165</v>
      </c>
      <c r="J20" s="131">
        <v>21778.123</v>
      </c>
      <c r="K20" s="130">
        <v>5953</v>
      </c>
      <c r="L20" s="131">
        <v>6705.66</v>
      </c>
      <c r="M20" s="130">
        <v>35963</v>
      </c>
      <c r="N20" s="131">
        <v>29765.157999999999</v>
      </c>
      <c r="O20" s="130">
        <v>7404</v>
      </c>
      <c r="P20" s="131">
        <v>24333.757000000001</v>
      </c>
      <c r="Q20" s="130">
        <v>668</v>
      </c>
      <c r="R20" s="131">
        <v>400.82299999999998</v>
      </c>
      <c r="S20" s="147" t="s">
        <v>181</v>
      </c>
    </row>
    <row r="21" spans="1:21" s="124" customFormat="1" ht="14.4" x14ac:dyDescent="0.3">
      <c r="A21" s="192" t="s">
        <v>182</v>
      </c>
      <c r="B21" s="193">
        <f t="shared" ref="B21:G21" si="5">SUM(B23:B29)</f>
        <v>739473</v>
      </c>
      <c r="C21" s="187">
        <f t="shared" si="5"/>
        <v>21941</v>
      </c>
      <c r="D21" s="187">
        <f>SUM(D23:D29)</f>
        <v>7486.567</v>
      </c>
      <c r="E21" s="187">
        <f t="shared" si="5"/>
        <v>14684</v>
      </c>
      <c r="F21" s="187">
        <f t="shared" si="5"/>
        <v>4410.1009999999997</v>
      </c>
      <c r="G21" s="187">
        <f t="shared" si="5"/>
        <v>85879</v>
      </c>
      <c r="H21" s="187">
        <f t="shared" ref="H21:R21" si="6">SUM(H23:H29)</f>
        <v>21664.162000000004</v>
      </c>
      <c r="I21" s="187">
        <f t="shared" si="6"/>
        <v>393696</v>
      </c>
      <c r="J21" s="187">
        <f t="shared" si="6"/>
        <v>412051.81199999998</v>
      </c>
      <c r="K21" s="187">
        <f t="shared" si="6"/>
        <v>65306</v>
      </c>
      <c r="L21" s="187">
        <f t="shared" si="6"/>
        <v>67804.509999999995</v>
      </c>
      <c r="M21" s="187">
        <f t="shared" si="6"/>
        <v>35744</v>
      </c>
      <c r="N21" s="204">
        <f t="shared" si="6"/>
        <v>14632.62</v>
      </c>
      <c r="O21" s="187">
        <f t="shared" ref="O21:P21" si="7">SUM(O23:O29)</f>
        <v>76858</v>
      </c>
      <c r="P21" s="186">
        <f t="shared" si="7"/>
        <v>361350.342</v>
      </c>
      <c r="Q21" s="187">
        <f t="shared" si="6"/>
        <v>45365</v>
      </c>
      <c r="R21" s="204">
        <f t="shared" si="6"/>
        <v>27655.504000000001</v>
      </c>
      <c r="S21" s="221" t="s">
        <v>183</v>
      </c>
      <c r="T21" s="222"/>
      <c r="U21" s="222"/>
    </row>
    <row r="22" spans="1:21" s="124" customFormat="1" ht="14.4" x14ac:dyDescent="0.3">
      <c r="A22" s="192"/>
      <c r="B22" s="193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204"/>
      <c r="O22" s="187"/>
      <c r="P22" s="186"/>
      <c r="Q22" s="187"/>
      <c r="R22" s="204"/>
      <c r="S22" s="221"/>
      <c r="T22" s="222"/>
      <c r="U22" s="222"/>
    </row>
    <row r="23" spans="1:21" s="124" customFormat="1" ht="14.4" x14ac:dyDescent="0.3">
      <c r="A23" s="129" t="s">
        <v>16</v>
      </c>
      <c r="B23" s="155">
        <f t="shared" ref="B23:B29" si="8">SUM(C23,E23,G23,I23,K23,M23,O23,Q23)</f>
        <v>145034</v>
      </c>
      <c r="C23" s="130">
        <v>2272</v>
      </c>
      <c r="D23" s="131">
        <v>671.81399999999996</v>
      </c>
      <c r="E23" s="130">
        <v>2034</v>
      </c>
      <c r="F23" s="131">
        <v>765.50800000000004</v>
      </c>
      <c r="G23" s="130">
        <v>7612</v>
      </c>
      <c r="H23" s="131">
        <v>2898.78</v>
      </c>
      <c r="I23" s="130">
        <v>76820</v>
      </c>
      <c r="J23" s="131">
        <v>80600.34</v>
      </c>
      <c r="K23" s="130">
        <v>7368</v>
      </c>
      <c r="L23" s="131">
        <v>5116.777</v>
      </c>
      <c r="M23" s="130">
        <v>7260</v>
      </c>
      <c r="N23" s="131">
        <v>2107.4639999999999</v>
      </c>
      <c r="O23" s="130">
        <v>29257</v>
      </c>
      <c r="P23" s="131">
        <v>148008.16699999999</v>
      </c>
      <c r="Q23" s="130">
        <v>12411</v>
      </c>
      <c r="R23" s="131">
        <v>5843.0879999999997</v>
      </c>
      <c r="S23" s="147" t="s">
        <v>184</v>
      </c>
    </row>
    <row r="24" spans="1:21" s="124" customFormat="1" ht="14.4" x14ac:dyDescent="0.3">
      <c r="A24" s="129" t="s">
        <v>18</v>
      </c>
      <c r="B24" s="155">
        <f t="shared" si="8"/>
        <v>30141</v>
      </c>
      <c r="C24" s="130">
        <v>592</v>
      </c>
      <c r="D24" s="131">
        <v>159.34</v>
      </c>
      <c r="E24" s="130">
        <v>128</v>
      </c>
      <c r="F24" s="131">
        <v>36.25</v>
      </c>
      <c r="G24" s="130">
        <v>1085</v>
      </c>
      <c r="H24" s="131">
        <v>288</v>
      </c>
      <c r="I24" s="130">
        <v>6815</v>
      </c>
      <c r="J24" s="131">
        <v>6742.7</v>
      </c>
      <c r="K24" s="130">
        <v>5785</v>
      </c>
      <c r="L24" s="131">
        <v>4951.5</v>
      </c>
      <c r="M24" s="130">
        <v>8887</v>
      </c>
      <c r="N24" s="131">
        <v>2684.41</v>
      </c>
      <c r="O24" s="130">
        <v>2927</v>
      </c>
      <c r="P24" s="131">
        <v>12163</v>
      </c>
      <c r="Q24" s="130">
        <v>3922</v>
      </c>
      <c r="R24" s="131">
        <v>1545.222</v>
      </c>
      <c r="S24" s="147" t="s">
        <v>185</v>
      </c>
    </row>
    <row r="25" spans="1:21" s="124" customFormat="1" ht="14.4" x14ac:dyDescent="0.3">
      <c r="A25" s="129" t="s">
        <v>20</v>
      </c>
      <c r="B25" s="155">
        <f t="shared" si="8"/>
        <v>133735</v>
      </c>
      <c r="C25" s="130">
        <v>3586</v>
      </c>
      <c r="D25" s="131">
        <v>1221.0070000000001</v>
      </c>
      <c r="E25" s="130">
        <v>1975</v>
      </c>
      <c r="F25" s="131">
        <v>605.12</v>
      </c>
      <c r="G25" s="130">
        <v>16740</v>
      </c>
      <c r="H25" s="131">
        <v>5169.0630000000001</v>
      </c>
      <c r="I25" s="130">
        <v>85788</v>
      </c>
      <c r="J25" s="131">
        <v>90264.38</v>
      </c>
      <c r="K25" s="130">
        <v>4902</v>
      </c>
      <c r="L25" s="131">
        <v>5198.5060000000003</v>
      </c>
      <c r="M25" s="130">
        <v>1377</v>
      </c>
      <c r="N25" s="131">
        <v>586.30100000000004</v>
      </c>
      <c r="O25" s="130">
        <v>10762</v>
      </c>
      <c r="P25" s="131">
        <v>36637.703999999998</v>
      </c>
      <c r="Q25" s="130">
        <v>8605</v>
      </c>
      <c r="R25" s="131">
        <v>2853.52</v>
      </c>
      <c r="S25" s="147" t="s">
        <v>186</v>
      </c>
    </row>
    <row r="26" spans="1:21" s="124" customFormat="1" ht="14.4" x14ac:dyDescent="0.3">
      <c r="A26" s="129" t="s">
        <v>22</v>
      </c>
      <c r="B26" s="155">
        <f t="shared" si="8"/>
        <v>59224</v>
      </c>
      <c r="C26" s="130">
        <v>2487</v>
      </c>
      <c r="D26" s="131">
        <v>1014.596</v>
      </c>
      <c r="E26" s="130">
        <v>1650</v>
      </c>
      <c r="F26" s="131">
        <v>674.64099999999996</v>
      </c>
      <c r="G26" s="130">
        <v>1539</v>
      </c>
      <c r="H26" s="131">
        <v>641.36099999999999</v>
      </c>
      <c r="I26" s="130">
        <v>21565</v>
      </c>
      <c r="J26" s="131">
        <v>29591.588</v>
      </c>
      <c r="K26" s="130">
        <v>15540</v>
      </c>
      <c r="L26" s="131">
        <v>21823.022000000001</v>
      </c>
      <c r="M26" s="130">
        <v>4403</v>
      </c>
      <c r="N26" s="131">
        <v>3082.085</v>
      </c>
      <c r="O26" s="130">
        <v>10417</v>
      </c>
      <c r="P26" s="131">
        <v>44377.06</v>
      </c>
      <c r="Q26" s="130">
        <v>1623</v>
      </c>
      <c r="R26" s="131">
        <v>7169.4800000000005</v>
      </c>
      <c r="S26" s="147" t="s">
        <v>187</v>
      </c>
    </row>
    <row r="27" spans="1:21" s="124" customFormat="1" ht="14.4" x14ac:dyDescent="0.3">
      <c r="A27" s="129" t="s">
        <v>24</v>
      </c>
      <c r="B27" s="155">
        <f t="shared" si="8"/>
        <v>70479</v>
      </c>
      <c r="C27" s="130">
        <v>7483</v>
      </c>
      <c r="D27" s="131">
        <v>2589.9</v>
      </c>
      <c r="E27" s="130">
        <v>4824</v>
      </c>
      <c r="F27" s="131">
        <v>1704.2</v>
      </c>
      <c r="G27" s="130">
        <v>14901</v>
      </c>
      <c r="H27" s="131">
        <v>6667.96</v>
      </c>
      <c r="I27" s="130">
        <v>27601</v>
      </c>
      <c r="J27" s="131">
        <v>42190.6</v>
      </c>
      <c r="K27" s="130">
        <v>8251</v>
      </c>
      <c r="L27" s="131">
        <v>9021.0650000000005</v>
      </c>
      <c r="M27" s="130">
        <v>1622</v>
      </c>
      <c r="N27" s="131">
        <v>792.68</v>
      </c>
      <c r="O27" s="130">
        <v>2238</v>
      </c>
      <c r="P27" s="131">
        <v>1598.7</v>
      </c>
      <c r="Q27" s="130">
        <v>3559</v>
      </c>
      <c r="R27" s="131">
        <v>1931.7199999999998</v>
      </c>
      <c r="S27" s="147" t="s">
        <v>188</v>
      </c>
    </row>
    <row r="28" spans="1:21" s="124" customFormat="1" ht="14.4" x14ac:dyDescent="0.3">
      <c r="A28" s="129" t="s">
        <v>27</v>
      </c>
      <c r="B28" s="155">
        <f t="shared" si="8"/>
        <v>221361</v>
      </c>
      <c r="C28" s="130">
        <v>4615</v>
      </c>
      <c r="D28" s="131">
        <v>1706.66</v>
      </c>
      <c r="E28" s="130">
        <v>616</v>
      </c>
      <c r="F28" s="131">
        <v>320.23200000000003</v>
      </c>
      <c r="G28" s="130">
        <v>6883</v>
      </c>
      <c r="H28" s="131">
        <v>3292.1489999999999</v>
      </c>
      <c r="I28" s="130">
        <v>147556</v>
      </c>
      <c r="J28" s="131">
        <v>159444.33499999999</v>
      </c>
      <c r="K28" s="130">
        <v>20555</v>
      </c>
      <c r="L28" s="131">
        <v>21094.084999999999</v>
      </c>
      <c r="M28" s="130">
        <v>7983</v>
      </c>
      <c r="N28" s="131">
        <v>4802.0780000000004</v>
      </c>
      <c r="O28" s="130">
        <v>21174</v>
      </c>
      <c r="P28" s="131">
        <v>118402.311</v>
      </c>
      <c r="Q28" s="130">
        <v>11979</v>
      </c>
      <c r="R28" s="131">
        <v>7974.0459999999994</v>
      </c>
      <c r="S28" s="147" t="s">
        <v>189</v>
      </c>
    </row>
    <row r="29" spans="1:21" s="124" customFormat="1" ht="14.4" x14ac:dyDescent="0.3">
      <c r="A29" s="129" t="s">
        <v>29</v>
      </c>
      <c r="B29" s="155">
        <f t="shared" si="8"/>
        <v>79499</v>
      </c>
      <c r="C29" s="130">
        <v>906</v>
      </c>
      <c r="D29" s="131">
        <v>123.25</v>
      </c>
      <c r="E29" s="130">
        <v>3457</v>
      </c>
      <c r="F29" s="131">
        <v>304.14999999999998</v>
      </c>
      <c r="G29" s="130">
        <v>37119</v>
      </c>
      <c r="H29" s="131">
        <v>2706.8490000000002</v>
      </c>
      <c r="I29" s="130">
        <v>27551</v>
      </c>
      <c r="J29" s="131">
        <v>3217.8690000000001</v>
      </c>
      <c r="K29" s="130">
        <v>2905</v>
      </c>
      <c r="L29" s="131">
        <v>599.55499999999995</v>
      </c>
      <c r="M29" s="130">
        <v>4212</v>
      </c>
      <c r="N29" s="131">
        <v>577.60199999999998</v>
      </c>
      <c r="O29" s="130">
        <v>83</v>
      </c>
      <c r="P29" s="131">
        <v>163.4</v>
      </c>
      <c r="Q29" s="130">
        <v>3266</v>
      </c>
      <c r="R29" s="131">
        <v>338.428</v>
      </c>
      <c r="S29" s="147" t="s">
        <v>190</v>
      </c>
    </row>
    <row r="30" spans="1:21" s="133" customFormat="1" ht="19.95" customHeight="1" x14ac:dyDescent="0.3">
      <c r="A30" s="132" t="s">
        <v>279</v>
      </c>
      <c r="B30" s="156">
        <f>SUM(B31:B34)</f>
        <v>624193</v>
      </c>
      <c r="C30" s="152">
        <f>SUM(C31:C34)</f>
        <v>25835</v>
      </c>
      <c r="D30" s="152">
        <f t="shared" ref="D30:R30" si="9">SUM(D31:D34)</f>
        <v>6873.4840000000004</v>
      </c>
      <c r="E30" s="152">
        <f t="shared" si="9"/>
        <v>8612</v>
      </c>
      <c r="F30" s="152">
        <f t="shared" si="9"/>
        <v>2851.2269999999999</v>
      </c>
      <c r="G30" s="152">
        <f t="shared" si="9"/>
        <v>8101</v>
      </c>
      <c r="H30" s="152">
        <f t="shared" si="9"/>
        <v>2419.1449999999995</v>
      </c>
      <c r="I30" s="152">
        <f t="shared" si="9"/>
        <v>343413</v>
      </c>
      <c r="J30" s="152">
        <f t="shared" si="9"/>
        <v>212661.193</v>
      </c>
      <c r="K30" s="152">
        <f t="shared" si="9"/>
        <v>25527</v>
      </c>
      <c r="L30" s="152">
        <f t="shared" si="9"/>
        <v>18046.178</v>
      </c>
      <c r="M30" s="152">
        <f t="shared" si="9"/>
        <v>169217</v>
      </c>
      <c r="N30" s="153">
        <f t="shared" si="9"/>
        <v>57381.392999999996</v>
      </c>
      <c r="O30" s="152">
        <f t="shared" si="9"/>
        <v>5998</v>
      </c>
      <c r="P30" s="154">
        <f t="shared" si="9"/>
        <v>14930.02</v>
      </c>
      <c r="Q30" s="152">
        <f t="shared" si="9"/>
        <v>37490</v>
      </c>
      <c r="R30" s="153">
        <f t="shared" si="9"/>
        <v>12601.404000000002</v>
      </c>
      <c r="S30" s="148" t="s">
        <v>280</v>
      </c>
    </row>
    <row r="31" spans="1:21" s="124" customFormat="1" ht="14.4" x14ac:dyDescent="0.3">
      <c r="A31" s="129" t="s">
        <v>31</v>
      </c>
      <c r="B31" s="155">
        <f t="shared" ref="B31:B34" si="10">SUM(C31,E31,G31,I31,K31,M31,O31,Q31)</f>
        <v>187474</v>
      </c>
      <c r="C31" s="130">
        <v>5196</v>
      </c>
      <c r="D31" s="131">
        <v>1393.93</v>
      </c>
      <c r="E31" s="130">
        <v>631</v>
      </c>
      <c r="F31" s="131">
        <v>249.387</v>
      </c>
      <c r="G31" s="130">
        <v>936</v>
      </c>
      <c r="H31" s="131">
        <v>255.29</v>
      </c>
      <c r="I31" s="130">
        <v>115769</v>
      </c>
      <c r="J31" s="131">
        <v>68137.45</v>
      </c>
      <c r="K31" s="130">
        <v>6089</v>
      </c>
      <c r="L31" s="131">
        <v>3756.6680000000001</v>
      </c>
      <c r="M31" s="130">
        <v>35386</v>
      </c>
      <c r="N31" s="131">
        <v>12469.994000000001</v>
      </c>
      <c r="O31" s="130">
        <v>3043</v>
      </c>
      <c r="P31" s="131">
        <v>8955.1</v>
      </c>
      <c r="Q31" s="130">
        <v>20424</v>
      </c>
      <c r="R31" s="131">
        <v>6461.42</v>
      </c>
      <c r="S31" s="147" t="s">
        <v>191</v>
      </c>
    </row>
    <row r="32" spans="1:21" s="124" customFormat="1" ht="14.4" x14ac:dyDescent="0.3">
      <c r="A32" s="129" t="s">
        <v>33</v>
      </c>
      <c r="B32" s="155">
        <f t="shared" si="10"/>
        <v>205001</v>
      </c>
      <c r="C32" s="130">
        <v>19040</v>
      </c>
      <c r="D32" s="131">
        <v>4986.97</v>
      </c>
      <c r="E32" s="130">
        <v>5439</v>
      </c>
      <c r="F32" s="131">
        <v>1658.64</v>
      </c>
      <c r="G32" s="130">
        <v>4855</v>
      </c>
      <c r="H32" s="131">
        <v>1186.08</v>
      </c>
      <c r="I32" s="130">
        <v>125927</v>
      </c>
      <c r="J32" s="131">
        <v>48154.48</v>
      </c>
      <c r="K32" s="130">
        <v>1410</v>
      </c>
      <c r="L32" s="131">
        <v>497.97</v>
      </c>
      <c r="M32" s="130">
        <v>38992</v>
      </c>
      <c r="N32" s="131">
        <v>11747.11</v>
      </c>
      <c r="O32" s="130">
        <v>1216</v>
      </c>
      <c r="P32" s="131">
        <v>3002.12</v>
      </c>
      <c r="Q32" s="130">
        <v>8122</v>
      </c>
      <c r="R32" s="131">
        <v>1958.8500000000001</v>
      </c>
      <c r="S32" s="147" t="s">
        <v>192</v>
      </c>
    </row>
    <row r="33" spans="1:21" s="124" customFormat="1" ht="14.4" x14ac:dyDescent="0.3">
      <c r="A33" s="129" t="s">
        <v>35</v>
      </c>
      <c r="B33" s="155">
        <f t="shared" si="10"/>
        <v>90446</v>
      </c>
      <c r="C33" s="130">
        <v>545</v>
      </c>
      <c r="D33" s="131">
        <v>152.38399999999999</v>
      </c>
      <c r="E33" s="130">
        <v>218</v>
      </c>
      <c r="F33" s="131">
        <v>77.400000000000006</v>
      </c>
      <c r="G33" s="130">
        <v>840</v>
      </c>
      <c r="H33" s="131">
        <v>383.59</v>
      </c>
      <c r="I33" s="130">
        <v>34509</v>
      </c>
      <c r="J33" s="131">
        <v>28136.863000000001</v>
      </c>
      <c r="K33" s="130">
        <v>14038</v>
      </c>
      <c r="L33" s="131">
        <v>10337.44</v>
      </c>
      <c r="M33" s="130">
        <v>38853</v>
      </c>
      <c r="N33" s="131">
        <v>15156.929</v>
      </c>
      <c r="O33" s="130">
        <v>198</v>
      </c>
      <c r="P33" s="131">
        <v>661.3</v>
      </c>
      <c r="Q33" s="130">
        <v>1245</v>
      </c>
      <c r="R33" s="131">
        <v>900.81600000000003</v>
      </c>
      <c r="S33" s="147" t="s">
        <v>193</v>
      </c>
    </row>
    <row r="34" spans="1:21" s="124" customFormat="1" ht="14.4" x14ac:dyDescent="0.3">
      <c r="A34" s="129" t="s">
        <v>37</v>
      </c>
      <c r="B34" s="155">
        <f t="shared" si="10"/>
        <v>141272</v>
      </c>
      <c r="C34" s="130">
        <v>1054</v>
      </c>
      <c r="D34" s="131">
        <v>340.2</v>
      </c>
      <c r="E34" s="130">
        <v>2324</v>
      </c>
      <c r="F34" s="131">
        <v>865.8</v>
      </c>
      <c r="G34" s="130">
        <v>1470</v>
      </c>
      <c r="H34" s="131">
        <v>594.18499999999995</v>
      </c>
      <c r="I34" s="130">
        <v>67208</v>
      </c>
      <c r="J34" s="131">
        <v>68232.399999999994</v>
      </c>
      <c r="K34" s="130">
        <v>3990</v>
      </c>
      <c r="L34" s="131">
        <v>3454.1</v>
      </c>
      <c r="M34" s="130">
        <v>55986</v>
      </c>
      <c r="N34" s="131">
        <v>18007.36</v>
      </c>
      <c r="O34" s="130">
        <v>1541</v>
      </c>
      <c r="P34" s="131">
        <v>2311.5</v>
      </c>
      <c r="Q34" s="130">
        <v>7699</v>
      </c>
      <c r="R34" s="131">
        <v>3280.3180000000002</v>
      </c>
      <c r="S34" s="147" t="s">
        <v>194</v>
      </c>
    </row>
    <row r="35" spans="1:21" s="124" customFormat="1" ht="14.4" x14ac:dyDescent="0.3">
      <c r="A35" s="192" t="s">
        <v>195</v>
      </c>
      <c r="B35" s="193">
        <f>SUM(B37:B40)</f>
        <v>212429</v>
      </c>
      <c r="C35" s="187">
        <f>SUM(C37:C40)</f>
        <v>1365</v>
      </c>
      <c r="D35" s="187">
        <f t="shared" ref="D35:R35" si="11">SUM(D37:D40)</f>
        <v>479.34300000000002</v>
      </c>
      <c r="E35" s="187">
        <f t="shared" si="11"/>
        <v>10422</v>
      </c>
      <c r="F35" s="187">
        <f t="shared" si="11"/>
        <v>4382.5879999999997</v>
      </c>
      <c r="G35" s="186">
        <f t="shared" si="11"/>
        <v>2028</v>
      </c>
      <c r="H35" s="187">
        <f t="shared" si="11"/>
        <v>1011.28</v>
      </c>
      <c r="I35" s="187">
        <f t="shared" si="11"/>
        <v>78964</v>
      </c>
      <c r="J35" s="187">
        <f t="shared" si="11"/>
        <v>85141.040999999997</v>
      </c>
      <c r="K35" s="187">
        <f t="shared" si="11"/>
        <v>32772</v>
      </c>
      <c r="L35" s="187">
        <f t="shared" si="11"/>
        <v>32303.294000000002</v>
      </c>
      <c r="M35" s="187">
        <f t="shared" si="11"/>
        <v>80729</v>
      </c>
      <c r="N35" s="204">
        <f t="shared" si="11"/>
        <v>29445.537999999997</v>
      </c>
      <c r="O35" s="187">
        <f t="shared" ref="O35:P35" si="12">SUM(O37:O40)</f>
        <v>2905</v>
      </c>
      <c r="P35" s="186">
        <f t="shared" si="12"/>
        <v>1951.623</v>
      </c>
      <c r="Q35" s="187">
        <f t="shared" si="11"/>
        <v>3244</v>
      </c>
      <c r="R35" s="204">
        <f t="shared" si="11"/>
        <v>2590.5590000000002</v>
      </c>
      <c r="S35" s="211" t="s">
        <v>196</v>
      </c>
      <c r="T35" s="212"/>
      <c r="U35" s="212"/>
    </row>
    <row r="36" spans="1:21" s="124" customFormat="1" ht="14.4" x14ac:dyDescent="0.3">
      <c r="A36" s="192"/>
      <c r="B36" s="193"/>
      <c r="C36" s="187"/>
      <c r="D36" s="187"/>
      <c r="E36" s="187"/>
      <c r="F36" s="187"/>
      <c r="G36" s="186"/>
      <c r="H36" s="187"/>
      <c r="I36" s="187"/>
      <c r="J36" s="187"/>
      <c r="K36" s="187"/>
      <c r="L36" s="187"/>
      <c r="M36" s="187"/>
      <c r="N36" s="204"/>
      <c r="O36" s="187"/>
      <c r="P36" s="186"/>
      <c r="Q36" s="187"/>
      <c r="R36" s="204"/>
      <c r="S36" s="211"/>
      <c r="T36" s="212"/>
      <c r="U36" s="212"/>
    </row>
    <row r="37" spans="1:21" s="124" customFormat="1" ht="14.4" x14ac:dyDescent="0.3">
      <c r="A37" s="129" t="s">
        <v>39</v>
      </c>
      <c r="B37" s="155">
        <f t="shared" ref="B37:B40" si="13">SUM(C37,E37,G37,I37,K37,M37,O37,Q37)</f>
        <v>66581</v>
      </c>
      <c r="C37" s="130">
        <v>544</v>
      </c>
      <c r="D37" s="131">
        <v>162</v>
      </c>
      <c r="E37" s="130">
        <v>734</v>
      </c>
      <c r="F37" s="131">
        <v>377.6</v>
      </c>
      <c r="G37" s="130">
        <v>1002</v>
      </c>
      <c r="H37" s="131">
        <v>467.68</v>
      </c>
      <c r="I37" s="130">
        <v>29118</v>
      </c>
      <c r="J37" s="131">
        <v>31265.974999999999</v>
      </c>
      <c r="K37" s="130">
        <v>804</v>
      </c>
      <c r="L37" s="131">
        <v>639.54999999999995</v>
      </c>
      <c r="M37" s="130">
        <v>33013</v>
      </c>
      <c r="N37" s="131">
        <v>10700.49</v>
      </c>
      <c r="O37" s="130">
        <v>288</v>
      </c>
      <c r="P37" s="131">
        <v>330.2</v>
      </c>
      <c r="Q37" s="130">
        <v>1078</v>
      </c>
      <c r="R37" s="131">
        <v>1599.614</v>
      </c>
      <c r="S37" s="147" t="s">
        <v>197</v>
      </c>
    </row>
    <row r="38" spans="1:21" s="124" customFormat="1" ht="14.4" x14ac:dyDescent="0.3">
      <c r="A38" s="129" t="s">
        <v>41</v>
      </c>
      <c r="B38" s="155">
        <f t="shared" si="13"/>
        <v>33794</v>
      </c>
      <c r="C38" s="130">
        <v>196</v>
      </c>
      <c r="D38" s="131">
        <v>82.17</v>
      </c>
      <c r="E38" s="130">
        <v>1678</v>
      </c>
      <c r="F38" s="131">
        <v>754.88</v>
      </c>
      <c r="G38" s="130">
        <v>58</v>
      </c>
      <c r="H38" s="131">
        <v>28.51</v>
      </c>
      <c r="I38" s="130">
        <v>14634</v>
      </c>
      <c r="J38" s="131">
        <v>14832.52</v>
      </c>
      <c r="K38" s="130">
        <v>9338</v>
      </c>
      <c r="L38" s="131">
        <v>8862.07</v>
      </c>
      <c r="M38" s="130">
        <v>5320</v>
      </c>
      <c r="N38" s="131">
        <v>2210.88</v>
      </c>
      <c r="O38" s="130">
        <v>2154</v>
      </c>
      <c r="P38" s="131">
        <v>1366.655</v>
      </c>
      <c r="Q38" s="130">
        <v>416</v>
      </c>
      <c r="R38" s="131">
        <v>247.5</v>
      </c>
      <c r="S38" s="147" t="s">
        <v>198</v>
      </c>
    </row>
    <row r="39" spans="1:21" s="124" customFormat="1" ht="14.4" x14ac:dyDescent="0.3">
      <c r="A39" s="129" t="s">
        <v>43</v>
      </c>
      <c r="B39" s="155">
        <f t="shared" si="13"/>
        <v>49109</v>
      </c>
      <c r="C39" s="130">
        <v>233</v>
      </c>
      <c r="D39" s="131">
        <v>81.174999999999997</v>
      </c>
      <c r="E39" s="130">
        <v>1966</v>
      </c>
      <c r="F39" s="131">
        <v>776.23</v>
      </c>
      <c r="G39" s="130">
        <v>252</v>
      </c>
      <c r="H39" s="131">
        <v>144.47999999999999</v>
      </c>
      <c r="I39" s="130">
        <v>15300</v>
      </c>
      <c r="J39" s="131">
        <v>16256.8</v>
      </c>
      <c r="K39" s="130">
        <v>5715</v>
      </c>
      <c r="L39" s="131">
        <v>5340.81</v>
      </c>
      <c r="M39" s="130">
        <v>24171</v>
      </c>
      <c r="N39" s="131">
        <v>8975.2199999999993</v>
      </c>
      <c r="O39" s="130">
        <v>30</v>
      </c>
      <c r="P39" s="131">
        <v>20</v>
      </c>
      <c r="Q39" s="130">
        <v>1442</v>
      </c>
      <c r="R39" s="131">
        <v>535.20000000000005</v>
      </c>
      <c r="S39" s="147" t="s">
        <v>199</v>
      </c>
    </row>
    <row r="40" spans="1:21" s="124" customFormat="1" ht="14.4" x14ac:dyDescent="0.3">
      <c r="A40" s="129" t="s">
        <v>46</v>
      </c>
      <c r="B40" s="155">
        <f t="shared" si="13"/>
        <v>62945</v>
      </c>
      <c r="C40" s="130">
        <v>392</v>
      </c>
      <c r="D40" s="131">
        <v>153.99799999999999</v>
      </c>
      <c r="E40" s="130">
        <v>6044</v>
      </c>
      <c r="F40" s="131">
        <v>2473.8780000000002</v>
      </c>
      <c r="G40" s="130">
        <v>716</v>
      </c>
      <c r="H40" s="131">
        <v>370.61</v>
      </c>
      <c r="I40" s="130">
        <v>19912</v>
      </c>
      <c r="J40" s="131">
        <v>22785.745999999999</v>
      </c>
      <c r="K40" s="130">
        <v>16915</v>
      </c>
      <c r="L40" s="131">
        <v>17460.864000000001</v>
      </c>
      <c r="M40" s="130">
        <v>18225</v>
      </c>
      <c r="N40" s="131">
        <v>7558.9480000000003</v>
      </c>
      <c r="O40" s="130">
        <v>433</v>
      </c>
      <c r="P40" s="131">
        <v>234.768</v>
      </c>
      <c r="Q40" s="130">
        <v>308</v>
      </c>
      <c r="R40" s="131">
        <v>208.245</v>
      </c>
      <c r="S40" s="147" t="s">
        <v>200</v>
      </c>
    </row>
    <row r="41" spans="1:21" s="124" customFormat="1" ht="14.4" x14ac:dyDescent="0.3">
      <c r="A41" s="192" t="s">
        <v>201</v>
      </c>
      <c r="B41" s="193">
        <f>SUM(B43:B47)</f>
        <v>625227</v>
      </c>
      <c r="C41" s="187">
        <f>SUM(C43:C47)</f>
        <v>26425</v>
      </c>
      <c r="D41" s="187">
        <f t="shared" ref="D41:R41" si="14">SUM(D43:D47)</f>
        <v>9318.9370000000017</v>
      </c>
      <c r="E41" s="187">
        <f t="shared" si="14"/>
        <v>46741</v>
      </c>
      <c r="F41" s="187">
        <f t="shared" si="14"/>
        <v>17475.422000000002</v>
      </c>
      <c r="G41" s="186">
        <f t="shared" si="14"/>
        <v>33517</v>
      </c>
      <c r="H41" s="187">
        <f t="shared" si="14"/>
        <v>11789.125</v>
      </c>
      <c r="I41" s="187">
        <f t="shared" si="14"/>
        <v>253620</v>
      </c>
      <c r="J41" s="187">
        <f t="shared" si="14"/>
        <v>270486.30700000003</v>
      </c>
      <c r="K41" s="187">
        <f t="shared" si="14"/>
        <v>32034</v>
      </c>
      <c r="L41" s="187">
        <f t="shared" si="14"/>
        <v>30262.867000000002</v>
      </c>
      <c r="M41" s="187">
        <f t="shared" si="14"/>
        <v>167895</v>
      </c>
      <c r="N41" s="204">
        <f t="shared" si="14"/>
        <v>80451.667000000001</v>
      </c>
      <c r="O41" s="187">
        <f t="shared" ref="O41:P41" si="15">SUM(O43:O47)</f>
        <v>36024</v>
      </c>
      <c r="P41" s="186">
        <f t="shared" si="15"/>
        <v>149975.08499999999</v>
      </c>
      <c r="Q41" s="187">
        <f t="shared" si="14"/>
        <v>28971</v>
      </c>
      <c r="R41" s="204">
        <f t="shared" si="14"/>
        <v>12568.439</v>
      </c>
      <c r="S41" s="211" t="s">
        <v>202</v>
      </c>
      <c r="T41" s="212"/>
      <c r="U41" s="212"/>
    </row>
    <row r="42" spans="1:21" s="124" customFormat="1" ht="14.4" x14ac:dyDescent="0.3">
      <c r="A42" s="192"/>
      <c r="B42" s="193"/>
      <c r="C42" s="187"/>
      <c r="D42" s="187"/>
      <c r="E42" s="187"/>
      <c r="F42" s="187"/>
      <c r="G42" s="186"/>
      <c r="H42" s="187"/>
      <c r="I42" s="187"/>
      <c r="J42" s="187"/>
      <c r="K42" s="187"/>
      <c r="L42" s="187"/>
      <c r="M42" s="187"/>
      <c r="N42" s="204"/>
      <c r="O42" s="187"/>
      <c r="P42" s="186"/>
      <c r="Q42" s="187"/>
      <c r="R42" s="204"/>
      <c r="S42" s="211"/>
      <c r="T42" s="212"/>
      <c r="U42" s="212"/>
    </row>
    <row r="43" spans="1:21" s="124" customFormat="1" ht="14.4" x14ac:dyDescent="0.3">
      <c r="A43" s="129" t="s">
        <v>48</v>
      </c>
      <c r="B43" s="155">
        <f t="shared" ref="B43:B47" si="16">SUM(C43,E43,G43,I43,K43,M43,O43,Q43)</f>
        <v>262680</v>
      </c>
      <c r="C43" s="130">
        <v>13674</v>
      </c>
      <c r="D43" s="131">
        <v>5055.9759999999997</v>
      </c>
      <c r="E43" s="130">
        <v>24852</v>
      </c>
      <c r="F43" s="131">
        <v>9450.3469999999998</v>
      </c>
      <c r="G43" s="130">
        <v>19229</v>
      </c>
      <c r="H43" s="131">
        <v>5418.4</v>
      </c>
      <c r="I43" s="130">
        <v>101102</v>
      </c>
      <c r="J43" s="131">
        <v>93439.623000000007</v>
      </c>
      <c r="K43" s="130">
        <v>12387</v>
      </c>
      <c r="L43" s="131">
        <v>11686.147000000001</v>
      </c>
      <c r="M43" s="130">
        <v>58836</v>
      </c>
      <c r="N43" s="131">
        <v>35725.834999999999</v>
      </c>
      <c r="O43" s="130">
        <v>10097</v>
      </c>
      <c r="P43" s="131">
        <v>34013.207999999999</v>
      </c>
      <c r="Q43" s="130">
        <v>22503</v>
      </c>
      <c r="R43" s="131">
        <v>9561.0259999999998</v>
      </c>
      <c r="S43" s="147" t="s">
        <v>203</v>
      </c>
    </row>
    <row r="44" spans="1:21" s="124" customFormat="1" ht="14.4" x14ac:dyDescent="0.3">
      <c r="A44" s="129" t="s">
        <v>51</v>
      </c>
      <c r="B44" s="155">
        <f t="shared" si="16"/>
        <v>141552</v>
      </c>
      <c r="C44" s="130">
        <v>5993</v>
      </c>
      <c r="D44" s="131">
        <v>2156.1060000000002</v>
      </c>
      <c r="E44" s="130">
        <v>1310</v>
      </c>
      <c r="F44" s="131">
        <v>474.88499999999999</v>
      </c>
      <c r="G44" s="130">
        <v>898</v>
      </c>
      <c r="H44" s="131">
        <v>379.24</v>
      </c>
      <c r="I44" s="130">
        <v>55934</v>
      </c>
      <c r="J44" s="131">
        <v>60524.139000000003</v>
      </c>
      <c r="K44" s="130">
        <v>8812</v>
      </c>
      <c r="L44" s="131">
        <v>7164.5069999999996</v>
      </c>
      <c r="M44" s="130">
        <v>55598</v>
      </c>
      <c r="N44" s="131">
        <v>17618.656999999999</v>
      </c>
      <c r="O44" s="130">
        <v>11736</v>
      </c>
      <c r="P44" s="131">
        <v>42864.154000000002</v>
      </c>
      <c r="Q44" s="130">
        <v>1271</v>
      </c>
      <c r="R44" s="131">
        <v>602.52300000000002</v>
      </c>
      <c r="S44" s="147" t="s">
        <v>204</v>
      </c>
    </row>
    <row r="45" spans="1:21" s="124" customFormat="1" ht="14.4" x14ac:dyDescent="0.3">
      <c r="A45" s="129" t="s">
        <v>53</v>
      </c>
      <c r="B45" s="155">
        <f t="shared" si="16"/>
        <v>67102</v>
      </c>
      <c r="C45" s="130">
        <v>3257</v>
      </c>
      <c r="D45" s="131">
        <v>918.56500000000005</v>
      </c>
      <c r="E45" s="130">
        <v>13827</v>
      </c>
      <c r="F45" s="131">
        <v>5086.6099999999997</v>
      </c>
      <c r="G45" s="130">
        <v>5587</v>
      </c>
      <c r="H45" s="131">
        <v>2077.645</v>
      </c>
      <c r="I45" s="130">
        <v>31579</v>
      </c>
      <c r="J45" s="131">
        <v>38031.536</v>
      </c>
      <c r="K45" s="130">
        <v>1456</v>
      </c>
      <c r="L45" s="131">
        <v>1196.463</v>
      </c>
      <c r="M45" s="130">
        <v>8952</v>
      </c>
      <c r="N45" s="131">
        <v>3518.7350000000001</v>
      </c>
      <c r="O45" s="130">
        <v>500</v>
      </c>
      <c r="P45" s="131">
        <v>1492</v>
      </c>
      <c r="Q45" s="130">
        <v>1944</v>
      </c>
      <c r="R45" s="131">
        <v>605.745</v>
      </c>
      <c r="S45" s="147" t="s">
        <v>205</v>
      </c>
    </row>
    <row r="46" spans="1:21" s="124" customFormat="1" ht="14.4" x14ac:dyDescent="0.3">
      <c r="A46" s="129" t="s">
        <v>56</v>
      </c>
      <c r="B46" s="155">
        <f t="shared" si="16"/>
        <v>225</v>
      </c>
      <c r="C46" s="130">
        <v>8</v>
      </c>
      <c r="D46" s="131">
        <v>2.1</v>
      </c>
      <c r="E46" s="130">
        <v>8</v>
      </c>
      <c r="F46" s="131">
        <v>2.1</v>
      </c>
      <c r="G46" s="130">
        <v>8</v>
      </c>
      <c r="H46" s="131">
        <v>2.5</v>
      </c>
      <c r="I46" s="130" t="s">
        <v>282</v>
      </c>
      <c r="J46" s="131" t="s">
        <v>282</v>
      </c>
      <c r="K46" s="134" t="s">
        <v>282</v>
      </c>
      <c r="L46" s="131" t="s">
        <v>282</v>
      </c>
      <c r="M46" s="134">
        <v>201</v>
      </c>
      <c r="N46" s="131">
        <v>50.5</v>
      </c>
      <c r="O46" s="130" t="s">
        <v>282</v>
      </c>
      <c r="P46" s="131" t="s">
        <v>282</v>
      </c>
      <c r="Q46" s="134" t="s">
        <v>282</v>
      </c>
      <c r="R46" s="131" t="s">
        <v>282</v>
      </c>
      <c r="S46" s="209" t="s">
        <v>206</v>
      </c>
      <c r="T46" s="210"/>
      <c r="U46" s="210"/>
    </row>
    <row r="47" spans="1:21" s="124" customFormat="1" ht="14.4" x14ac:dyDescent="0.3">
      <c r="A47" s="129" t="s">
        <v>58</v>
      </c>
      <c r="B47" s="155">
        <f t="shared" si="16"/>
        <v>153668</v>
      </c>
      <c r="C47" s="130">
        <v>3493</v>
      </c>
      <c r="D47" s="131">
        <v>1186.19</v>
      </c>
      <c r="E47" s="130">
        <v>6744</v>
      </c>
      <c r="F47" s="131">
        <v>2461.48</v>
      </c>
      <c r="G47" s="130">
        <v>7795</v>
      </c>
      <c r="H47" s="131">
        <v>3911.34</v>
      </c>
      <c r="I47" s="130">
        <v>65005</v>
      </c>
      <c r="J47" s="131">
        <v>78491.009000000005</v>
      </c>
      <c r="K47" s="130">
        <v>9379</v>
      </c>
      <c r="L47" s="131">
        <v>10215.75</v>
      </c>
      <c r="M47" s="130">
        <v>44308</v>
      </c>
      <c r="N47" s="131">
        <v>23537.94</v>
      </c>
      <c r="O47" s="130">
        <v>13691</v>
      </c>
      <c r="P47" s="131">
        <v>71605.722999999998</v>
      </c>
      <c r="Q47" s="130">
        <v>3253</v>
      </c>
      <c r="R47" s="131">
        <v>1799.145</v>
      </c>
      <c r="S47" s="147" t="s">
        <v>207</v>
      </c>
    </row>
    <row r="48" spans="1:21" s="124" customFormat="1" ht="14.4" x14ac:dyDescent="0.3">
      <c r="A48" s="192" t="s">
        <v>208</v>
      </c>
      <c r="B48" s="193">
        <f>SUM(B50:B54)</f>
        <v>393038</v>
      </c>
      <c r="C48" s="187">
        <f>SUM(C50:C54)</f>
        <v>24081</v>
      </c>
      <c r="D48" s="187">
        <f t="shared" ref="D48:R48" si="17">SUM(D50:D54)</f>
        <v>8847.1059999999998</v>
      </c>
      <c r="E48" s="187">
        <f t="shared" si="17"/>
        <v>29930</v>
      </c>
      <c r="F48" s="187">
        <f t="shared" si="17"/>
        <v>13688.81</v>
      </c>
      <c r="G48" s="186">
        <f t="shared" si="17"/>
        <v>43568</v>
      </c>
      <c r="H48" s="187">
        <f t="shared" si="17"/>
        <v>21711.597000000002</v>
      </c>
      <c r="I48" s="187">
        <f t="shared" si="17"/>
        <v>187346</v>
      </c>
      <c r="J48" s="187">
        <f t="shared" si="17"/>
        <v>275084.96000000002</v>
      </c>
      <c r="K48" s="187">
        <f t="shared" si="17"/>
        <v>31010</v>
      </c>
      <c r="L48" s="187">
        <f t="shared" si="17"/>
        <v>41462.950000000004</v>
      </c>
      <c r="M48" s="187">
        <f t="shared" si="17"/>
        <v>41778</v>
      </c>
      <c r="N48" s="204">
        <f t="shared" si="17"/>
        <v>19355.72</v>
      </c>
      <c r="O48" s="187">
        <f t="shared" ref="O48:P48" si="18">SUM(O50:O54)</f>
        <v>16188</v>
      </c>
      <c r="P48" s="186">
        <f t="shared" si="18"/>
        <v>60152.104999999996</v>
      </c>
      <c r="Q48" s="187">
        <f t="shared" si="17"/>
        <v>19137</v>
      </c>
      <c r="R48" s="204">
        <f t="shared" si="17"/>
        <v>7864.817</v>
      </c>
      <c r="S48" s="213" t="s">
        <v>209</v>
      </c>
      <c r="T48" s="214"/>
      <c r="U48" s="214"/>
    </row>
    <row r="49" spans="1:21" s="124" customFormat="1" ht="14.4" x14ac:dyDescent="0.3">
      <c r="A49" s="192"/>
      <c r="B49" s="193"/>
      <c r="C49" s="187"/>
      <c r="D49" s="187"/>
      <c r="E49" s="187"/>
      <c r="F49" s="187"/>
      <c r="G49" s="186"/>
      <c r="H49" s="187"/>
      <c r="I49" s="187"/>
      <c r="J49" s="187"/>
      <c r="K49" s="187"/>
      <c r="L49" s="187"/>
      <c r="M49" s="187"/>
      <c r="N49" s="204"/>
      <c r="O49" s="187"/>
      <c r="P49" s="186"/>
      <c r="Q49" s="187"/>
      <c r="R49" s="204"/>
      <c r="S49" s="213"/>
      <c r="T49" s="214"/>
      <c r="U49" s="214"/>
    </row>
    <row r="50" spans="1:21" s="124" customFormat="1" ht="14.4" x14ac:dyDescent="0.3">
      <c r="A50" s="129" t="s">
        <v>60</v>
      </c>
      <c r="B50" s="155">
        <f t="shared" ref="B50:B54" si="19">SUM(C50,E50,G50,I50,K50,M50,O50,Q50)</f>
        <v>209353</v>
      </c>
      <c r="C50" s="130">
        <v>9606</v>
      </c>
      <c r="D50" s="131">
        <v>3339.2269999999999</v>
      </c>
      <c r="E50" s="130">
        <v>8093</v>
      </c>
      <c r="F50" s="131">
        <v>2942.9409999999998</v>
      </c>
      <c r="G50" s="130">
        <v>35455</v>
      </c>
      <c r="H50" s="131">
        <v>17973.381000000001</v>
      </c>
      <c r="I50" s="130">
        <v>95395</v>
      </c>
      <c r="J50" s="131">
        <v>131032.27800000001</v>
      </c>
      <c r="K50" s="130">
        <v>24208</v>
      </c>
      <c r="L50" s="131">
        <v>33713.550999999999</v>
      </c>
      <c r="M50" s="130">
        <v>19106</v>
      </c>
      <c r="N50" s="131">
        <v>9394.8490000000002</v>
      </c>
      <c r="O50" s="130">
        <v>8272</v>
      </c>
      <c r="P50" s="131">
        <v>23982.584999999999</v>
      </c>
      <c r="Q50" s="130">
        <v>9218</v>
      </c>
      <c r="R50" s="131">
        <v>3578.029</v>
      </c>
      <c r="S50" s="147" t="s">
        <v>210</v>
      </c>
    </row>
    <row r="51" spans="1:21" s="124" customFormat="1" ht="14.4" x14ac:dyDescent="0.3">
      <c r="A51" s="129" t="s">
        <v>62</v>
      </c>
      <c r="B51" s="155">
        <f t="shared" si="19"/>
        <v>123625</v>
      </c>
      <c r="C51" s="130">
        <v>4353</v>
      </c>
      <c r="D51" s="131">
        <v>1780.0050000000001</v>
      </c>
      <c r="E51" s="130">
        <v>13131</v>
      </c>
      <c r="F51" s="131">
        <v>7257.4</v>
      </c>
      <c r="G51" s="130">
        <v>2696</v>
      </c>
      <c r="H51" s="131">
        <v>1383.95</v>
      </c>
      <c r="I51" s="130">
        <v>82003</v>
      </c>
      <c r="J51" s="131">
        <v>131238.48199999999</v>
      </c>
      <c r="K51" s="130">
        <v>3593</v>
      </c>
      <c r="L51" s="131">
        <v>4839.4489999999996</v>
      </c>
      <c r="M51" s="130">
        <v>2863</v>
      </c>
      <c r="N51" s="131">
        <v>1455.69</v>
      </c>
      <c r="O51" s="130">
        <v>7073</v>
      </c>
      <c r="P51" s="131">
        <v>35002.300000000003</v>
      </c>
      <c r="Q51" s="130">
        <v>7913</v>
      </c>
      <c r="R51" s="131">
        <v>3367.8009999999999</v>
      </c>
      <c r="S51" s="147" t="s">
        <v>211</v>
      </c>
    </row>
    <row r="52" spans="1:21" s="124" customFormat="1" ht="14.4" x14ac:dyDescent="0.3">
      <c r="A52" s="129" t="s">
        <v>64</v>
      </c>
      <c r="B52" s="155">
        <f t="shared" si="19"/>
        <v>38676</v>
      </c>
      <c r="C52" s="130">
        <v>8319</v>
      </c>
      <c r="D52" s="131">
        <v>3216.319</v>
      </c>
      <c r="E52" s="130">
        <v>6447</v>
      </c>
      <c r="F52" s="131">
        <v>2567.4</v>
      </c>
      <c r="G52" s="130">
        <v>4385</v>
      </c>
      <c r="H52" s="131">
        <v>1908.06</v>
      </c>
      <c r="I52" s="130">
        <v>3143</v>
      </c>
      <c r="J52" s="131">
        <v>2376.35</v>
      </c>
      <c r="K52" s="130">
        <v>1676</v>
      </c>
      <c r="L52" s="131">
        <v>1343.15</v>
      </c>
      <c r="M52" s="130">
        <v>12243</v>
      </c>
      <c r="N52" s="131">
        <v>5832.8</v>
      </c>
      <c r="O52" s="130">
        <v>789</v>
      </c>
      <c r="P52" s="131">
        <v>1104.02</v>
      </c>
      <c r="Q52" s="130">
        <v>1674</v>
      </c>
      <c r="R52" s="131">
        <v>799.59199999999998</v>
      </c>
      <c r="S52" s="147" t="s">
        <v>212</v>
      </c>
    </row>
    <row r="53" spans="1:21" s="124" customFormat="1" ht="14.4" x14ac:dyDescent="0.3">
      <c r="A53" s="129" t="s">
        <v>67</v>
      </c>
      <c r="B53" s="155">
        <f t="shared" si="19"/>
        <v>4982</v>
      </c>
      <c r="C53" s="130">
        <v>9</v>
      </c>
      <c r="D53" s="131">
        <v>3.87</v>
      </c>
      <c r="E53" s="130">
        <v>785</v>
      </c>
      <c r="F53" s="131">
        <v>526.51900000000001</v>
      </c>
      <c r="G53" s="130">
        <v>134</v>
      </c>
      <c r="H53" s="131">
        <v>155.80000000000001</v>
      </c>
      <c r="I53" s="130">
        <v>635</v>
      </c>
      <c r="J53" s="131">
        <v>930.7</v>
      </c>
      <c r="K53" s="130">
        <v>622</v>
      </c>
      <c r="L53" s="131">
        <v>814.5</v>
      </c>
      <c r="M53" s="130">
        <v>2769</v>
      </c>
      <c r="N53" s="131">
        <v>714.02</v>
      </c>
      <c r="O53" s="130">
        <v>9</v>
      </c>
      <c r="P53" s="131">
        <v>12.2</v>
      </c>
      <c r="Q53" s="130">
        <v>19</v>
      </c>
      <c r="R53" s="131">
        <v>8.5500000000000007</v>
      </c>
      <c r="S53" s="147" t="s">
        <v>213</v>
      </c>
    </row>
    <row r="54" spans="1:21" s="124" customFormat="1" ht="14.4" x14ac:dyDescent="0.3">
      <c r="A54" s="129" t="s">
        <v>69</v>
      </c>
      <c r="B54" s="155">
        <f t="shared" si="19"/>
        <v>16402</v>
      </c>
      <c r="C54" s="130">
        <v>1794</v>
      </c>
      <c r="D54" s="131">
        <v>507.685</v>
      </c>
      <c r="E54" s="130">
        <v>1474</v>
      </c>
      <c r="F54" s="131">
        <v>394.55</v>
      </c>
      <c r="G54" s="130">
        <v>898</v>
      </c>
      <c r="H54" s="131">
        <v>290.40600000000001</v>
      </c>
      <c r="I54" s="130">
        <v>6170</v>
      </c>
      <c r="J54" s="131">
        <v>9507.15</v>
      </c>
      <c r="K54" s="130">
        <v>911</v>
      </c>
      <c r="L54" s="131">
        <v>752.3</v>
      </c>
      <c r="M54" s="130">
        <v>4797</v>
      </c>
      <c r="N54" s="131">
        <v>1958.3610000000001</v>
      </c>
      <c r="O54" s="130">
        <v>45</v>
      </c>
      <c r="P54" s="131">
        <v>51</v>
      </c>
      <c r="Q54" s="130">
        <v>313</v>
      </c>
      <c r="R54" s="131">
        <v>110.845</v>
      </c>
      <c r="S54" s="147" t="s">
        <v>214</v>
      </c>
    </row>
    <row r="55" spans="1:21" s="124" customFormat="1" ht="14.4" x14ac:dyDescent="0.3">
      <c r="A55" s="192" t="s">
        <v>215</v>
      </c>
      <c r="B55" s="193">
        <f>SUM(B57:B61)</f>
        <v>42355</v>
      </c>
      <c r="C55" s="187">
        <f>SUM(C57:C61)</f>
        <v>4183</v>
      </c>
      <c r="D55" s="187">
        <f t="shared" ref="D55:R55" si="20">SUM(D57:D61)</f>
        <v>1909.9569999999999</v>
      </c>
      <c r="E55" s="187">
        <f t="shared" si="20"/>
        <v>13300</v>
      </c>
      <c r="F55" s="187">
        <f t="shared" si="20"/>
        <v>6342.7300000000005</v>
      </c>
      <c r="G55" s="186">
        <f t="shared" si="20"/>
        <v>9341</v>
      </c>
      <c r="H55" s="187">
        <f t="shared" si="20"/>
        <v>3933.17</v>
      </c>
      <c r="I55" s="187">
        <f t="shared" si="20"/>
        <v>800</v>
      </c>
      <c r="J55" s="187">
        <f t="shared" si="20"/>
        <v>456.09999999999997</v>
      </c>
      <c r="K55" s="187">
        <f t="shared" si="20"/>
        <v>2364</v>
      </c>
      <c r="L55" s="187">
        <f t="shared" si="20"/>
        <v>1200.4000000000001</v>
      </c>
      <c r="M55" s="187">
        <f t="shared" si="20"/>
        <v>11050</v>
      </c>
      <c r="N55" s="204">
        <f t="shared" si="20"/>
        <v>4631.91</v>
      </c>
      <c r="O55" s="187">
        <f t="shared" ref="O55:P55" si="21">SUM(O57:O61)</f>
        <v>45</v>
      </c>
      <c r="P55" s="186">
        <f t="shared" si="21"/>
        <v>59.15</v>
      </c>
      <c r="Q55" s="187">
        <f t="shared" si="20"/>
        <v>1272</v>
      </c>
      <c r="R55" s="204">
        <f t="shared" si="20"/>
        <v>529.95399999999995</v>
      </c>
      <c r="S55" s="211" t="s">
        <v>216</v>
      </c>
      <c r="T55" s="212"/>
      <c r="U55" s="212"/>
    </row>
    <row r="56" spans="1:21" s="124" customFormat="1" ht="14.4" x14ac:dyDescent="0.3">
      <c r="A56" s="192"/>
      <c r="B56" s="193"/>
      <c r="C56" s="187"/>
      <c r="D56" s="187"/>
      <c r="E56" s="187"/>
      <c r="F56" s="187"/>
      <c r="G56" s="186"/>
      <c r="H56" s="187"/>
      <c r="I56" s="187"/>
      <c r="J56" s="187"/>
      <c r="K56" s="187"/>
      <c r="L56" s="187"/>
      <c r="M56" s="187"/>
      <c r="N56" s="204"/>
      <c r="O56" s="187"/>
      <c r="P56" s="186"/>
      <c r="Q56" s="187"/>
      <c r="R56" s="204"/>
      <c r="S56" s="211"/>
      <c r="T56" s="212"/>
      <c r="U56" s="212"/>
    </row>
    <row r="57" spans="1:21" s="124" customFormat="1" ht="14.4" x14ac:dyDescent="0.3">
      <c r="A57" s="129" t="s">
        <v>71</v>
      </c>
      <c r="B57" s="155">
        <f t="shared" ref="B57:B61" si="22">SUM(C57,E57,G57,I57,K57,M57,O57,Q57)</f>
        <v>439</v>
      </c>
      <c r="C57" s="130" t="s">
        <v>282</v>
      </c>
      <c r="D57" s="131" t="s">
        <v>282</v>
      </c>
      <c r="E57" s="130">
        <v>17</v>
      </c>
      <c r="F57" s="131">
        <v>4.3</v>
      </c>
      <c r="G57" s="130" t="s">
        <v>282</v>
      </c>
      <c r="H57" s="131" t="s">
        <v>282</v>
      </c>
      <c r="I57" s="130">
        <v>109</v>
      </c>
      <c r="J57" s="131">
        <v>91.15</v>
      </c>
      <c r="K57" s="130">
        <v>200</v>
      </c>
      <c r="L57" s="131">
        <v>194.45</v>
      </c>
      <c r="M57" s="130">
        <v>24</v>
      </c>
      <c r="N57" s="131">
        <v>7.7</v>
      </c>
      <c r="O57" s="130">
        <v>33</v>
      </c>
      <c r="P57" s="131">
        <v>56.75</v>
      </c>
      <c r="Q57" s="130">
        <v>56</v>
      </c>
      <c r="R57" s="131">
        <v>27.753999999999998</v>
      </c>
      <c r="S57" s="147" t="s">
        <v>217</v>
      </c>
    </row>
    <row r="58" spans="1:21" s="124" customFormat="1" ht="14.4" x14ac:dyDescent="0.3">
      <c r="A58" s="129" t="s">
        <v>74</v>
      </c>
      <c r="B58" s="155">
        <f t="shared" si="22"/>
        <v>17145</v>
      </c>
      <c r="C58" s="130">
        <v>3391</v>
      </c>
      <c r="D58" s="131">
        <v>1645.557</v>
      </c>
      <c r="E58" s="130">
        <v>7679</v>
      </c>
      <c r="F58" s="131">
        <v>4563.8</v>
      </c>
      <c r="G58" s="130">
        <v>3486</v>
      </c>
      <c r="H58" s="131">
        <v>2048.59</v>
      </c>
      <c r="I58" s="130">
        <v>40</v>
      </c>
      <c r="J58" s="131">
        <v>23.5</v>
      </c>
      <c r="K58" s="130">
        <v>175</v>
      </c>
      <c r="L58" s="131">
        <v>103.8</v>
      </c>
      <c r="M58" s="130">
        <v>1892</v>
      </c>
      <c r="N58" s="131">
        <v>1114.8</v>
      </c>
      <c r="O58" s="130" t="s">
        <v>282</v>
      </c>
      <c r="P58" s="131" t="s">
        <v>282</v>
      </c>
      <c r="Q58" s="130">
        <v>482</v>
      </c>
      <c r="R58" s="131">
        <v>278</v>
      </c>
      <c r="S58" s="147" t="s">
        <v>218</v>
      </c>
    </row>
    <row r="59" spans="1:21" s="124" customFormat="1" ht="14.4" x14ac:dyDescent="0.3">
      <c r="A59" s="129" t="s">
        <v>76</v>
      </c>
      <c r="B59" s="155">
        <f t="shared" si="22"/>
        <v>204</v>
      </c>
      <c r="C59" s="130">
        <v>2</v>
      </c>
      <c r="D59" s="131">
        <v>0.4</v>
      </c>
      <c r="E59" s="130">
        <v>19</v>
      </c>
      <c r="F59" s="131">
        <v>4.45</v>
      </c>
      <c r="G59" s="130">
        <v>43</v>
      </c>
      <c r="H59" s="131">
        <v>10.7</v>
      </c>
      <c r="I59" s="134" t="s">
        <v>282</v>
      </c>
      <c r="J59" s="131" t="s">
        <v>282</v>
      </c>
      <c r="K59" s="134" t="s">
        <v>282</v>
      </c>
      <c r="L59" s="131" t="s">
        <v>282</v>
      </c>
      <c r="M59" s="130">
        <v>140</v>
      </c>
      <c r="N59" s="131">
        <v>33.799999999999997</v>
      </c>
      <c r="O59" s="130" t="s">
        <v>282</v>
      </c>
      <c r="P59" s="131" t="s">
        <v>282</v>
      </c>
      <c r="Q59" s="130" t="s">
        <v>282</v>
      </c>
      <c r="R59" s="131" t="s">
        <v>282</v>
      </c>
      <c r="S59" s="147" t="s">
        <v>219</v>
      </c>
    </row>
    <row r="60" spans="1:21" s="124" customFormat="1" ht="14.4" x14ac:dyDescent="0.3">
      <c r="A60" s="129" t="s">
        <v>79</v>
      </c>
      <c r="B60" s="155">
        <f t="shared" si="22"/>
        <v>23833</v>
      </c>
      <c r="C60" s="130">
        <v>785</v>
      </c>
      <c r="D60" s="131">
        <v>262.39999999999998</v>
      </c>
      <c r="E60" s="130">
        <v>5339</v>
      </c>
      <c r="F60" s="131">
        <v>1687.56</v>
      </c>
      <c r="G60" s="130">
        <v>5812</v>
      </c>
      <c r="H60" s="131">
        <v>1873.88</v>
      </c>
      <c r="I60" s="130">
        <v>576</v>
      </c>
      <c r="J60" s="131">
        <v>302.14999999999998</v>
      </c>
      <c r="K60" s="130">
        <v>1968</v>
      </c>
      <c r="L60" s="131">
        <v>890.7</v>
      </c>
      <c r="M60" s="134">
        <v>8607</v>
      </c>
      <c r="N60" s="131">
        <v>3283.16</v>
      </c>
      <c r="O60" s="130">
        <v>12</v>
      </c>
      <c r="P60" s="131">
        <v>2.4</v>
      </c>
      <c r="Q60" s="130">
        <v>734</v>
      </c>
      <c r="R60" s="131">
        <v>224.2</v>
      </c>
      <c r="S60" s="147" t="s">
        <v>220</v>
      </c>
    </row>
    <row r="61" spans="1:21" s="124" customFormat="1" ht="14.4" x14ac:dyDescent="0.3">
      <c r="A61" s="129" t="s">
        <v>81</v>
      </c>
      <c r="B61" s="155">
        <f t="shared" si="22"/>
        <v>734</v>
      </c>
      <c r="C61" s="134">
        <v>5</v>
      </c>
      <c r="D61" s="131">
        <v>1.6</v>
      </c>
      <c r="E61" s="130">
        <v>246</v>
      </c>
      <c r="F61" s="131">
        <v>82.62</v>
      </c>
      <c r="G61" s="130" t="s">
        <v>282</v>
      </c>
      <c r="H61" s="131" t="s">
        <v>282</v>
      </c>
      <c r="I61" s="130">
        <v>75</v>
      </c>
      <c r="J61" s="131">
        <v>39.299999999999997</v>
      </c>
      <c r="K61" s="130">
        <v>21</v>
      </c>
      <c r="L61" s="131">
        <v>11.45</v>
      </c>
      <c r="M61" s="130">
        <v>387</v>
      </c>
      <c r="N61" s="131">
        <v>192.45</v>
      </c>
      <c r="O61" s="130" t="s">
        <v>282</v>
      </c>
      <c r="P61" s="131" t="s">
        <v>282</v>
      </c>
      <c r="Q61" s="134" t="s">
        <v>282</v>
      </c>
      <c r="R61" s="131" t="s">
        <v>282</v>
      </c>
      <c r="S61" s="147" t="s">
        <v>221</v>
      </c>
    </row>
    <row r="62" spans="1:21" s="124" customFormat="1" ht="14.4" x14ac:dyDescent="0.3">
      <c r="A62" s="192" t="s">
        <v>222</v>
      </c>
      <c r="B62" s="193">
        <f>SUM(B64:B66)</f>
        <v>711438</v>
      </c>
      <c r="C62" s="187">
        <f>SUM(C64:C66)</f>
        <v>36205</v>
      </c>
      <c r="D62" s="187">
        <f t="shared" ref="D62:R62" si="23">SUM(D64:D66)</f>
        <v>12638.735000000001</v>
      </c>
      <c r="E62" s="187">
        <f t="shared" si="23"/>
        <v>180374</v>
      </c>
      <c r="F62" s="187">
        <f t="shared" si="23"/>
        <v>68351.398000000001</v>
      </c>
      <c r="G62" s="186">
        <f t="shared" si="23"/>
        <v>49809</v>
      </c>
      <c r="H62" s="187">
        <f t="shared" si="23"/>
        <v>19556.832999999999</v>
      </c>
      <c r="I62" s="187">
        <f t="shared" si="23"/>
        <v>159566</v>
      </c>
      <c r="J62" s="187">
        <f t="shared" si="23"/>
        <v>183454.22200000001</v>
      </c>
      <c r="K62" s="187">
        <f t="shared" si="23"/>
        <v>107703</v>
      </c>
      <c r="L62" s="187">
        <f t="shared" si="23"/>
        <v>114708.193</v>
      </c>
      <c r="M62" s="187">
        <f t="shared" si="23"/>
        <v>140640</v>
      </c>
      <c r="N62" s="204">
        <f t="shared" si="23"/>
        <v>55606.8</v>
      </c>
      <c r="O62" s="187">
        <f t="shared" ref="O62:P62" si="24">SUM(O64:O66)</f>
        <v>7791</v>
      </c>
      <c r="P62" s="186">
        <f t="shared" si="24"/>
        <v>31274.974000000002</v>
      </c>
      <c r="Q62" s="187">
        <f t="shared" si="23"/>
        <v>29350</v>
      </c>
      <c r="R62" s="204">
        <f t="shared" si="23"/>
        <v>14860.456000000002</v>
      </c>
      <c r="S62" s="213" t="s">
        <v>223</v>
      </c>
      <c r="T62" s="214"/>
      <c r="U62" s="214"/>
    </row>
    <row r="63" spans="1:21" s="124" customFormat="1" ht="14.4" x14ac:dyDescent="0.3">
      <c r="A63" s="192"/>
      <c r="B63" s="193"/>
      <c r="C63" s="187"/>
      <c r="D63" s="187"/>
      <c r="E63" s="187"/>
      <c r="F63" s="187"/>
      <c r="G63" s="186"/>
      <c r="H63" s="187"/>
      <c r="I63" s="187"/>
      <c r="J63" s="187"/>
      <c r="K63" s="187"/>
      <c r="L63" s="187"/>
      <c r="M63" s="187"/>
      <c r="N63" s="204"/>
      <c r="O63" s="187"/>
      <c r="P63" s="186"/>
      <c r="Q63" s="187"/>
      <c r="R63" s="204"/>
      <c r="S63" s="213"/>
      <c r="T63" s="214"/>
      <c r="U63" s="214"/>
    </row>
    <row r="64" spans="1:21" s="124" customFormat="1" ht="14.4" x14ac:dyDescent="0.3">
      <c r="A64" s="129" t="s">
        <v>83</v>
      </c>
      <c r="B64" s="155">
        <f t="shared" ref="B64:B66" si="25">SUM(C64,E64,G64,I64,K64,M64,O64,Q64)</f>
        <v>153723</v>
      </c>
      <c r="C64" s="130">
        <v>10788</v>
      </c>
      <c r="D64" s="131">
        <v>4239.7650000000003</v>
      </c>
      <c r="E64" s="130">
        <v>23205</v>
      </c>
      <c r="F64" s="131">
        <v>7131.51</v>
      </c>
      <c r="G64" s="130">
        <v>20153</v>
      </c>
      <c r="H64" s="131">
        <v>6014.24</v>
      </c>
      <c r="I64" s="130">
        <v>8940</v>
      </c>
      <c r="J64" s="131">
        <v>8924.19</v>
      </c>
      <c r="K64" s="130">
        <v>18268</v>
      </c>
      <c r="L64" s="131">
        <v>14240.49</v>
      </c>
      <c r="M64" s="130">
        <v>59046</v>
      </c>
      <c r="N64" s="131">
        <v>18130.308000000001</v>
      </c>
      <c r="O64" s="130">
        <v>1465</v>
      </c>
      <c r="P64" s="131">
        <v>5560.92</v>
      </c>
      <c r="Q64" s="130">
        <v>11858</v>
      </c>
      <c r="R64" s="131">
        <v>5323.97</v>
      </c>
      <c r="S64" s="147" t="s">
        <v>224</v>
      </c>
    </row>
    <row r="65" spans="1:22" s="124" customFormat="1" ht="14.4" x14ac:dyDescent="0.3">
      <c r="A65" s="129" t="s">
        <v>85</v>
      </c>
      <c r="B65" s="155">
        <f t="shared" si="25"/>
        <v>330269</v>
      </c>
      <c r="C65" s="130">
        <v>3599</v>
      </c>
      <c r="D65" s="131">
        <v>1321.67</v>
      </c>
      <c r="E65" s="130">
        <v>65008</v>
      </c>
      <c r="F65" s="131">
        <v>29024.887999999999</v>
      </c>
      <c r="G65" s="130">
        <v>12733</v>
      </c>
      <c r="H65" s="131">
        <v>5575.3710000000001</v>
      </c>
      <c r="I65" s="130">
        <v>132221</v>
      </c>
      <c r="J65" s="131">
        <v>150207.27499999999</v>
      </c>
      <c r="K65" s="130">
        <v>50205</v>
      </c>
      <c r="L65" s="131">
        <v>48830.07</v>
      </c>
      <c r="M65" s="130">
        <v>50650</v>
      </c>
      <c r="N65" s="131">
        <v>28156.842000000001</v>
      </c>
      <c r="O65" s="130">
        <v>3970</v>
      </c>
      <c r="P65" s="131">
        <v>15088.154</v>
      </c>
      <c r="Q65" s="130">
        <v>11883</v>
      </c>
      <c r="R65" s="131">
        <v>6679.6759999999995</v>
      </c>
      <c r="S65" s="209" t="s">
        <v>225</v>
      </c>
      <c r="T65" s="210"/>
      <c r="U65" s="210"/>
    </row>
    <row r="66" spans="1:22" s="124" customFormat="1" ht="14.4" x14ac:dyDescent="0.3">
      <c r="A66" s="129" t="s">
        <v>88</v>
      </c>
      <c r="B66" s="155">
        <f t="shared" si="25"/>
        <v>227446</v>
      </c>
      <c r="C66" s="130">
        <v>21818</v>
      </c>
      <c r="D66" s="131">
        <v>7077.3</v>
      </c>
      <c r="E66" s="130">
        <v>92161</v>
      </c>
      <c r="F66" s="131">
        <v>32195</v>
      </c>
      <c r="G66" s="130">
        <v>16923</v>
      </c>
      <c r="H66" s="131">
        <v>7967.2219999999998</v>
      </c>
      <c r="I66" s="130">
        <v>18405</v>
      </c>
      <c r="J66" s="131">
        <v>24322.757000000001</v>
      </c>
      <c r="K66" s="130">
        <v>39230</v>
      </c>
      <c r="L66" s="131">
        <v>51637.633000000002</v>
      </c>
      <c r="M66" s="130">
        <v>30944</v>
      </c>
      <c r="N66" s="131">
        <v>9319.65</v>
      </c>
      <c r="O66" s="130">
        <v>2356</v>
      </c>
      <c r="P66" s="131">
        <v>10625.9</v>
      </c>
      <c r="Q66" s="130">
        <v>5609</v>
      </c>
      <c r="R66" s="131">
        <v>2856.8100000000004</v>
      </c>
      <c r="S66" s="147" t="s">
        <v>226</v>
      </c>
    </row>
    <row r="67" spans="1:22" s="124" customFormat="1" ht="14.4" x14ac:dyDescent="0.3">
      <c r="A67" s="192" t="s">
        <v>227</v>
      </c>
      <c r="B67" s="193">
        <f>SUM(B69:B73)</f>
        <v>134942</v>
      </c>
      <c r="C67" s="187">
        <f>SUM(C69:C73)</f>
        <v>16004</v>
      </c>
      <c r="D67" s="187">
        <f t="shared" ref="D67:R67" si="26">SUM(D69:D73)</f>
        <v>5519.2570000000005</v>
      </c>
      <c r="E67" s="187">
        <f t="shared" si="26"/>
        <v>31806</v>
      </c>
      <c r="F67" s="187">
        <f t="shared" si="26"/>
        <v>11965.343999999999</v>
      </c>
      <c r="G67" s="186">
        <f t="shared" si="26"/>
        <v>16358</v>
      </c>
      <c r="H67" s="187">
        <f t="shared" si="26"/>
        <v>6928.049</v>
      </c>
      <c r="I67" s="187">
        <f t="shared" si="26"/>
        <v>7593</v>
      </c>
      <c r="J67" s="187">
        <f t="shared" si="26"/>
        <v>6076.6859999999997</v>
      </c>
      <c r="K67" s="187">
        <f t="shared" si="26"/>
        <v>15519</v>
      </c>
      <c r="L67" s="187">
        <f t="shared" si="26"/>
        <v>14296.656999999999</v>
      </c>
      <c r="M67" s="187">
        <f t="shared" si="26"/>
        <v>32975</v>
      </c>
      <c r="N67" s="204">
        <f t="shared" si="26"/>
        <v>12342.936</v>
      </c>
      <c r="O67" s="187">
        <f t="shared" ref="O67:P67" si="27">SUM(O69:O73)</f>
        <v>2177</v>
      </c>
      <c r="P67" s="186">
        <f t="shared" si="27"/>
        <v>4248.2620000000006</v>
      </c>
      <c r="Q67" s="187">
        <f t="shared" si="26"/>
        <v>12510</v>
      </c>
      <c r="R67" s="204">
        <f t="shared" si="26"/>
        <v>5395.8449999999993</v>
      </c>
      <c r="S67" s="213" t="s">
        <v>228</v>
      </c>
      <c r="T67" s="214"/>
      <c r="U67" s="214"/>
    </row>
    <row r="68" spans="1:22" s="124" customFormat="1" ht="14.4" x14ac:dyDescent="0.3">
      <c r="A68" s="192"/>
      <c r="B68" s="193"/>
      <c r="C68" s="187"/>
      <c r="D68" s="187"/>
      <c r="E68" s="187"/>
      <c r="F68" s="187"/>
      <c r="G68" s="186"/>
      <c r="H68" s="187"/>
      <c r="I68" s="187"/>
      <c r="J68" s="187"/>
      <c r="K68" s="187"/>
      <c r="L68" s="187"/>
      <c r="M68" s="187"/>
      <c r="N68" s="204"/>
      <c r="O68" s="187"/>
      <c r="P68" s="186"/>
      <c r="Q68" s="187"/>
      <c r="R68" s="204"/>
      <c r="S68" s="213"/>
      <c r="T68" s="214"/>
      <c r="U68" s="214"/>
    </row>
    <row r="69" spans="1:22" s="124" customFormat="1" ht="14.4" x14ac:dyDescent="0.3">
      <c r="A69" s="129" t="s">
        <v>90</v>
      </c>
      <c r="B69" s="155">
        <f t="shared" ref="B69:B73" si="28">SUM(C69,E69,G69,I69,K69,M69,O69,Q69)</f>
        <v>48733</v>
      </c>
      <c r="C69" s="130">
        <v>6831</v>
      </c>
      <c r="D69" s="131">
        <v>2228.3789999999999</v>
      </c>
      <c r="E69" s="130">
        <v>14338</v>
      </c>
      <c r="F69" s="131">
        <v>5608.35</v>
      </c>
      <c r="G69" s="130">
        <v>7561</v>
      </c>
      <c r="H69" s="131">
        <v>3569.4920000000002</v>
      </c>
      <c r="I69" s="130">
        <v>2362</v>
      </c>
      <c r="J69" s="131">
        <v>1965.8019999999999</v>
      </c>
      <c r="K69" s="130">
        <v>3095</v>
      </c>
      <c r="L69" s="131">
        <v>3034.25</v>
      </c>
      <c r="M69" s="130">
        <v>9111</v>
      </c>
      <c r="N69" s="131">
        <v>3038.37</v>
      </c>
      <c r="O69" s="130">
        <v>932</v>
      </c>
      <c r="P69" s="131">
        <v>3007.1</v>
      </c>
      <c r="Q69" s="130">
        <v>4503</v>
      </c>
      <c r="R69" s="131">
        <v>2366.3000000000002</v>
      </c>
      <c r="S69" s="147" t="s">
        <v>229</v>
      </c>
    </row>
    <row r="70" spans="1:22" s="124" customFormat="1" ht="14.4" x14ac:dyDescent="0.3">
      <c r="A70" s="129" t="s">
        <v>92</v>
      </c>
      <c r="B70" s="155">
        <f t="shared" si="28"/>
        <v>19376</v>
      </c>
      <c r="C70" s="130">
        <v>4173</v>
      </c>
      <c r="D70" s="131">
        <v>1378.9580000000001</v>
      </c>
      <c r="E70" s="130">
        <v>6880</v>
      </c>
      <c r="F70" s="131">
        <v>1991.5</v>
      </c>
      <c r="G70" s="130">
        <v>2903</v>
      </c>
      <c r="H70" s="131">
        <v>788.61</v>
      </c>
      <c r="I70" s="130">
        <v>87</v>
      </c>
      <c r="J70" s="131">
        <v>76.8</v>
      </c>
      <c r="K70" s="130">
        <v>301</v>
      </c>
      <c r="L70" s="131">
        <v>462.58</v>
      </c>
      <c r="M70" s="130">
        <v>3794</v>
      </c>
      <c r="N70" s="131">
        <v>1949.86</v>
      </c>
      <c r="O70" s="130">
        <v>11</v>
      </c>
      <c r="P70" s="131">
        <v>13.5</v>
      </c>
      <c r="Q70" s="134">
        <v>1227</v>
      </c>
      <c r="R70" s="131">
        <v>322.88</v>
      </c>
      <c r="S70" s="147" t="s">
        <v>230</v>
      </c>
    </row>
    <row r="71" spans="1:22" s="124" customFormat="1" ht="14.4" x14ac:dyDescent="0.3">
      <c r="A71" s="129" t="s">
        <v>94</v>
      </c>
      <c r="B71" s="155">
        <f t="shared" si="28"/>
        <v>22722</v>
      </c>
      <c r="C71" s="130">
        <v>2524</v>
      </c>
      <c r="D71" s="131">
        <v>1037.355</v>
      </c>
      <c r="E71" s="130">
        <v>2501</v>
      </c>
      <c r="F71" s="131">
        <v>1266.9380000000001</v>
      </c>
      <c r="G71" s="130">
        <v>522</v>
      </c>
      <c r="H71" s="131">
        <v>258.8</v>
      </c>
      <c r="I71" s="130">
        <v>596</v>
      </c>
      <c r="J71" s="131">
        <v>375.41</v>
      </c>
      <c r="K71" s="130">
        <v>7000</v>
      </c>
      <c r="L71" s="131">
        <v>7113.7</v>
      </c>
      <c r="M71" s="130">
        <v>6263</v>
      </c>
      <c r="N71" s="131">
        <v>3365.4</v>
      </c>
      <c r="O71" s="130">
        <v>781</v>
      </c>
      <c r="P71" s="131">
        <v>490.8</v>
      </c>
      <c r="Q71" s="130">
        <v>2535</v>
      </c>
      <c r="R71" s="131">
        <v>1136.1899999999998</v>
      </c>
      <c r="S71" s="147" t="s">
        <v>231</v>
      </c>
    </row>
    <row r="72" spans="1:22" s="124" customFormat="1" ht="14.4" x14ac:dyDescent="0.3">
      <c r="A72" s="129" t="s">
        <v>97</v>
      </c>
      <c r="B72" s="155">
        <f t="shared" si="28"/>
        <v>15669</v>
      </c>
      <c r="C72" s="130">
        <v>933</v>
      </c>
      <c r="D72" s="131">
        <v>323.43</v>
      </c>
      <c r="E72" s="130">
        <v>4039</v>
      </c>
      <c r="F72" s="131">
        <v>1790.4059999999999</v>
      </c>
      <c r="G72" s="130">
        <v>2783</v>
      </c>
      <c r="H72" s="131">
        <v>1516.9</v>
      </c>
      <c r="I72" s="130">
        <v>1341</v>
      </c>
      <c r="J72" s="131">
        <v>933.17</v>
      </c>
      <c r="K72" s="130">
        <v>1499</v>
      </c>
      <c r="L72" s="131">
        <v>1649.413</v>
      </c>
      <c r="M72" s="130">
        <v>3698</v>
      </c>
      <c r="N72" s="131">
        <v>1726.91</v>
      </c>
      <c r="O72" s="130">
        <v>417</v>
      </c>
      <c r="P72" s="131">
        <v>700.50800000000004</v>
      </c>
      <c r="Q72" s="130">
        <v>959</v>
      </c>
      <c r="R72" s="131">
        <v>497.52100000000002</v>
      </c>
      <c r="S72" s="147" t="s">
        <v>232</v>
      </c>
    </row>
    <row r="73" spans="1:22" s="124" customFormat="1" ht="14.4" x14ac:dyDescent="0.3">
      <c r="A73" s="129" t="s">
        <v>99</v>
      </c>
      <c r="B73" s="155">
        <f t="shared" si="28"/>
        <v>28442</v>
      </c>
      <c r="C73" s="130">
        <v>1543</v>
      </c>
      <c r="D73" s="131">
        <v>551.13499999999999</v>
      </c>
      <c r="E73" s="130">
        <v>4048</v>
      </c>
      <c r="F73" s="131">
        <v>1308.1500000000001</v>
      </c>
      <c r="G73" s="130">
        <v>2589</v>
      </c>
      <c r="H73" s="131">
        <v>794.24699999999996</v>
      </c>
      <c r="I73" s="130">
        <v>3207</v>
      </c>
      <c r="J73" s="131">
        <v>2725.5039999999999</v>
      </c>
      <c r="K73" s="130">
        <v>3624</v>
      </c>
      <c r="L73" s="131">
        <v>2036.7139999999999</v>
      </c>
      <c r="M73" s="130">
        <v>10109</v>
      </c>
      <c r="N73" s="131">
        <v>2262.3960000000002</v>
      </c>
      <c r="O73" s="130">
        <v>36</v>
      </c>
      <c r="P73" s="131">
        <v>36.353999999999999</v>
      </c>
      <c r="Q73" s="130">
        <v>3286</v>
      </c>
      <c r="R73" s="131">
        <v>1072.954</v>
      </c>
      <c r="S73" s="147" t="s">
        <v>233</v>
      </c>
    </row>
    <row r="74" spans="1:22" s="124" customFormat="1" ht="14.4" x14ac:dyDescent="0.3">
      <c r="A74" s="192" t="s">
        <v>234</v>
      </c>
      <c r="B74" s="193">
        <f>SUM(B76:B83)</f>
        <v>11140</v>
      </c>
      <c r="C74" s="187">
        <f>SUM(C76:C83)</f>
        <v>784</v>
      </c>
      <c r="D74" s="187">
        <f t="shared" ref="D74:R74" si="29">SUM(D76:D83)</f>
        <v>271.80200000000002</v>
      </c>
      <c r="E74" s="187">
        <f t="shared" si="29"/>
        <v>1998</v>
      </c>
      <c r="F74" s="187">
        <f t="shared" si="29"/>
        <v>847.18000000000006</v>
      </c>
      <c r="G74" s="186">
        <f t="shared" si="29"/>
        <v>1003</v>
      </c>
      <c r="H74" s="187">
        <f t="shared" si="29"/>
        <v>419.40000000000003</v>
      </c>
      <c r="I74" s="187">
        <f t="shared" si="29"/>
        <v>174</v>
      </c>
      <c r="J74" s="187">
        <f t="shared" si="29"/>
        <v>194</v>
      </c>
      <c r="K74" s="187">
        <f t="shared" si="29"/>
        <v>426</v>
      </c>
      <c r="L74" s="187">
        <f t="shared" si="29"/>
        <v>629.96</v>
      </c>
      <c r="M74" s="187">
        <f t="shared" si="29"/>
        <v>4871</v>
      </c>
      <c r="N74" s="204">
        <f t="shared" si="29"/>
        <v>1848.14</v>
      </c>
      <c r="O74" s="187">
        <f t="shared" ref="O74:P74" si="30">SUM(O76:O83)</f>
        <v>0</v>
      </c>
      <c r="P74" s="186">
        <f t="shared" si="30"/>
        <v>0</v>
      </c>
      <c r="Q74" s="187">
        <f t="shared" si="29"/>
        <v>1884</v>
      </c>
      <c r="R74" s="204">
        <f t="shared" si="29"/>
        <v>418.65000000000003</v>
      </c>
      <c r="S74" s="211" t="s">
        <v>235</v>
      </c>
      <c r="T74" s="212"/>
      <c r="U74" s="212"/>
    </row>
    <row r="75" spans="1:22" s="124" customFormat="1" ht="14.4" x14ac:dyDescent="0.3">
      <c r="A75" s="192"/>
      <c r="B75" s="193"/>
      <c r="C75" s="187"/>
      <c r="D75" s="187"/>
      <c r="E75" s="187"/>
      <c r="F75" s="187"/>
      <c r="G75" s="186"/>
      <c r="H75" s="187"/>
      <c r="I75" s="187"/>
      <c r="J75" s="187"/>
      <c r="K75" s="187"/>
      <c r="L75" s="187"/>
      <c r="M75" s="187"/>
      <c r="N75" s="204"/>
      <c r="O75" s="187"/>
      <c r="P75" s="186"/>
      <c r="Q75" s="187"/>
      <c r="R75" s="204"/>
      <c r="S75" s="211"/>
      <c r="T75" s="212"/>
      <c r="U75" s="212"/>
    </row>
    <row r="76" spans="1:22" s="124" customFormat="1" ht="14.4" x14ac:dyDescent="0.3">
      <c r="A76" s="135" t="s">
        <v>273</v>
      </c>
      <c r="B76" s="155">
        <f t="shared" ref="B76:B83" si="31">SUM(C76,E76,G76,I76,K76,M76,O76,Q76)</f>
        <v>0</v>
      </c>
      <c r="C76" s="130" t="s">
        <v>282</v>
      </c>
      <c r="D76" s="131" t="s">
        <v>282</v>
      </c>
      <c r="E76" s="130" t="s">
        <v>282</v>
      </c>
      <c r="F76" s="131" t="s">
        <v>282</v>
      </c>
      <c r="G76" s="130" t="s">
        <v>282</v>
      </c>
      <c r="H76" s="131" t="s">
        <v>282</v>
      </c>
      <c r="I76" s="130" t="s">
        <v>282</v>
      </c>
      <c r="J76" s="131" t="s">
        <v>282</v>
      </c>
      <c r="K76" s="130" t="s">
        <v>282</v>
      </c>
      <c r="L76" s="131" t="s">
        <v>282</v>
      </c>
      <c r="M76" s="130" t="s">
        <v>282</v>
      </c>
      <c r="N76" s="131" t="s">
        <v>282</v>
      </c>
      <c r="O76" s="130" t="s">
        <v>282</v>
      </c>
      <c r="P76" s="131" t="s">
        <v>282</v>
      </c>
      <c r="Q76" s="130" t="s">
        <v>282</v>
      </c>
      <c r="R76" s="131" t="s">
        <v>282</v>
      </c>
      <c r="S76" s="209" t="s">
        <v>236</v>
      </c>
      <c r="T76" s="210"/>
      <c r="U76" s="210"/>
      <c r="V76" s="210"/>
    </row>
    <row r="77" spans="1:22" s="124" customFormat="1" ht="14.4" x14ac:dyDescent="0.3">
      <c r="A77" s="136" t="s">
        <v>274</v>
      </c>
      <c r="B77" s="155">
        <f t="shared" si="31"/>
        <v>0</v>
      </c>
      <c r="C77" s="130" t="s">
        <v>282</v>
      </c>
      <c r="D77" s="131" t="s">
        <v>282</v>
      </c>
      <c r="E77" s="130" t="s">
        <v>282</v>
      </c>
      <c r="F77" s="131" t="s">
        <v>282</v>
      </c>
      <c r="G77" s="130" t="s">
        <v>282</v>
      </c>
      <c r="H77" s="131" t="s">
        <v>282</v>
      </c>
      <c r="I77" s="130" t="s">
        <v>282</v>
      </c>
      <c r="J77" s="131" t="s">
        <v>282</v>
      </c>
      <c r="K77" s="130" t="s">
        <v>282</v>
      </c>
      <c r="L77" s="131" t="s">
        <v>282</v>
      </c>
      <c r="M77" s="130" t="s">
        <v>282</v>
      </c>
      <c r="N77" s="131" t="s">
        <v>282</v>
      </c>
      <c r="O77" s="130" t="s">
        <v>282</v>
      </c>
      <c r="P77" s="131" t="s">
        <v>282</v>
      </c>
      <c r="Q77" s="130" t="s">
        <v>282</v>
      </c>
      <c r="R77" s="131" t="s">
        <v>282</v>
      </c>
      <c r="S77" s="209" t="s">
        <v>237</v>
      </c>
      <c r="T77" s="210"/>
      <c r="U77" s="210"/>
      <c r="V77" s="210"/>
    </row>
    <row r="78" spans="1:22" s="124" customFormat="1" ht="14.4" x14ac:dyDescent="0.3">
      <c r="A78" s="129" t="s">
        <v>106</v>
      </c>
      <c r="B78" s="155">
        <f t="shared" si="31"/>
        <v>0</v>
      </c>
      <c r="C78" s="130" t="s">
        <v>282</v>
      </c>
      <c r="D78" s="131" t="s">
        <v>282</v>
      </c>
      <c r="E78" s="130" t="s">
        <v>282</v>
      </c>
      <c r="F78" s="131" t="s">
        <v>282</v>
      </c>
      <c r="G78" s="130" t="s">
        <v>282</v>
      </c>
      <c r="H78" s="131" t="s">
        <v>282</v>
      </c>
      <c r="I78" s="130" t="s">
        <v>282</v>
      </c>
      <c r="J78" s="131" t="s">
        <v>282</v>
      </c>
      <c r="K78" s="130" t="s">
        <v>282</v>
      </c>
      <c r="L78" s="131" t="s">
        <v>282</v>
      </c>
      <c r="M78" s="130" t="s">
        <v>282</v>
      </c>
      <c r="N78" s="131" t="s">
        <v>282</v>
      </c>
      <c r="O78" s="130" t="s">
        <v>282</v>
      </c>
      <c r="P78" s="131" t="s">
        <v>282</v>
      </c>
      <c r="Q78" s="130" t="s">
        <v>282</v>
      </c>
      <c r="R78" s="131" t="s">
        <v>282</v>
      </c>
      <c r="S78" s="209" t="s">
        <v>238</v>
      </c>
      <c r="T78" s="210"/>
      <c r="U78" s="210"/>
      <c r="V78" s="210"/>
    </row>
    <row r="79" spans="1:22" s="124" customFormat="1" ht="14.4" x14ac:dyDescent="0.3">
      <c r="A79" s="129" t="s">
        <v>108</v>
      </c>
      <c r="B79" s="155">
        <f t="shared" si="31"/>
        <v>0</v>
      </c>
      <c r="C79" s="130" t="s">
        <v>282</v>
      </c>
      <c r="D79" s="131" t="s">
        <v>282</v>
      </c>
      <c r="E79" s="130" t="s">
        <v>282</v>
      </c>
      <c r="F79" s="131" t="s">
        <v>282</v>
      </c>
      <c r="G79" s="130" t="s">
        <v>282</v>
      </c>
      <c r="H79" s="131" t="s">
        <v>282</v>
      </c>
      <c r="I79" s="130" t="s">
        <v>282</v>
      </c>
      <c r="J79" s="131" t="s">
        <v>282</v>
      </c>
      <c r="K79" s="130" t="s">
        <v>282</v>
      </c>
      <c r="L79" s="131" t="s">
        <v>282</v>
      </c>
      <c r="M79" s="130" t="s">
        <v>282</v>
      </c>
      <c r="N79" s="131" t="s">
        <v>282</v>
      </c>
      <c r="O79" s="130" t="s">
        <v>282</v>
      </c>
      <c r="P79" s="131" t="s">
        <v>282</v>
      </c>
      <c r="Q79" s="130" t="s">
        <v>282</v>
      </c>
      <c r="R79" s="131" t="s">
        <v>282</v>
      </c>
      <c r="S79" s="209" t="s">
        <v>239</v>
      </c>
      <c r="T79" s="210"/>
      <c r="U79" s="210"/>
      <c r="V79" s="210"/>
    </row>
    <row r="80" spans="1:22" s="124" customFormat="1" ht="14.4" x14ac:dyDescent="0.3">
      <c r="A80" s="129" t="s">
        <v>110</v>
      </c>
      <c r="B80" s="155">
        <f t="shared" si="31"/>
        <v>4826</v>
      </c>
      <c r="C80" s="130">
        <v>255</v>
      </c>
      <c r="D80" s="131">
        <v>95.44</v>
      </c>
      <c r="E80" s="130">
        <v>154</v>
      </c>
      <c r="F80" s="131">
        <v>49.98</v>
      </c>
      <c r="G80" s="130">
        <v>127</v>
      </c>
      <c r="H80" s="131">
        <v>54.2</v>
      </c>
      <c r="I80" s="130">
        <v>104</v>
      </c>
      <c r="J80" s="131">
        <v>118</v>
      </c>
      <c r="K80" s="130">
        <v>370</v>
      </c>
      <c r="L80" s="131">
        <v>585.96</v>
      </c>
      <c r="M80" s="130">
        <v>2903</v>
      </c>
      <c r="N80" s="131">
        <v>731.44</v>
      </c>
      <c r="O80" s="130" t="s">
        <v>282</v>
      </c>
      <c r="P80" s="131" t="s">
        <v>282</v>
      </c>
      <c r="Q80" s="134">
        <v>913</v>
      </c>
      <c r="R80" s="131">
        <v>127.25</v>
      </c>
      <c r="S80" s="209" t="s">
        <v>240</v>
      </c>
      <c r="T80" s="210"/>
      <c r="U80" s="210"/>
      <c r="V80" s="210"/>
    </row>
    <row r="81" spans="1:22" s="124" customFormat="1" ht="14.4" x14ac:dyDescent="0.3">
      <c r="A81" s="129" t="s">
        <v>113</v>
      </c>
      <c r="B81" s="155">
        <f t="shared" si="31"/>
        <v>3357</v>
      </c>
      <c r="C81" s="130">
        <v>239</v>
      </c>
      <c r="D81" s="131">
        <v>68.69</v>
      </c>
      <c r="E81" s="130">
        <v>254</v>
      </c>
      <c r="F81" s="131">
        <v>76.2</v>
      </c>
      <c r="G81" s="130">
        <v>267</v>
      </c>
      <c r="H81" s="131">
        <v>88.1</v>
      </c>
      <c r="I81" s="134">
        <v>10</v>
      </c>
      <c r="J81" s="131">
        <v>6</v>
      </c>
      <c r="K81" s="130">
        <v>56</v>
      </c>
      <c r="L81" s="131">
        <v>44</v>
      </c>
      <c r="M81" s="134">
        <v>1560</v>
      </c>
      <c r="N81" s="131">
        <v>936</v>
      </c>
      <c r="O81" s="130" t="s">
        <v>282</v>
      </c>
      <c r="P81" s="131" t="s">
        <v>282</v>
      </c>
      <c r="Q81" s="130">
        <v>971</v>
      </c>
      <c r="R81" s="131">
        <v>291.40000000000003</v>
      </c>
      <c r="S81" s="209" t="s">
        <v>241</v>
      </c>
      <c r="T81" s="210"/>
      <c r="U81" s="210"/>
      <c r="V81" s="210"/>
    </row>
    <row r="82" spans="1:22" s="124" customFormat="1" ht="14.4" x14ac:dyDescent="0.3">
      <c r="A82" s="129" t="s">
        <v>115</v>
      </c>
      <c r="B82" s="155">
        <f t="shared" si="31"/>
        <v>0</v>
      </c>
      <c r="C82" s="130" t="s">
        <v>282</v>
      </c>
      <c r="D82" s="131" t="s">
        <v>282</v>
      </c>
      <c r="E82" s="130" t="s">
        <v>282</v>
      </c>
      <c r="F82" s="131" t="s">
        <v>282</v>
      </c>
      <c r="G82" s="130" t="s">
        <v>282</v>
      </c>
      <c r="H82" s="131" t="s">
        <v>282</v>
      </c>
      <c r="I82" s="134" t="s">
        <v>282</v>
      </c>
      <c r="J82" s="131" t="s">
        <v>282</v>
      </c>
      <c r="K82" s="130" t="s">
        <v>282</v>
      </c>
      <c r="L82" s="131" t="s">
        <v>282</v>
      </c>
      <c r="M82" s="134" t="s">
        <v>282</v>
      </c>
      <c r="N82" s="131" t="s">
        <v>282</v>
      </c>
      <c r="O82" s="130" t="s">
        <v>282</v>
      </c>
      <c r="P82" s="131" t="s">
        <v>282</v>
      </c>
      <c r="Q82" s="130" t="s">
        <v>282</v>
      </c>
      <c r="R82" s="131" t="s">
        <v>282</v>
      </c>
      <c r="S82" s="209" t="s">
        <v>242</v>
      </c>
      <c r="T82" s="210"/>
      <c r="U82" s="210"/>
      <c r="V82" s="210"/>
    </row>
    <row r="83" spans="1:22" s="124" customFormat="1" ht="14.4" x14ac:dyDescent="0.3">
      <c r="A83" s="129" t="s">
        <v>117</v>
      </c>
      <c r="B83" s="155">
        <f t="shared" si="31"/>
        <v>2957</v>
      </c>
      <c r="C83" s="130">
        <v>290</v>
      </c>
      <c r="D83" s="131">
        <v>107.672</v>
      </c>
      <c r="E83" s="130">
        <v>1590</v>
      </c>
      <c r="F83" s="131">
        <v>721</v>
      </c>
      <c r="G83" s="130">
        <v>609</v>
      </c>
      <c r="H83" s="131">
        <v>277.10000000000002</v>
      </c>
      <c r="I83" s="130">
        <v>60</v>
      </c>
      <c r="J83" s="131">
        <v>70</v>
      </c>
      <c r="K83" s="134" t="s">
        <v>282</v>
      </c>
      <c r="L83" s="131" t="s">
        <v>282</v>
      </c>
      <c r="M83" s="134">
        <v>408</v>
      </c>
      <c r="N83" s="131">
        <v>180.7</v>
      </c>
      <c r="O83" s="130" t="s">
        <v>282</v>
      </c>
      <c r="P83" s="131" t="s">
        <v>282</v>
      </c>
      <c r="Q83" s="134" t="s">
        <v>282</v>
      </c>
      <c r="R83" s="131" t="s">
        <v>282</v>
      </c>
      <c r="S83" s="209" t="s">
        <v>243</v>
      </c>
      <c r="T83" s="210"/>
      <c r="U83" s="210"/>
      <c r="V83" s="210"/>
    </row>
    <row r="84" spans="1:22" s="124" customFormat="1" ht="14.4" x14ac:dyDescent="0.3">
      <c r="A84" s="192" t="s">
        <v>244</v>
      </c>
      <c r="B84" s="193">
        <f>SUM(B86:B90)</f>
        <v>47055</v>
      </c>
      <c r="C84" s="187">
        <f>SUM(C86:C90)</f>
        <v>3982</v>
      </c>
      <c r="D84" s="187">
        <f t="shared" ref="D84:R84" si="32">SUM(D86:D90)</f>
        <v>1270.893</v>
      </c>
      <c r="E84" s="187">
        <f t="shared" si="32"/>
        <v>12672</v>
      </c>
      <c r="F84" s="187">
        <f t="shared" si="32"/>
        <v>5245.3810000000003</v>
      </c>
      <c r="G84" s="186">
        <f t="shared" si="32"/>
        <v>6605</v>
      </c>
      <c r="H84" s="187">
        <f t="shared" si="32"/>
        <v>3491.6549999999997</v>
      </c>
      <c r="I84" s="187">
        <f t="shared" si="32"/>
        <v>4739</v>
      </c>
      <c r="J84" s="187">
        <f t="shared" si="32"/>
        <v>6733.8550000000005</v>
      </c>
      <c r="K84" s="187">
        <f t="shared" si="32"/>
        <v>2924</v>
      </c>
      <c r="L84" s="187">
        <f t="shared" si="32"/>
        <v>2994.41</v>
      </c>
      <c r="M84" s="187">
        <f t="shared" si="32"/>
        <v>7543</v>
      </c>
      <c r="N84" s="204">
        <f t="shared" si="32"/>
        <v>2358.84</v>
      </c>
      <c r="O84" s="187">
        <f t="shared" ref="O84:P84" si="33">SUM(O86:O90)</f>
        <v>376</v>
      </c>
      <c r="P84" s="186">
        <f t="shared" si="33"/>
        <v>927.55500000000006</v>
      </c>
      <c r="Q84" s="187">
        <f t="shared" si="32"/>
        <v>8214</v>
      </c>
      <c r="R84" s="204">
        <f t="shared" si="32"/>
        <v>5007.1410000000005</v>
      </c>
      <c r="S84" s="213" t="s">
        <v>245</v>
      </c>
      <c r="T84" s="214"/>
      <c r="U84" s="214"/>
    </row>
    <row r="85" spans="1:22" s="124" customFormat="1" ht="14.4" x14ac:dyDescent="0.3">
      <c r="A85" s="192"/>
      <c r="B85" s="193"/>
      <c r="C85" s="187"/>
      <c r="D85" s="187"/>
      <c r="E85" s="187"/>
      <c r="F85" s="187"/>
      <c r="G85" s="186"/>
      <c r="H85" s="187"/>
      <c r="I85" s="187"/>
      <c r="J85" s="187"/>
      <c r="K85" s="187"/>
      <c r="L85" s="187"/>
      <c r="M85" s="187"/>
      <c r="N85" s="204"/>
      <c r="O85" s="187"/>
      <c r="P85" s="186"/>
      <c r="Q85" s="187"/>
      <c r="R85" s="204"/>
      <c r="S85" s="213"/>
      <c r="T85" s="214"/>
      <c r="U85" s="214"/>
    </row>
    <row r="86" spans="1:22" s="124" customFormat="1" ht="14.4" x14ac:dyDescent="0.3">
      <c r="A86" s="129" t="s">
        <v>119</v>
      </c>
      <c r="B86" s="155">
        <f t="shared" ref="B86:B90" si="34">SUM(C86,E86,G86,I86,K86,M86,O86,Q86)</f>
        <v>22725</v>
      </c>
      <c r="C86" s="130">
        <v>1275</v>
      </c>
      <c r="D86" s="131">
        <v>554.44100000000003</v>
      </c>
      <c r="E86" s="130">
        <v>8011</v>
      </c>
      <c r="F86" s="131">
        <v>3861.2840000000001</v>
      </c>
      <c r="G86" s="130">
        <v>2947</v>
      </c>
      <c r="H86" s="131">
        <v>1936.675</v>
      </c>
      <c r="I86" s="130">
        <v>3269</v>
      </c>
      <c r="J86" s="131">
        <v>4660.4949999999999</v>
      </c>
      <c r="K86" s="130">
        <v>716</v>
      </c>
      <c r="L86" s="131">
        <v>510.3</v>
      </c>
      <c r="M86" s="130">
        <v>3636</v>
      </c>
      <c r="N86" s="131">
        <v>1345.59</v>
      </c>
      <c r="O86" s="130">
        <v>285</v>
      </c>
      <c r="P86" s="131">
        <v>844.2</v>
      </c>
      <c r="Q86" s="130">
        <v>2586</v>
      </c>
      <c r="R86" s="131">
        <v>1904.4</v>
      </c>
      <c r="S86" s="147" t="s">
        <v>246</v>
      </c>
    </row>
    <row r="87" spans="1:22" s="124" customFormat="1" ht="14.4" x14ac:dyDescent="0.3">
      <c r="A87" s="129" t="s">
        <v>122</v>
      </c>
      <c r="B87" s="155">
        <f t="shared" si="34"/>
        <v>1976</v>
      </c>
      <c r="C87" s="130">
        <v>523</v>
      </c>
      <c r="D87" s="131">
        <v>158.9</v>
      </c>
      <c r="E87" s="130">
        <v>411</v>
      </c>
      <c r="F87" s="131">
        <v>164.4</v>
      </c>
      <c r="G87" s="130">
        <v>630</v>
      </c>
      <c r="H87" s="131">
        <v>315</v>
      </c>
      <c r="I87" s="130">
        <v>14</v>
      </c>
      <c r="J87" s="131">
        <v>14</v>
      </c>
      <c r="K87" s="130">
        <v>18</v>
      </c>
      <c r="L87" s="131">
        <v>20.8</v>
      </c>
      <c r="M87" s="130">
        <v>216</v>
      </c>
      <c r="N87" s="131">
        <v>34.65</v>
      </c>
      <c r="O87" s="130" t="s">
        <v>282</v>
      </c>
      <c r="P87" s="131" t="s">
        <v>282</v>
      </c>
      <c r="Q87" s="130">
        <v>164</v>
      </c>
      <c r="R87" s="131">
        <v>98.4</v>
      </c>
      <c r="S87" s="147" t="s">
        <v>247</v>
      </c>
    </row>
    <row r="88" spans="1:22" s="124" customFormat="1" ht="14.4" x14ac:dyDescent="0.3">
      <c r="A88" s="129" t="s">
        <v>124</v>
      </c>
      <c r="B88" s="155">
        <f t="shared" si="34"/>
        <v>19729</v>
      </c>
      <c r="C88" s="130">
        <v>2052</v>
      </c>
      <c r="D88" s="131">
        <v>532.08199999999999</v>
      </c>
      <c r="E88" s="130">
        <v>4010</v>
      </c>
      <c r="F88" s="131">
        <v>1161.2370000000001</v>
      </c>
      <c r="G88" s="130">
        <v>2429</v>
      </c>
      <c r="H88" s="131">
        <v>1156.33</v>
      </c>
      <c r="I88" s="130">
        <v>1453</v>
      </c>
      <c r="J88" s="131">
        <v>2058.4</v>
      </c>
      <c r="K88" s="130">
        <v>2129</v>
      </c>
      <c r="L88" s="131">
        <v>2442.21</v>
      </c>
      <c r="M88" s="134">
        <v>2233</v>
      </c>
      <c r="N88" s="131">
        <v>815.4</v>
      </c>
      <c r="O88" s="130">
        <v>91</v>
      </c>
      <c r="P88" s="131">
        <v>83.355000000000004</v>
      </c>
      <c r="Q88" s="130">
        <v>5332</v>
      </c>
      <c r="R88" s="131">
        <v>2973.2160000000003</v>
      </c>
      <c r="S88" s="147" t="s">
        <v>248</v>
      </c>
    </row>
    <row r="89" spans="1:22" s="124" customFormat="1" ht="14.4" x14ac:dyDescent="0.3">
      <c r="A89" s="129" t="s">
        <v>127</v>
      </c>
      <c r="B89" s="155">
        <f t="shared" si="34"/>
        <v>431</v>
      </c>
      <c r="C89" s="130">
        <v>24</v>
      </c>
      <c r="D89" s="131">
        <v>7.75</v>
      </c>
      <c r="E89" s="130">
        <v>108</v>
      </c>
      <c r="F89" s="131">
        <v>34.08</v>
      </c>
      <c r="G89" s="130">
        <v>112</v>
      </c>
      <c r="H89" s="131">
        <v>35.24</v>
      </c>
      <c r="I89" s="134" t="s">
        <v>282</v>
      </c>
      <c r="J89" s="131" t="s">
        <v>282</v>
      </c>
      <c r="K89" s="130">
        <v>61</v>
      </c>
      <c r="L89" s="131">
        <v>21.1</v>
      </c>
      <c r="M89" s="134">
        <v>63</v>
      </c>
      <c r="N89" s="131">
        <v>21.3</v>
      </c>
      <c r="O89" s="130" t="s">
        <v>282</v>
      </c>
      <c r="P89" s="131" t="s">
        <v>282</v>
      </c>
      <c r="Q89" s="130">
        <v>63</v>
      </c>
      <c r="R89" s="131">
        <v>18.899999999999999</v>
      </c>
      <c r="S89" s="147" t="s">
        <v>249</v>
      </c>
    </row>
    <row r="90" spans="1:22" s="124" customFormat="1" ht="14.4" x14ac:dyDescent="0.3">
      <c r="A90" s="129" t="s">
        <v>129</v>
      </c>
      <c r="B90" s="155">
        <f t="shared" si="34"/>
        <v>2194</v>
      </c>
      <c r="C90" s="130">
        <v>108</v>
      </c>
      <c r="D90" s="131">
        <v>17.72</v>
      </c>
      <c r="E90" s="130">
        <v>132</v>
      </c>
      <c r="F90" s="131">
        <v>24.38</v>
      </c>
      <c r="G90" s="130">
        <v>487</v>
      </c>
      <c r="H90" s="131">
        <v>48.41</v>
      </c>
      <c r="I90" s="130">
        <v>3</v>
      </c>
      <c r="J90" s="131">
        <v>0.96</v>
      </c>
      <c r="K90" s="130" t="s">
        <v>282</v>
      </c>
      <c r="L90" s="131" t="s">
        <v>282</v>
      </c>
      <c r="M90" s="134">
        <v>1395</v>
      </c>
      <c r="N90" s="131">
        <v>141.9</v>
      </c>
      <c r="O90" s="130" t="s">
        <v>282</v>
      </c>
      <c r="P90" s="131" t="s">
        <v>282</v>
      </c>
      <c r="Q90" s="130">
        <v>69</v>
      </c>
      <c r="R90" s="131">
        <v>12.225</v>
      </c>
      <c r="S90" s="147" t="s">
        <v>250</v>
      </c>
    </row>
    <row r="91" spans="1:22" s="124" customFormat="1" ht="14.4" x14ac:dyDescent="0.3">
      <c r="A91" s="192" t="s">
        <v>251</v>
      </c>
      <c r="B91" s="193">
        <f>SUM(B93:B105)</f>
        <v>80495</v>
      </c>
      <c r="C91" s="187">
        <f>SUM(C93:C105)</f>
        <v>36055</v>
      </c>
      <c r="D91" s="187">
        <f t="shared" ref="D91:R91" si="35">SUM(D93:D105)</f>
        <v>10753.02</v>
      </c>
      <c r="E91" s="187">
        <f t="shared" si="35"/>
        <v>8918</v>
      </c>
      <c r="F91" s="187">
        <f t="shared" si="35"/>
        <v>2476.15</v>
      </c>
      <c r="G91" s="186">
        <f t="shared" si="35"/>
        <v>5647</v>
      </c>
      <c r="H91" s="187">
        <f t="shared" si="35"/>
        <v>1750.4060000000002</v>
      </c>
      <c r="I91" s="187">
        <f t="shared" si="35"/>
        <v>1269</v>
      </c>
      <c r="J91" s="187">
        <f t="shared" si="35"/>
        <v>942.86999999999989</v>
      </c>
      <c r="K91" s="187">
        <f t="shared" si="35"/>
        <v>315</v>
      </c>
      <c r="L91" s="187">
        <f t="shared" si="35"/>
        <v>141.31</v>
      </c>
      <c r="M91" s="187">
        <f t="shared" si="35"/>
        <v>18535</v>
      </c>
      <c r="N91" s="204">
        <f t="shared" si="35"/>
        <v>5970.53</v>
      </c>
      <c r="O91" s="187">
        <f t="shared" ref="O91:P91" si="36">SUM(O93:O105)</f>
        <v>133</v>
      </c>
      <c r="P91" s="186">
        <f t="shared" si="36"/>
        <v>44.9</v>
      </c>
      <c r="Q91" s="187">
        <f t="shared" si="35"/>
        <v>9623</v>
      </c>
      <c r="R91" s="204">
        <f t="shared" si="35"/>
        <v>2324.605</v>
      </c>
      <c r="S91" s="221" t="s">
        <v>252</v>
      </c>
      <c r="T91" s="222"/>
      <c r="U91" s="222"/>
    </row>
    <row r="92" spans="1:22" s="124" customFormat="1" ht="14.4" x14ac:dyDescent="0.3">
      <c r="A92" s="192"/>
      <c r="B92" s="193"/>
      <c r="C92" s="187"/>
      <c r="D92" s="187"/>
      <c r="E92" s="187"/>
      <c r="F92" s="187"/>
      <c r="G92" s="186"/>
      <c r="H92" s="187"/>
      <c r="I92" s="187"/>
      <c r="J92" s="187"/>
      <c r="K92" s="187"/>
      <c r="L92" s="187"/>
      <c r="M92" s="187"/>
      <c r="N92" s="204"/>
      <c r="O92" s="187"/>
      <c r="P92" s="186"/>
      <c r="Q92" s="187"/>
      <c r="R92" s="204"/>
      <c r="S92" s="221"/>
      <c r="T92" s="222"/>
      <c r="U92" s="222"/>
    </row>
    <row r="93" spans="1:22" s="124" customFormat="1" ht="14.4" x14ac:dyDescent="0.3">
      <c r="A93" s="129" t="s">
        <v>131</v>
      </c>
      <c r="B93" s="155">
        <f t="shared" ref="B93:B105" si="37">SUM(C93,E93,G93,I93,K93,M93,O93,Q93)</f>
        <v>1274</v>
      </c>
      <c r="C93" s="130">
        <v>744</v>
      </c>
      <c r="D93" s="131">
        <v>272.97000000000003</v>
      </c>
      <c r="E93" s="130">
        <v>2</v>
      </c>
      <c r="F93" s="131">
        <v>0.74</v>
      </c>
      <c r="G93" s="134">
        <v>66</v>
      </c>
      <c r="H93" s="131">
        <v>21.24</v>
      </c>
      <c r="I93" s="130" t="s">
        <v>282</v>
      </c>
      <c r="J93" s="131" t="s">
        <v>282</v>
      </c>
      <c r="K93" s="134" t="s">
        <v>282</v>
      </c>
      <c r="L93" s="131" t="s">
        <v>282</v>
      </c>
      <c r="M93" s="134">
        <v>234</v>
      </c>
      <c r="N93" s="131">
        <v>70.2</v>
      </c>
      <c r="O93" s="130" t="s">
        <v>282</v>
      </c>
      <c r="P93" s="131" t="s">
        <v>282</v>
      </c>
      <c r="Q93" s="134">
        <v>228</v>
      </c>
      <c r="R93" s="131">
        <v>74.320000000000007</v>
      </c>
      <c r="S93" s="147" t="s">
        <v>253</v>
      </c>
    </row>
    <row r="94" spans="1:22" s="124" customFormat="1" ht="14.4" x14ac:dyDescent="0.3">
      <c r="A94" s="129" t="s">
        <v>133</v>
      </c>
      <c r="B94" s="155">
        <f t="shared" si="37"/>
        <v>8333</v>
      </c>
      <c r="C94" s="130">
        <v>1176</v>
      </c>
      <c r="D94" s="131">
        <v>118.13</v>
      </c>
      <c r="E94" s="130">
        <v>1435</v>
      </c>
      <c r="F94" s="131">
        <v>143.70500000000001</v>
      </c>
      <c r="G94" s="130">
        <v>461</v>
      </c>
      <c r="H94" s="131">
        <v>43.424999999999997</v>
      </c>
      <c r="I94" s="130">
        <v>114</v>
      </c>
      <c r="J94" s="131">
        <v>47.8</v>
      </c>
      <c r="K94" s="130">
        <v>39</v>
      </c>
      <c r="L94" s="131">
        <v>13.7</v>
      </c>
      <c r="M94" s="134">
        <v>2551</v>
      </c>
      <c r="N94" s="131">
        <v>177.02</v>
      </c>
      <c r="O94" s="130">
        <v>3</v>
      </c>
      <c r="P94" s="131">
        <v>0.73</v>
      </c>
      <c r="Q94" s="130">
        <v>2554</v>
      </c>
      <c r="R94" s="131">
        <v>201.18</v>
      </c>
      <c r="S94" s="147" t="s">
        <v>254</v>
      </c>
    </row>
    <row r="95" spans="1:22" s="124" customFormat="1" ht="14.4" x14ac:dyDescent="0.3">
      <c r="A95" s="129" t="s">
        <v>135</v>
      </c>
      <c r="B95" s="155">
        <f t="shared" si="37"/>
        <v>4499</v>
      </c>
      <c r="C95" s="130">
        <v>1160</v>
      </c>
      <c r="D95" s="131">
        <v>243.15</v>
      </c>
      <c r="E95" s="130">
        <v>535</v>
      </c>
      <c r="F95" s="131">
        <v>93</v>
      </c>
      <c r="G95" s="130">
        <v>180</v>
      </c>
      <c r="H95" s="131">
        <v>29</v>
      </c>
      <c r="I95" s="134">
        <v>2</v>
      </c>
      <c r="J95" s="131">
        <v>1.6</v>
      </c>
      <c r="K95" s="134" t="s">
        <v>282</v>
      </c>
      <c r="L95" s="131" t="s">
        <v>282</v>
      </c>
      <c r="M95" s="134">
        <v>2218</v>
      </c>
      <c r="N95" s="131">
        <v>605.4</v>
      </c>
      <c r="O95" s="130">
        <v>5</v>
      </c>
      <c r="P95" s="131">
        <v>4</v>
      </c>
      <c r="Q95" s="134">
        <v>399</v>
      </c>
      <c r="R95" s="131">
        <v>99.35</v>
      </c>
      <c r="S95" s="147" t="s">
        <v>255</v>
      </c>
    </row>
    <row r="96" spans="1:22" s="124" customFormat="1" ht="14.4" x14ac:dyDescent="0.3">
      <c r="A96" s="129" t="s">
        <v>137</v>
      </c>
      <c r="B96" s="155">
        <f t="shared" si="37"/>
        <v>3022</v>
      </c>
      <c r="C96" s="130">
        <v>250</v>
      </c>
      <c r="D96" s="131">
        <v>76.650000000000006</v>
      </c>
      <c r="E96" s="130">
        <v>323</v>
      </c>
      <c r="F96" s="131">
        <v>136.80000000000001</v>
      </c>
      <c r="G96" s="130">
        <v>577</v>
      </c>
      <c r="H96" s="131">
        <v>233.2</v>
      </c>
      <c r="I96" s="134">
        <v>14</v>
      </c>
      <c r="J96" s="131">
        <v>3.5</v>
      </c>
      <c r="K96" s="130" t="s">
        <v>282</v>
      </c>
      <c r="L96" s="131" t="s">
        <v>282</v>
      </c>
      <c r="M96" s="134">
        <v>1798</v>
      </c>
      <c r="N96" s="131">
        <v>861.4</v>
      </c>
      <c r="O96" s="130" t="s">
        <v>282</v>
      </c>
      <c r="P96" s="131" t="s">
        <v>282</v>
      </c>
      <c r="Q96" s="130">
        <v>60</v>
      </c>
      <c r="R96" s="131">
        <v>12</v>
      </c>
      <c r="S96" s="147" t="s">
        <v>256</v>
      </c>
    </row>
    <row r="97" spans="1:22" s="124" customFormat="1" ht="14.4" x14ac:dyDescent="0.3">
      <c r="A97" s="129" t="s">
        <v>139</v>
      </c>
      <c r="B97" s="155">
        <f t="shared" si="37"/>
        <v>3395</v>
      </c>
      <c r="C97" s="130">
        <v>443</v>
      </c>
      <c r="D97" s="131">
        <v>114.04</v>
      </c>
      <c r="E97" s="130">
        <v>405</v>
      </c>
      <c r="F97" s="131">
        <v>164.44</v>
      </c>
      <c r="G97" s="130">
        <v>202</v>
      </c>
      <c r="H97" s="131">
        <v>61.6</v>
      </c>
      <c r="I97" s="130">
        <v>206</v>
      </c>
      <c r="J97" s="131">
        <v>160.4</v>
      </c>
      <c r="K97" s="130" t="s">
        <v>282</v>
      </c>
      <c r="L97" s="131" t="s">
        <v>282</v>
      </c>
      <c r="M97" s="134">
        <v>1959</v>
      </c>
      <c r="N97" s="131">
        <v>649.79999999999995</v>
      </c>
      <c r="O97" s="130" t="s">
        <v>282</v>
      </c>
      <c r="P97" s="131" t="s">
        <v>282</v>
      </c>
      <c r="Q97" s="130">
        <v>180</v>
      </c>
      <c r="R97" s="131">
        <v>116</v>
      </c>
      <c r="S97" s="147" t="s">
        <v>257</v>
      </c>
    </row>
    <row r="98" spans="1:22" s="124" customFormat="1" ht="14.4" x14ac:dyDescent="0.3">
      <c r="A98" s="129" t="s">
        <v>141</v>
      </c>
      <c r="B98" s="155">
        <f t="shared" si="37"/>
        <v>7156</v>
      </c>
      <c r="C98" s="130">
        <v>1828</v>
      </c>
      <c r="D98" s="131">
        <v>676.36</v>
      </c>
      <c r="E98" s="130">
        <v>793</v>
      </c>
      <c r="F98" s="131">
        <v>298.67</v>
      </c>
      <c r="G98" s="130">
        <v>524</v>
      </c>
      <c r="H98" s="131">
        <v>172.92</v>
      </c>
      <c r="I98" s="134" t="s">
        <v>282</v>
      </c>
      <c r="J98" s="131" t="s">
        <v>282</v>
      </c>
      <c r="K98" s="130">
        <v>1</v>
      </c>
      <c r="L98" s="131">
        <v>0.38</v>
      </c>
      <c r="M98" s="134">
        <v>3330</v>
      </c>
      <c r="N98" s="131">
        <v>999</v>
      </c>
      <c r="O98" s="130">
        <v>7</v>
      </c>
      <c r="P98" s="131">
        <v>2.8</v>
      </c>
      <c r="Q98" s="130">
        <v>673</v>
      </c>
      <c r="R98" s="131">
        <v>215.36</v>
      </c>
      <c r="S98" s="147" t="s">
        <v>258</v>
      </c>
    </row>
    <row r="99" spans="1:22" s="124" customFormat="1" ht="14.4" x14ac:dyDescent="0.3">
      <c r="A99" s="129" t="s">
        <v>144</v>
      </c>
      <c r="B99" s="155">
        <f t="shared" si="37"/>
        <v>2872</v>
      </c>
      <c r="C99" s="130">
        <v>53</v>
      </c>
      <c r="D99" s="131">
        <v>19.494</v>
      </c>
      <c r="E99" s="130">
        <v>271</v>
      </c>
      <c r="F99" s="131">
        <v>106.1</v>
      </c>
      <c r="G99" s="130">
        <v>520</v>
      </c>
      <c r="H99" s="131">
        <v>258</v>
      </c>
      <c r="I99" s="130">
        <v>550</v>
      </c>
      <c r="J99" s="131">
        <v>338</v>
      </c>
      <c r="K99" s="130">
        <v>16</v>
      </c>
      <c r="L99" s="131">
        <v>9.6</v>
      </c>
      <c r="M99" s="134">
        <v>1395</v>
      </c>
      <c r="N99" s="131">
        <v>550</v>
      </c>
      <c r="O99" s="130">
        <v>2</v>
      </c>
      <c r="P99" s="131">
        <v>1.6</v>
      </c>
      <c r="Q99" s="134">
        <v>65</v>
      </c>
      <c r="R99" s="131">
        <v>44</v>
      </c>
      <c r="S99" s="147" t="s">
        <v>259</v>
      </c>
    </row>
    <row r="100" spans="1:22" s="124" customFormat="1" ht="14.4" x14ac:dyDescent="0.3">
      <c r="A100" s="129" t="s">
        <v>146</v>
      </c>
      <c r="B100" s="155">
        <f t="shared" si="37"/>
        <v>4037</v>
      </c>
      <c r="C100" s="130">
        <v>1593</v>
      </c>
      <c r="D100" s="131">
        <v>210.46600000000001</v>
      </c>
      <c r="E100" s="130">
        <v>209</v>
      </c>
      <c r="F100" s="131">
        <v>34.365000000000002</v>
      </c>
      <c r="G100" s="130">
        <v>388</v>
      </c>
      <c r="H100" s="131">
        <v>27.241</v>
      </c>
      <c r="I100" s="130">
        <v>16</v>
      </c>
      <c r="J100" s="131">
        <v>14.8</v>
      </c>
      <c r="K100" s="134">
        <v>81</v>
      </c>
      <c r="L100" s="131">
        <v>64</v>
      </c>
      <c r="M100" s="134">
        <v>846</v>
      </c>
      <c r="N100" s="131">
        <v>86.6</v>
      </c>
      <c r="O100" s="130" t="s">
        <v>282</v>
      </c>
      <c r="P100" s="131" t="s">
        <v>282</v>
      </c>
      <c r="Q100" s="130">
        <v>904</v>
      </c>
      <c r="R100" s="131">
        <v>276.005</v>
      </c>
      <c r="S100" s="147" t="s">
        <v>260</v>
      </c>
    </row>
    <row r="101" spans="1:22" s="124" customFormat="1" ht="14.4" x14ac:dyDescent="0.3">
      <c r="A101" s="129" t="s">
        <v>148</v>
      </c>
      <c r="B101" s="155">
        <f t="shared" si="37"/>
        <v>2148</v>
      </c>
      <c r="C101" s="130">
        <v>431</v>
      </c>
      <c r="D101" s="131">
        <v>150.85</v>
      </c>
      <c r="E101" s="130" t="s">
        <v>282</v>
      </c>
      <c r="F101" s="131" t="s">
        <v>282</v>
      </c>
      <c r="G101" s="134" t="s">
        <v>282</v>
      </c>
      <c r="H101" s="131" t="s">
        <v>282</v>
      </c>
      <c r="I101" s="134" t="s">
        <v>282</v>
      </c>
      <c r="J101" s="131" t="s">
        <v>282</v>
      </c>
      <c r="K101" s="134">
        <v>7</v>
      </c>
      <c r="L101" s="131">
        <v>2.4500000000000002</v>
      </c>
      <c r="M101" s="134">
        <v>329</v>
      </c>
      <c r="N101" s="131">
        <v>92.12</v>
      </c>
      <c r="O101" s="130" t="s">
        <v>282</v>
      </c>
      <c r="P101" s="131" t="s">
        <v>282</v>
      </c>
      <c r="Q101" s="134">
        <v>1381</v>
      </c>
      <c r="R101" s="131">
        <v>429.96</v>
      </c>
      <c r="S101" s="147" t="s">
        <v>261</v>
      </c>
    </row>
    <row r="102" spans="1:22" s="124" customFormat="1" ht="14.4" x14ac:dyDescent="0.3">
      <c r="A102" s="129" t="s">
        <v>150</v>
      </c>
      <c r="B102" s="155">
        <f t="shared" si="37"/>
        <v>29764</v>
      </c>
      <c r="C102" s="130">
        <v>25507</v>
      </c>
      <c r="D102" s="131">
        <v>7876.3</v>
      </c>
      <c r="E102" s="130">
        <v>2707</v>
      </c>
      <c r="F102" s="131">
        <v>722.15</v>
      </c>
      <c r="G102" s="130">
        <v>904</v>
      </c>
      <c r="H102" s="131">
        <v>276.23</v>
      </c>
      <c r="I102" s="134">
        <v>34</v>
      </c>
      <c r="J102" s="131">
        <v>10.1</v>
      </c>
      <c r="K102" s="130">
        <v>152</v>
      </c>
      <c r="L102" s="131">
        <v>36.479999999999997</v>
      </c>
      <c r="M102" s="134">
        <v>330</v>
      </c>
      <c r="N102" s="131">
        <v>73.8</v>
      </c>
      <c r="O102" s="130">
        <v>99</v>
      </c>
      <c r="P102" s="131">
        <v>23.27</v>
      </c>
      <c r="Q102" s="130">
        <v>31</v>
      </c>
      <c r="R102" s="131">
        <v>8.9</v>
      </c>
      <c r="S102" s="147" t="s">
        <v>262</v>
      </c>
    </row>
    <row r="103" spans="1:22" s="124" customFormat="1" ht="14.4" x14ac:dyDescent="0.3">
      <c r="A103" s="129" t="s">
        <v>152</v>
      </c>
      <c r="B103" s="155">
        <f t="shared" si="37"/>
        <v>3439</v>
      </c>
      <c r="C103" s="130">
        <v>40</v>
      </c>
      <c r="D103" s="131">
        <v>12.25</v>
      </c>
      <c r="E103" s="130">
        <v>80</v>
      </c>
      <c r="F103" s="131">
        <v>20</v>
      </c>
      <c r="G103" s="130" t="s">
        <v>282</v>
      </c>
      <c r="H103" s="131" t="s">
        <v>282</v>
      </c>
      <c r="I103" s="134">
        <v>10</v>
      </c>
      <c r="J103" s="131">
        <v>8</v>
      </c>
      <c r="K103" s="130">
        <v>14</v>
      </c>
      <c r="L103" s="131">
        <v>11.2</v>
      </c>
      <c r="M103" s="134">
        <v>695</v>
      </c>
      <c r="N103" s="131">
        <v>521.25</v>
      </c>
      <c r="O103" s="130" t="s">
        <v>282</v>
      </c>
      <c r="P103" s="131" t="s">
        <v>282</v>
      </c>
      <c r="Q103" s="134">
        <v>2600</v>
      </c>
      <c r="R103" s="131">
        <v>659.1</v>
      </c>
      <c r="S103" s="147" t="s">
        <v>263</v>
      </c>
    </row>
    <row r="104" spans="1:22" s="124" customFormat="1" ht="14.4" x14ac:dyDescent="0.3">
      <c r="A104" s="129" t="s">
        <v>154</v>
      </c>
      <c r="B104" s="155">
        <f t="shared" si="37"/>
        <v>7444</v>
      </c>
      <c r="C104" s="130">
        <v>1373</v>
      </c>
      <c r="D104" s="131">
        <v>453.54</v>
      </c>
      <c r="E104" s="130">
        <v>2141</v>
      </c>
      <c r="F104" s="131">
        <v>749.82</v>
      </c>
      <c r="G104" s="130">
        <v>1455</v>
      </c>
      <c r="H104" s="131">
        <v>509.14</v>
      </c>
      <c r="I104" s="130">
        <v>323</v>
      </c>
      <c r="J104" s="131">
        <v>358.67</v>
      </c>
      <c r="K104" s="130">
        <v>5</v>
      </c>
      <c r="L104" s="131">
        <v>3.5</v>
      </c>
      <c r="M104" s="130">
        <v>2084</v>
      </c>
      <c r="N104" s="131">
        <v>1054.1400000000001</v>
      </c>
      <c r="O104" s="130">
        <v>17</v>
      </c>
      <c r="P104" s="131">
        <v>12.5</v>
      </c>
      <c r="Q104" s="130">
        <v>46</v>
      </c>
      <c r="R104" s="131">
        <v>28.1</v>
      </c>
      <c r="S104" s="147" t="s">
        <v>264</v>
      </c>
    </row>
    <row r="105" spans="1:22" s="124" customFormat="1" ht="14.4" x14ac:dyDescent="0.3">
      <c r="A105" s="129" t="s">
        <v>156</v>
      </c>
      <c r="B105" s="155">
        <f t="shared" si="37"/>
        <v>3112</v>
      </c>
      <c r="C105" s="130">
        <v>1457</v>
      </c>
      <c r="D105" s="131">
        <v>528.82000000000005</v>
      </c>
      <c r="E105" s="130">
        <v>17</v>
      </c>
      <c r="F105" s="131">
        <v>6.36</v>
      </c>
      <c r="G105" s="130">
        <v>370</v>
      </c>
      <c r="H105" s="131">
        <v>118.41</v>
      </c>
      <c r="I105" s="130" t="s">
        <v>282</v>
      </c>
      <c r="J105" s="131" t="s">
        <v>282</v>
      </c>
      <c r="K105" s="134" t="s">
        <v>282</v>
      </c>
      <c r="L105" s="131" t="s">
        <v>282</v>
      </c>
      <c r="M105" s="134">
        <v>766</v>
      </c>
      <c r="N105" s="131">
        <v>229.8</v>
      </c>
      <c r="O105" s="130" t="s">
        <v>282</v>
      </c>
      <c r="P105" s="131" t="s">
        <v>282</v>
      </c>
      <c r="Q105" s="134">
        <v>502</v>
      </c>
      <c r="R105" s="131">
        <v>160.32999999999998</v>
      </c>
      <c r="S105" s="147" t="s">
        <v>265</v>
      </c>
    </row>
    <row r="106" spans="1:22" s="124" customFormat="1" ht="14.4" x14ac:dyDescent="0.3">
      <c r="A106" s="192" t="s">
        <v>266</v>
      </c>
      <c r="B106" s="193">
        <f>SUM(B108:B111)</f>
        <v>119712</v>
      </c>
      <c r="C106" s="187">
        <f>SUM(C108:C111)</f>
        <v>11467</v>
      </c>
      <c r="D106" s="187">
        <f t="shared" ref="D106:R106" si="38">SUM(D108:D111)</f>
        <v>2788.0859999999998</v>
      </c>
      <c r="E106" s="187">
        <f t="shared" si="38"/>
        <v>28265</v>
      </c>
      <c r="F106" s="187">
        <f t="shared" si="38"/>
        <v>9253.4160000000011</v>
      </c>
      <c r="G106" s="186">
        <f t="shared" si="38"/>
        <v>45693</v>
      </c>
      <c r="H106" s="187">
        <f t="shared" si="38"/>
        <v>15980.278</v>
      </c>
      <c r="I106" s="187">
        <f t="shared" si="38"/>
        <v>2789</v>
      </c>
      <c r="J106" s="187">
        <f t="shared" si="38"/>
        <v>1601.6490000000003</v>
      </c>
      <c r="K106" s="187">
        <f t="shared" si="38"/>
        <v>1684</v>
      </c>
      <c r="L106" s="187">
        <f t="shared" si="38"/>
        <v>1060.7439999999999</v>
      </c>
      <c r="M106" s="187">
        <f t="shared" si="38"/>
        <v>26085</v>
      </c>
      <c r="N106" s="204">
        <f t="shared" si="38"/>
        <v>8597.7479999999996</v>
      </c>
      <c r="O106" s="187">
        <f t="shared" ref="O106:P106" si="39">SUM(O108:O111)</f>
        <v>517</v>
      </c>
      <c r="P106" s="186">
        <f t="shared" si="39"/>
        <v>417.53800000000001</v>
      </c>
      <c r="Q106" s="187">
        <f t="shared" si="38"/>
        <v>3212</v>
      </c>
      <c r="R106" s="204">
        <f t="shared" si="38"/>
        <v>956.54899999999998</v>
      </c>
      <c r="S106" s="211" t="s">
        <v>267</v>
      </c>
      <c r="T106" s="212"/>
      <c r="U106" s="212"/>
    </row>
    <row r="107" spans="1:22" s="124" customFormat="1" ht="14.4" x14ac:dyDescent="0.3">
      <c r="A107" s="192"/>
      <c r="B107" s="193"/>
      <c r="C107" s="187"/>
      <c r="D107" s="187"/>
      <c r="E107" s="187"/>
      <c r="F107" s="187"/>
      <c r="G107" s="186"/>
      <c r="H107" s="187"/>
      <c r="I107" s="187"/>
      <c r="J107" s="187"/>
      <c r="K107" s="187"/>
      <c r="L107" s="187"/>
      <c r="M107" s="187"/>
      <c r="N107" s="204"/>
      <c r="O107" s="187"/>
      <c r="P107" s="186"/>
      <c r="Q107" s="187"/>
      <c r="R107" s="204"/>
      <c r="S107" s="211"/>
      <c r="T107" s="212"/>
      <c r="U107" s="212"/>
    </row>
    <row r="108" spans="1:22" s="124" customFormat="1" ht="14.4" x14ac:dyDescent="0.3">
      <c r="A108" s="129" t="s">
        <v>158</v>
      </c>
      <c r="B108" s="155">
        <f t="shared" ref="B108:B111" si="40">SUM(C108,E108,G108,I108,K108,M108,O108,Q108)</f>
        <v>34695</v>
      </c>
      <c r="C108" s="130">
        <v>7004</v>
      </c>
      <c r="D108" s="131">
        <v>1270.086</v>
      </c>
      <c r="E108" s="130">
        <v>2808</v>
      </c>
      <c r="F108" s="131">
        <v>613.04999999999995</v>
      </c>
      <c r="G108" s="130">
        <v>13245</v>
      </c>
      <c r="H108" s="131">
        <v>2601.7600000000002</v>
      </c>
      <c r="I108" s="130">
        <v>1242</v>
      </c>
      <c r="J108" s="131">
        <v>307.74</v>
      </c>
      <c r="K108" s="130">
        <v>879</v>
      </c>
      <c r="L108" s="131">
        <v>317.17</v>
      </c>
      <c r="M108" s="130">
        <v>7340</v>
      </c>
      <c r="N108" s="131">
        <v>2132.2049999999999</v>
      </c>
      <c r="O108" s="130">
        <v>122</v>
      </c>
      <c r="P108" s="131">
        <v>38.409999999999997</v>
      </c>
      <c r="Q108" s="130">
        <v>2055</v>
      </c>
      <c r="R108" s="131">
        <v>390.66999999999996</v>
      </c>
      <c r="S108" s="147" t="s">
        <v>268</v>
      </c>
    </row>
    <row r="109" spans="1:22" s="124" customFormat="1" ht="14.4" x14ac:dyDescent="0.3">
      <c r="A109" s="129" t="s">
        <v>160</v>
      </c>
      <c r="B109" s="155">
        <f t="shared" si="40"/>
        <v>15494</v>
      </c>
      <c r="C109" s="130">
        <v>2986</v>
      </c>
      <c r="D109" s="131">
        <v>1062.55</v>
      </c>
      <c r="E109" s="130">
        <v>2192</v>
      </c>
      <c r="F109" s="131">
        <v>835.18</v>
      </c>
      <c r="G109" s="130">
        <v>5321</v>
      </c>
      <c r="H109" s="131">
        <v>2179.252</v>
      </c>
      <c r="I109" s="130">
        <v>338</v>
      </c>
      <c r="J109" s="131">
        <v>404.7</v>
      </c>
      <c r="K109" s="130">
        <v>28</v>
      </c>
      <c r="L109" s="131">
        <v>29</v>
      </c>
      <c r="M109" s="130">
        <v>4191</v>
      </c>
      <c r="N109" s="131">
        <v>1787.48</v>
      </c>
      <c r="O109" s="130">
        <v>5</v>
      </c>
      <c r="P109" s="131">
        <v>6.3</v>
      </c>
      <c r="Q109" s="130">
        <v>433</v>
      </c>
      <c r="R109" s="131">
        <v>159.87899999999999</v>
      </c>
      <c r="S109" s="147" t="s">
        <v>269</v>
      </c>
    </row>
    <row r="110" spans="1:22" s="124" customFormat="1" ht="14.4" x14ac:dyDescent="0.3">
      <c r="A110" s="129" t="s">
        <v>163</v>
      </c>
      <c r="B110" s="155">
        <f t="shared" si="40"/>
        <v>58678</v>
      </c>
      <c r="C110" s="130">
        <v>713</v>
      </c>
      <c r="D110" s="131">
        <v>267.10500000000002</v>
      </c>
      <c r="E110" s="130">
        <v>20859</v>
      </c>
      <c r="F110" s="131">
        <v>6998.7650000000003</v>
      </c>
      <c r="G110" s="130">
        <v>22627</v>
      </c>
      <c r="H110" s="131">
        <v>9411.67</v>
      </c>
      <c r="I110" s="130">
        <v>735</v>
      </c>
      <c r="J110" s="131">
        <v>711.57</v>
      </c>
      <c r="K110" s="130">
        <v>634</v>
      </c>
      <c r="L110" s="131">
        <v>582.14</v>
      </c>
      <c r="M110" s="130">
        <v>12566</v>
      </c>
      <c r="N110" s="131">
        <v>4038.9740000000002</v>
      </c>
      <c r="O110" s="130">
        <v>341</v>
      </c>
      <c r="P110" s="131">
        <v>290.10500000000002</v>
      </c>
      <c r="Q110" s="130">
        <v>203</v>
      </c>
      <c r="R110" s="131">
        <v>125.59</v>
      </c>
      <c r="S110" s="147" t="s">
        <v>270</v>
      </c>
    </row>
    <row r="111" spans="1:22" s="124" customFormat="1" ht="15" thickBot="1" x14ac:dyDescent="0.35">
      <c r="A111" s="137" t="s">
        <v>166</v>
      </c>
      <c r="B111" s="157">
        <f t="shared" si="40"/>
        <v>10845</v>
      </c>
      <c r="C111" s="138">
        <v>764</v>
      </c>
      <c r="D111" s="139">
        <v>188.345</v>
      </c>
      <c r="E111" s="138">
        <v>2406</v>
      </c>
      <c r="F111" s="139">
        <v>806.42100000000005</v>
      </c>
      <c r="G111" s="138">
        <v>4500</v>
      </c>
      <c r="H111" s="139">
        <v>1787.596</v>
      </c>
      <c r="I111" s="138">
        <v>474</v>
      </c>
      <c r="J111" s="139">
        <v>177.63900000000001</v>
      </c>
      <c r="K111" s="138">
        <v>143</v>
      </c>
      <c r="L111" s="139">
        <v>132.434</v>
      </c>
      <c r="M111" s="138">
        <v>1988</v>
      </c>
      <c r="N111" s="139">
        <v>639.08900000000006</v>
      </c>
      <c r="O111" s="138">
        <v>49</v>
      </c>
      <c r="P111" s="139">
        <v>82.722999999999999</v>
      </c>
      <c r="Q111" s="138">
        <v>521</v>
      </c>
      <c r="R111" s="139">
        <v>280.41000000000003</v>
      </c>
      <c r="S111" s="149" t="s">
        <v>271</v>
      </c>
      <c r="T111" s="140"/>
      <c r="U111" s="140"/>
      <c r="V111" s="140"/>
    </row>
    <row r="112" spans="1:22" s="124" customFormat="1" ht="14.4" x14ac:dyDescent="0.3">
      <c r="A112" s="141" t="s">
        <v>272</v>
      </c>
      <c r="L112" s="124" t="s">
        <v>275</v>
      </c>
      <c r="S112" s="223"/>
      <c r="T112" s="223"/>
      <c r="U112" s="223"/>
    </row>
    <row r="113" spans="1:12" s="124" customFormat="1" ht="14.4" x14ac:dyDescent="0.3">
      <c r="A113" s="142" t="s">
        <v>283</v>
      </c>
      <c r="L113" s="124" t="s">
        <v>276</v>
      </c>
    </row>
    <row r="114" spans="1:12" s="124" customFormat="1" ht="14.4" x14ac:dyDescent="0.3">
      <c r="A114" s="124" t="s">
        <v>284</v>
      </c>
      <c r="L114" s="124" t="s">
        <v>277</v>
      </c>
    </row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  <row r="139" s="124" customFormat="1" ht="14.4" x14ac:dyDescent="0.3"/>
  </sheetData>
  <mergeCells count="281">
    <mergeCell ref="H74:H75"/>
    <mergeCell ref="H62:H63"/>
    <mergeCell ref="S84:U85"/>
    <mergeCell ref="S91:U92"/>
    <mergeCell ref="S106:U107"/>
    <mergeCell ref="S112:U112"/>
    <mergeCell ref="N21:N22"/>
    <mergeCell ref="Q48:Q49"/>
    <mergeCell ref="R48:R49"/>
    <mergeCell ref="Q35:Q36"/>
    <mergeCell ref="R35:R36"/>
    <mergeCell ref="S77:V77"/>
    <mergeCell ref="S78:V78"/>
    <mergeCell ref="N74:N75"/>
    <mergeCell ref="L74:L75"/>
    <mergeCell ref="M62:M63"/>
    <mergeCell ref="N62:N63"/>
    <mergeCell ref="L62:L63"/>
    <mergeCell ref="M48:M49"/>
    <mergeCell ref="N48:N49"/>
    <mergeCell ref="L48:L49"/>
    <mergeCell ref="N67:N68"/>
    <mergeCell ref="Q67:Q68"/>
    <mergeCell ref="R67:R68"/>
    <mergeCell ref="S35:U36"/>
    <mergeCell ref="R21:R22"/>
    <mergeCell ref="R11:R12"/>
    <mergeCell ref="Q74:Q75"/>
    <mergeCell ref="R74:R75"/>
    <mergeCell ref="Q62:Q63"/>
    <mergeCell ref="R62:R63"/>
    <mergeCell ref="S62:U63"/>
    <mergeCell ref="Q13:Q14"/>
    <mergeCell ref="R13:R14"/>
    <mergeCell ref="S11:U12"/>
    <mergeCell ref="S13:U14"/>
    <mergeCell ref="S21:U22"/>
    <mergeCell ref="Q11:Q12"/>
    <mergeCell ref="N55:N56"/>
    <mergeCell ref="Q55:Q56"/>
    <mergeCell ref="R55:R56"/>
    <mergeCell ref="N41:N42"/>
    <mergeCell ref="Q41:Q42"/>
    <mergeCell ref="S83:V83"/>
    <mergeCell ref="S79:V79"/>
    <mergeCell ref="S41:U42"/>
    <mergeCell ref="S46:U46"/>
    <mergeCell ref="S48:U49"/>
    <mergeCell ref="S55:U56"/>
    <mergeCell ref="S80:V80"/>
    <mergeCell ref="S76:V76"/>
    <mergeCell ref="S74:U75"/>
    <mergeCell ref="S81:V81"/>
    <mergeCell ref="R41:R42"/>
    <mergeCell ref="S65:U65"/>
    <mergeCell ref="S67:U68"/>
    <mergeCell ref="S82:V82"/>
    <mergeCell ref="O48:O49"/>
    <mergeCell ref="P48:P49"/>
    <mergeCell ref="O55:O56"/>
    <mergeCell ref="P55:P56"/>
    <mergeCell ref="O62:O63"/>
    <mergeCell ref="M106:M107"/>
    <mergeCell ref="N106:N107"/>
    <mergeCell ref="Q106:Q107"/>
    <mergeCell ref="R106:R107"/>
    <mergeCell ref="A106:A107"/>
    <mergeCell ref="B106:B107"/>
    <mergeCell ref="I106:I107"/>
    <mergeCell ref="J106:J107"/>
    <mergeCell ref="K106:K107"/>
    <mergeCell ref="L106:L107"/>
    <mergeCell ref="E106:E107"/>
    <mergeCell ref="F106:F107"/>
    <mergeCell ref="G106:G107"/>
    <mergeCell ref="H106:H107"/>
    <mergeCell ref="O106:O107"/>
    <mergeCell ref="P106:P107"/>
    <mergeCell ref="A91:A92"/>
    <mergeCell ref="B91:B92"/>
    <mergeCell ref="I91:I92"/>
    <mergeCell ref="J91:J92"/>
    <mergeCell ref="K91:K92"/>
    <mergeCell ref="C91:C92"/>
    <mergeCell ref="D91:D92"/>
    <mergeCell ref="C106:C107"/>
    <mergeCell ref="D106:D107"/>
    <mergeCell ref="M91:M92"/>
    <mergeCell ref="N91:N92"/>
    <mergeCell ref="E91:E92"/>
    <mergeCell ref="F91:F92"/>
    <mergeCell ref="G91:G92"/>
    <mergeCell ref="H91:H92"/>
    <mergeCell ref="Q91:Q92"/>
    <mergeCell ref="R91:R92"/>
    <mergeCell ref="L91:L92"/>
    <mergeCell ref="M84:M85"/>
    <mergeCell ref="N84:N85"/>
    <mergeCell ref="Q84:Q85"/>
    <mergeCell ref="R84:R85"/>
    <mergeCell ref="A84:A85"/>
    <mergeCell ref="B84:B85"/>
    <mergeCell ref="I84:I85"/>
    <mergeCell ref="J84:J85"/>
    <mergeCell ref="K84:K85"/>
    <mergeCell ref="L84:L85"/>
    <mergeCell ref="C84:C85"/>
    <mergeCell ref="D84:D85"/>
    <mergeCell ref="E84:E85"/>
    <mergeCell ref="F84:F85"/>
    <mergeCell ref="G84:G85"/>
    <mergeCell ref="H84:H85"/>
    <mergeCell ref="A74:A75"/>
    <mergeCell ref="B74:B75"/>
    <mergeCell ref="I74:I75"/>
    <mergeCell ref="J74:J75"/>
    <mergeCell ref="K74:K75"/>
    <mergeCell ref="M67:M68"/>
    <mergeCell ref="D67:D68"/>
    <mergeCell ref="E67:E68"/>
    <mergeCell ref="F67:F68"/>
    <mergeCell ref="M74:M75"/>
    <mergeCell ref="A67:A68"/>
    <mergeCell ref="B67:B68"/>
    <mergeCell ref="I67:I68"/>
    <mergeCell ref="J67:J68"/>
    <mergeCell ref="K67:K68"/>
    <mergeCell ref="L67:L68"/>
    <mergeCell ref="C67:C68"/>
    <mergeCell ref="G67:G68"/>
    <mergeCell ref="H67:H68"/>
    <mergeCell ref="C74:C75"/>
    <mergeCell ref="D74:D75"/>
    <mergeCell ref="E74:E75"/>
    <mergeCell ref="F74:F75"/>
    <mergeCell ref="G74:G75"/>
    <mergeCell ref="A62:A63"/>
    <mergeCell ref="B62:B63"/>
    <mergeCell ref="I62:I63"/>
    <mergeCell ref="J62:J63"/>
    <mergeCell ref="K62:K63"/>
    <mergeCell ref="M55:M56"/>
    <mergeCell ref="D55:D56"/>
    <mergeCell ref="E55:E56"/>
    <mergeCell ref="F55:F56"/>
    <mergeCell ref="C62:C63"/>
    <mergeCell ref="D62:D63"/>
    <mergeCell ref="E62:E63"/>
    <mergeCell ref="F62:F63"/>
    <mergeCell ref="G62:G63"/>
    <mergeCell ref="A55:A56"/>
    <mergeCell ref="B55:B56"/>
    <mergeCell ref="I55:I56"/>
    <mergeCell ref="J55:J56"/>
    <mergeCell ref="K55:K56"/>
    <mergeCell ref="L55:L56"/>
    <mergeCell ref="C55:C56"/>
    <mergeCell ref="G55:G56"/>
    <mergeCell ref="H55:H56"/>
    <mergeCell ref="A41:A42"/>
    <mergeCell ref="B41:B42"/>
    <mergeCell ref="I41:I42"/>
    <mergeCell ref="J41:J42"/>
    <mergeCell ref="K41:K42"/>
    <mergeCell ref="L41:L42"/>
    <mergeCell ref="C41:C42"/>
    <mergeCell ref="G41:G42"/>
    <mergeCell ref="A48:A49"/>
    <mergeCell ref="B48:B49"/>
    <mergeCell ref="I48:I49"/>
    <mergeCell ref="J48:J49"/>
    <mergeCell ref="K48:K49"/>
    <mergeCell ref="M41:M42"/>
    <mergeCell ref="D41:D42"/>
    <mergeCell ref="E41:E42"/>
    <mergeCell ref="F41:F42"/>
    <mergeCell ref="H41:H42"/>
    <mergeCell ref="G48:G49"/>
    <mergeCell ref="H48:H49"/>
    <mergeCell ref="C48:C49"/>
    <mergeCell ref="D48:D49"/>
    <mergeCell ref="E48:E49"/>
    <mergeCell ref="F48:F49"/>
    <mergeCell ref="M35:M36"/>
    <mergeCell ref="C35:C36"/>
    <mergeCell ref="D35:D36"/>
    <mergeCell ref="E35:E36"/>
    <mergeCell ref="F35:F36"/>
    <mergeCell ref="Q21:Q22"/>
    <mergeCell ref="F21:F22"/>
    <mergeCell ref="N35:N36"/>
    <mergeCell ref="L35:L36"/>
    <mergeCell ref="M21:M22"/>
    <mergeCell ref="I21:I22"/>
    <mergeCell ref="J21:J22"/>
    <mergeCell ref="K21:K22"/>
    <mergeCell ref="L21:L22"/>
    <mergeCell ref="C21:C22"/>
    <mergeCell ref="D21:D22"/>
    <mergeCell ref="E21:E22"/>
    <mergeCell ref="G21:G22"/>
    <mergeCell ref="H21:H22"/>
    <mergeCell ref="G35:G36"/>
    <mergeCell ref="H35:H36"/>
    <mergeCell ref="K35:K36"/>
    <mergeCell ref="K13:K14"/>
    <mergeCell ref="C11:C12"/>
    <mergeCell ref="D11:D12"/>
    <mergeCell ref="E11:E12"/>
    <mergeCell ref="G11:G12"/>
    <mergeCell ref="H11:H12"/>
    <mergeCell ref="K11:K12"/>
    <mergeCell ref="A11:A12"/>
    <mergeCell ref="B11:B12"/>
    <mergeCell ref="I11:I12"/>
    <mergeCell ref="C13:C14"/>
    <mergeCell ref="D13:D14"/>
    <mergeCell ref="E13:E14"/>
    <mergeCell ref="F13:F14"/>
    <mergeCell ref="G13:G14"/>
    <mergeCell ref="H13:H14"/>
    <mergeCell ref="A2:U2"/>
    <mergeCell ref="A3:U3"/>
    <mergeCell ref="L11:L12"/>
    <mergeCell ref="A35:A36"/>
    <mergeCell ref="B35:B36"/>
    <mergeCell ref="I35:I36"/>
    <mergeCell ref="J35:J36"/>
    <mergeCell ref="S6:U10"/>
    <mergeCell ref="M13:M14"/>
    <mergeCell ref="F11:F12"/>
    <mergeCell ref="N13:N14"/>
    <mergeCell ref="L13:L14"/>
    <mergeCell ref="I9:J9"/>
    <mergeCell ref="K9:L9"/>
    <mergeCell ref="A6:A10"/>
    <mergeCell ref="M11:M12"/>
    <mergeCell ref="N11:N12"/>
    <mergeCell ref="J11:J12"/>
    <mergeCell ref="A21:A22"/>
    <mergeCell ref="B21:B22"/>
    <mergeCell ref="A13:A14"/>
    <mergeCell ref="B13:B14"/>
    <mergeCell ref="I13:I14"/>
    <mergeCell ref="J13:J14"/>
    <mergeCell ref="O11:O12"/>
    <mergeCell ref="P11:P12"/>
    <mergeCell ref="O13:O14"/>
    <mergeCell ref="P13:P14"/>
    <mergeCell ref="O21:O22"/>
    <mergeCell ref="P21:P22"/>
    <mergeCell ref="O35:O36"/>
    <mergeCell ref="P35:P36"/>
    <mergeCell ref="O41:O42"/>
    <mergeCell ref="P41:P42"/>
    <mergeCell ref="P62:P63"/>
    <mergeCell ref="O67:O68"/>
    <mergeCell ref="P67:P68"/>
    <mergeCell ref="O74:O75"/>
    <mergeCell ref="P74:P75"/>
    <mergeCell ref="O84:O85"/>
    <mergeCell ref="P84:P85"/>
    <mergeCell ref="O91:O92"/>
    <mergeCell ref="P91:P92"/>
    <mergeCell ref="M9:N9"/>
    <mergeCell ref="M6:N8"/>
    <mergeCell ref="O6:P8"/>
    <mergeCell ref="O9:P9"/>
    <mergeCell ref="Q6:R8"/>
    <mergeCell ref="Q9:R9"/>
    <mergeCell ref="B6:B8"/>
    <mergeCell ref="I6:L6"/>
    <mergeCell ref="I8:L8"/>
    <mergeCell ref="I7:J7"/>
    <mergeCell ref="K7:L7"/>
    <mergeCell ref="C6:D8"/>
    <mergeCell ref="C9:D9"/>
    <mergeCell ref="E6:F8"/>
    <mergeCell ref="E9:F9"/>
    <mergeCell ref="G6:H8"/>
    <mergeCell ref="G9:H9"/>
  </mergeCells>
  <pageMargins left="0.7" right="0.7" top="0.75" bottom="0.75" header="0.3" footer="0.3"/>
  <pageSetup paperSize="9" orientation="portrait" horizontalDpi="200" verticalDpi="200" r:id="rId1"/>
  <ignoredErrors>
    <ignoredError sqref="B12 C91:C92 C84:C85 C74:C75 C67:C68 C62:C63 C55:C56 C48:C49 C41:C42 C35:C36 C22 Q30:R30 Q22:R22 Q35:R36 Q41:R42 Q48:R49 Q55:R56 Q62:R63 Q67:R68 Q74:R75 Q84:R85 Q106:R107 Q91:R92 C21 Q21:R21 E21:N21 D91:N92 C106:N107 D84:N85 D74:N75 D67:N68 D62:N63 D55:N56 D48:N49 D41:N42 D35:N36 D22:N22 C30:N30 B16:B29 B31:B11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2015-05-06T10:25:36Z</cp:lastPrinted>
  <dcterms:created xsi:type="dcterms:W3CDTF">2015-05-05T09:33:52Z</dcterms:created>
  <dcterms:modified xsi:type="dcterms:W3CDTF">2026-06-23T05:04:03Z</dcterms:modified>
</cp:coreProperties>
</file>