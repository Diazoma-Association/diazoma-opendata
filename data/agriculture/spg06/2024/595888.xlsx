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4. 2024 ΑΝΑΛΥΤΙΚΟΙ ΠΙΝΑΚΕΣ\"/>
    </mc:Choice>
  </mc:AlternateContent>
  <xr:revisionPtr revIDLastSave="0" documentId="8_{CE1A27D0-F139-4368-B039-1E7D7002DA4A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ListOfValues" sheetId="2" state="hidden" r:id="rId1"/>
    <sheet name="ΠΙΝΑΚΑΣ 2(η)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B31" i="1"/>
  <c r="G111" i="1"/>
  <c r="G110" i="1"/>
  <c r="G109" i="1"/>
  <c r="G108" i="1"/>
  <c r="G106" i="1" s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0" i="1"/>
  <c r="G89" i="1"/>
  <c r="G88" i="1"/>
  <c r="G87" i="1"/>
  <c r="G86" i="1"/>
  <c r="G83" i="1"/>
  <c r="G82" i="1"/>
  <c r="G81" i="1"/>
  <c r="G80" i="1"/>
  <c r="G79" i="1"/>
  <c r="G78" i="1"/>
  <c r="G77" i="1"/>
  <c r="G76" i="1"/>
  <c r="G69" i="1"/>
  <c r="G73" i="1"/>
  <c r="G72" i="1"/>
  <c r="G71" i="1"/>
  <c r="G70" i="1"/>
  <c r="G66" i="1"/>
  <c r="G65" i="1"/>
  <c r="G64" i="1"/>
  <c r="G61" i="1"/>
  <c r="G60" i="1"/>
  <c r="G59" i="1"/>
  <c r="G58" i="1"/>
  <c r="G57" i="1"/>
  <c r="G54" i="1"/>
  <c r="G53" i="1"/>
  <c r="G52" i="1"/>
  <c r="G51" i="1"/>
  <c r="G50" i="1"/>
  <c r="G47" i="1"/>
  <c r="G46" i="1"/>
  <c r="G45" i="1"/>
  <c r="G44" i="1"/>
  <c r="G43" i="1"/>
  <c r="G40" i="1"/>
  <c r="G39" i="1"/>
  <c r="G38" i="1"/>
  <c r="G37" i="1"/>
  <c r="G34" i="1"/>
  <c r="G33" i="1"/>
  <c r="G32" i="1"/>
  <c r="G31" i="1"/>
  <c r="G29" i="1"/>
  <c r="G28" i="1"/>
  <c r="G27" i="1"/>
  <c r="G26" i="1"/>
  <c r="G25" i="1"/>
  <c r="G24" i="1"/>
  <c r="G23" i="1"/>
  <c r="G20" i="1"/>
  <c r="G19" i="1"/>
  <c r="G18" i="1"/>
  <c r="G17" i="1"/>
  <c r="G16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64" i="1"/>
  <c r="B61" i="1"/>
  <c r="B60" i="1"/>
  <c r="B59" i="1"/>
  <c r="B58" i="1"/>
  <c r="B57" i="1"/>
  <c r="B54" i="1"/>
  <c r="B53" i="1"/>
  <c r="B52" i="1"/>
  <c r="B51" i="1"/>
  <c r="B50" i="1"/>
  <c r="B47" i="1"/>
  <c r="B46" i="1"/>
  <c r="B45" i="1"/>
  <c r="B44" i="1"/>
  <c r="B43" i="1"/>
  <c r="B40" i="1"/>
  <c r="B39" i="1"/>
  <c r="B38" i="1"/>
  <c r="B37" i="1"/>
  <c r="B34" i="1"/>
  <c r="B33" i="1"/>
  <c r="B32" i="1"/>
  <c r="B29" i="1"/>
  <c r="B28" i="1"/>
  <c r="B27" i="1"/>
  <c r="B26" i="1"/>
  <c r="B25" i="1"/>
  <c r="B24" i="1"/>
  <c r="B23" i="1"/>
  <c r="B20" i="1"/>
  <c r="B19" i="1"/>
  <c r="B18" i="1"/>
  <c r="B17" i="1"/>
  <c r="B16" i="1"/>
  <c r="B15" i="1"/>
  <c r="N74" i="1"/>
  <c r="O74" i="1"/>
  <c r="C13" i="1"/>
  <c r="G13" i="1" l="1"/>
  <c r="G35" i="1"/>
  <c r="G67" i="1"/>
  <c r="G62" i="1"/>
  <c r="G84" i="1"/>
  <c r="G30" i="1"/>
  <c r="G41" i="1"/>
  <c r="G91" i="1"/>
  <c r="G55" i="1"/>
  <c r="G48" i="1"/>
  <c r="G21" i="1"/>
  <c r="G74" i="1"/>
  <c r="L30" i="1"/>
  <c r="D13" i="1"/>
  <c r="G11" i="1" l="1"/>
  <c r="B74" i="1"/>
  <c r="C106" i="1"/>
  <c r="E84" i="1"/>
  <c r="F84" i="1"/>
  <c r="H84" i="1"/>
  <c r="I84" i="1"/>
  <c r="J84" i="1"/>
  <c r="K84" i="1"/>
  <c r="D84" i="1"/>
  <c r="M74" i="1"/>
  <c r="F74" i="1"/>
  <c r="J74" i="1"/>
  <c r="I74" i="1"/>
  <c r="M35" i="1"/>
  <c r="O30" i="1"/>
  <c r="N30" i="1"/>
  <c r="K30" i="1"/>
  <c r="M30" i="1"/>
  <c r="E30" i="1"/>
  <c r="F30" i="1"/>
  <c r="H30" i="1"/>
  <c r="I30" i="1"/>
  <c r="J30" i="1"/>
  <c r="C30" i="1"/>
  <c r="D30" i="1"/>
  <c r="O21" i="1"/>
  <c r="N21" i="1"/>
  <c r="M21" i="1"/>
  <c r="D21" i="1"/>
  <c r="E21" i="1"/>
  <c r="F21" i="1"/>
  <c r="H21" i="1"/>
  <c r="I21" i="1"/>
  <c r="J21" i="1"/>
  <c r="K21" i="1"/>
  <c r="L21" i="1"/>
  <c r="C21" i="1"/>
  <c r="O106" i="1"/>
  <c r="N106" i="1"/>
  <c r="M106" i="1"/>
  <c r="L106" i="1"/>
  <c r="K106" i="1"/>
  <c r="J106" i="1"/>
  <c r="I106" i="1"/>
  <c r="H106" i="1"/>
  <c r="F106" i="1"/>
  <c r="E106" i="1"/>
  <c r="D106" i="1"/>
  <c r="O91" i="1"/>
  <c r="N91" i="1"/>
  <c r="M91" i="1"/>
  <c r="L91" i="1"/>
  <c r="K91" i="1"/>
  <c r="J91" i="1"/>
  <c r="I91" i="1"/>
  <c r="H91" i="1"/>
  <c r="F91" i="1"/>
  <c r="E91" i="1"/>
  <c r="D91" i="1"/>
  <c r="C91" i="1"/>
  <c r="O84" i="1"/>
  <c r="N84" i="1"/>
  <c r="M84" i="1"/>
  <c r="L84" i="1"/>
  <c r="C84" i="1"/>
  <c r="L74" i="1"/>
  <c r="K74" i="1"/>
  <c r="H74" i="1"/>
  <c r="E74" i="1"/>
  <c r="D74" i="1"/>
  <c r="C74" i="1"/>
  <c r="O67" i="1"/>
  <c r="N67" i="1"/>
  <c r="M67" i="1"/>
  <c r="L67" i="1"/>
  <c r="K67" i="1"/>
  <c r="J67" i="1"/>
  <c r="I67" i="1"/>
  <c r="H67" i="1"/>
  <c r="F67" i="1"/>
  <c r="E67" i="1"/>
  <c r="D67" i="1"/>
  <c r="C67" i="1"/>
  <c r="O62" i="1"/>
  <c r="N62" i="1"/>
  <c r="M62" i="1"/>
  <c r="L62" i="1"/>
  <c r="K62" i="1"/>
  <c r="J62" i="1"/>
  <c r="I62" i="1"/>
  <c r="H62" i="1"/>
  <c r="F62" i="1"/>
  <c r="E62" i="1"/>
  <c r="D62" i="1"/>
  <c r="C62" i="1"/>
  <c r="O55" i="1"/>
  <c r="N55" i="1"/>
  <c r="M55" i="1"/>
  <c r="L55" i="1"/>
  <c r="K55" i="1"/>
  <c r="J55" i="1"/>
  <c r="I55" i="1"/>
  <c r="H55" i="1"/>
  <c r="F55" i="1"/>
  <c r="E55" i="1"/>
  <c r="D55" i="1"/>
  <c r="C55" i="1"/>
  <c r="O48" i="1"/>
  <c r="N48" i="1"/>
  <c r="M48" i="1"/>
  <c r="L48" i="1"/>
  <c r="K48" i="1"/>
  <c r="J48" i="1"/>
  <c r="I48" i="1"/>
  <c r="H48" i="1"/>
  <c r="F48" i="1"/>
  <c r="E48" i="1"/>
  <c r="D48" i="1"/>
  <c r="C48" i="1"/>
  <c r="O41" i="1"/>
  <c r="N41" i="1"/>
  <c r="M41" i="1"/>
  <c r="L41" i="1"/>
  <c r="K41" i="1"/>
  <c r="J41" i="1"/>
  <c r="I41" i="1"/>
  <c r="H41" i="1"/>
  <c r="F41" i="1"/>
  <c r="E41" i="1"/>
  <c r="D41" i="1"/>
  <c r="C41" i="1"/>
  <c r="O35" i="1"/>
  <c r="N35" i="1"/>
  <c r="L35" i="1"/>
  <c r="K35" i="1"/>
  <c r="J35" i="1"/>
  <c r="I35" i="1"/>
  <c r="H35" i="1"/>
  <c r="F35" i="1"/>
  <c r="E35" i="1"/>
  <c r="D35" i="1"/>
  <c r="C35" i="1"/>
  <c r="O13" i="1"/>
  <c r="N13" i="1"/>
  <c r="M13" i="1"/>
  <c r="L13" i="1"/>
  <c r="K13" i="1"/>
  <c r="J13" i="1"/>
  <c r="I13" i="1"/>
  <c r="H13" i="1"/>
  <c r="F13" i="1"/>
  <c r="E13" i="1"/>
  <c r="B13" i="1" l="1"/>
  <c r="N11" i="1"/>
  <c r="O11" i="1"/>
  <c r="B67" i="1"/>
  <c r="F11" i="1"/>
  <c r="B30" i="1"/>
  <c r="D11" i="1"/>
  <c r="C11" i="1"/>
  <c r="B106" i="1"/>
  <c r="B91" i="1"/>
  <c r="B84" i="1"/>
  <c r="B62" i="1"/>
  <c r="B55" i="1"/>
  <c r="B48" i="1"/>
  <c r="B41" i="1"/>
  <c r="B35" i="1"/>
  <c r="B21" i="1"/>
  <c r="E11" i="1"/>
  <c r="K11" i="1"/>
  <c r="J11" i="1"/>
  <c r="H11" i="1"/>
  <c r="M11" i="1"/>
  <c r="L11" i="1"/>
  <c r="I11" i="1"/>
  <c r="B11" i="1" l="1"/>
</calcChain>
</file>

<file path=xl/sharedStrings.xml><?xml version="1.0" encoding="utf-8"?>
<sst xmlns="http://schemas.openxmlformats.org/spreadsheetml/2006/main" count="556" uniqueCount="309">
  <si>
    <t>Εκτάσεις σε στρέμματα, παραγωγή σε τόνους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</si>
  <si>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</si>
  <si>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</si>
  <si>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</si>
  <si>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</si>
  <si>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</si>
  <si>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</si>
  <si>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</si>
  <si>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</si>
  <si>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</si>
  <si>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</si>
  <si>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</si>
  <si>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</si>
  <si>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</si>
  <si>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</si>
  <si>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</si>
  <si>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</si>
  <si>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</si>
  <si>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</si>
  <si>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</si>
  <si>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</si>
  <si>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</si>
  <si>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</si>
  <si>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</si>
  <si>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</si>
  <si>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</si>
  <si>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</si>
  <si>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</si>
  <si>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</si>
  <si>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</si>
  <si>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</si>
  <si>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</si>
  <si>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</si>
  <si>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</si>
  <si>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</si>
  <si>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</si>
  <si>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</si>
  <si>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</si>
  <si>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</si>
  <si>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</si>
  <si>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</si>
  <si>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</si>
  <si>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</si>
  <si>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</si>
  <si>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</si>
  <si>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</si>
  <si>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</si>
  <si>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</si>
  <si>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</si>
  <si>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</si>
  <si>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</si>
  <si>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</si>
  <si>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</si>
  <si>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</si>
  <si>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</si>
  <si>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</si>
  <si>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</si>
  <si>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</si>
  <si>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</si>
  <si>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</si>
  <si>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</si>
  <si>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</si>
  <si>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</si>
  <si>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</si>
  <si>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</si>
  <si>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</si>
  <si>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</si>
  <si>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</si>
  <si>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</si>
  <si>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</si>
  <si>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</si>
  <si>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</si>
  <si>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</si>
  <si>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</si>
  <si>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</si>
  <si>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</si>
  <si>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</si>
  <si>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</si>
  <si>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</si>
  <si>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</si>
  <si>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</si>
  <si>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</si>
  <si>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</si>
  <si>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</si>
  <si>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</si>
  <si>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</si>
  <si>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</si>
  <si>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</si>
  <si>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</si>
  <si>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</si>
  <si>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</si>
  <si>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</si>
  <si>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</si>
  <si>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</si>
  <si>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</si>
  <si>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</si>
  <si>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</si>
  <si>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</si>
  <si>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</si>
  <si>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</si>
  <si>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</si>
  <si>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</si>
  <si>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</si>
  <si>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</si>
  <si>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</si>
  <si>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</si>
  <si>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</si>
  <si>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</si>
  <si>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</si>
  <si>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</si>
  <si>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</si>
  <si>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</si>
  <si>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</si>
  <si>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</si>
  <si>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Δυτικού Τομέα Αθηνών</t>
  </si>
  <si>
    <t xml:space="preserve">  Athens West Section</t>
  </si>
  <si>
    <t xml:space="preserve">  Νοτίου Τομέα Αθηνών</t>
  </si>
  <si>
    <t xml:space="preserve">  Athens South Section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</si>
  <si>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</si>
  <si>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</si>
  <si>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</si>
  <si>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</si>
  <si>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</si>
  <si>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</si>
  <si>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</si>
  <si>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</si>
  <si>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</si>
  <si>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</si>
  <si>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</si>
  <si>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</si>
  <si>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</si>
  <si>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</si>
  <si>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</si>
  <si>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</si>
  <si>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</si>
  <si>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</si>
  <si>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</si>
  <si>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</si>
  <si>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</si>
  <si>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</si>
  <si>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</si>
  <si>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</si>
  <si>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</si>
  <si>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</si>
  <si>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</si>
  <si>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</si>
  <si>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</si>
  <si>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</si>
  <si>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</si>
  <si>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Κύθνου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</si>
  <si>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</si>
  <si>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</si>
  <si>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</si>
  <si>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</si>
  <si>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</si>
  <si>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</si>
  <si>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</si>
  <si>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</si>
  <si>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</si>
  <si>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</si>
  <si>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</si>
  <si>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</si>
  <si>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</si>
  <si>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</si>
  <si>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</si>
  <si>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</si>
  <si>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</si>
  <si>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</si>
  <si>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</si>
  <si>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</si>
  <si>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</si>
  <si>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</si>
  <si>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</si>
  <si>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</si>
  <si>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</si>
  <si>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</si>
  <si>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</si>
  <si>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</si>
  <si>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</si>
  <si>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</si>
  <si>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</si>
  <si>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</si>
  <si>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</si>
  <si>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</si>
  <si>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</si>
  <si>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</si>
  <si>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</si>
  <si>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</si>
  <si>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</si>
  <si>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</si>
  <si>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</si>
  <si>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</si>
  <si>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</si>
  <si>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</si>
  <si>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</si>
  <si>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</si>
  <si>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</si>
  <si>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</si>
  <si>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</si>
  <si>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</si>
  <si>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</si>
  <si>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</si>
  <si>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</si>
  <si>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</si>
  <si>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</si>
  <si>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</si>
  <si>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</si>
  <si>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</si>
  <si>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</si>
  <si>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</si>
  <si>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</si>
  <si>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</si>
  <si>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</si>
  <si>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</si>
  <si>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</si>
  <si>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</si>
  <si>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</si>
  <si>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</si>
  <si>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</si>
  <si>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</si>
  <si>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</si>
  <si>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</si>
  <si>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</si>
  <si>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</si>
  <si>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</si>
  <si>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</si>
  <si>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</si>
  <si>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</si>
  <si>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</si>
  <si>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</si>
  <si>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</si>
  <si>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</si>
  <si>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</si>
  <si>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</si>
  <si>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</si>
  <si>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</si>
  <si>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</si>
  <si>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</si>
  <si>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</si>
  <si>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</si>
  <si>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</si>
  <si>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</si>
  <si>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</si>
  <si>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</si>
  <si>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</si>
  <si>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</si>
  <si>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</si>
  <si>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</si>
  <si>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</si>
  <si>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</si>
  <si>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</si>
  <si>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</si>
  <si>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</si>
  <si>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</si>
  <si>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</si>
  <si>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</si>
  <si>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</si>
  <si>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</si>
  <si>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</si>
  <si>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</si>
  <si>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</si>
  <si>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</si>
  <si>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</si>
  <si>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</si>
  <si>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</si>
  <si>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</si>
  <si>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</si>
  <si>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</si>
  <si>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</si>
  <si>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</si>
  <si>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</si>
  <si>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</si>
  <si>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</si>
  <si>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</si>
  <si>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Περιφέρειες και Περιφερειακές Ενότητες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</si>
  <si>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</si>
  <si>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</si>
  <si>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</si>
  <si>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</si>
  <si>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</si>
  <si>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</si>
  <si>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Δυτικής Μακεδονίας</t>
  </si>
  <si>
    <t>Region of Western Macedonia</t>
  </si>
  <si>
    <t>Areas in stremmas (1 stremma = 0.1 ha), production in tons</t>
  </si>
  <si>
    <t xml:space="preserve">  Καρπάθου - Ηρωικής Νήσου Κάσου</t>
  </si>
  <si>
    <t xml:space="preserve">  Κέας - Κύθνου</t>
  </si>
  <si>
    <t xml:space="preserve">  Karpathos - Heroic Island of Kasos</t>
  </si>
  <si>
    <t xml:space="preserve">  Kea - Kythnos</t>
  </si>
  <si>
    <t>—</t>
  </si>
  <si>
    <t>Total cultivated
area</t>
  </si>
  <si>
    <t>Καρπούζια</t>
  </si>
  <si>
    <t>Watermelons</t>
  </si>
  <si>
    <t>Πεπόνια</t>
  </si>
  <si>
    <t>Melons</t>
  </si>
  <si>
    <t>Πεπονοειδή</t>
  </si>
  <si>
    <t>Πατάτες</t>
  </si>
  <si>
    <t>Σύνολο καλλι-εργούμενων
εκτάσεων</t>
  </si>
  <si>
    <t>Summer</t>
  </si>
  <si>
    <t>Γλυκοπατάτες</t>
  </si>
  <si>
    <t>Sweet potatoes</t>
  </si>
  <si>
    <t>Άνοιξης</t>
  </si>
  <si>
    <t>Καλοκαιριού</t>
  </si>
  <si>
    <t>Φθινοπώρου και χειμώνα</t>
  </si>
  <si>
    <t>Melons and watermelons</t>
  </si>
  <si>
    <t>Potatoes</t>
  </si>
  <si>
    <t>Spring</t>
  </si>
  <si>
    <t>Autumn and winter</t>
  </si>
  <si>
    <t>Πίνακας 2ζ. Πεπονοειδή και πατάτες. Εκτάσεις και παραγωγή, κατά Περιφέρεια και Περιφερειακή Ενότητα, 2024</t>
  </si>
  <si>
    <t>Table 2f. Melons, watermelons and potatoes. Areas and production, by Region and Regional Unities,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</si>
</sst>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49" fontId="1" fillId="2" borderId="5" xfId="0" applyNumberFormat="1" applyFont="1" applyFill="1" applyBorder="1"/>
    <xf numFmtId="49" fontId="1" fillId="2" borderId="4" xfId="0" applyNumberFormat="1" applyFont="1" applyFill="1" applyBorder="1" applyAlignment="1">
      <alignment horizontal="left"/>
    </xf>
    <xf numFmtId="0" fontId="2" fillId="2" borderId="4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4" xfId="0" applyNumberFormat="1" applyFont="1" applyFill="1" applyBorder="1" applyAlignment="1">
      <alignment vertical="center" textRotation="90"/>
    </xf>
    <xf numFmtId="0" fontId="2" fillId="2" borderId="6" xfId="0" applyFont="1" applyFill="1" applyBorder="1"/>
    <xf numFmtId="49" fontId="1" fillId="2" borderId="7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8" xfId="0" applyFont="1" applyFill="1" applyBorder="1"/>
    <xf numFmtId="0" fontId="5" fillId="2" borderId="0" xfId="0" applyFont="1" applyFill="1"/>
    <xf numFmtId="49" fontId="1" fillId="8" borderId="7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8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7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8" xfId="0" applyFont="1" applyFill="1" applyBorder="1"/>
    <xf numFmtId="49" fontId="4" fillId="4" borderId="0" xfId="0" applyNumberFormat="1" applyFont="1" applyFill="1"/>
    <xf numFmtId="49" fontId="1" fillId="4" borderId="9" xfId="0" applyNumberFormat="1" applyFont="1" applyFill="1" applyBorder="1"/>
    <xf numFmtId="49" fontId="1" fillId="4" borderId="1" xfId="0" applyNumberFormat="1" applyFont="1" applyFill="1" applyBorder="1"/>
    <xf numFmtId="0" fontId="2" fillId="4" borderId="1" xfId="0" applyFont="1" applyFill="1" applyBorder="1"/>
    <xf numFmtId="49" fontId="3" fillId="9" borderId="1" xfId="0" applyNumberFormat="1" applyFont="1" applyFill="1" applyBorder="1" applyAlignment="1">
      <alignment vertical="center" textRotation="90"/>
    </xf>
    <xf numFmtId="0" fontId="2" fillId="4" borderId="10" xfId="0" applyFont="1" applyFill="1" applyBorder="1"/>
    <xf numFmtId="49" fontId="1" fillId="10" borderId="5" xfId="0" applyNumberFormat="1" applyFont="1" applyFill="1" applyBorder="1"/>
    <xf numFmtId="49" fontId="1" fillId="10" borderId="4" xfId="0" applyNumberFormat="1" applyFont="1" applyFill="1" applyBorder="1"/>
    <xf numFmtId="0" fontId="2" fillId="10" borderId="4" xfId="0" applyFont="1" applyFill="1" applyBorder="1"/>
    <xf numFmtId="49" fontId="3" fillId="10" borderId="4" xfId="0" applyNumberFormat="1" applyFont="1" applyFill="1" applyBorder="1"/>
    <xf numFmtId="49" fontId="3" fillId="10" borderId="4" xfId="0" applyNumberFormat="1" applyFont="1" applyFill="1" applyBorder="1" applyAlignment="1">
      <alignment vertical="center" textRotation="90"/>
    </xf>
    <xf numFmtId="0" fontId="2" fillId="10" borderId="6" xfId="0" applyFont="1" applyFill="1" applyBorder="1"/>
    <xf numFmtId="49" fontId="1" fillId="10" borderId="7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8" xfId="0" applyFont="1" applyFill="1" applyBorder="1"/>
    <xf numFmtId="49" fontId="4" fillId="10" borderId="0" xfId="0" applyNumberFormat="1" applyFont="1" applyFill="1"/>
    <xf numFmtId="49" fontId="1" fillId="5" borderId="7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8" xfId="0" applyFont="1" applyFill="1" applyBorder="1"/>
    <xf numFmtId="49" fontId="4" fillId="5" borderId="0" xfId="0" applyNumberFormat="1" applyFont="1" applyFill="1"/>
    <xf numFmtId="49" fontId="1" fillId="5" borderId="9" xfId="0" applyNumberFormat="1" applyFont="1" applyFill="1" applyBorder="1"/>
    <xf numFmtId="49" fontId="1" fillId="5" borderId="1" xfId="0" applyNumberFormat="1" applyFont="1" applyFill="1" applyBorder="1"/>
    <xf numFmtId="0" fontId="2" fillId="5" borderId="1" xfId="0" applyFont="1" applyFill="1" applyBorder="1"/>
    <xf numFmtId="49" fontId="3" fillId="5" borderId="1" xfId="0" applyNumberFormat="1" applyFont="1" applyFill="1" applyBorder="1" applyAlignment="1">
      <alignment vertical="center" textRotation="90"/>
    </xf>
    <xf numFmtId="0" fontId="2" fillId="5" borderId="10" xfId="0" applyFont="1" applyFill="1" applyBorder="1"/>
    <xf numFmtId="49" fontId="1" fillId="6" borderId="5" xfId="0" applyNumberFormat="1" applyFont="1" applyFill="1" applyBorder="1"/>
    <xf numFmtId="49" fontId="1" fillId="6" borderId="4" xfId="0" applyNumberFormat="1" applyFont="1" applyFill="1" applyBorder="1"/>
    <xf numFmtId="0" fontId="2" fillId="6" borderId="4" xfId="0" applyFont="1" applyFill="1" applyBorder="1"/>
    <xf numFmtId="49" fontId="3" fillId="6" borderId="4" xfId="0" applyNumberFormat="1" applyFont="1" applyFill="1" applyBorder="1"/>
    <xf numFmtId="0" fontId="5" fillId="6" borderId="4" xfId="0" applyFont="1" applyFill="1" applyBorder="1"/>
    <xf numFmtId="49" fontId="3" fillId="6" borderId="4" xfId="0" applyNumberFormat="1" applyFont="1" applyFill="1" applyBorder="1" applyAlignment="1">
      <alignment vertical="center" textRotation="90"/>
    </xf>
    <xf numFmtId="0" fontId="5" fillId="6" borderId="6" xfId="0" applyFont="1" applyFill="1" applyBorder="1"/>
    <xf numFmtId="49" fontId="1" fillId="6" borderId="7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8" xfId="0" applyFont="1" applyFill="1" applyBorder="1"/>
    <xf numFmtId="49" fontId="4" fillId="6" borderId="0" xfId="0" applyNumberFormat="1" applyFont="1" applyFill="1"/>
    <xf numFmtId="49" fontId="1" fillId="11" borderId="7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8" xfId="0" applyFont="1" applyFill="1" applyBorder="1"/>
    <xf numFmtId="49" fontId="4" fillId="11" borderId="0" xfId="0" applyNumberFormat="1" applyFont="1" applyFill="1"/>
    <xf numFmtId="49" fontId="1" fillId="12" borderId="7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8" xfId="0" applyFont="1" applyFill="1" applyBorder="1"/>
    <xf numFmtId="49" fontId="1" fillId="12" borderId="9" xfId="0" applyNumberFormat="1" applyFont="1" applyFill="1" applyBorder="1"/>
    <xf numFmtId="49" fontId="1" fillId="12" borderId="1" xfId="0" applyNumberFormat="1" applyFont="1" applyFill="1" applyBorder="1"/>
    <xf numFmtId="0" fontId="2" fillId="12" borderId="1" xfId="0" applyFont="1" applyFill="1" applyBorder="1"/>
    <xf numFmtId="49" fontId="3" fillId="12" borderId="1" xfId="0" applyNumberFormat="1" applyFont="1" applyFill="1" applyBorder="1" applyAlignment="1">
      <alignment vertical="center" textRotation="90"/>
    </xf>
    <xf numFmtId="0" fontId="2" fillId="12" borderId="10" xfId="0" applyFont="1" applyFill="1" applyBorder="1"/>
    <xf numFmtId="0" fontId="6" fillId="6" borderId="4" xfId="0" applyFont="1" applyFill="1" applyBorder="1"/>
    <xf numFmtId="0" fontId="2" fillId="6" borderId="6" xfId="0" applyFont="1" applyFill="1" applyBorder="1"/>
    <xf numFmtId="0" fontId="5" fillId="6" borderId="0" xfId="0" applyFont="1" applyFill="1"/>
    <xf numFmtId="49" fontId="1" fillId="6" borderId="9" xfId="0" applyNumberFormat="1" applyFont="1" applyFill="1" applyBorder="1"/>
    <xf numFmtId="49" fontId="1" fillId="6" borderId="1" xfId="0" applyNumberFormat="1" applyFont="1" applyFill="1" applyBorder="1"/>
    <xf numFmtId="0" fontId="2" fillId="6" borderId="1" xfId="0" applyFont="1" applyFill="1" applyBorder="1"/>
    <xf numFmtId="0" fontId="2" fillId="6" borderId="10" xfId="0" applyFont="1" applyFill="1" applyBorder="1"/>
    <xf numFmtId="49" fontId="1" fillId="2" borderId="4" xfId="0" applyNumberFormat="1" applyFont="1" applyFill="1" applyBorder="1"/>
    <xf numFmtId="49" fontId="3" fillId="2" borderId="4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5" xfId="0" applyNumberFormat="1" applyFont="1" applyFill="1" applyBorder="1"/>
    <xf numFmtId="49" fontId="7" fillId="8" borderId="0" xfId="0" applyNumberFormat="1" applyFont="1" applyFill="1"/>
    <xf numFmtId="0" fontId="2" fillId="8" borderId="4" xfId="0" applyFont="1" applyFill="1" applyBorder="1"/>
    <xf numFmtId="49" fontId="3" fillId="8" borderId="4" xfId="0" applyNumberFormat="1" applyFont="1" applyFill="1" applyBorder="1"/>
    <xf numFmtId="49" fontId="1" fillId="8" borderId="4" xfId="0" applyNumberFormat="1" applyFont="1" applyFill="1" applyBorder="1"/>
    <xf numFmtId="0" fontId="2" fillId="8" borderId="6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9" xfId="0" applyNumberFormat="1" applyFont="1" applyFill="1" applyBorder="1"/>
    <xf numFmtId="0" fontId="2" fillId="8" borderId="1" xfId="0" applyFont="1" applyFill="1" applyBorder="1"/>
    <xf numFmtId="49" fontId="1" fillId="8" borderId="1" xfId="0" applyNumberFormat="1" applyFont="1" applyFill="1" applyBorder="1"/>
    <xf numFmtId="0" fontId="2" fillId="8" borderId="10" xfId="0" applyFont="1" applyFill="1" applyBorder="1"/>
    <xf numFmtId="49" fontId="1" fillId="2" borderId="11" xfId="0" applyNumberFormat="1" applyFont="1" applyFill="1" applyBorder="1"/>
    <xf numFmtId="49" fontId="7" fillId="14" borderId="12" xfId="0" applyNumberFormat="1" applyFont="1" applyFill="1" applyBorder="1"/>
    <xf numFmtId="0" fontId="2" fillId="2" borderId="13" xfId="0" applyFont="1" applyFill="1" applyBorder="1"/>
    <xf numFmtId="49" fontId="4" fillId="2" borderId="13" xfId="0" applyNumberFormat="1" applyFont="1" applyFill="1" applyBorder="1"/>
    <xf numFmtId="49" fontId="1" fillId="2" borderId="13" xfId="0" applyNumberFormat="1" applyFont="1" applyFill="1" applyBorder="1"/>
    <xf numFmtId="0" fontId="2" fillId="2" borderId="14" xfId="0" applyFont="1" applyFill="1" applyBorder="1"/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25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wrapText="1" indent="1"/>
      <protection locked="0"/>
    </xf>
    <xf numFmtId="3" fontId="14" fillId="0" borderId="16" xfId="0" applyNumberFormat="1" applyFont="1" applyBorder="1" applyAlignment="1">
      <alignment horizontal="right" vertical="top"/>
    </xf>
    <xf numFmtId="3" fontId="14" fillId="0" borderId="8" xfId="0" applyNumberFormat="1" applyFont="1" applyBorder="1" applyAlignment="1">
      <alignment horizontal="right" vertical="top"/>
    </xf>
    <xf numFmtId="0" fontId="0" fillId="0" borderId="0" xfId="0" applyAlignment="1" applyProtection="1">
      <alignment horizontal="left" indent="1"/>
      <protection locked="0"/>
    </xf>
    <xf numFmtId="0" fontId="14" fillId="0" borderId="16" xfId="0" applyFont="1" applyBorder="1" applyAlignment="1">
      <alignment horizontal="right" vertical="top"/>
    </xf>
    <xf numFmtId="49" fontId="9" fillId="0" borderId="0" xfId="0" applyNumberFormat="1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49" fontId="15" fillId="0" borderId="0" xfId="0" applyNumberFormat="1" applyFont="1" applyAlignment="1" applyProtection="1">
      <alignment horizontal="left" vertical="center" wrapText="1" indent="2"/>
      <protection locked="0"/>
    </xf>
    <xf numFmtId="49" fontId="0" fillId="0" borderId="1" xfId="0" applyNumberFormat="1" applyBorder="1" applyAlignment="1" applyProtection="1">
      <alignment horizontal="left" wrapText="1" indent="1"/>
      <protection locked="0"/>
    </xf>
    <xf numFmtId="3" fontId="14" fillId="0" borderId="28" xfId="0" applyNumberFormat="1" applyFont="1" applyBorder="1" applyAlignment="1">
      <alignment horizontal="right" vertical="top"/>
    </xf>
    <xf numFmtId="3" fontId="14" fillId="0" borderId="1" xfId="0" applyNumberFormat="1" applyFont="1" applyBorder="1" applyAlignment="1">
      <alignment horizontal="right" vertical="top"/>
    </xf>
    <xf numFmtId="3" fontId="14" fillId="0" borderId="10" xfId="0" applyNumberFormat="1" applyFont="1" applyBorder="1" applyAlignment="1">
      <alignment horizontal="right" vertical="top"/>
    </xf>
    <xf numFmtId="0" fontId="0" fillId="0" borderId="1" xfId="0" applyBorder="1" applyAlignment="1" applyProtection="1">
      <alignment horizontal="left" indent="1"/>
      <protection locked="0"/>
    </xf>
    <xf numFmtId="0" fontId="0" fillId="0" borderId="1" xfId="0" applyBorder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0" fillId="0" borderId="0" xfId="0" applyNumberFormat="1" applyProtection="1">
      <protection locked="0"/>
    </xf>
    <xf numFmtId="0" fontId="11" fillId="0" borderId="1" xfId="0" applyFont="1" applyBorder="1" applyProtection="1">
      <protection locked="0"/>
    </xf>
    <xf numFmtId="0" fontId="11" fillId="0" borderId="1" xfId="0" applyFont="1" applyBorder="1" applyAlignment="1" applyProtection="1">
      <alignment horizontal="right"/>
      <protection locked="0"/>
    </xf>
    <xf numFmtId="0" fontId="13" fillId="0" borderId="29" xfId="0" applyFont="1" applyBorder="1" applyAlignment="1" applyProtection="1">
      <alignment horizontal="center" vertical="center"/>
      <protection locked="0"/>
    </xf>
    <xf numFmtId="3" fontId="14" fillId="0" borderId="26" xfId="0" applyNumberFormat="1" applyFont="1" applyBorder="1" applyAlignment="1">
      <alignment horizontal="right" vertical="top"/>
    </xf>
    <xf numFmtId="3" fontId="0" fillId="0" borderId="0" xfId="0" applyNumberFormat="1" applyProtection="1">
      <protection locked="0"/>
    </xf>
    <xf numFmtId="3" fontId="10" fillId="16" borderId="16" xfId="0" applyNumberFormat="1" applyFont="1" applyFill="1" applyBorder="1" applyAlignment="1">
      <alignment horizontal="right" vertical="center" wrapText="1"/>
    </xf>
    <xf numFmtId="3" fontId="10" fillId="16" borderId="26" xfId="0" applyNumberFormat="1" applyFont="1" applyFill="1" applyBorder="1" applyAlignment="1">
      <alignment horizontal="right" vertical="center" wrapText="1"/>
    </xf>
    <xf numFmtId="3" fontId="12" fillId="16" borderId="18" xfId="0" applyNumberFormat="1" applyFont="1" applyFill="1" applyBorder="1" applyAlignment="1">
      <alignment horizontal="right" vertical="center"/>
    </xf>
    <xf numFmtId="3" fontId="10" fillId="16" borderId="18" xfId="0" applyNumberFormat="1" applyFont="1" applyFill="1" applyBorder="1" applyAlignment="1">
      <alignment horizontal="right" vertical="center" wrapText="1"/>
    </xf>
    <xf numFmtId="3" fontId="12" fillId="16" borderId="27" xfId="0" applyNumberFormat="1" applyFont="1" applyFill="1" applyBorder="1" applyAlignment="1">
      <alignment horizontal="right" vertical="center"/>
    </xf>
    <xf numFmtId="3" fontId="14" fillId="16" borderId="18" xfId="0" applyNumberFormat="1" applyFont="1" applyFill="1" applyBorder="1" applyAlignment="1">
      <alignment horizontal="right" vertical="top"/>
    </xf>
    <xf numFmtId="3" fontId="14" fillId="16" borderId="27" xfId="0" applyNumberFormat="1" applyFont="1" applyFill="1" applyBorder="1" applyAlignment="1">
      <alignment horizontal="right" vertical="top"/>
    </xf>
    <xf numFmtId="0" fontId="11" fillId="0" borderId="0" xfId="0" applyFont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0" fontId="12" fillId="0" borderId="1" xfId="0" applyFont="1" applyBorder="1" applyProtection="1">
      <protection locked="0"/>
    </xf>
    <xf numFmtId="3" fontId="14" fillId="0" borderId="0" xfId="0" applyNumberFormat="1" applyFont="1" applyAlignment="1">
      <alignment horizontal="right" vertical="top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15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10" fillId="0" borderId="31" xfId="0" applyFont="1" applyBorder="1" applyAlignment="1" applyProtection="1">
      <alignment horizontal="center"/>
      <protection locked="0"/>
    </xf>
    <xf numFmtId="0" fontId="10" fillId="0" borderId="30" xfId="0" applyFont="1" applyBorder="1" applyAlignment="1" applyProtection="1">
      <alignment horizontal="center"/>
      <protection locked="0"/>
    </xf>
    <xf numFmtId="0" fontId="10" fillId="0" borderId="32" xfId="0" applyFont="1" applyBorder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 wrapText="1"/>
      <protection locked="0"/>
    </xf>
    <xf numFmtId="0" fontId="12" fillId="0" borderId="33" xfId="0" applyFont="1" applyBorder="1" applyAlignment="1" applyProtection="1">
      <alignment horizontal="center" vertical="center" wrapText="1"/>
      <protection locked="0"/>
    </xf>
    <xf numFmtId="0" fontId="12" fillId="0" borderId="34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17" xfId="0" applyFont="1" applyBorder="1" applyAlignment="1" applyProtection="1">
      <alignment horizontal="center" vertical="center" wrapText="1"/>
      <protection locked="0"/>
    </xf>
    <xf numFmtId="0" fontId="12" fillId="0" borderId="35" xfId="0" applyFont="1" applyBorder="1" applyAlignment="1" applyProtection="1">
      <alignment horizontal="center" vertical="center" wrapText="1"/>
      <protection locked="0"/>
    </xf>
    <xf numFmtId="0" fontId="10" fillId="0" borderId="36" xfId="0" applyFont="1" applyBorder="1" applyAlignment="1" applyProtection="1">
      <alignment horizontal="center"/>
      <protection locked="0"/>
    </xf>
    <xf numFmtId="0" fontId="10" fillId="0" borderId="37" xfId="0" applyFont="1" applyBorder="1" applyAlignment="1" applyProtection="1">
      <alignment horizontal="center"/>
      <protection locked="0"/>
    </xf>
    <xf numFmtId="0" fontId="10" fillId="0" borderId="35" xfId="0" applyFont="1" applyBorder="1" applyAlignment="1" applyProtection="1">
      <alignment horizontal="center"/>
      <protection locked="0"/>
    </xf>
    <xf numFmtId="3" fontId="10" fillId="16" borderId="18" xfId="0" applyNumberFormat="1" applyFont="1" applyFill="1" applyBorder="1" applyAlignment="1">
      <alignment horizontal="right" vertical="center"/>
    </xf>
    <xf numFmtId="0" fontId="10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3" fontId="10" fillId="16" borderId="20" xfId="0" applyNumberFormat="1" applyFont="1" applyFill="1" applyBorder="1" applyAlignment="1">
      <alignment horizontal="right" vertical="center"/>
    </xf>
    <xf numFmtId="3" fontId="10" fillId="16" borderId="16" xfId="0" applyNumberFormat="1" applyFont="1" applyFill="1" applyBorder="1" applyAlignment="1">
      <alignment horizontal="right" vertical="center"/>
    </xf>
    <xf numFmtId="3" fontId="10" fillId="16" borderId="26" xfId="0" applyNumberFormat="1" applyFont="1" applyFill="1" applyBorder="1" applyAlignment="1">
      <alignment horizontal="right" vertical="center"/>
    </xf>
    <xf numFmtId="3" fontId="10" fillId="16" borderId="7" xfId="0" applyNumberFormat="1" applyFont="1" applyFill="1" applyBorder="1" applyAlignment="1">
      <alignment horizontal="right" vertical="center"/>
    </xf>
    <xf numFmtId="49" fontId="9" fillId="0" borderId="23" xfId="0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 wrapText="1"/>
      <protection locked="0"/>
    </xf>
    <xf numFmtId="0" fontId="10" fillId="0" borderId="22" xfId="0" applyFont="1" applyBorder="1" applyAlignment="1" applyProtection="1">
      <alignment horizontal="center" vertical="center" wrapText="1"/>
      <protection locked="0"/>
    </xf>
    <xf numFmtId="0" fontId="10" fillId="0" borderId="23" xfId="0" applyFont="1" applyBorder="1" applyAlignment="1" applyProtection="1">
      <alignment vertical="center" wrapText="1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left" wrapText="1" indent="1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4" xfId="0" applyBorder="1" applyAlignment="1" applyProtection="1">
      <alignment horizontal="right" vertical="center"/>
      <protection locked="0"/>
    </xf>
    <xf numFmtId="49" fontId="3" fillId="15" borderId="4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1" xfId="0" applyNumberFormat="1" applyFont="1" applyFill="1" applyBorder="1" applyAlignment="1">
      <alignment horizontal="center" vertical="center" textRotation="90"/>
    </xf>
    <xf numFmtId="49" fontId="3" fillId="3" borderId="4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1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1" xfId="0" applyNumberFormat="1" applyFont="1" applyFill="1" applyBorder="1" applyAlignment="1">
      <alignment horizontal="center" vertical="center" textRotation="90" wrapText="1"/>
    </xf>
    <xf numFmtId="49" fontId="3" fillId="7" borderId="4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1" xfId="0" applyNumberFormat="1" applyFont="1" applyFill="1" applyBorder="1" applyAlignment="1">
      <alignment horizontal="center" vertical="center" textRotation="90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workbookViewId="0">
      <selection sqref="A1:IV65536"/>
    </sheetView>
  </sheetViews>
  <sheetFormatPr defaultRowHeight="14.4" x14ac:dyDescent="0.3"/>
  <sheetData>
    <row r="1" spans="1:13" x14ac:dyDescent="0.3">
      <c r="A1" s="1" t="s">
        <v>176</v>
      </c>
      <c r="B1" s="2" t="s">
        <v>6</v>
      </c>
      <c r="C1" s="3"/>
      <c r="D1" s="4"/>
      <c r="E1" s="4"/>
      <c r="F1" s="4"/>
      <c r="G1" s="4"/>
      <c r="H1" s="207" t="s">
        <v>177</v>
      </c>
      <c r="I1" s="5"/>
      <c r="J1" s="3"/>
      <c r="K1" s="3"/>
      <c r="L1" s="3"/>
      <c r="M1" s="6"/>
    </row>
    <row r="2" spans="1:13" x14ac:dyDescent="0.3">
      <c r="A2" s="7" t="s">
        <v>178</v>
      </c>
      <c r="B2" s="8" t="s">
        <v>8</v>
      </c>
      <c r="C2" s="9"/>
      <c r="D2" s="9"/>
      <c r="E2" s="9"/>
      <c r="F2" s="9"/>
      <c r="G2" s="9"/>
      <c r="H2" s="208"/>
      <c r="I2" s="10"/>
      <c r="J2" s="9"/>
      <c r="K2" s="9"/>
      <c r="L2" s="9"/>
      <c r="M2" s="11"/>
    </row>
    <row r="3" spans="1:13" x14ac:dyDescent="0.3">
      <c r="A3" s="7" t="s">
        <v>179</v>
      </c>
      <c r="B3" s="8" t="s">
        <v>10</v>
      </c>
      <c r="C3" s="9"/>
      <c r="D3" s="210" t="s">
        <v>180</v>
      </c>
      <c r="E3" s="210"/>
      <c r="F3" s="210"/>
      <c r="G3" s="210"/>
      <c r="H3" s="208"/>
      <c r="I3" s="10"/>
      <c r="J3" s="9"/>
      <c r="K3" s="9"/>
      <c r="L3" s="9"/>
      <c r="M3" s="11"/>
    </row>
    <row r="4" spans="1:13" x14ac:dyDescent="0.3">
      <c r="A4" s="7" t="s">
        <v>181</v>
      </c>
      <c r="B4" s="8" t="s">
        <v>12</v>
      </c>
      <c r="C4" s="9"/>
      <c r="D4" s="12" t="s">
        <v>182</v>
      </c>
      <c r="E4" s="9"/>
      <c r="F4" s="9"/>
      <c r="G4" s="9"/>
      <c r="H4" s="208"/>
      <c r="I4" s="10"/>
      <c r="J4" s="9"/>
      <c r="K4" s="9"/>
      <c r="L4" s="9"/>
      <c r="M4" s="11"/>
    </row>
    <row r="5" spans="1:13" x14ac:dyDescent="0.3">
      <c r="A5" s="7" t="s">
        <v>183</v>
      </c>
      <c r="B5" s="8" t="s">
        <v>14</v>
      </c>
      <c r="C5" s="9"/>
      <c r="D5" s="9"/>
      <c r="E5" s="9"/>
      <c r="F5" s="9"/>
      <c r="G5" s="9"/>
      <c r="H5" s="208"/>
      <c r="I5" s="10"/>
      <c r="J5" s="9"/>
      <c r="K5" s="9"/>
      <c r="L5" s="9"/>
      <c r="M5" s="11"/>
    </row>
    <row r="6" spans="1:13" x14ac:dyDescent="0.3">
      <c r="A6" s="7" t="s">
        <v>184</v>
      </c>
      <c r="B6" s="8" t="s">
        <v>16</v>
      </c>
      <c r="C6" s="9"/>
      <c r="D6" s="9"/>
      <c r="E6" s="9"/>
      <c r="F6" s="9"/>
      <c r="G6" s="9"/>
      <c r="H6" s="208"/>
      <c r="I6" s="10"/>
      <c r="J6" s="9"/>
      <c r="K6" s="9"/>
      <c r="L6" s="9"/>
      <c r="M6" s="11"/>
    </row>
    <row r="7" spans="1:13" x14ac:dyDescent="0.3">
      <c r="A7" s="13" t="s">
        <v>185</v>
      </c>
      <c r="B7" s="14" t="s">
        <v>20</v>
      </c>
      <c r="C7" s="15"/>
      <c r="D7" s="16"/>
      <c r="E7" s="15"/>
      <c r="F7" s="15"/>
      <c r="G7" s="15"/>
      <c r="H7" s="208"/>
      <c r="I7" s="17"/>
      <c r="J7" s="15"/>
      <c r="K7" s="15"/>
      <c r="L7" s="15"/>
      <c r="M7" s="18"/>
    </row>
    <row r="8" spans="1:13" x14ac:dyDescent="0.3">
      <c r="A8" s="13" t="s">
        <v>186</v>
      </c>
      <c r="B8" s="19" t="s">
        <v>22</v>
      </c>
      <c r="C8" s="15"/>
      <c r="D8" s="15"/>
      <c r="E8" s="15"/>
      <c r="F8" s="15"/>
      <c r="G8" s="15"/>
      <c r="H8" s="208"/>
      <c r="I8" s="17"/>
      <c r="J8" s="19"/>
      <c r="K8" s="20"/>
      <c r="L8" s="15"/>
      <c r="M8" s="18"/>
    </row>
    <row r="9" spans="1:13" x14ac:dyDescent="0.3">
      <c r="A9" s="13" t="s">
        <v>187</v>
      </c>
      <c r="B9" s="19" t="s">
        <v>24</v>
      </c>
      <c r="C9" s="15"/>
      <c r="D9" s="15"/>
      <c r="E9" s="15"/>
      <c r="F9" s="15"/>
      <c r="G9" s="15"/>
      <c r="H9" s="208"/>
      <c r="I9" s="17"/>
      <c r="J9" s="15"/>
      <c r="K9" s="15"/>
      <c r="L9" s="15"/>
      <c r="M9" s="18"/>
    </row>
    <row r="10" spans="1:13" x14ac:dyDescent="0.3">
      <c r="A10" s="13" t="s">
        <v>188</v>
      </c>
      <c r="B10" s="19" t="s">
        <v>26</v>
      </c>
      <c r="C10" s="15"/>
      <c r="D10" s="15"/>
      <c r="E10" s="15"/>
      <c r="F10" s="15"/>
      <c r="G10" s="15"/>
      <c r="H10" s="208"/>
      <c r="I10" s="17"/>
      <c r="J10" s="15"/>
      <c r="K10" s="15"/>
      <c r="L10" s="15"/>
      <c r="M10" s="18"/>
    </row>
    <row r="11" spans="1:13" x14ac:dyDescent="0.3">
      <c r="A11" s="13" t="s">
        <v>189</v>
      </c>
      <c r="B11" s="19" t="s">
        <v>28</v>
      </c>
      <c r="C11" s="15"/>
      <c r="D11" s="21" t="s">
        <v>190</v>
      </c>
      <c r="E11" s="15"/>
      <c r="F11" s="15"/>
      <c r="G11" s="15"/>
      <c r="H11" s="208"/>
      <c r="I11" s="17"/>
      <c r="J11" s="15"/>
      <c r="K11" s="15"/>
      <c r="L11" s="15"/>
      <c r="M11" s="18"/>
    </row>
    <row r="12" spans="1:13" x14ac:dyDescent="0.3">
      <c r="A12" s="13" t="s">
        <v>191</v>
      </c>
      <c r="B12" s="19" t="s">
        <v>30</v>
      </c>
      <c r="C12" s="15"/>
      <c r="D12" s="15"/>
      <c r="E12" s="15"/>
      <c r="F12" s="15"/>
      <c r="G12" s="15"/>
      <c r="H12" s="208"/>
      <c r="I12" s="17"/>
      <c r="J12" s="15"/>
      <c r="K12" s="15"/>
      <c r="L12" s="15"/>
      <c r="M12" s="18"/>
    </row>
    <row r="13" spans="1:13" x14ac:dyDescent="0.3">
      <c r="A13" s="13" t="s">
        <v>192</v>
      </c>
      <c r="B13" s="19" t="s">
        <v>32</v>
      </c>
      <c r="C13" s="15"/>
      <c r="D13" s="15"/>
      <c r="E13" s="15"/>
      <c r="F13" s="15"/>
      <c r="G13" s="15"/>
      <c r="H13" s="208"/>
      <c r="I13" s="17"/>
      <c r="J13" s="15"/>
      <c r="K13" s="15"/>
      <c r="L13" s="15"/>
      <c r="M13" s="18"/>
    </row>
    <row r="14" spans="1:13" x14ac:dyDescent="0.3">
      <c r="A14" s="13" t="s">
        <v>193</v>
      </c>
      <c r="B14" s="19" t="s">
        <v>34</v>
      </c>
      <c r="C14" s="15"/>
      <c r="D14" s="15"/>
      <c r="E14" s="15"/>
      <c r="F14" s="15"/>
      <c r="G14" s="15"/>
      <c r="H14" s="208"/>
      <c r="I14" s="17"/>
      <c r="J14" s="15"/>
      <c r="K14" s="15"/>
      <c r="L14" s="15"/>
      <c r="M14" s="18"/>
    </row>
    <row r="15" spans="1:13" x14ac:dyDescent="0.3">
      <c r="A15" s="13" t="s">
        <v>194</v>
      </c>
      <c r="B15" s="19" t="s">
        <v>36</v>
      </c>
      <c r="C15" s="15"/>
      <c r="D15" s="15"/>
      <c r="E15" s="15"/>
      <c r="F15" s="15"/>
      <c r="G15" s="15"/>
      <c r="H15" s="208"/>
      <c r="I15" s="17"/>
      <c r="J15" s="15"/>
      <c r="K15" s="15"/>
      <c r="L15" s="15"/>
      <c r="M15" s="18"/>
    </row>
    <row r="16" spans="1:13" x14ac:dyDescent="0.3">
      <c r="A16" s="13" t="s">
        <v>195</v>
      </c>
      <c r="B16" s="19" t="s">
        <v>38</v>
      </c>
      <c r="C16" s="15"/>
      <c r="D16" s="15"/>
      <c r="E16" s="15"/>
      <c r="F16" s="15"/>
      <c r="G16" s="15"/>
      <c r="H16" s="208"/>
      <c r="I16" s="17"/>
      <c r="J16" s="15"/>
      <c r="K16" s="15"/>
      <c r="L16" s="15"/>
      <c r="M16" s="18"/>
    </row>
    <row r="17" spans="1:13" x14ac:dyDescent="0.3">
      <c r="A17" s="13" t="s">
        <v>196</v>
      </c>
      <c r="B17" s="19" t="s">
        <v>40</v>
      </c>
      <c r="C17" s="15"/>
      <c r="D17" s="15"/>
      <c r="E17" s="15"/>
      <c r="F17" s="15"/>
      <c r="G17" s="15"/>
      <c r="H17" s="208"/>
      <c r="I17" s="17"/>
      <c r="J17" s="15"/>
      <c r="K17" s="15"/>
      <c r="L17" s="15"/>
      <c r="M17" s="18"/>
    </row>
    <row r="18" spans="1:13" x14ac:dyDescent="0.3">
      <c r="A18" s="22" t="s">
        <v>197</v>
      </c>
      <c r="B18" s="23" t="s">
        <v>44</v>
      </c>
      <c r="C18" s="24"/>
      <c r="D18" s="25"/>
      <c r="E18" s="24"/>
      <c r="F18" s="24"/>
      <c r="G18" s="24"/>
      <c r="H18" s="208"/>
      <c r="I18" s="26"/>
      <c r="J18" s="23"/>
      <c r="K18" s="23"/>
      <c r="L18" s="24"/>
      <c r="M18" s="27"/>
    </row>
    <row r="19" spans="1:13" x14ac:dyDescent="0.3">
      <c r="A19" s="22" t="s">
        <v>198</v>
      </c>
      <c r="B19" s="23" t="s">
        <v>46</v>
      </c>
      <c r="C19" s="24"/>
      <c r="D19" s="24"/>
      <c r="E19" s="24"/>
      <c r="F19" s="24"/>
      <c r="G19" s="24"/>
      <c r="H19" s="208"/>
      <c r="I19" s="26"/>
      <c r="J19" s="23"/>
      <c r="K19" s="23"/>
      <c r="L19" s="24"/>
      <c r="M19" s="27"/>
    </row>
    <row r="20" spans="1:13" x14ac:dyDescent="0.3">
      <c r="A20" s="22" t="s">
        <v>199</v>
      </c>
      <c r="B20" s="23" t="s">
        <v>48</v>
      </c>
      <c r="C20" s="24"/>
      <c r="D20" s="28" t="s">
        <v>200</v>
      </c>
      <c r="E20" s="24"/>
      <c r="F20" s="24"/>
      <c r="G20" s="24"/>
      <c r="H20" s="208"/>
      <c r="I20" s="26"/>
      <c r="J20" s="23"/>
      <c r="K20" s="23"/>
      <c r="L20" s="24"/>
      <c r="M20" s="27"/>
    </row>
    <row r="21" spans="1:13" ht="15" thickBot="1" x14ac:dyDescent="0.35">
      <c r="A21" s="29" t="s">
        <v>201</v>
      </c>
      <c r="B21" s="30" t="s">
        <v>50</v>
      </c>
      <c r="C21" s="31"/>
      <c r="D21" s="31"/>
      <c r="E21" s="31"/>
      <c r="F21" s="31"/>
      <c r="G21" s="31"/>
      <c r="H21" s="209"/>
      <c r="I21" s="32"/>
      <c r="J21" s="30"/>
      <c r="K21" s="30"/>
      <c r="L21" s="31"/>
      <c r="M21" s="33"/>
    </row>
    <row r="22" spans="1:13" x14ac:dyDescent="0.3">
      <c r="A22" s="34" t="s">
        <v>202</v>
      </c>
      <c r="B22" s="35" t="s">
        <v>54</v>
      </c>
      <c r="C22" s="36"/>
      <c r="D22" s="37"/>
      <c r="E22" s="36"/>
      <c r="F22" s="36"/>
      <c r="G22" s="38"/>
      <c r="H22" s="211" t="s">
        <v>203</v>
      </c>
      <c r="I22" s="36"/>
      <c r="J22" s="35"/>
      <c r="K22" s="35"/>
      <c r="L22" s="36"/>
      <c r="M22" s="39"/>
    </row>
    <row r="23" spans="1:13" x14ac:dyDescent="0.3">
      <c r="A23" s="40" t="s">
        <v>204</v>
      </c>
      <c r="B23" s="41" t="s">
        <v>56</v>
      </c>
      <c r="C23" s="42"/>
      <c r="D23" s="42"/>
      <c r="E23" s="42"/>
      <c r="F23" s="42"/>
      <c r="G23" s="43"/>
      <c r="H23" s="212"/>
      <c r="I23" s="42"/>
      <c r="J23" s="41"/>
      <c r="K23" s="41"/>
      <c r="L23" s="42"/>
      <c r="M23" s="44"/>
    </row>
    <row r="24" spans="1:13" x14ac:dyDescent="0.3">
      <c r="A24" s="40" t="s">
        <v>205</v>
      </c>
      <c r="B24" s="41" t="s">
        <v>58</v>
      </c>
      <c r="C24" s="42"/>
      <c r="D24" s="45" t="s">
        <v>206</v>
      </c>
      <c r="E24" s="42"/>
      <c r="F24" s="42"/>
      <c r="G24" s="43"/>
      <c r="H24" s="212"/>
      <c r="I24" s="42"/>
      <c r="J24" s="41"/>
      <c r="K24" s="41"/>
      <c r="L24" s="42"/>
      <c r="M24" s="44"/>
    </row>
    <row r="25" spans="1:13" x14ac:dyDescent="0.3">
      <c r="A25" s="40" t="s">
        <v>207</v>
      </c>
      <c r="B25" s="41" t="s">
        <v>60</v>
      </c>
      <c r="C25" s="42"/>
      <c r="D25" s="42"/>
      <c r="E25" s="42"/>
      <c r="F25" s="42"/>
      <c r="G25" s="43"/>
      <c r="H25" s="212"/>
      <c r="I25" s="42"/>
      <c r="J25" s="41"/>
      <c r="K25" s="41"/>
      <c r="L25" s="42"/>
      <c r="M25" s="44"/>
    </row>
    <row r="26" spans="1:13" x14ac:dyDescent="0.3">
      <c r="A26" s="40" t="s">
        <v>208</v>
      </c>
      <c r="B26" s="41" t="s">
        <v>62</v>
      </c>
      <c r="C26" s="42"/>
      <c r="D26" s="42"/>
      <c r="E26" s="42"/>
      <c r="F26" s="42"/>
      <c r="G26" s="43"/>
      <c r="H26" s="212"/>
      <c r="I26" s="42"/>
      <c r="J26" s="41"/>
      <c r="K26" s="41"/>
      <c r="L26" s="42"/>
      <c r="M26" s="44"/>
    </row>
    <row r="27" spans="1:13" x14ac:dyDescent="0.3">
      <c r="A27" s="46" t="s">
        <v>209</v>
      </c>
      <c r="B27" s="47" t="s">
        <v>66</v>
      </c>
      <c r="C27" s="48"/>
      <c r="D27" s="49"/>
      <c r="E27" s="48"/>
      <c r="F27" s="48"/>
      <c r="G27" s="50"/>
      <c r="H27" s="212"/>
      <c r="I27" s="48"/>
      <c r="J27" s="47"/>
      <c r="K27" s="47"/>
      <c r="L27" s="48"/>
      <c r="M27" s="51"/>
    </row>
    <row r="28" spans="1:13" x14ac:dyDescent="0.3">
      <c r="A28" s="46" t="s">
        <v>210</v>
      </c>
      <c r="B28" s="47" t="s">
        <v>68</v>
      </c>
      <c r="C28" s="48"/>
      <c r="D28" s="48"/>
      <c r="E28" s="48"/>
      <c r="F28" s="48"/>
      <c r="G28" s="50"/>
      <c r="H28" s="212"/>
      <c r="I28" s="48"/>
      <c r="J28" s="47"/>
      <c r="K28" s="47"/>
      <c r="L28" s="48"/>
      <c r="M28" s="51"/>
    </row>
    <row r="29" spans="1:13" x14ac:dyDescent="0.3">
      <c r="A29" s="46" t="s">
        <v>211</v>
      </c>
      <c r="B29" s="47" t="s">
        <v>70</v>
      </c>
      <c r="C29" s="48"/>
      <c r="D29" s="52" t="s">
        <v>212</v>
      </c>
      <c r="E29" s="48"/>
      <c r="F29" s="48"/>
      <c r="G29" s="50"/>
      <c r="H29" s="212"/>
      <c r="I29" s="48"/>
      <c r="J29" s="47"/>
      <c r="K29" s="47"/>
      <c r="L29" s="48"/>
      <c r="M29" s="51"/>
    </row>
    <row r="30" spans="1:13" x14ac:dyDescent="0.3">
      <c r="A30" s="46" t="s">
        <v>213</v>
      </c>
      <c r="B30" s="47" t="s">
        <v>72</v>
      </c>
      <c r="C30" s="48"/>
      <c r="D30" s="48"/>
      <c r="E30" s="48"/>
      <c r="F30" s="48"/>
      <c r="G30" s="50"/>
      <c r="H30" s="212"/>
      <c r="I30" s="48"/>
      <c r="J30" s="47"/>
      <c r="K30" s="47"/>
      <c r="L30" s="48"/>
      <c r="M30" s="51"/>
    </row>
    <row r="31" spans="1:13" ht="15" thickBot="1" x14ac:dyDescent="0.35">
      <c r="A31" s="53" t="s">
        <v>214</v>
      </c>
      <c r="B31" s="54" t="s">
        <v>74</v>
      </c>
      <c r="C31" s="55"/>
      <c r="D31" s="55"/>
      <c r="E31" s="55"/>
      <c r="F31" s="55"/>
      <c r="G31" s="56"/>
      <c r="H31" s="213"/>
      <c r="I31" s="55"/>
      <c r="J31" s="54"/>
      <c r="K31" s="54"/>
      <c r="L31" s="55"/>
      <c r="M31" s="57"/>
    </row>
    <row r="32" spans="1:13" x14ac:dyDescent="0.3">
      <c r="A32" s="58" t="s">
        <v>215</v>
      </c>
      <c r="B32" s="59" t="s">
        <v>78</v>
      </c>
      <c r="C32" s="60"/>
      <c r="D32" s="61"/>
      <c r="E32" s="62"/>
      <c r="F32" s="62"/>
      <c r="G32" s="63"/>
      <c r="H32" s="214" t="s">
        <v>216</v>
      </c>
      <c r="I32" s="62"/>
      <c r="J32" s="61"/>
      <c r="K32" s="61"/>
      <c r="L32" s="62"/>
      <c r="M32" s="64"/>
    </row>
    <row r="33" spans="1:13" x14ac:dyDescent="0.3">
      <c r="A33" s="65" t="s">
        <v>217</v>
      </c>
      <c r="B33" s="66" t="s">
        <v>80</v>
      </c>
      <c r="C33" s="67"/>
      <c r="D33" s="67"/>
      <c r="E33" s="67"/>
      <c r="F33" s="67"/>
      <c r="G33" s="68"/>
      <c r="H33" s="215"/>
      <c r="I33" s="67"/>
      <c r="J33" s="66"/>
      <c r="K33" s="66"/>
      <c r="L33" s="67"/>
      <c r="M33" s="69"/>
    </row>
    <row r="34" spans="1:13" x14ac:dyDescent="0.3">
      <c r="A34" s="65" t="s">
        <v>218</v>
      </c>
      <c r="B34" s="66" t="s">
        <v>82</v>
      </c>
      <c r="C34" s="67"/>
      <c r="D34" s="70" t="s">
        <v>219</v>
      </c>
      <c r="E34" s="67"/>
      <c r="F34" s="67"/>
      <c r="G34" s="68"/>
      <c r="H34" s="215"/>
      <c r="I34" s="67"/>
      <c r="J34" s="66"/>
      <c r="K34" s="66"/>
      <c r="L34" s="67"/>
      <c r="M34" s="69"/>
    </row>
    <row r="35" spans="1:13" x14ac:dyDescent="0.3">
      <c r="A35" s="65" t="s">
        <v>220</v>
      </c>
      <c r="B35" s="66" t="s">
        <v>84</v>
      </c>
      <c r="C35" s="67"/>
      <c r="D35" s="67"/>
      <c r="E35" s="67"/>
      <c r="F35" s="67"/>
      <c r="G35" s="68"/>
      <c r="H35" s="215"/>
      <c r="I35" s="67"/>
      <c r="J35" s="66"/>
      <c r="K35" s="66"/>
      <c r="L35" s="67"/>
      <c r="M35" s="69"/>
    </row>
    <row r="36" spans="1:13" x14ac:dyDescent="0.3">
      <c r="A36" s="65" t="s">
        <v>221</v>
      </c>
      <c r="B36" s="66" t="s">
        <v>86</v>
      </c>
      <c r="C36" s="67"/>
      <c r="D36" s="67"/>
      <c r="E36" s="67"/>
      <c r="F36" s="67"/>
      <c r="G36" s="68"/>
      <c r="H36" s="215"/>
      <c r="I36" s="67"/>
      <c r="J36" s="66"/>
      <c r="K36" s="66"/>
      <c r="L36" s="67"/>
      <c r="M36" s="69"/>
    </row>
    <row r="37" spans="1:13" x14ac:dyDescent="0.3">
      <c r="A37" s="71" t="s">
        <v>222</v>
      </c>
      <c r="B37" s="72" t="s">
        <v>90</v>
      </c>
      <c r="C37" s="73"/>
      <c r="D37" s="74"/>
      <c r="E37" s="73"/>
      <c r="F37" s="73"/>
      <c r="G37" s="75"/>
      <c r="H37" s="215"/>
      <c r="I37" s="73"/>
      <c r="J37" s="72"/>
      <c r="K37" s="72"/>
      <c r="L37" s="73"/>
      <c r="M37" s="76"/>
    </row>
    <row r="38" spans="1:13" x14ac:dyDescent="0.3">
      <c r="A38" s="71" t="s">
        <v>223</v>
      </c>
      <c r="B38" s="72" t="s">
        <v>92</v>
      </c>
      <c r="C38" s="73"/>
      <c r="D38" s="77" t="s">
        <v>224</v>
      </c>
      <c r="E38" s="73"/>
      <c r="F38" s="73"/>
      <c r="G38" s="75"/>
      <c r="H38" s="215"/>
      <c r="I38" s="73"/>
      <c r="J38" s="72"/>
      <c r="K38" s="72"/>
      <c r="L38" s="73"/>
      <c r="M38" s="76"/>
    </row>
    <row r="39" spans="1:13" x14ac:dyDescent="0.3">
      <c r="A39" s="71" t="s">
        <v>225</v>
      </c>
      <c r="B39" s="72" t="s">
        <v>94</v>
      </c>
      <c r="C39" s="73"/>
      <c r="D39" s="73"/>
      <c r="E39" s="73"/>
      <c r="F39" s="73"/>
      <c r="G39" s="75"/>
      <c r="H39" s="215"/>
      <c r="I39" s="73"/>
      <c r="J39" s="72"/>
      <c r="K39" s="72"/>
      <c r="L39" s="73"/>
      <c r="M39" s="76"/>
    </row>
    <row r="40" spans="1:13" x14ac:dyDescent="0.3">
      <c r="A40" s="78" t="s">
        <v>226</v>
      </c>
      <c r="B40" s="79" t="s">
        <v>98</v>
      </c>
      <c r="C40" s="80"/>
      <c r="D40" s="81"/>
      <c r="E40" s="82"/>
      <c r="F40" s="82"/>
      <c r="G40" s="83"/>
      <c r="H40" s="215"/>
      <c r="I40" s="80"/>
      <c r="J40" s="79"/>
      <c r="K40" s="79"/>
      <c r="L40" s="80"/>
      <c r="M40" s="84"/>
    </row>
    <row r="41" spans="1:13" x14ac:dyDescent="0.3">
      <c r="A41" s="78" t="s">
        <v>227</v>
      </c>
      <c r="B41" s="79" t="s">
        <v>100</v>
      </c>
      <c r="C41" s="80"/>
      <c r="D41" s="80"/>
      <c r="E41" s="80"/>
      <c r="F41" s="80"/>
      <c r="G41" s="83"/>
      <c r="H41" s="215"/>
      <c r="I41" s="80"/>
      <c r="J41" s="79"/>
      <c r="K41" s="79"/>
      <c r="L41" s="80"/>
      <c r="M41" s="84"/>
    </row>
    <row r="42" spans="1:13" x14ac:dyDescent="0.3">
      <c r="A42" s="78" t="s">
        <v>228</v>
      </c>
      <c r="B42" s="79" t="s">
        <v>102</v>
      </c>
      <c r="C42" s="80"/>
      <c r="D42" s="81" t="s">
        <v>229</v>
      </c>
      <c r="E42" s="80"/>
      <c r="F42" s="80"/>
      <c r="G42" s="83"/>
      <c r="H42" s="215"/>
      <c r="I42" s="80"/>
      <c r="J42" s="79"/>
      <c r="K42" s="79"/>
      <c r="L42" s="80"/>
      <c r="M42" s="84"/>
    </row>
    <row r="43" spans="1:13" x14ac:dyDescent="0.3">
      <c r="A43" s="78" t="s">
        <v>230</v>
      </c>
      <c r="B43" s="79" t="s">
        <v>104</v>
      </c>
      <c r="C43" s="80"/>
      <c r="D43" s="80"/>
      <c r="E43" s="80"/>
      <c r="F43" s="80"/>
      <c r="G43" s="83"/>
      <c r="H43" s="215"/>
      <c r="I43" s="80"/>
      <c r="J43" s="79"/>
      <c r="K43" s="79"/>
      <c r="L43" s="80"/>
      <c r="M43" s="84"/>
    </row>
    <row r="44" spans="1:13" ht="15" thickBot="1" x14ac:dyDescent="0.35">
      <c r="A44" s="85" t="s">
        <v>231</v>
      </c>
      <c r="B44" s="86" t="s">
        <v>106</v>
      </c>
      <c r="C44" s="87"/>
      <c r="D44" s="87"/>
      <c r="E44" s="87"/>
      <c r="F44" s="87"/>
      <c r="G44" s="88"/>
      <c r="H44" s="216"/>
      <c r="I44" s="87"/>
      <c r="J44" s="86"/>
      <c r="K44" s="86"/>
      <c r="L44" s="87"/>
      <c r="M44" s="89"/>
    </row>
    <row r="45" spans="1:13" x14ac:dyDescent="0.3">
      <c r="A45" s="58" t="s">
        <v>232</v>
      </c>
      <c r="B45" s="59" t="s">
        <v>233</v>
      </c>
      <c r="C45" s="60"/>
      <c r="D45" s="60"/>
      <c r="E45" s="90"/>
      <c r="F45" s="60"/>
      <c r="G45" s="60"/>
      <c r="H45" s="207" t="s">
        <v>234</v>
      </c>
      <c r="I45" s="60"/>
      <c r="J45" s="59"/>
      <c r="K45" s="59"/>
      <c r="L45" s="60"/>
      <c r="M45" s="91"/>
    </row>
    <row r="46" spans="1:13" x14ac:dyDescent="0.3">
      <c r="A46" s="65" t="s">
        <v>235</v>
      </c>
      <c r="B46" s="66" t="s">
        <v>236</v>
      </c>
      <c r="C46" s="67"/>
      <c r="D46" s="67"/>
      <c r="E46" s="67"/>
      <c r="F46" s="67"/>
      <c r="G46" s="67"/>
      <c r="H46" s="208"/>
      <c r="I46" s="67"/>
      <c r="J46" s="66"/>
      <c r="K46" s="66"/>
      <c r="L46" s="67"/>
      <c r="M46" s="69"/>
    </row>
    <row r="47" spans="1:13" x14ac:dyDescent="0.3">
      <c r="A47" s="65" t="s">
        <v>237</v>
      </c>
      <c r="B47" s="66" t="s">
        <v>114</v>
      </c>
      <c r="C47" s="67"/>
      <c r="D47" s="67"/>
      <c r="E47" s="67"/>
      <c r="F47" s="67"/>
      <c r="G47" s="67"/>
      <c r="H47" s="208"/>
      <c r="I47" s="67"/>
      <c r="J47" s="66"/>
      <c r="K47" s="66"/>
      <c r="L47" s="67"/>
      <c r="M47" s="69"/>
    </row>
    <row r="48" spans="1:13" x14ac:dyDescent="0.3">
      <c r="A48" s="65" t="s">
        <v>238</v>
      </c>
      <c r="B48" s="66" t="s">
        <v>116</v>
      </c>
      <c r="C48" s="67"/>
      <c r="D48" s="67"/>
      <c r="E48" s="67"/>
      <c r="F48" s="67"/>
      <c r="G48" s="67"/>
      <c r="H48" s="208"/>
      <c r="I48" s="67"/>
      <c r="J48" s="66"/>
      <c r="K48" s="66"/>
      <c r="L48" s="67"/>
      <c r="M48" s="69"/>
    </row>
    <row r="49" spans="1:13" x14ac:dyDescent="0.3">
      <c r="A49" s="65" t="s">
        <v>239</v>
      </c>
      <c r="B49" s="66" t="s">
        <v>118</v>
      </c>
      <c r="C49" s="67"/>
      <c r="D49" s="67"/>
      <c r="E49" s="92" t="s">
        <v>240</v>
      </c>
      <c r="F49" s="67"/>
      <c r="G49" s="67"/>
      <c r="H49" s="208"/>
      <c r="I49" s="67"/>
      <c r="J49" s="66"/>
      <c r="K49" s="66"/>
      <c r="L49" s="67"/>
      <c r="M49" s="69"/>
    </row>
    <row r="50" spans="1:13" x14ac:dyDescent="0.3">
      <c r="A50" s="65" t="s">
        <v>241</v>
      </c>
      <c r="B50" s="66" t="s">
        <v>120</v>
      </c>
      <c r="C50" s="67"/>
      <c r="D50" s="67"/>
      <c r="E50" s="67"/>
      <c r="F50" s="67"/>
      <c r="G50" s="67"/>
      <c r="H50" s="208"/>
      <c r="I50" s="67"/>
      <c r="J50" s="66"/>
      <c r="K50" s="66"/>
      <c r="L50" s="67"/>
      <c r="M50" s="69"/>
    </row>
    <row r="51" spans="1:13" x14ac:dyDescent="0.3">
      <c r="A51" s="65" t="s">
        <v>242</v>
      </c>
      <c r="B51" s="66" t="s">
        <v>122</v>
      </c>
      <c r="C51" s="67"/>
      <c r="D51" s="67"/>
      <c r="E51" s="67"/>
      <c r="F51" s="67"/>
      <c r="G51" s="67"/>
      <c r="H51" s="208"/>
      <c r="I51" s="67"/>
      <c r="J51" s="66"/>
      <c r="K51" s="66"/>
      <c r="L51" s="67"/>
      <c r="M51" s="69"/>
    </row>
    <row r="52" spans="1:13" ht="15" thickBot="1" x14ac:dyDescent="0.35">
      <c r="A52" s="93" t="s">
        <v>243</v>
      </c>
      <c r="B52" s="94" t="s">
        <v>124</v>
      </c>
      <c r="C52" s="95"/>
      <c r="D52" s="95"/>
      <c r="E52" s="95"/>
      <c r="F52" s="95"/>
      <c r="G52" s="95"/>
      <c r="H52" s="209"/>
      <c r="I52" s="95"/>
      <c r="J52" s="94"/>
      <c r="K52" s="94"/>
      <c r="L52" s="95"/>
      <c r="M52" s="96"/>
    </row>
    <row r="53" spans="1:13" x14ac:dyDescent="0.3">
      <c r="A53" s="1" t="s">
        <v>244</v>
      </c>
      <c r="B53" s="97" t="s">
        <v>128</v>
      </c>
      <c r="C53" s="3"/>
      <c r="D53" s="98"/>
      <c r="E53" s="3"/>
      <c r="F53" s="3"/>
      <c r="G53" s="3"/>
      <c r="H53" s="204" t="s">
        <v>245</v>
      </c>
      <c r="I53" s="3"/>
      <c r="J53" s="97"/>
      <c r="K53" s="97"/>
      <c r="L53" s="3"/>
      <c r="M53" s="6"/>
    </row>
    <row r="54" spans="1:13" x14ac:dyDescent="0.3">
      <c r="A54" s="7" t="s">
        <v>246</v>
      </c>
      <c r="B54" s="99" t="s">
        <v>130</v>
      </c>
      <c r="C54" s="9"/>
      <c r="D54" s="9"/>
      <c r="E54" s="9"/>
      <c r="F54" s="9"/>
      <c r="G54" s="9"/>
      <c r="H54" s="205"/>
      <c r="I54" s="9"/>
      <c r="J54" s="99"/>
      <c r="K54" s="99"/>
      <c r="L54" s="9"/>
      <c r="M54" s="11"/>
    </row>
    <row r="55" spans="1:13" x14ac:dyDescent="0.3">
      <c r="A55" s="7" t="s">
        <v>247</v>
      </c>
      <c r="B55" s="99" t="s">
        <v>132</v>
      </c>
      <c r="C55" s="9"/>
      <c r="D55" s="100" t="s">
        <v>248</v>
      </c>
      <c r="E55" s="9"/>
      <c r="F55" s="9"/>
      <c r="G55" s="9"/>
      <c r="H55" s="205"/>
      <c r="I55" s="9"/>
      <c r="J55" s="99"/>
      <c r="K55" s="99"/>
      <c r="L55" s="9"/>
      <c r="M55" s="11"/>
    </row>
    <row r="56" spans="1:13" x14ac:dyDescent="0.3">
      <c r="A56" s="7" t="s">
        <v>249</v>
      </c>
      <c r="B56" s="99" t="s">
        <v>134</v>
      </c>
      <c r="C56" s="9"/>
      <c r="D56" s="9"/>
      <c r="E56" s="9"/>
      <c r="F56" s="9"/>
      <c r="G56" s="9"/>
      <c r="H56" s="205"/>
      <c r="I56" s="9"/>
      <c r="J56" s="99"/>
      <c r="K56" s="99"/>
      <c r="L56" s="9"/>
      <c r="M56" s="11"/>
    </row>
    <row r="57" spans="1:13" x14ac:dyDescent="0.3">
      <c r="A57" s="7" t="s">
        <v>250</v>
      </c>
      <c r="B57" s="99" t="s">
        <v>136</v>
      </c>
      <c r="C57" s="9"/>
      <c r="D57" s="9"/>
      <c r="E57" s="9"/>
      <c r="F57" s="9"/>
      <c r="G57" s="9"/>
      <c r="H57" s="205"/>
      <c r="I57" s="9"/>
      <c r="J57" s="99"/>
      <c r="K57" s="99"/>
      <c r="L57" s="9"/>
      <c r="M57" s="11"/>
    </row>
    <row r="58" spans="1:13" x14ac:dyDescent="0.3">
      <c r="A58" s="46" t="s">
        <v>251</v>
      </c>
      <c r="B58" s="47" t="s">
        <v>140</v>
      </c>
      <c r="C58" s="48"/>
      <c r="D58" s="49"/>
      <c r="E58" s="48"/>
      <c r="F58" s="48"/>
      <c r="G58" s="48"/>
      <c r="H58" s="205"/>
      <c r="I58" s="48"/>
      <c r="J58" s="47"/>
      <c r="K58" s="47"/>
      <c r="L58" s="48"/>
      <c r="M58" s="51"/>
    </row>
    <row r="59" spans="1:13" x14ac:dyDescent="0.3">
      <c r="A59" s="46" t="s">
        <v>252</v>
      </c>
      <c r="B59" s="47" t="s">
        <v>142</v>
      </c>
      <c r="C59" s="48"/>
      <c r="D59" s="48"/>
      <c r="E59" s="48"/>
      <c r="F59" s="48"/>
      <c r="G59" s="48"/>
      <c r="H59" s="205"/>
      <c r="I59" s="48"/>
      <c r="J59" s="47"/>
      <c r="K59" s="47"/>
      <c r="L59" s="48"/>
      <c r="M59" s="51"/>
    </row>
    <row r="60" spans="1:13" x14ac:dyDescent="0.3">
      <c r="A60" s="46" t="s">
        <v>253</v>
      </c>
      <c r="B60" s="47" t="s">
        <v>144</v>
      </c>
      <c r="C60" s="48"/>
      <c r="D60" s="48"/>
      <c r="E60" s="48"/>
      <c r="F60" s="48"/>
      <c r="G60" s="48"/>
      <c r="H60" s="205"/>
      <c r="I60" s="48"/>
      <c r="J60" s="47"/>
      <c r="K60" s="47"/>
      <c r="L60" s="48"/>
      <c r="M60" s="51"/>
    </row>
    <row r="61" spans="1:13" x14ac:dyDescent="0.3">
      <c r="A61" s="46" t="s">
        <v>254</v>
      </c>
      <c r="B61" s="47" t="s">
        <v>146</v>
      </c>
      <c r="C61" s="48"/>
      <c r="D61" s="48"/>
      <c r="E61" s="48"/>
      <c r="F61" s="48"/>
      <c r="G61" s="48"/>
      <c r="H61" s="205"/>
      <c r="I61" s="48"/>
      <c r="J61" s="47"/>
      <c r="K61" s="47"/>
      <c r="L61" s="48"/>
      <c r="M61" s="51"/>
    </row>
    <row r="62" spans="1:13" x14ac:dyDescent="0.3">
      <c r="A62" s="46" t="s">
        <v>255</v>
      </c>
      <c r="B62" s="47" t="s">
        <v>148</v>
      </c>
      <c r="C62" s="48"/>
      <c r="D62" s="48"/>
      <c r="E62" s="48"/>
      <c r="F62" s="48"/>
      <c r="G62" s="48"/>
      <c r="H62" s="205"/>
      <c r="I62" s="48"/>
      <c r="J62" s="47"/>
      <c r="K62" s="47"/>
      <c r="L62" s="48"/>
      <c r="M62" s="51"/>
    </row>
    <row r="63" spans="1:13" x14ac:dyDescent="0.3">
      <c r="A63" s="46" t="s">
        <v>256</v>
      </c>
      <c r="B63" s="47" t="s">
        <v>149</v>
      </c>
      <c r="C63" s="48"/>
      <c r="D63" s="52" t="s">
        <v>257</v>
      </c>
      <c r="E63" s="48"/>
      <c r="F63" s="48"/>
      <c r="G63" s="48"/>
      <c r="H63" s="205"/>
      <c r="I63" s="48"/>
      <c r="J63" s="47"/>
      <c r="K63" s="47"/>
      <c r="L63" s="48"/>
      <c r="M63" s="51"/>
    </row>
    <row r="64" spans="1:13" x14ac:dyDescent="0.3">
      <c r="A64" s="46" t="s">
        <v>258</v>
      </c>
      <c r="B64" s="47" t="s">
        <v>150</v>
      </c>
      <c r="C64" s="48"/>
      <c r="D64" s="48"/>
      <c r="E64" s="48"/>
      <c r="F64" s="48"/>
      <c r="G64" s="48"/>
      <c r="H64" s="205"/>
      <c r="I64" s="48"/>
      <c r="J64" s="47"/>
      <c r="K64" s="47"/>
      <c r="L64" s="48"/>
      <c r="M64" s="51"/>
    </row>
    <row r="65" spans="1:13" x14ac:dyDescent="0.3">
      <c r="A65" s="46" t="s">
        <v>259</v>
      </c>
      <c r="B65" s="47" t="s">
        <v>152</v>
      </c>
      <c r="C65" s="48"/>
      <c r="D65" s="48"/>
      <c r="E65" s="48"/>
      <c r="F65" s="48"/>
      <c r="G65" s="48"/>
      <c r="H65" s="205"/>
      <c r="I65" s="48"/>
      <c r="J65" s="47"/>
      <c r="K65" s="47"/>
      <c r="L65" s="48"/>
      <c r="M65" s="51"/>
    </row>
    <row r="66" spans="1:13" x14ac:dyDescent="0.3">
      <c r="A66" s="46" t="s">
        <v>260</v>
      </c>
      <c r="B66" s="47" t="s">
        <v>154</v>
      </c>
      <c r="C66" s="48"/>
      <c r="D66" s="48"/>
      <c r="E66" s="48"/>
      <c r="F66" s="48"/>
      <c r="G66" s="48"/>
      <c r="H66" s="205"/>
      <c r="I66" s="48"/>
      <c r="J66" s="47"/>
      <c r="K66" s="47"/>
      <c r="L66" s="48"/>
      <c r="M66" s="51"/>
    </row>
    <row r="67" spans="1:13" x14ac:dyDescent="0.3">
      <c r="A67" s="46" t="s">
        <v>261</v>
      </c>
      <c r="B67" s="47" t="s">
        <v>156</v>
      </c>
      <c r="C67" s="48"/>
      <c r="D67" s="48"/>
      <c r="E67" s="48"/>
      <c r="F67" s="48"/>
      <c r="G67" s="48"/>
      <c r="H67" s="205"/>
      <c r="I67" s="48"/>
      <c r="J67" s="47"/>
      <c r="K67" s="47"/>
      <c r="L67" s="48"/>
      <c r="M67" s="51"/>
    </row>
    <row r="68" spans="1:13" x14ac:dyDescent="0.3">
      <c r="A68" s="46" t="s">
        <v>262</v>
      </c>
      <c r="B68" s="47" t="s">
        <v>158</v>
      </c>
      <c r="C68" s="48"/>
      <c r="D68" s="48"/>
      <c r="E68" s="48"/>
      <c r="F68" s="48"/>
      <c r="G68" s="48"/>
      <c r="H68" s="205"/>
      <c r="I68" s="48"/>
      <c r="J68" s="47"/>
      <c r="K68" s="47"/>
      <c r="L68" s="48"/>
      <c r="M68" s="51"/>
    </row>
    <row r="69" spans="1:13" x14ac:dyDescent="0.3">
      <c r="A69" s="46" t="s">
        <v>263</v>
      </c>
      <c r="B69" s="47" t="s">
        <v>160</v>
      </c>
      <c r="C69" s="48"/>
      <c r="D69" s="48"/>
      <c r="E69" s="48"/>
      <c r="F69" s="48"/>
      <c r="G69" s="48"/>
      <c r="H69" s="205"/>
      <c r="I69" s="48"/>
      <c r="J69" s="47"/>
      <c r="K69" s="47"/>
      <c r="L69" s="48"/>
      <c r="M69" s="51"/>
    </row>
    <row r="70" spans="1:13" ht="15" thickBot="1" x14ac:dyDescent="0.35">
      <c r="A70" s="53" t="s">
        <v>264</v>
      </c>
      <c r="B70" s="54" t="s">
        <v>162</v>
      </c>
      <c r="C70" s="55"/>
      <c r="D70" s="55"/>
      <c r="E70" s="55"/>
      <c r="F70" s="55"/>
      <c r="G70" s="55"/>
      <c r="H70" s="206"/>
      <c r="I70" s="55"/>
      <c r="J70" s="54"/>
      <c r="K70" s="54"/>
      <c r="L70" s="55"/>
      <c r="M70" s="57"/>
    </row>
    <row r="71" spans="1:13" x14ac:dyDescent="0.3">
      <c r="A71" s="101" t="s">
        <v>265</v>
      </c>
      <c r="B71" s="102" t="s">
        <v>166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266</v>
      </c>
      <c r="B72" s="102" t="s">
        <v>168</v>
      </c>
      <c r="C72" s="15"/>
      <c r="D72" s="15"/>
      <c r="E72" s="15"/>
      <c r="F72" s="15"/>
      <c r="G72" s="15"/>
      <c r="H72" s="107" t="s">
        <v>267</v>
      </c>
      <c r="I72" s="108"/>
      <c r="J72" s="109"/>
      <c r="K72" s="109"/>
      <c r="L72" s="15"/>
      <c r="M72" s="18"/>
    </row>
    <row r="73" spans="1:13" x14ac:dyDescent="0.3">
      <c r="A73" s="13" t="s">
        <v>268</v>
      </c>
      <c r="B73" s="102" t="s">
        <v>170</v>
      </c>
      <c r="C73" s="15"/>
      <c r="D73" s="21" t="s">
        <v>269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270</v>
      </c>
      <c r="B74" s="102" t="s">
        <v>172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271</v>
      </c>
      <c r="B75" s="115" t="s">
        <v>272</v>
      </c>
      <c r="C75" s="116"/>
      <c r="D75" s="117" t="s">
        <v>273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13"/>
  <sheetViews>
    <sheetView showGridLines="0" tabSelected="1" zoomScaleNormal="100" workbookViewId="0">
      <pane ySplit="10" topLeftCell="A11" activePane="bottomLeft" state="frozen"/>
      <selection pane="bottomLeft" activeCell="N7" sqref="N7:O8"/>
    </sheetView>
  </sheetViews>
  <sheetFormatPr defaultRowHeight="14.4" x14ac:dyDescent="0.3"/>
  <cols>
    <col min="1" max="1" width="43.33203125" style="122" customWidth="1"/>
    <col min="2" max="2" width="11.33203125" style="122" bestFit="1" customWidth="1"/>
    <col min="3" max="3" width="6.5546875" style="122" bestFit="1" customWidth="1"/>
    <col min="4" max="4" width="7.5546875" style="122" bestFit="1" customWidth="1"/>
    <col min="5" max="5" width="6.5546875" style="122" bestFit="1" customWidth="1"/>
    <col min="6" max="6" width="7.5546875" style="122" bestFit="1" customWidth="1"/>
    <col min="7" max="7" width="11.44140625" style="122" customWidth="1"/>
    <col min="8" max="9" width="7.5546875" style="122" bestFit="1" customWidth="1"/>
    <col min="10" max="10" width="6.5546875" style="122" bestFit="1" customWidth="1"/>
    <col min="11" max="11" width="7.5546875" style="122" bestFit="1" customWidth="1"/>
    <col min="12" max="12" width="6.5546875" style="122" bestFit="1" customWidth="1"/>
    <col min="13" max="13" width="7.5546875" style="122" bestFit="1" customWidth="1"/>
    <col min="14" max="14" width="7.21875" style="122" customWidth="1"/>
    <col min="15" max="15" width="7" style="122" customWidth="1"/>
    <col min="16" max="16" width="24" style="122" bestFit="1" customWidth="1"/>
    <col min="17" max="17" width="11.6640625" style="122" customWidth="1"/>
    <col min="18" max="18" width="6.44140625" style="122" customWidth="1"/>
    <col min="19" max="16384" width="8.88671875" style="122"/>
  </cols>
  <sheetData>
    <row r="2" spans="1:21" ht="18" x14ac:dyDescent="0.3">
      <c r="A2" s="201" t="s">
        <v>307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120"/>
      <c r="R2" s="121"/>
      <c r="S2" s="121"/>
    </row>
    <row r="3" spans="1:21" ht="18" x14ac:dyDescent="0.3">
      <c r="A3" s="201" t="s">
        <v>308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120"/>
      <c r="R3" s="121"/>
      <c r="S3" s="121"/>
    </row>
    <row r="4" spans="1:21" ht="15" thickBot="1" x14ac:dyDescent="0.35">
      <c r="A4" s="143" t="s">
        <v>0</v>
      </c>
      <c r="B4" s="143"/>
      <c r="C4" s="143"/>
      <c r="D4" s="143"/>
      <c r="E4" s="143"/>
      <c r="F4" s="143"/>
      <c r="G4" s="143"/>
      <c r="H4" s="157"/>
      <c r="I4" s="157"/>
      <c r="J4" s="157"/>
      <c r="K4" s="157"/>
      <c r="L4" s="157"/>
      <c r="M4" s="157"/>
      <c r="N4" s="143"/>
      <c r="O4" s="143"/>
      <c r="P4" s="143"/>
      <c r="Q4" s="144" t="s">
        <v>283</v>
      </c>
    </row>
    <row r="5" spans="1:21" x14ac:dyDescent="0.3">
      <c r="A5" s="155"/>
      <c r="B5" s="169" t="s">
        <v>294</v>
      </c>
      <c r="C5" s="170"/>
      <c r="D5" s="170"/>
      <c r="E5" s="170"/>
      <c r="F5" s="171"/>
      <c r="G5" s="169" t="s">
        <v>295</v>
      </c>
      <c r="H5" s="170"/>
      <c r="I5" s="170"/>
      <c r="J5" s="170"/>
      <c r="K5" s="170"/>
      <c r="L5" s="170"/>
      <c r="M5" s="170"/>
      <c r="N5" s="170"/>
      <c r="O5" s="171"/>
      <c r="P5" s="155"/>
      <c r="Q5" s="156"/>
    </row>
    <row r="6" spans="1:21" x14ac:dyDescent="0.3">
      <c r="A6" s="155"/>
      <c r="B6" s="179" t="s">
        <v>303</v>
      </c>
      <c r="C6" s="180"/>
      <c r="D6" s="180"/>
      <c r="E6" s="180"/>
      <c r="F6" s="181"/>
      <c r="G6" s="179" t="s">
        <v>304</v>
      </c>
      <c r="H6" s="180"/>
      <c r="I6" s="180"/>
      <c r="J6" s="180"/>
      <c r="K6" s="180"/>
      <c r="L6" s="180"/>
      <c r="M6" s="180"/>
      <c r="N6" s="180"/>
      <c r="O6" s="181"/>
      <c r="P6" s="155"/>
      <c r="Q6" s="156"/>
    </row>
    <row r="7" spans="1:21" x14ac:dyDescent="0.3">
      <c r="A7" s="183" t="s">
        <v>274</v>
      </c>
      <c r="B7" s="159" t="s">
        <v>296</v>
      </c>
      <c r="C7" s="161" t="s">
        <v>290</v>
      </c>
      <c r="D7" s="162"/>
      <c r="E7" s="167" t="s">
        <v>292</v>
      </c>
      <c r="F7" s="168"/>
      <c r="G7" s="159" t="s">
        <v>296</v>
      </c>
      <c r="H7" s="161" t="s">
        <v>300</v>
      </c>
      <c r="I7" s="172"/>
      <c r="J7" s="161" t="s">
        <v>301</v>
      </c>
      <c r="K7" s="172"/>
      <c r="L7" s="161" t="s">
        <v>302</v>
      </c>
      <c r="M7" s="162"/>
      <c r="N7" s="161" t="s">
        <v>298</v>
      </c>
      <c r="O7" s="176"/>
      <c r="P7" s="183" t="s">
        <v>1</v>
      </c>
      <c r="Q7" s="183"/>
    </row>
    <row r="8" spans="1:21" ht="45.6" customHeight="1" x14ac:dyDescent="0.3">
      <c r="A8" s="184"/>
      <c r="B8" s="160"/>
      <c r="C8" s="163"/>
      <c r="D8" s="164"/>
      <c r="E8" s="165"/>
      <c r="F8" s="166"/>
      <c r="G8" s="160"/>
      <c r="H8" s="163"/>
      <c r="I8" s="173"/>
      <c r="J8" s="163"/>
      <c r="K8" s="173"/>
      <c r="L8" s="163"/>
      <c r="M8" s="164"/>
      <c r="N8" s="163"/>
      <c r="O8" s="177"/>
      <c r="P8" s="183"/>
      <c r="Q8" s="183"/>
    </row>
    <row r="9" spans="1:21" x14ac:dyDescent="0.3">
      <c r="A9" s="184"/>
      <c r="B9" s="159" t="s">
        <v>289</v>
      </c>
      <c r="C9" s="163" t="s">
        <v>291</v>
      </c>
      <c r="D9" s="164"/>
      <c r="E9" s="165" t="s">
        <v>293</v>
      </c>
      <c r="F9" s="166"/>
      <c r="G9" s="159" t="s">
        <v>289</v>
      </c>
      <c r="H9" s="174" t="s">
        <v>305</v>
      </c>
      <c r="I9" s="175"/>
      <c r="J9" s="174" t="s">
        <v>297</v>
      </c>
      <c r="K9" s="175"/>
      <c r="L9" s="174" t="s">
        <v>306</v>
      </c>
      <c r="M9" s="175"/>
      <c r="N9" s="174" t="s">
        <v>299</v>
      </c>
      <c r="O9" s="178"/>
      <c r="P9" s="183"/>
      <c r="Q9" s="183"/>
    </row>
    <row r="10" spans="1:21" s="126" customFormat="1" ht="31.2" customHeight="1" x14ac:dyDescent="0.3">
      <c r="A10" s="185"/>
      <c r="B10" s="160"/>
      <c r="C10" s="123">
        <v>1</v>
      </c>
      <c r="D10" s="123">
        <v>2</v>
      </c>
      <c r="E10" s="123">
        <v>1</v>
      </c>
      <c r="F10" s="145">
        <v>2</v>
      </c>
      <c r="G10" s="160"/>
      <c r="H10" s="124">
        <v>1</v>
      </c>
      <c r="I10" s="124">
        <v>2</v>
      </c>
      <c r="J10" s="123">
        <v>1</v>
      </c>
      <c r="K10" s="123">
        <v>2</v>
      </c>
      <c r="L10" s="123">
        <v>1</v>
      </c>
      <c r="M10" s="124">
        <v>2</v>
      </c>
      <c r="N10" s="124">
        <v>1</v>
      </c>
      <c r="O10" s="125">
        <v>2</v>
      </c>
      <c r="P10" s="193"/>
      <c r="Q10" s="193"/>
    </row>
    <row r="11" spans="1:21" x14ac:dyDescent="0.3">
      <c r="A11" s="190" t="s">
        <v>2</v>
      </c>
      <c r="B11" s="189">
        <f t="shared" ref="B11:G11" si="0">SUM(B13,B21,B30,B35,B41,B48,B55,B62,B67,B74,B84,B91,B106)</f>
        <v>85563</v>
      </c>
      <c r="C11" s="186">
        <f t="shared" si="0"/>
        <v>56409</v>
      </c>
      <c r="D11" s="186">
        <f t="shared" si="0"/>
        <v>250237.45700000002</v>
      </c>
      <c r="E11" s="186">
        <f t="shared" si="0"/>
        <v>29154</v>
      </c>
      <c r="F11" s="188">
        <f t="shared" si="0"/>
        <v>59287.741000000009</v>
      </c>
      <c r="G11" s="189">
        <f t="shared" si="0"/>
        <v>103319</v>
      </c>
      <c r="H11" s="186">
        <f t="shared" ref="H11:M11" si="1">SUM(H13,H21,H30,H35,H41,H48,H55,H62,H67,H74,H84,H91,H106)</f>
        <v>47125</v>
      </c>
      <c r="I11" s="186">
        <f t="shared" si="1"/>
        <v>131979.86000000002</v>
      </c>
      <c r="J11" s="186">
        <f t="shared" si="1"/>
        <v>27076</v>
      </c>
      <c r="K11" s="186">
        <f t="shared" si="1"/>
        <v>86093.213000000018</v>
      </c>
      <c r="L11" s="186">
        <f t="shared" si="1"/>
        <v>28045</v>
      </c>
      <c r="M11" s="186">
        <f t="shared" si="1"/>
        <v>75343.062999999995</v>
      </c>
      <c r="N11" s="187">
        <f>SUM(N13,N21,N30,N35,N41,N48,N55,N62,N67,N74,N84,N91,N106)</f>
        <v>1073</v>
      </c>
      <c r="O11" s="188">
        <f>SUM(O13,O21,O30,O35,O41,O48,O55,O62,O67,O74,O84,O91,O106)</f>
        <v>2935.1729999999998</v>
      </c>
      <c r="P11" s="194" t="s">
        <v>3</v>
      </c>
      <c r="Q11" s="194"/>
    </row>
    <row r="12" spans="1:21" x14ac:dyDescent="0.3">
      <c r="A12" s="191"/>
      <c r="B12" s="189"/>
      <c r="C12" s="186"/>
      <c r="D12" s="186"/>
      <c r="E12" s="186"/>
      <c r="F12" s="188"/>
      <c r="G12" s="189"/>
      <c r="H12" s="186"/>
      <c r="I12" s="186"/>
      <c r="J12" s="186"/>
      <c r="K12" s="186"/>
      <c r="L12" s="186"/>
      <c r="M12" s="186"/>
      <c r="N12" s="187"/>
      <c r="O12" s="188"/>
      <c r="P12" s="195"/>
      <c r="Q12" s="195"/>
      <c r="U12" s="147"/>
    </row>
    <row r="13" spans="1:21" x14ac:dyDescent="0.3">
      <c r="A13" s="192" t="s">
        <v>4</v>
      </c>
      <c r="B13" s="182">
        <f>SUM(B15:B20)</f>
        <v>11011</v>
      </c>
      <c r="C13" s="187">
        <f>SUM(C15:C20)</f>
        <v>4846</v>
      </c>
      <c r="D13" s="187">
        <f>SUM(D15:D20)</f>
        <v>10961.740999999998</v>
      </c>
      <c r="E13" s="187">
        <f t="shared" ref="E13:O13" si="2">SUM(E15:E20)</f>
        <v>6165</v>
      </c>
      <c r="F13" s="188">
        <f t="shared" si="2"/>
        <v>8078.9679999999998</v>
      </c>
      <c r="G13" s="182">
        <f t="shared" ref="G13" si="3">SUM(G15:G20)</f>
        <v>21341</v>
      </c>
      <c r="H13" s="187">
        <f t="shared" si="2"/>
        <v>3080</v>
      </c>
      <c r="I13" s="187">
        <f t="shared" si="2"/>
        <v>6705.4790000000003</v>
      </c>
      <c r="J13" s="187">
        <f t="shared" si="2"/>
        <v>12235</v>
      </c>
      <c r="K13" s="187">
        <f t="shared" si="2"/>
        <v>48177.630000000005</v>
      </c>
      <c r="L13" s="187">
        <f t="shared" si="2"/>
        <v>5997</v>
      </c>
      <c r="M13" s="187">
        <f t="shared" si="2"/>
        <v>21867.586999999996</v>
      </c>
      <c r="N13" s="187">
        <f t="shared" si="2"/>
        <v>29</v>
      </c>
      <c r="O13" s="188">
        <f t="shared" si="2"/>
        <v>52.71</v>
      </c>
      <c r="P13" s="196" t="s">
        <v>5</v>
      </c>
      <c r="Q13" s="196"/>
      <c r="R13" s="121"/>
    </row>
    <row r="14" spans="1:21" x14ac:dyDescent="0.3">
      <c r="A14" s="192"/>
      <c r="B14" s="182"/>
      <c r="C14" s="187"/>
      <c r="D14" s="187"/>
      <c r="E14" s="187"/>
      <c r="F14" s="188"/>
      <c r="G14" s="182"/>
      <c r="H14" s="187"/>
      <c r="I14" s="187"/>
      <c r="J14" s="187"/>
      <c r="K14" s="187"/>
      <c r="L14" s="187"/>
      <c r="M14" s="187"/>
      <c r="N14" s="187"/>
      <c r="O14" s="188"/>
      <c r="P14" s="196"/>
      <c r="Q14" s="196"/>
      <c r="R14" s="121"/>
      <c r="T14" s="147"/>
    </row>
    <row r="15" spans="1:21" x14ac:dyDescent="0.3">
      <c r="A15" s="127" t="s">
        <v>6</v>
      </c>
      <c r="B15" s="150">
        <f>SUM(C15,E15)</f>
        <v>2955</v>
      </c>
      <c r="C15" s="128">
        <v>1665</v>
      </c>
      <c r="D15" s="158">
        <v>3252.06</v>
      </c>
      <c r="E15" s="128">
        <v>1290</v>
      </c>
      <c r="F15" s="129">
        <v>1480.675</v>
      </c>
      <c r="G15" s="153">
        <f>SUM(H15,J15,L15,N15)</f>
        <v>728</v>
      </c>
      <c r="H15" s="128">
        <v>431</v>
      </c>
      <c r="I15" s="158">
        <v>910.53</v>
      </c>
      <c r="J15" s="128">
        <v>189</v>
      </c>
      <c r="K15" s="158">
        <v>385.34</v>
      </c>
      <c r="L15" s="128">
        <v>81</v>
      </c>
      <c r="M15" s="158">
        <v>167.1</v>
      </c>
      <c r="N15" s="128">
        <v>27</v>
      </c>
      <c r="O15" s="129">
        <v>48.51</v>
      </c>
      <c r="P15" s="130" t="s">
        <v>7</v>
      </c>
    </row>
    <row r="16" spans="1:21" x14ac:dyDescent="0.3">
      <c r="A16" s="127" t="s">
        <v>8</v>
      </c>
      <c r="B16" s="150">
        <f t="shared" ref="B16:B20" si="4">SUM(C16,E16)</f>
        <v>378</v>
      </c>
      <c r="C16" s="128">
        <v>212</v>
      </c>
      <c r="D16" s="158">
        <v>788.1</v>
      </c>
      <c r="E16" s="128">
        <v>166</v>
      </c>
      <c r="F16" s="129">
        <v>393</v>
      </c>
      <c r="G16" s="153">
        <f t="shared" ref="G16:G20" si="5">SUM(H16,J16,L16,N16)</f>
        <v>16663</v>
      </c>
      <c r="H16" s="128">
        <v>581</v>
      </c>
      <c r="I16" s="158">
        <v>2095.6</v>
      </c>
      <c r="J16" s="128">
        <v>11116</v>
      </c>
      <c r="K16" s="158">
        <v>46027.724000000002</v>
      </c>
      <c r="L16" s="128">
        <v>4966</v>
      </c>
      <c r="M16" s="158">
        <v>20012</v>
      </c>
      <c r="N16" s="128" t="s">
        <v>288</v>
      </c>
      <c r="O16" s="146" t="s">
        <v>288</v>
      </c>
      <c r="P16" s="130" t="s">
        <v>9</v>
      </c>
    </row>
    <row r="17" spans="1:17" x14ac:dyDescent="0.3">
      <c r="A17" s="127" t="s">
        <v>10</v>
      </c>
      <c r="B17" s="150">
        <f t="shared" si="4"/>
        <v>5594</v>
      </c>
      <c r="C17" s="128">
        <v>1287</v>
      </c>
      <c r="D17" s="158">
        <v>2361.8000000000002</v>
      </c>
      <c r="E17" s="128">
        <v>4307</v>
      </c>
      <c r="F17" s="129">
        <v>5346.94</v>
      </c>
      <c r="G17" s="153">
        <f t="shared" si="5"/>
        <v>895</v>
      </c>
      <c r="H17" s="128">
        <v>211</v>
      </c>
      <c r="I17" s="158">
        <v>404.56</v>
      </c>
      <c r="J17" s="128">
        <v>335</v>
      </c>
      <c r="K17" s="158">
        <v>614.42999999999995</v>
      </c>
      <c r="L17" s="128">
        <v>347</v>
      </c>
      <c r="M17" s="158">
        <v>764.35</v>
      </c>
      <c r="N17" s="128">
        <v>2</v>
      </c>
      <c r="O17" s="129">
        <v>4.2</v>
      </c>
      <c r="P17" s="130" t="s">
        <v>11</v>
      </c>
    </row>
    <row r="18" spans="1:17" x14ac:dyDescent="0.3">
      <c r="A18" s="127" t="s">
        <v>12</v>
      </c>
      <c r="B18" s="150">
        <f t="shared" si="4"/>
        <v>0</v>
      </c>
      <c r="C18" s="128" t="s">
        <v>288</v>
      </c>
      <c r="D18" s="128" t="s">
        <v>288</v>
      </c>
      <c r="E18" s="128" t="s">
        <v>288</v>
      </c>
      <c r="F18" s="146" t="s">
        <v>288</v>
      </c>
      <c r="G18" s="153">
        <f t="shared" si="5"/>
        <v>0</v>
      </c>
      <c r="H18" s="128" t="s">
        <v>288</v>
      </c>
      <c r="I18" s="128" t="s">
        <v>288</v>
      </c>
      <c r="J18" s="128" t="s">
        <v>288</v>
      </c>
      <c r="K18" s="128" t="s">
        <v>288</v>
      </c>
      <c r="L18" s="131" t="s">
        <v>288</v>
      </c>
      <c r="M18" s="158" t="s">
        <v>288</v>
      </c>
      <c r="N18" s="128" t="s">
        <v>288</v>
      </c>
      <c r="O18" s="146" t="s">
        <v>288</v>
      </c>
      <c r="P18" s="130" t="s">
        <v>13</v>
      </c>
    </row>
    <row r="19" spans="1:17" x14ac:dyDescent="0.3">
      <c r="A19" s="127" t="s">
        <v>14</v>
      </c>
      <c r="B19" s="150">
        <f t="shared" si="4"/>
        <v>1489</v>
      </c>
      <c r="C19" s="128">
        <v>1191</v>
      </c>
      <c r="D19" s="158">
        <v>3522.3919999999998</v>
      </c>
      <c r="E19" s="128">
        <v>298</v>
      </c>
      <c r="F19" s="129">
        <v>654.25</v>
      </c>
      <c r="G19" s="153">
        <f t="shared" si="5"/>
        <v>679</v>
      </c>
      <c r="H19" s="128">
        <v>589</v>
      </c>
      <c r="I19" s="158">
        <v>1333.25</v>
      </c>
      <c r="J19" s="128">
        <v>63</v>
      </c>
      <c r="K19" s="158">
        <v>153.55000000000001</v>
      </c>
      <c r="L19" s="128">
        <v>27</v>
      </c>
      <c r="M19" s="158">
        <v>68.3</v>
      </c>
      <c r="N19" s="128" t="s">
        <v>288</v>
      </c>
      <c r="O19" s="146" t="s">
        <v>288</v>
      </c>
      <c r="P19" s="130" t="s">
        <v>15</v>
      </c>
    </row>
    <row r="20" spans="1:17" x14ac:dyDescent="0.3">
      <c r="A20" s="127" t="s">
        <v>16</v>
      </c>
      <c r="B20" s="150">
        <f t="shared" si="4"/>
        <v>595</v>
      </c>
      <c r="C20" s="128">
        <v>491</v>
      </c>
      <c r="D20" s="158">
        <v>1037.3889999999999</v>
      </c>
      <c r="E20" s="128">
        <v>104</v>
      </c>
      <c r="F20" s="129">
        <v>204.10300000000001</v>
      </c>
      <c r="G20" s="153">
        <f t="shared" si="5"/>
        <v>2376</v>
      </c>
      <c r="H20" s="128">
        <v>1268</v>
      </c>
      <c r="I20" s="158">
        <v>1961.539</v>
      </c>
      <c r="J20" s="128">
        <v>532</v>
      </c>
      <c r="K20" s="158">
        <v>996.58600000000001</v>
      </c>
      <c r="L20" s="128">
        <v>576</v>
      </c>
      <c r="M20" s="158">
        <v>855.83699999999999</v>
      </c>
      <c r="N20" s="128" t="s">
        <v>288</v>
      </c>
      <c r="O20" s="146" t="s">
        <v>288</v>
      </c>
      <c r="P20" s="130" t="s">
        <v>17</v>
      </c>
    </row>
    <row r="21" spans="1:17" x14ac:dyDescent="0.3">
      <c r="A21" s="192" t="s">
        <v>18</v>
      </c>
      <c r="B21" s="182">
        <f>SUM(B23:B29)</f>
        <v>11741</v>
      </c>
      <c r="C21" s="187">
        <f>SUM(C23:C29)</f>
        <v>7556</v>
      </c>
      <c r="D21" s="187">
        <f t="shared" ref="D21:L21" si="6">SUM(D23:D29)</f>
        <v>29085.498</v>
      </c>
      <c r="E21" s="187">
        <f t="shared" si="6"/>
        <v>4185</v>
      </c>
      <c r="F21" s="188">
        <f t="shared" si="6"/>
        <v>6829.7459999999992</v>
      </c>
      <c r="G21" s="182">
        <f t="shared" ref="G21" si="7">SUM(G23:G29)</f>
        <v>8412</v>
      </c>
      <c r="H21" s="187">
        <f t="shared" si="6"/>
        <v>2915</v>
      </c>
      <c r="I21" s="187">
        <f t="shared" si="6"/>
        <v>10419.416000000001</v>
      </c>
      <c r="J21" s="187">
        <f t="shared" si="6"/>
        <v>1695</v>
      </c>
      <c r="K21" s="187">
        <f t="shared" si="6"/>
        <v>5562.973</v>
      </c>
      <c r="L21" s="187">
        <f t="shared" si="6"/>
        <v>3802</v>
      </c>
      <c r="M21" s="187">
        <f>SUM(M23:M29)</f>
        <v>12516.910999999998</v>
      </c>
      <c r="N21" s="187">
        <f>SUM(N23:N29)</f>
        <v>0</v>
      </c>
      <c r="O21" s="188">
        <f>SUM(O23:O29)</f>
        <v>0</v>
      </c>
      <c r="P21" s="198" t="s">
        <v>19</v>
      </c>
      <c r="Q21" s="198"/>
    </row>
    <row r="22" spans="1:17" x14ac:dyDescent="0.3">
      <c r="A22" s="192"/>
      <c r="B22" s="182"/>
      <c r="C22" s="187"/>
      <c r="D22" s="187"/>
      <c r="E22" s="187"/>
      <c r="F22" s="188"/>
      <c r="G22" s="182"/>
      <c r="H22" s="187"/>
      <c r="I22" s="187"/>
      <c r="J22" s="187"/>
      <c r="K22" s="187"/>
      <c r="L22" s="187"/>
      <c r="M22" s="187"/>
      <c r="N22" s="187"/>
      <c r="O22" s="188"/>
      <c r="P22" s="198"/>
      <c r="Q22" s="198"/>
    </row>
    <row r="23" spans="1:17" x14ac:dyDescent="0.3">
      <c r="A23" s="127" t="s">
        <v>20</v>
      </c>
      <c r="B23" s="150">
        <f t="shared" ref="B23:B29" si="8">SUM(C23,E23)</f>
        <v>3580</v>
      </c>
      <c r="C23" s="128">
        <v>2216</v>
      </c>
      <c r="D23" s="158">
        <v>8923.14</v>
      </c>
      <c r="E23" s="128">
        <v>1364</v>
      </c>
      <c r="F23" s="129">
        <v>1953.998</v>
      </c>
      <c r="G23" s="153">
        <f t="shared" ref="G23:G29" si="9">SUM(H23,J23,L23,N23)</f>
        <v>522</v>
      </c>
      <c r="H23" s="128">
        <v>178</v>
      </c>
      <c r="I23" s="158">
        <v>470.89</v>
      </c>
      <c r="J23" s="128">
        <v>79</v>
      </c>
      <c r="K23" s="158">
        <v>189.459</v>
      </c>
      <c r="L23" s="128">
        <v>265</v>
      </c>
      <c r="M23" s="158">
        <v>574.37699999999995</v>
      </c>
      <c r="N23" s="128" t="s">
        <v>288</v>
      </c>
      <c r="O23" s="129" t="s">
        <v>288</v>
      </c>
      <c r="P23" s="130" t="s">
        <v>21</v>
      </c>
    </row>
    <row r="24" spans="1:17" x14ac:dyDescent="0.3">
      <c r="A24" s="127" t="s">
        <v>22</v>
      </c>
      <c r="B24" s="150">
        <f t="shared" si="8"/>
        <v>173</v>
      </c>
      <c r="C24" s="128">
        <v>142</v>
      </c>
      <c r="D24" s="158">
        <v>665.5</v>
      </c>
      <c r="E24" s="128">
        <v>31</v>
      </c>
      <c r="F24" s="129">
        <v>123.5</v>
      </c>
      <c r="G24" s="153">
        <f t="shared" si="9"/>
        <v>384</v>
      </c>
      <c r="H24" s="128">
        <v>56</v>
      </c>
      <c r="I24" s="158">
        <v>130</v>
      </c>
      <c r="J24" s="128">
        <v>285</v>
      </c>
      <c r="K24" s="158">
        <v>486.2</v>
      </c>
      <c r="L24" s="128">
        <v>43</v>
      </c>
      <c r="M24" s="158">
        <v>79.599999999999994</v>
      </c>
      <c r="N24" s="128" t="s">
        <v>288</v>
      </c>
      <c r="O24" s="129" t="s">
        <v>288</v>
      </c>
      <c r="P24" s="130" t="s">
        <v>23</v>
      </c>
    </row>
    <row r="25" spans="1:17" x14ac:dyDescent="0.3">
      <c r="A25" s="127" t="s">
        <v>24</v>
      </c>
      <c r="B25" s="150">
        <f t="shared" si="8"/>
        <v>1491</v>
      </c>
      <c r="C25" s="128">
        <v>1336</v>
      </c>
      <c r="D25" s="158">
        <v>3728.5349999999999</v>
      </c>
      <c r="E25" s="128">
        <v>155</v>
      </c>
      <c r="F25" s="129">
        <v>268.00799999999998</v>
      </c>
      <c r="G25" s="153">
        <f t="shared" si="9"/>
        <v>740</v>
      </c>
      <c r="H25" s="128">
        <v>189</v>
      </c>
      <c r="I25" s="158">
        <v>564.75599999999997</v>
      </c>
      <c r="J25" s="128">
        <v>94</v>
      </c>
      <c r="K25" s="158">
        <v>249.42400000000001</v>
      </c>
      <c r="L25" s="128">
        <v>457</v>
      </c>
      <c r="M25" s="158">
        <v>1004.984</v>
      </c>
      <c r="N25" s="128" t="s">
        <v>288</v>
      </c>
      <c r="O25" s="129" t="s">
        <v>288</v>
      </c>
      <c r="P25" s="130" t="s">
        <v>25</v>
      </c>
    </row>
    <row r="26" spans="1:17" x14ac:dyDescent="0.3">
      <c r="A26" s="127" t="s">
        <v>26</v>
      </c>
      <c r="B26" s="150">
        <f t="shared" si="8"/>
        <v>1519</v>
      </c>
      <c r="C26" s="128">
        <v>1123</v>
      </c>
      <c r="D26" s="158">
        <v>6799.8</v>
      </c>
      <c r="E26" s="128">
        <v>396</v>
      </c>
      <c r="F26" s="129">
        <v>992.3</v>
      </c>
      <c r="G26" s="153">
        <f t="shared" si="9"/>
        <v>3096</v>
      </c>
      <c r="H26" s="128">
        <v>1867</v>
      </c>
      <c r="I26" s="158">
        <v>7444.85</v>
      </c>
      <c r="J26" s="128">
        <v>282</v>
      </c>
      <c r="K26" s="158">
        <v>1079.1500000000001</v>
      </c>
      <c r="L26" s="128">
        <v>947</v>
      </c>
      <c r="M26" s="158">
        <v>3606.39</v>
      </c>
      <c r="N26" s="128" t="s">
        <v>288</v>
      </c>
      <c r="O26" s="129" t="s">
        <v>288</v>
      </c>
      <c r="P26" s="130" t="s">
        <v>27</v>
      </c>
    </row>
    <row r="27" spans="1:17" x14ac:dyDescent="0.3">
      <c r="A27" s="127" t="s">
        <v>28</v>
      </c>
      <c r="B27" s="150">
        <f t="shared" si="8"/>
        <v>1338</v>
      </c>
      <c r="C27" s="128">
        <v>1048</v>
      </c>
      <c r="D27" s="158">
        <v>3135.3</v>
      </c>
      <c r="E27" s="128">
        <v>290</v>
      </c>
      <c r="F27" s="129">
        <v>714.8</v>
      </c>
      <c r="G27" s="153">
        <f t="shared" si="9"/>
        <v>121</v>
      </c>
      <c r="H27" s="128">
        <v>69</v>
      </c>
      <c r="I27" s="158">
        <v>154</v>
      </c>
      <c r="J27" s="128">
        <v>33</v>
      </c>
      <c r="K27" s="158">
        <v>68.099999999999994</v>
      </c>
      <c r="L27" s="128">
        <v>19</v>
      </c>
      <c r="M27" s="158">
        <v>41.4</v>
      </c>
      <c r="N27" s="128" t="s">
        <v>288</v>
      </c>
      <c r="O27" s="146" t="s">
        <v>288</v>
      </c>
      <c r="P27" s="130" t="s">
        <v>29</v>
      </c>
    </row>
    <row r="28" spans="1:17" x14ac:dyDescent="0.3">
      <c r="A28" s="127" t="s">
        <v>30</v>
      </c>
      <c r="B28" s="150">
        <f t="shared" si="8"/>
        <v>2798</v>
      </c>
      <c r="C28" s="128">
        <v>1281</v>
      </c>
      <c r="D28" s="158">
        <v>4671.8500000000004</v>
      </c>
      <c r="E28" s="128">
        <v>1517</v>
      </c>
      <c r="F28" s="129">
        <v>2369.0700000000002</v>
      </c>
      <c r="G28" s="153">
        <f t="shared" si="9"/>
        <v>3260</v>
      </c>
      <c r="H28" s="128">
        <v>394</v>
      </c>
      <c r="I28" s="158">
        <v>1522.62</v>
      </c>
      <c r="J28" s="128">
        <v>816</v>
      </c>
      <c r="K28" s="158">
        <v>3403.9</v>
      </c>
      <c r="L28" s="128">
        <v>2050</v>
      </c>
      <c r="M28" s="158">
        <v>7186.26</v>
      </c>
      <c r="N28" s="128" t="s">
        <v>288</v>
      </c>
      <c r="O28" s="129" t="s">
        <v>288</v>
      </c>
      <c r="P28" s="130" t="s">
        <v>31</v>
      </c>
    </row>
    <row r="29" spans="1:17" x14ac:dyDescent="0.3">
      <c r="A29" s="127" t="s">
        <v>32</v>
      </c>
      <c r="B29" s="150">
        <f t="shared" si="8"/>
        <v>842</v>
      </c>
      <c r="C29" s="128">
        <v>410</v>
      </c>
      <c r="D29" s="158">
        <v>1161.373</v>
      </c>
      <c r="E29" s="128">
        <v>432</v>
      </c>
      <c r="F29" s="129">
        <v>408.07</v>
      </c>
      <c r="G29" s="153">
        <f t="shared" si="9"/>
        <v>289</v>
      </c>
      <c r="H29" s="128">
        <v>162</v>
      </c>
      <c r="I29" s="158">
        <v>132.30000000000001</v>
      </c>
      <c r="J29" s="128">
        <v>106</v>
      </c>
      <c r="K29" s="158">
        <v>86.74</v>
      </c>
      <c r="L29" s="128">
        <v>21</v>
      </c>
      <c r="M29" s="158">
        <v>23.9</v>
      </c>
      <c r="N29" s="128" t="s">
        <v>288</v>
      </c>
      <c r="O29" s="129" t="s">
        <v>288</v>
      </c>
      <c r="P29" s="130" t="s">
        <v>33</v>
      </c>
    </row>
    <row r="30" spans="1:17" ht="22.8" customHeight="1" x14ac:dyDescent="0.3">
      <c r="A30" s="132" t="s">
        <v>281</v>
      </c>
      <c r="B30" s="151">
        <f>SUM(B31:B34)</f>
        <v>895</v>
      </c>
      <c r="C30" s="148">
        <f>SUM(C31:C34)</f>
        <v>290</v>
      </c>
      <c r="D30" s="148">
        <f>SUM(D31:D34)</f>
        <v>694.11599999999999</v>
      </c>
      <c r="E30" s="148">
        <f t="shared" ref="E30:J30" si="10">SUM(E31:E34)</f>
        <v>605</v>
      </c>
      <c r="F30" s="149">
        <f t="shared" si="10"/>
        <v>1170.4870000000001</v>
      </c>
      <c r="G30" s="151">
        <f t="shared" si="10"/>
        <v>13911</v>
      </c>
      <c r="H30" s="148">
        <f t="shared" si="10"/>
        <v>9008</v>
      </c>
      <c r="I30" s="148">
        <f t="shared" si="10"/>
        <v>35577.453999999998</v>
      </c>
      <c r="J30" s="148">
        <f t="shared" si="10"/>
        <v>1573</v>
      </c>
      <c r="K30" s="148">
        <f>SUM(K31:K34)</f>
        <v>5081.5920000000006</v>
      </c>
      <c r="L30" s="148">
        <f>SUM(L31:L34)</f>
        <v>3328</v>
      </c>
      <c r="M30" s="148">
        <f>SUM(M31:M34)</f>
        <v>9400.68</v>
      </c>
      <c r="N30" s="148">
        <f t="shared" ref="N30:O30" si="11">SUM(N31:N34)</f>
        <v>2</v>
      </c>
      <c r="O30" s="149">
        <f t="shared" si="11"/>
        <v>3.2</v>
      </c>
      <c r="P30" s="133" t="s">
        <v>282</v>
      </c>
      <c r="Q30" s="126"/>
    </row>
    <row r="31" spans="1:17" x14ac:dyDescent="0.3">
      <c r="A31" s="127" t="s">
        <v>34</v>
      </c>
      <c r="B31" s="150">
        <f>SUM(C31,E31)</f>
        <v>333</v>
      </c>
      <c r="C31" s="128">
        <v>127</v>
      </c>
      <c r="D31" s="158">
        <v>365.06599999999997</v>
      </c>
      <c r="E31" s="128">
        <v>206</v>
      </c>
      <c r="F31" s="129">
        <v>491.036</v>
      </c>
      <c r="G31" s="153">
        <f>SUM(H31,J31,L31,N31)</f>
        <v>8048</v>
      </c>
      <c r="H31" s="128">
        <v>4868</v>
      </c>
      <c r="I31" s="158">
        <v>18969.153999999999</v>
      </c>
      <c r="J31" s="128">
        <v>187</v>
      </c>
      <c r="K31" s="158">
        <v>613.08600000000001</v>
      </c>
      <c r="L31" s="128">
        <v>2992</v>
      </c>
      <c r="M31" s="158">
        <v>8508.33</v>
      </c>
      <c r="N31" s="128">
        <v>1</v>
      </c>
      <c r="O31" s="129">
        <v>1.2</v>
      </c>
      <c r="P31" s="130" t="s">
        <v>35</v>
      </c>
    </row>
    <row r="32" spans="1:17" x14ac:dyDescent="0.3">
      <c r="A32" s="127" t="s">
        <v>36</v>
      </c>
      <c r="B32" s="150">
        <f t="shared" ref="B31:B34" si="12">SUM(C32,E32)</f>
        <v>249</v>
      </c>
      <c r="C32" s="128">
        <v>35</v>
      </c>
      <c r="D32" s="158">
        <v>53.1</v>
      </c>
      <c r="E32" s="128">
        <v>214</v>
      </c>
      <c r="F32" s="129">
        <v>234.65100000000001</v>
      </c>
      <c r="G32" s="153">
        <f>SUM(H32,J32,L32,N32)</f>
        <v>297</v>
      </c>
      <c r="H32" s="128">
        <v>163</v>
      </c>
      <c r="I32" s="158">
        <v>221.05</v>
      </c>
      <c r="J32" s="128">
        <v>57</v>
      </c>
      <c r="K32" s="158">
        <v>112.25</v>
      </c>
      <c r="L32" s="128">
        <v>76</v>
      </c>
      <c r="M32" s="158">
        <v>220.5</v>
      </c>
      <c r="N32" s="128">
        <v>1</v>
      </c>
      <c r="O32" s="146">
        <v>2</v>
      </c>
      <c r="P32" s="130" t="s">
        <v>37</v>
      </c>
    </row>
    <row r="33" spans="1:17" x14ac:dyDescent="0.3">
      <c r="A33" s="127" t="s">
        <v>38</v>
      </c>
      <c r="B33" s="150">
        <f t="shared" si="12"/>
        <v>188</v>
      </c>
      <c r="C33" s="128">
        <v>81</v>
      </c>
      <c r="D33" s="158">
        <v>138.30000000000001</v>
      </c>
      <c r="E33" s="128">
        <v>107</v>
      </c>
      <c r="F33" s="129">
        <v>238.9</v>
      </c>
      <c r="G33" s="153">
        <f>SUM(H33,J33,L33,N33)</f>
        <v>1466</v>
      </c>
      <c r="H33" s="128">
        <v>1081</v>
      </c>
      <c r="I33" s="158">
        <v>4724.7</v>
      </c>
      <c r="J33" s="128">
        <v>351</v>
      </c>
      <c r="K33" s="158">
        <v>735.2</v>
      </c>
      <c r="L33" s="128">
        <v>34</v>
      </c>
      <c r="M33" s="158">
        <v>87.5</v>
      </c>
      <c r="N33" s="128" t="s">
        <v>288</v>
      </c>
      <c r="O33" s="146" t="s">
        <v>288</v>
      </c>
      <c r="P33" s="130" t="s">
        <v>39</v>
      </c>
    </row>
    <row r="34" spans="1:17" x14ac:dyDescent="0.3">
      <c r="A34" s="127" t="s">
        <v>40</v>
      </c>
      <c r="B34" s="150">
        <f t="shared" si="12"/>
        <v>125</v>
      </c>
      <c r="C34" s="128">
        <v>47</v>
      </c>
      <c r="D34" s="158">
        <v>137.65</v>
      </c>
      <c r="E34" s="128">
        <v>78</v>
      </c>
      <c r="F34" s="129">
        <v>205.9</v>
      </c>
      <c r="G34" s="153">
        <f>SUM(H34,J34,L34,N34)</f>
        <v>4100</v>
      </c>
      <c r="H34" s="128">
        <v>2896</v>
      </c>
      <c r="I34" s="158">
        <v>11662.55</v>
      </c>
      <c r="J34" s="128">
        <v>978</v>
      </c>
      <c r="K34" s="158">
        <v>3621.056</v>
      </c>
      <c r="L34" s="128">
        <v>226</v>
      </c>
      <c r="M34" s="158">
        <v>584.35</v>
      </c>
      <c r="N34" s="128" t="s">
        <v>288</v>
      </c>
      <c r="O34" s="129" t="s">
        <v>288</v>
      </c>
      <c r="P34" s="130" t="s">
        <v>41</v>
      </c>
    </row>
    <row r="35" spans="1:17" x14ac:dyDescent="0.3">
      <c r="A35" s="192" t="s">
        <v>42</v>
      </c>
      <c r="B35" s="182">
        <f>SUM(B37:B40)</f>
        <v>1269</v>
      </c>
      <c r="C35" s="187">
        <f>SUM(C37:C40)</f>
        <v>945</v>
      </c>
      <c r="D35" s="187">
        <f t="shared" ref="D35:O35" si="13">SUM(D37:D40)</f>
        <v>3575.9700000000003</v>
      </c>
      <c r="E35" s="187">
        <f t="shared" si="13"/>
        <v>324</v>
      </c>
      <c r="F35" s="188">
        <f t="shared" si="13"/>
        <v>768.84999999999991</v>
      </c>
      <c r="G35" s="182">
        <f t="shared" ref="G35" si="14">SUM(G37:G40)</f>
        <v>2127</v>
      </c>
      <c r="H35" s="187">
        <f t="shared" si="13"/>
        <v>1648</v>
      </c>
      <c r="I35" s="187">
        <f t="shared" si="13"/>
        <v>3666.3650000000007</v>
      </c>
      <c r="J35" s="187">
        <f t="shared" si="13"/>
        <v>254</v>
      </c>
      <c r="K35" s="187">
        <f t="shared" si="13"/>
        <v>586.04999999999995</v>
      </c>
      <c r="L35" s="187">
        <f t="shared" si="13"/>
        <v>225</v>
      </c>
      <c r="M35" s="187">
        <f>SUM(M37:M40)</f>
        <v>521.46</v>
      </c>
      <c r="N35" s="187">
        <f t="shared" si="13"/>
        <v>0</v>
      </c>
      <c r="O35" s="188">
        <f t="shared" si="13"/>
        <v>0</v>
      </c>
      <c r="P35" s="197" t="s">
        <v>43</v>
      </c>
      <c r="Q35" s="197"/>
    </row>
    <row r="36" spans="1:17" x14ac:dyDescent="0.3">
      <c r="A36" s="192"/>
      <c r="B36" s="182"/>
      <c r="C36" s="187"/>
      <c r="D36" s="187"/>
      <c r="E36" s="187"/>
      <c r="F36" s="188"/>
      <c r="G36" s="182"/>
      <c r="H36" s="187"/>
      <c r="I36" s="187"/>
      <c r="J36" s="187"/>
      <c r="K36" s="187"/>
      <c r="L36" s="187"/>
      <c r="M36" s="187"/>
      <c r="N36" s="187"/>
      <c r="O36" s="188"/>
      <c r="P36" s="197"/>
      <c r="Q36" s="197"/>
    </row>
    <row r="37" spans="1:17" x14ac:dyDescent="0.3">
      <c r="A37" s="127" t="s">
        <v>44</v>
      </c>
      <c r="B37" s="150">
        <f t="shared" ref="B37:B40" si="15">SUM(C37,E37)</f>
        <v>87</v>
      </c>
      <c r="C37" s="128">
        <v>3</v>
      </c>
      <c r="D37" s="158">
        <v>14</v>
      </c>
      <c r="E37" s="128">
        <v>84</v>
      </c>
      <c r="F37" s="129">
        <v>188</v>
      </c>
      <c r="G37" s="153">
        <f>SUM(H37,J37,L37,N37)</f>
        <v>1209</v>
      </c>
      <c r="H37" s="128">
        <v>1037</v>
      </c>
      <c r="I37" s="158">
        <v>2438.0500000000002</v>
      </c>
      <c r="J37" s="128">
        <v>126</v>
      </c>
      <c r="K37" s="158">
        <v>241.6</v>
      </c>
      <c r="L37" s="128">
        <v>46</v>
      </c>
      <c r="M37" s="158">
        <v>97.6</v>
      </c>
      <c r="N37" s="128" t="s">
        <v>288</v>
      </c>
      <c r="O37" s="146" t="s">
        <v>288</v>
      </c>
      <c r="P37" s="130" t="s">
        <v>45</v>
      </c>
    </row>
    <row r="38" spans="1:17" x14ac:dyDescent="0.3">
      <c r="A38" s="127" t="s">
        <v>46</v>
      </c>
      <c r="B38" s="150">
        <f t="shared" si="15"/>
        <v>51</v>
      </c>
      <c r="C38" s="128">
        <v>44</v>
      </c>
      <c r="D38" s="158">
        <v>38.17</v>
      </c>
      <c r="E38" s="128">
        <v>7</v>
      </c>
      <c r="F38" s="129">
        <v>5.6</v>
      </c>
      <c r="G38" s="153">
        <f>SUM(H38,J38,L38,N38)</f>
        <v>260</v>
      </c>
      <c r="H38" s="128">
        <v>227</v>
      </c>
      <c r="I38" s="158">
        <v>221.88499999999999</v>
      </c>
      <c r="J38" s="128">
        <v>32</v>
      </c>
      <c r="K38" s="158">
        <v>27.5</v>
      </c>
      <c r="L38" s="128">
        <v>1</v>
      </c>
      <c r="M38" s="128">
        <v>0.81</v>
      </c>
      <c r="N38" s="128" t="s">
        <v>288</v>
      </c>
      <c r="O38" s="146" t="s">
        <v>288</v>
      </c>
      <c r="P38" s="130" t="s">
        <v>47</v>
      </c>
    </row>
    <row r="39" spans="1:17" x14ac:dyDescent="0.3">
      <c r="A39" s="127" t="s">
        <v>48</v>
      </c>
      <c r="B39" s="150">
        <f t="shared" si="15"/>
        <v>503</v>
      </c>
      <c r="C39" s="128">
        <v>415</v>
      </c>
      <c r="D39" s="158">
        <v>1664.8</v>
      </c>
      <c r="E39" s="128">
        <v>88</v>
      </c>
      <c r="F39" s="129">
        <v>212.2</v>
      </c>
      <c r="G39" s="153">
        <f>SUM(H39,J39,L39,N39)</f>
        <v>293</v>
      </c>
      <c r="H39" s="128">
        <v>209</v>
      </c>
      <c r="I39" s="158">
        <v>559.29999999999995</v>
      </c>
      <c r="J39" s="128">
        <v>57</v>
      </c>
      <c r="K39" s="158">
        <v>182.4</v>
      </c>
      <c r="L39" s="128">
        <v>27</v>
      </c>
      <c r="M39" s="158">
        <v>71.900000000000006</v>
      </c>
      <c r="N39" s="128" t="s">
        <v>288</v>
      </c>
      <c r="O39" s="129" t="s">
        <v>288</v>
      </c>
      <c r="P39" s="130" t="s">
        <v>49</v>
      </c>
    </row>
    <row r="40" spans="1:17" x14ac:dyDescent="0.3">
      <c r="A40" s="127" t="s">
        <v>50</v>
      </c>
      <c r="B40" s="150">
        <f t="shared" si="15"/>
        <v>628</v>
      </c>
      <c r="C40" s="128">
        <v>483</v>
      </c>
      <c r="D40" s="158">
        <v>1859</v>
      </c>
      <c r="E40" s="128">
        <v>145</v>
      </c>
      <c r="F40" s="129">
        <v>363.05</v>
      </c>
      <c r="G40" s="153">
        <f>SUM(H40,J40,L40,N40)</f>
        <v>365</v>
      </c>
      <c r="H40" s="128">
        <v>175</v>
      </c>
      <c r="I40" s="158">
        <v>447.13</v>
      </c>
      <c r="J40" s="128">
        <v>39</v>
      </c>
      <c r="K40" s="158">
        <v>134.55000000000001</v>
      </c>
      <c r="L40" s="128">
        <v>151</v>
      </c>
      <c r="M40" s="158">
        <v>351.15</v>
      </c>
      <c r="N40" s="128" t="s">
        <v>288</v>
      </c>
      <c r="O40" s="146" t="s">
        <v>288</v>
      </c>
      <c r="P40" s="130" t="s">
        <v>51</v>
      </c>
    </row>
    <row r="41" spans="1:17" x14ac:dyDescent="0.3">
      <c r="A41" s="192" t="s">
        <v>52</v>
      </c>
      <c r="B41" s="182">
        <f>SUM(B43:B47)</f>
        <v>10857</v>
      </c>
      <c r="C41" s="187">
        <f>SUM(C43:C47)</f>
        <v>5879</v>
      </c>
      <c r="D41" s="187">
        <f t="shared" ref="D41:O41" si="16">SUM(D43:D47)</f>
        <v>32011.048999999999</v>
      </c>
      <c r="E41" s="187">
        <f t="shared" si="16"/>
        <v>4978</v>
      </c>
      <c r="F41" s="188">
        <f t="shared" si="16"/>
        <v>16124.739000000001</v>
      </c>
      <c r="G41" s="182">
        <f t="shared" ref="G41" si="17">SUM(G43:G47)</f>
        <v>2220</v>
      </c>
      <c r="H41" s="187">
        <f t="shared" si="16"/>
        <v>942</v>
      </c>
      <c r="I41" s="187">
        <f t="shared" si="16"/>
        <v>2491.4369999999999</v>
      </c>
      <c r="J41" s="187">
        <f t="shared" si="16"/>
        <v>614</v>
      </c>
      <c r="K41" s="187">
        <f t="shared" si="16"/>
        <v>1547.7049999999999</v>
      </c>
      <c r="L41" s="187">
        <f t="shared" si="16"/>
        <v>659</v>
      </c>
      <c r="M41" s="187">
        <f t="shared" si="16"/>
        <v>1575.347</v>
      </c>
      <c r="N41" s="187">
        <f t="shared" si="16"/>
        <v>5</v>
      </c>
      <c r="O41" s="188">
        <f t="shared" si="16"/>
        <v>7</v>
      </c>
      <c r="P41" s="197" t="s">
        <v>53</v>
      </c>
      <c r="Q41" s="197"/>
    </row>
    <row r="42" spans="1:17" x14ac:dyDescent="0.3">
      <c r="A42" s="192"/>
      <c r="B42" s="182"/>
      <c r="C42" s="187"/>
      <c r="D42" s="187"/>
      <c r="E42" s="187"/>
      <c r="F42" s="188"/>
      <c r="G42" s="182"/>
      <c r="H42" s="187"/>
      <c r="I42" s="187"/>
      <c r="J42" s="187"/>
      <c r="K42" s="187"/>
      <c r="L42" s="187"/>
      <c r="M42" s="187"/>
      <c r="N42" s="187"/>
      <c r="O42" s="188"/>
      <c r="P42" s="197"/>
      <c r="Q42" s="197"/>
    </row>
    <row r="43" spans="1:17" x14ac:dyDescent="0.3">
      <c r="A43" s="127" t="s">
        <v>54</v>
      </c>
      <c r="B43" s="150">
        <f t="shared" ref="B43:B47" si="18">SUM(C43,E43)</f>
        <v>4306</v>
      </c>
      <c r="C43" s="128">
        <v>3942</v>
      </c>
      <c r="D43" s="158">
        <v>24161.89</v>
      </c>
      <c r="E43" s="128">
        <v>364</v>
      </c>
      <c r="F43" s="129">
        <v>970.55</v>
      </c>
      <c r="G43" s="153">
        <f>SUM(H43,J43,L43,N43)</f>
        <v>1326</v>
      </c>
      <c r="H43" s="128">
        <v>481</v>
      </c>
      <c r="I43" s="158">
        <v>1540.81</v>
      </c>
      <c r="J43" s="128">
        <v>309</v>
      </c>
      <c r="K43" s="158">
        <v>952.81</v>
      </c>
      <c r="L43" s="128">
        <v>535</v>
      </c>
      <c r="M43" s="158">
        <v>1378.415</v>
      </c>
      <c r="N43" s="128">
        <v>1</v>
      </c>
      <c r="O43" s="129">
        <v>1.5</v>
      </c>
      <c r="P43" s="130" t="s">
        <v>55</v>
      </c>
    </row>
    <row r="44" spans="1:17" x14ac:dyDescent="0.3">
      <c r="A44" s="127" t="s">
        <v>56</v>
      </c>
      <c r="B44" s="150">
        <f t="shared" si="18"/>
        <v>3076</v>
      </c>
      <c r="C44" s="128">
        <v>441</v>
      </c>
      <c r="D44" s="158">
        <v>1930.0930000000001</v>
      </c>
      <c r="E44" s="128">
        <v>2635</v>
      </c>
      <c r="F44" s="129">
        <v>10267.911</v>
      </c>
      <c r="G44" s="153">
        <f>SUM(H44,J44,L44,N44)</f>
        <v>200</v>
      </c>
      <c r="H44" s="128">
        <v>111</v>
      </c>
      <c r="I44" s="158">
        <v>267.02699999999999</v>
      </c>
      <c r="J44" s="128">
        <v>70</v>
      </c>
      <c r="K44" s="158">
        <v>174.25</v>
      </c>
      <c r="L44" s="128">
        <v>19</v>
      </c>
      <c r="M44" s="158">
        <v>58.531999999999996</v>
      </c>
      <c r="N44" s="131" t="s">
        <v>288</v>
      </c>
      <c r="O44" s="129" t="s">
        <v>288</v>
      </c>
      <c r="P44" s="130" t="s">
        <v>57</v>
      </c>
    </row>
    <row r="45" spans="1:17" x14ac:dyDescent="0.3">
      <c r="A45" s="127" t="s">
        <v>58</v>
      </c>
      <c r="B45" s="150">
        <f t="shared" si="18"/>
        <v>915</v>
      </c>
      <c r="C45" s="128">
        <v>593</v>
      </c>
      <c r="D45" s="158">
        <v>1979</v>
      </c>
      <c r="E45" s="128">
        <v>322</v>
      </c>
      <c r="F45" s="129">
        <v>708.2</v>
      </c>
      <c r="G45" s="153">
        <f>SUM(H45,J45,L45,N45)</f>
        <v>176</v>
      </c>
      <c r="H45" s="128">
        <v>49</v>
      </c>
      <c r="I45" s="158">
        <v>135.19999999999999</v>
      </c>
      <c r="J45" s="128">
        <v>50</v>
      </c>
      <c r="K45" s="158">
        <v>145</v>
      </c>
      <c r="L45" s="128">
        <v>77</v>
      </c>
      <c r="M45" s="158">
        <v>103.9</v>
      </c>
      <c r="N45" s="128" t="s">
        <v>288</v>
      </c>
      <c r="O45" s="129" t="s">
        <v>288</v>
      </c>
      <c r="P45" s="130" t="s">
        <v>59</v>
      </c>
    </row>
    <row r="46" spans="1:17" x14ac:dyDescent="0.3">
      <c r="A46" s="127" t="s">
        <v>60</v>
      </c>
      <c r="B46" s="150">
        <f t="shared" si="18"/>
        <v>3</v>
      </c>
      <c r="C46" s="128">
        <v>2</v>
      </c>
      <c r="D46" s="158">
        <v>6.5</v>
      </c>
      <c r="E46" s="128">
        <v>1</v>
      </c>
      <c r="F46" s="129">
        <v>2</v>
      </c>
      <c r="G46" s="153">
        <f>SUM(H46,J46,L46,N46)</f>
        <v>0</v>
      </c>
      <c r="H46" s="128" t="s">
        <v>288</v>
      </c>
      <c r="I46" s="128" t="s">
        <v>288</v>
      </c>
      <c r="J46" s="128" t="s">
        <v>288</v>
      </c>
      <c r="K46" s="128" t="s">
        <v>288</v>
      </c>
      <c r="L46" s="128" t="s">
        <v>288</v>
      </c>
      <c r="M46" s="128" t="s">
        <v>288</v>
      </c>
      <c r="N46" s="128" t="s">
        <v>288</v>
      </c>
      <c r="O46" s="146" t="s">
        <v>288</v>
      </c>
      <c r="P46" s="199" t="s">
        <v>61</v>
      </c>
      <c r="Q46" s="199"/>
    </row>
    <row r="47" spans="1:17" x14ac:dyDescent="0.3">
      <c r="A47" s="127" t="s">
        <v>62</v>
      </c>
      <c r="B47" s="150">
        <f t="shared" si="18"/>
        <v>2557</v>
      </c>
      <c r="C47" s="128">
        <v>901</v>
      </c>
      <c r="D47" s="158">
        <v>3933.5659999999998</v>
      </c>
      <c r="E47" s="128">
        <v>1656</v>
      </c>
      <c r="F47" s="129">
        <v>4176.0780000000004</v>
      </c>
      <c r="G47" s="153">
        <f>SUM(H47,J47,L47,N47)</f>
        <v>518</v>
      </c>
      <c r="H47" s="128">
        <v>301</v>
      </c>
      <c r="I47" s="158">
        <v>548.4</v>
      </c>
      <c r="J47" s="128">
        <v>185</v>
      </c>
      <c r="K47" s="158">
        <v>275.64499999999998</v>
      </c>
      <c r="L47" s="128">
        <v>28</v>
      </c>
      <c r="M47" s="158">
        <v>34.5</v>
      </c>
      <c r="N47" s="128">
        <v>4</v>
      </c>
      <c r="O47" s="129">
        <v>5.5</v>
      </c>
      <c r="P47" s="130" t="s">
        <v>63</v>
      </c>
    </row>
    <row r="48" spans="1:17" x14ac:dyDescent="0.3">
      <c r="A48" s="192" t="s">
        <v>64</v>
      </c>
      <c r="B48" s="182">
        <f>SUM(B50:B54)</f>
        <v>7521</v>
      </c>
      <c r="C48" s="187">
        <f>SUM(C50:C54)</f>
        <v>3706</v>
      </c>
      <c r="D48" s="187">
        <f t="shared" ref="D48:O48" si="19">SUM(D50:D54)</f>
        <v>13728.023999999999</v>
      </c>
      <c r="E48" s="187">
        <f t="shared" si="19"/>
        <v>3815</v>
      </c>
      <c r="F48" s="188">
        <f t="shared" si="19"/>
        <v>8292.1130000000012</v>
      </c>
      <c r="G48" s="182">
        <f t="shared" ref="G48" si="20">SUM(G50:G54)</f>
        <v>11243</v>
      </c>
      <c r="H48" s="187">
        <f t="shared" si="19"/>
        <v>4996</v>
      </c>
      <c r="I48" s="187">
        <f t="shared" si="19"/>
        <v>13215.172</v>
      </c>
      <c r="J48" s="187">
        <f t="shared" si="19"/>
        <v>2679</v>
      </c>
      <c r="K48" s="187">
        <f t="shared" si="19"/>
        <v>5967.0280000000002</v>
      </c>
      <c r="L48" s="187">
        <f t="shared" si="19"/>
        <v>3547</v>
      </c>
      <c r="M48" s="187">
        <f t="shared" si="19"/>
        <v>8475.4319999999989</v>
      </c>
      <c r="N48" s="187">
        <f t="shared" si="19"/>
        <v>21</v>
      </c>
      <c r="O48" s="188">
        <f t="shared" si="19"/>
        <v>45.35</v>
      </c>
      <c r="P48" s="200" t="s">
        <v>65</v>
      </c>
      <c r="Q48" s="200"/>
    </row>
    <row r="49" spans="1:17" x14ac:dyDescent="0.3">
      <c r="A49" s="192"/>
      <c r="B49" s="182"/>
      <c r="C49" s="187"/>
      <c r="D49" s="187"/>
      <c r="E49" s="187"/>
      <c r="F49" s="188"/>
      <c r="G49" s="182"/>
      <c r="H49" s="187"/>
      <c r="I49" s="187"/>
      <c r="J49" s="187"/>
      <c r="K49" s="187"/>
      <c r="L49" s="187"/>
      <c r="M49" s="187"/>
      <c r="N49" s="187"/>
      <c r="O49" s="188"/>
      <c r="P49" s="200"/>
      <c r="Q49" s="200"/>
    </row>
    <row r="50" spans="1:17" x14ac:dyDescent="0.3">
      <c r="A50" s="127" t="s">
        <v>66</v>
      </c>
      <c r="B50" s="150">
        <f t="shared" ref="B50:B54" si="21">SUM(C50,E50)</f>
        <v>814</v>
      </c>
      <c r="C50" s="128">
        <v>388</v>
      </c>
      <c r="D50" s="158">
        <v>1237.124</v>
      </c>
      <c r="E50" s="128">
        <v>426</v>
      </c>
      <c r="F50" s="129">
        <v>1004.312</v>
      </c>
      <c r="G50" s="153">
        <f>SUM(H50,J50,L50,N50)</f>
        <v>2284</v>
      </c>
      <c r="H50" s="128">
        <v>1264</v>
      </c>
      <c r="I50" s="158">
        <v>3416.0219999999999</v>
      </c>
      <c r="J50" s="128">
        <v>440</v>
      </c>
      <c r="K50" s="158">
        <v>821.02499999999998</v>
      </c>
      <c r="L50" s="128">
        <v>578</v>
      </c>
      <c r="M50" s="158">
        <v>1210.6320000000001</v>
      </c>
      <c r="N50" s="128">
        <v>2</v>
      </c>
      <c r="O50" s="129">
        <v>3.75</v>
      </c>
      <c r="P50" s="130" t="s">
        <v>67</v>
      </c>
    </row>
    <row r="51" spans="1:17" x14ac:dyDescent="0.3">
      <c r="A51" s="127" t="s">
        <v>68</v>
      </c>
      <c r="B51" s="150">
        <f t="shared" si="21"/>
        <v>4920</v>
      </c>
      <c r="C51" s="128">
        <v>2486</v>
      </c>
      <c r="D51" s="158">
        <v>9752.4</v>
      </c>
      <c r="E51" s="128">
        <v>2434</v>
      </c>
      <c r="F51" s="129">
        <v>4748.5200000000004</v>
      </c>
      <c r="G51" s="153">
        <f>SUM(H51,J51,L51,N51)</f>
        <v>6616</v>
      </c>
      <c r="H51" s="128">
        <v>2499</v>
      </c>
      <c r="I51" s="158">
        <v>5245.5</v>
      </c>
      <c r="J51" s="128">
        <v>1873</v>
      </c>
      <c r="K51" s="158">
        <v>4181.8999999999996</v>
      </c>
      <c r="L51" s="128">
        <v>2237</v>
      </c>
      <c r="M51" s="158">
        <v>4594.6000000000004</v>
      </c>
      <c r="N51" s="131">
        <v>7</v>
      </c>
      <c r="O51" s="129">
        <v>18.8</v>
      </c>
      <c r="P51" s="130" t="s">
        <v>69</v>
      </c>
    </row>
    <row r="52" spans="1:17" x14ac:dyDescent="0.3">
      <c r="A52" s="127" t="s">
        <v>70</v>
      </c>
      <c r="B52" s="150">
        <f t="shared" si="21"/>
        <v>1775</v>
      </c>
      <c r="C52" s="128">
        <v>826</v>
      </c>
      <c r="D52" s="158">
        <v>2712.5</v>
      </c>
      <c r="E52" s="128">
        <v>949</v>
      </c>
      <c r="F52" s="129">
        <v>2526.5309999999999</v>
      </c>
      <c r="G52" s="153">
        <f>SUM(H52,J52,L52,N52)</f>
        <v>2159</v>
      </c>
      <c r="H52" s="128">
        <v>1169</v>
      </c>
      <c r="I52" s="158">
        <v>4501.5</v>
      </c>
      <c r="J52" s="128">
        <v>265</v>
      </c>
      <c r="K52" s="158">
        <v>874.6</v>
      </c>
      <c r="L52" s="128">
        <v>718</v>
      </c>
      <c r="M52" s="158">
        <v>2658.8</v>
      </c>
      <c r="N52" s="128">
        <v>7</v>
      </c>
      <c r="O52" s="129">
        <v>16.7</v>
      </c>
      <c r="P52" s="130" t="s">
        <v>71</v>
      </c>
    </row>
    <row r="53" spans="1:17" x14ac:dyDescent="0.3">
      <c r="A53" s="127" t="s">
        <v>72</v>
      </c>
      <c r="B53" s="150">
        <f t="shared" si="21"/>
        <v>0</v>
      </c>
      <c r="C53" s="128" t="s">
        <v>288</v>
      </c>
      <c r="D53" s="158" t="s">
        <v>288</v>
      </c>
      <c r="E53" s="128" t="s">
        <v>288</v>
      </c>
      <c r="F53" s="129" t="s">
        <v>288</v>
      </c>
      <c r="G53" s="153">
        <f>SUM(H53,J53,L53,N53)</f>
        <v>22</v>
      </c>
      <c r="H53" s="131">
        <v>1</v>
      </c>
      <c r="I53" s="158">
        <v>1.1000000000000001</v>
      </c>
      <c r="J53" s="128">
        <v>16</v>
      </c>
      <c r="K53" s="158">
        <v>18.8</v>
      </c>
      <c r="L53" s="131" t="s">
        <v>288</v>
      </c>
      <c r="M53" s="158" t="s">
        <v>288</v>
      </c>
      <c r="N53" s="128">
        <v>5</v>
      </c>
      <c r="O53" s="146">
        <v>6.1</v>
      </c>
      <c r="P53" s="130" t="s">
        <v>73</v>
      </c>
    </row>
    <row r="54" spans="1:17" x14ac:dyDescent="0.3">
      <c r="A54" s="127" t="s">
        <v>74</v>
      </c>
      <c r="B54" s="150">
        <f t="shared" si="21"/>
        <v>12</v>
      </c>
      <c r="C54" s="128">
        <v>6</v>
      </c>
      <c r="D54" s="158">
        <v>26</v>
      </c>
      <c r="E54" s="128">
        <v>6</v>
      </c>
      <c r="F54" s="129">
        <v>12.75</v>
      </c>
      <c r="G54" s="153">
        <f>SUM(H54,J54,L54,N54)</f>
        <v>162</v>
      </c>
      <c r="H54" s="128">
        <v>63</v>
      </c>
      <c r="I54" s="158">
        <v>51.05</v>
      </c>
      <c r="J54" s="128">
        <v>85</v>
      </c>
      <c r="K54" s="158">
        <v>70.703000000000003</v>
      </c>
      <c r="L54" s="128">
        <v>14</v>
      </c>
      <c r="M54" s="158">
        <v>11.4</v>
      </c>
      <c r="N54" s="128" t="s">
        <v>288</v>
      </c>
      <c r="O54" s="146" t="s">
        <v>288</v>
      </c>
      <c r="P54" s="130" t="s">
        <v>75</v>
      </c>
    </row>
    <row r="55" spans="1:17" x14ac:dyDescent="0.3">
      <c r="A55" s="192" t="s">
        <v>76</v>
      </c>
      <c r="B55" s="182">
        <f>SUM(B57:B61)</f>
        <v>482</v>
      </c>
      <c r="C55" s="187">
        <f>SUM(C57:C61)</f>
        <v>187</v>
      </c>
      <c r="D55" s="187">
        <f t="shared" ref="D55:O55" si="22">SUM(D57:D61)</f>
        <v>273.84800000000001</v>
      </c>
      <c r="E55" s="187">
        <f t="shared" si="22"/>
        <v>295</v>
      </c>
      <c r="F55" s="188">
        <f t="shared" si="22"/>
        <v>339.62899999999996</v>
      </c>
      <c r="G55" s="182">
        <f t="shared" ref="G55" si="23">SUM(G57:G61)</f>
        <v>745</v>
      </c>
      <c r="H55" s="187">
        <f t="shared" si="22"/>
        <v>383</v>
      </c>
      <c r="I55" s="187">
        <f t="shared" si="22"/>
        <v>488.63200000000001</v>
      </c>
      <c r="J55" s="187">
        <f t="shared" si="22"/>
        <v>225</v>
      </c>
      <c r="K55" s="187">
        <f t="shared" si="22"/>
        <v>283.38099999999997</v>
      </c>
      <c r="L55" s="187">
        <f t="shared" si="22"/>
        <v>136</v>
      </c>
      <c r="M55" s="187">
        <f t="shared" si="22"/>
        <v>186.22399999999999</v>
      </c>
      <c r="N55" s="187">
        <f t="shared" si="22"/>
        <v>1</v>
      </c>
      <c r="O55" s="188">
        <f t="shared" si="22"/>
        <v>1.647</v>
      </c>
      <c r="P55" s="197" t="s">
        <v>77</v>
      </c>
      <c r="Q55" s="197"/>
    </row>
    <row r="56" spans="1:17" x14ac:dyDescent="0.3">
      <c r="A56" s="192"/>
      <c r="B56" s="182"/>
      <c r="C56" s="187"/>
      <c r="D56" s="187"/>
      <c r="E56" s="187"/>
      <c r="F56" s="188"/>
      <c r="G56" s="182"/>
      <c r="H56" s="187"/>
      <c r="I56" s="187"/>
      <c r="J56" s="187"/>
      <c r="K56" s="187"/>
      <c r="L56" s="187"/>
      <c r="M56" s="187"/>
      <c r="N56" s="187"/>
      <c r="O56" s="188"/>
      <c r="P56" s="197"/>
      <c r="Q56" s="197"/>
    </row>
    <row r="57" spans="1:17" x14ac:dyDescent="0.3">
      <c r="A57" s="127" t="s">
        <v>78</v>
      </c>
      <c r="B57" s="150">
        <f t="shared" ref="B57:B61" si="24">SUM(C57,E57)</f>
        <v>13</v>
      </c>
      <c r="C57" s="128">
        <v>8</v>
      </c>
      <c r="D57" s="158">
        <v>18.5</v>
      </c>
      <c r="E57" s="128">
        <v>5</v>
      </c>
      <c r="F57" s="129">
        <v>6.2</v>
      </c>
      <c r="G57" s="153">
        <f>SUM(H57,J57,L57,N57)</f>
        <v>170</v>
      </c>
      <c r="H57" s="128">
        <v>109</v>
      </c>
      <c r="I57" s="158">
        <v>119.4</v>
      </c>
      <c r="J57" s="128">
        <v>52</v>
      </c>
      <c r="K57" s="158">
        <v>41.23</v>
      </c>
      <c r="L57" s="128">
        <v>9</v>
      </c>
      <c r="M57" s="158">
        <v>8.3000000000000007</v>
      </c>
      <c r="N57" s="128" t="s">
        <v>288</v>
      </c>
      <c r="O57" s="129" t="s">
        <v>288</v>
      </c>
      <c r="P57" s="130" t="s">
        <v>79</v>
      </c>
    </row>
    <row r="58" spans="1:17" x14ac:dyDescent="0.3">
      <c r="A58" s="127" t="s">
        <v>80</v>
      </c>
      <c r="B58" s="150">
        <f t="shared" si="24"/>
        <v>231</v>
      </c>
      <c r="C58" s="128">
        <v>78</v>
      </c>
      <c r="D58" s="128">
        <v>110.4</v>
      </c>
      <c r="E58" s="128">
        <v>153</v>
      </c>
      <c r="F58" s="129">
        <v>191.7</v>
      </c>
      <c r="G58" s="153">
        <f>SUM(H58,J58,L58,N58)</f>
        <v>242</v>
      </c>
      <c r="H58" s="128">
        <v>94</v>
      </c>
      <c r="I58" s="158">
        <v>122.8</v>
      </c>
      <c r="J58" s="128">
        <v>105</v>
      </c>
      <c r="K58" s="158">
        <v>137.1</v>
      </c>
      <c r="L58" s="128">
        <v>43</v>
      </c>
      <c r="M58" s="128">
        <v>54.5</v>
      </c>
      <c r="N58" s="128" t="s">
        <v>288</v>
      </c>
      <c r="O58" s="146" t="s">
        <v>288</v>
      </c>
      <c r="P58" s="130" t="s">
        <v>81</v>
      </c>
    </row>
    <row r="59" spans="1:17" x14ac:dyDescent="0.3">
      <c r="A59" s="127" t="s">
        <v>82</v>
      </c>
      <c r="B59" s="150">
        <f t="shared" si="24"/>
        <v>0</v>
      </c>
      <c r="C59" s="128" t="s">
        <v>288</v>
      </c>
      <c r="D59" s="128" t="s">
        <v>288</v>
      </c>
      <c r="E59" s="128" t="s">
        <v>288</v>
      </c>
      <c r="F59" s="146" t="s">
        <v>288</v>
      </c>
      <c r="G59" s="153">
        <f>SUM(H59,J59,L59,N59)</f>
        <v>0</v>
      </c>
      <c r="H59" s="128" t="s">
        <v>288</v>
      </c>
      <c r="I59" s="128" t="s">
        <v>288</v>
      </c>
      <c r="J59" s="128" t="s">
        <v>288</v>
      </c>
      <c r="K59" s="128" t="s">
        <v>288</v>
      </c>
      <c r="L59" s="128" t="s">
        <v>288</v>
      </c>
      <c r="M59" s="128" t="s">
        <v>288</v>
      </c>
      <c r="N59" s="128" t="s">
        <v>288</v>
      </c>
      <c r="O59" s="146" t="s">
        <v>288</v>
      </c>
      <c r="P59" s="130" t="s">
        <v>83</v>
      </c>
    </row>
    <row r="60" spans="1:17" x14ac:dyDescent="0.3">
      <c r="A60" s="127" t="s">
        <v>84</v>
      </c>
      <c r="B60" s="150">
        <f t="shared" si="24"/>
        <v>229</v>
      </c>
      <c r="C60" s="128">
        <v>95</v>
      </c>
      <c r="D60" s="128">
        <v>138.44800000000001</v>
      </c>
      <c r="E60" s="128">
        <v>134</v>
      </c>
      <c r="F60" s="129">
        <v>139.57900000000001</v>
      </c>
      <c r="G60" s="153">
        <f>SUM(H60,J60,L60,N60)</f>
        <v>295</v>
      </c>
      <c r="H60" s="128">
        <v>144</v>
      </c>
      <c r="I60" s="158">
        <v>210.83199999999999</v>
      </c>
      <c r="J60" s="128">
        <v>68</v>
      </c>
      <c r="K60" s="158">
        <v>105.051</v>
      </c>
      <c r="L60" s="128">
        <v>82</v>
      </c>
      <c r="M60" s="158">
        <v>121.42400000000001</v>
      </c>
      <c r="N60" s="128">
        <v>1</v>
      </c>
      <c r="O60" s="129">
        <v>1.647</v>
      </c>
      <c r="P60" s="130" t="s">
        <v>85</v>
      </c>
    </row>
    <row r="61" spans="1:17" x14ac:dyDescent="0.3">
      <c r="A61" s="127" t="s">
        <v>86</v>
      </c>
      <c r="B61" s="150">
        <f t="shared" si="24"/>
        <v>9</v>
      </c>
      <c r="C61" s="128">
        <v>6</v>
      </c>
      <c r="D61" s="128">
        <v>6.5</v>
      </c>
      <c r="E61" s="128">
        <v>3</v>
      </c>
      <c r="F61" s="129">
        <v>2.15</v>
      </c>
      <c r="G61" s="153">
        <f>SUM(H61,J61,L61,N61)</f>
        <v>38</v>
      </c>
      <c r="H61" s="128">
        <v>36</v>
      </c>
      <c r="I61" s="158">
        <v>35.6</v>
      </c>
      <c r="J61" s="128" t="s">
        <v>288</v>
      </c>
      <c r="K61" s="128" t="s">
        <v>288</v>
      </c>
      <c r="L61" s="128">
        <v>2</v>
      </c>
      <c r="M61" s="158">
        <v>2</v>
      </c>
      <c r="N61" s="128" t="s">
        <v>288</v>
      </c>
      <c r="O61" s="146" t="s">
        <v>288</v>
      </c>
      <c r="P61" s="130" t="s">
        <v>87</v>
      </c>
    </row>
    <row r="62" spans="1:17" x14ac:dyDescent="0.3">
      <c r="A62" s="192" t="s">
        <v>88</v>
      </c>
      <c r="B62" s="182">
        <f>SUM(B64:B66)</f>
        <v>29934</v>
      </c>
      <c r="C62" s="187">
        <f>SUM(C64:C66)</f>
        <v>26006</v>
      </c>
      <c r="D62" s="187">
        <f t="shared" ref="D62:O62" si="25">SUM(D64:D66)</f>
        <v>137397.37299999999</v>
      </c>
      <c r="E62" s="187">
        <f t="shared" si="25"/>
        <v>3928</v>
      </c>
      <c r="F62" s="188">
        <f t="shared" si="25"/>
        <v>9791.32</v>
      </c>
      <c r="G62" s="182">
        <f t="shared" ref="G62" si="26">SUM(G64:G66)</f>
        <v>21584</v>
      </c>
      <c r="H62" s="187">
        <f t="shared" si="25"/>
        <v>13828</v>
      </c>
      <c r="I62" s="187">
        <f t="shared" si="25"/>
        <v>35043.023999999998</v>
      </c>
      <c r="J62" s="187">
        <f t="shared" si="25"/>
        <v>1271</v>
      </c>
      <c r="K62" s="187">
        <f t="shared" si="25"/>
        <v>3161.9</v>
      </c>
      <c r="L62" s="187">
        <f t="shared" si="25"/>
        <v>6026</v>
      </c>
      <c r="M62" s="187">
        <f t="shared" si="25"/>
        <v>14100.51</v>
      </c>
      <c r="N62" s="187">
        <f t="shared" si="25"/>
        <v>459</v>
      </c>
      <c r="O62" s="188">
        <f t="shared" si="25"/>
        <v>1753.0700000000002</v>
      </c>
      <c r="P62" s="200" t="s">
        <v>89</v>
      </c>
      <c r="Q62" s="200"/>
    </row>
    <row r="63" spans="1:17" x14ac:dyDescent="0.3">
      <c r="A63" s="192"/>
      <c r="B63" s="182"/>
      <c r="C63" s="187"/>
      <c r="D63" s="187"/>
      <c r="E63" s="187"/>
      <c r="F63" s="188"/>
      <c r="G63" s="182"/>
      <c r="H63" s="187"/>
      <c r="I63" s="187"/>
      <c r="J63" s="187"/>
      <c r="K63" s="187"/>
      <c r="L63" s="187"/>
      <c r="M63" s="187"/>
      <c r="N63" s="187"/>
      <c r="O63" s="188"/>
      <c r="P63" s="200"/>
      <c r="Q63" s="200"/>
    </row>
    <row r="64" spans="1:17" x14ac:dyDescent="0.3">
      <c r="A64" s="127" t="s">
        <v>90</v>
      </c>
      <c r="B64" s="150">
        <f t="shared" ref="B64:B66" si="27">SUM(C64,E64)</f>
        <v>3559</v>
      </c>
      <c r="C64" s="128">
        <v>2933</v>
      </c>
      <c r="D64" s="128">
        <v>9973.4220000000005</v>
      </c>
      <c r="E64" s="128">
        <v>626</v>
      </c>
      <c r="F64" s="129">
        <v>1439.17</v>
      </c>
      <c r="G64" s="153">
        <f>SUM(H64,J64,L64,N64)</f>
        <v>8456</v>
      </c>
      <c r="H64" s="128">
        <v>6049</v>
      </c>
      <c r="I64" s="158">
        <v>13269.64</v>
      </c>
      <c r="J64" s="128">
        <v>99</v>
      </c>
      <c r="K64" s="158">
        <v>258.64999999999998</v>
      </c>
      <c r="L64" s="128">
        <v>2293</v>
      </c>
      <c r="M64" s="158">
        <v>4731.5</v>
      </c>
      <c r="N64" s="128">
        <v>15</v>
      </c>
      <c r="O64" s="129">
        <v>29.22</v>
      </c>
      <c r="P64" s="130" t="s">
        <v>91</v>
      </c>
    </row>
    <row r="65" spans="1:18" x14ac:dyDescent="0.3">
      <c r="A65" s="127" t="s">
        <v>92</v>
      </c>
      <c r="B65" s="150">
        <f t="shared" si="27"/>
        <v>1598</v>
      </c>
      <c r="C65" s="128">
        <v>1191</v>
      </c>
      <c r="D65" s="128">
        <v>6209.05</v>
      </c>
      <c r="E65" s="128">
        <v>407</v>
      </c>
      <c r="F65" s="129">
        <v>646.25</v>
      </c>
      <c r="G65" s="153">
        <f>SUM(H65,J65,L65,N65)</f>
        <v>1200</v>
      </c>
      <c r="H65" s="128">
        <v>1001</v>
      </c>
      <c r="I65" s="158">
        <v>1484.184</v>
      </c>
      <c r="J65" s="128">
        <v>110</v>
      </c>
      <c r="K65" s="158">
        <v>167.85</v>
      </c>
      <c r="L65" s="128">
        <v>80</v>
      </c>
      <c r="M65" s="158">
        <v>105.51</v>
      </c>
      <c r="N65" s="128">
        <v>9</v>
      </c>
      <c r="O65" s="146">
        <v>5.95</v>
      </c>
      <c r="P65" s="199" t="s">
        <v>93</v>
      </c>
      <c r="Q65" s="199"/>
    </row>
    <row r="66" spans="1:18" x14ac:dyDescent="0.3">
      <c r="A66" s="127" t="s">
        <v>94</v>
      </c>
      <c r="B66" s="150">
        <f t="shared" si="27"/>
        <v>24777</v>
      </c>
      <c r="C66" s="128">
        <v>21882</v>
      </c>
      <c r="D66" s="128">
        <v>121214.901</v>
      </c>
      <c r="E66" s="128">
        <v>2895</v>
      </c>
      <c r="F66" s="129">
        <v>7705.9</v>
      </c>
      <c r="G66" s="153">
        <f>SUM(H66,J66,L66,N66)</f>
        <v>11928</v>
      </c>
      <c r="H66" s="128">
        <v>6778</v>
      </c>
      <c r="I66" s="158">
        <v>20289.2</v>
      </c>
      <c r="J66" s="128">
        <v>1062</v>
      </c>
      <c r="K66" s="158">
        <v>2735.4</v>
      </c>
      <c r="L66" s="128">
        <v>3653</v>
      </c>
      <c r="M66" s="158">
        <v>9263.5</v>
      </c>
      <c r="N66" s="128">
        <v>435</v>
      </c>
      <c r="O66" s="129">
        <v>1717.9</v>
      </c>
      <c r="P66" s="130" t="s">
        <v>95</v>
      </c>
    </row>
    <row r="67" spans="1:18" x14ac:dyDescent="0.3">
      <c r="A67" s="192" t="s">
        <v>96</v>
      </c>
      <c r="B67" s="182">
        <f>SUM(B69:B73)</f>
        <v>4168</v>
      </c>
      <c r="C67" s="187">
        <f>SUM(C69:C73)</f>
        <v>2854</v>
      </c>
      <c r="D67" s="187">
        <f t="shared" ref="D67:O67" si="28">SUM(D69:D73)</f>
        <v>13648.289999999999</v>
      </c>
      <c r="E67" s="187">
        <f t="shared" si="28"/>
        <v>1314</v>
      </c>
      <c r="F67" s="188">
        <f t="shared" si="28"/>
        <v>2898.4359999999997</v>
      </c>
      <c r="G67" s="182">
        <f t="shared" ref="G67" si="29">SUM(G69:G73)</f>
        <v>5702</v>
      </c>
      <c r="H67" s="187">
        <f t="shared" si="28"/>
        <v>1817</v>
      </c>
      <c r="I67" s="187">
        <f t="shared" si="28"/>
        <v>5601.7839999999997</v>
      </c>
      <c r="J67" s="187">
        <f t="shared" si="28"/>
        <v>2969</v>
      </c>
      <c r="K67" s="187">
        <f t="shared" si="28"/>
        <v>9970.3680000000004</v>
      </c>
      <c r="L67" s="187">
        <f t="shared" si="28"/>
        <v>617</v>
      </c>
      <c r="M67" s="187">
        <f t="shared" si="28"/>
        <v>1451.395</v>
      </c>
      <c r="N67" s="187">
        <f t="shared" si="28"/>
        <v>299</v>
      </c>
      <c r="O67" s="188">
        <f t="shared" si="28"/>
        <v>796.9</v>
      </c>
      <c r="P67" s="200" t="s">
        <v>97</v>
      </c>
      <c r="Q67" s="200"/>
    </row>
    <row r="68" spans="1:18" x14ac:dyDescent="0.3">
      <c r="A68" s="192"/>
      <c r="B68" s="182"/>
      <c r="C68" s="187"/>
      <c r="D68" s="187"/>
      <c r="E68" s="187"/>
      <c r="F68" s="188"/>
      <c r="G68" s="182"/>
      <c r="H68" s="187"/>
      <c r="I68" s="187"/>
      <c r="J68" s="187"/>
      <c r="K68" s="187"/>
      <c r="L68" s="187"/>
      <c r="M68" s="187"/>
      <c r="N68" s="187"/>
      <c r="O68" s="188"/>
      <c r="P68" s="200"/>
      <c r="Q68" s="200"/>
    </row>
    <row r="69" spans="1:18" x14ac:dyDescent="0.3">
      <c r="A69" s="127" t="s">
        <v>98</v>
      </c>
      <c r="B69" s="150">
        <f t="shared" ref="B69:B73" si="30">SUM(C69,E69)</f>
        <v>184</v>
      </c>
      <c r="C69" s="128">
        <v>100</v>
      </c>
      <c r="D69" s="128">
        <v>311.8</v>
      </c>
      <c r="E69" s="128">
        <v>84</v>
      </c>
      <c r="F69" s="129">
        <v>145.71</v>
      </c>
      <c r="G69" s="153">
        <f>SUM(H69,J69,L69,N69)</f>
        <v>2336</v>
      </c>
      <c r="H69" s="128">
        <v>141</v>
      </c>
      <c r="I69" s="158">
        <v>455.5</v>
      </c>
      <c r="J69" s="128">
        <v>2180</v>
      </c>
      <c r="K69" s="158">
        <v>7774.8</v>
      </c>
      <c r="L69" s="128">
        <v>15</v>
      </c>
      <c r="M69" s="158">
        <v>43.4</v>
      </c>
      <c r="N69" s="128" t="s">
        <v>288</v>
      </c>
      <c r="O69" s="146" t="s">
        <v>288</v>
      </c>
      <c r="P69" s="130" t="s">
        <v>99</v>
      </c>
    </row>
    <row r="70" spans="1:18" x14ac:dyDescent="0.3">
      <c r="A70" s="127" t="s">
        <v>100</v>
      </c>
      <c r="B70" s="150">
        <f t="shared" si="30"/>
        <v>820</v>
      </c>
      <c r="C70" s="128">
        <v>362</v>
      </c>
      <c r="D70" s="128">
        <v>828.35</v>
      </c>
      <c r="E70" s="128">
        <v>458</v>
      </c>
      <c r="F70" s="129">
        <v>1002.3</v>
      </c>
      <c r="G70" s="153">
        <f>SUM(H70,J70,L70,N70)</f>
        <v>534</v>
      </c>
      <c r="H70" s="128">
        <v>170</v>
      </c>
      <c r="I70" s="158">
        <v>368.6</v>
      </c>
      <c r="J70" s="128">
        <v>240</v>
      </c>
      <c r="K70" s="158">
        <v>556.04999999999995</v>
      </c>
      <c r="L70" s="128">
        <v>117</v>
      </c>
      <c r="M70" s="158">
        <v>218.65</v>
      </c>
      <c r="N70" s="128">
        <v>7</v>
      </c>
      <c r="O70" s="129">
        <v>20.9</v>
      </c>
      <c r="P70" s="130" t="s">
        <v>101</v>
      </c>
    </row>
    <row r="71" spans="1:18" x14ac:dyDescent="0.3">
      <c r="A71" s="127" t="s">
        <v>102</v>
      </c>
      <c r="B71" s="150">
        <f t="shared" si="30"/>
        <v>357</v>
      </c>
      <c r="C71" s="128">
        <v>92</v>
      </c>
      <c r="D71" s="128">
        <v>351.2</v>
      </c>
      <c r="E71" s="128">
        <v>265</v>
      </c>
      <c r="F71" s="129">
        <v>584</v>
      </c>
      <c r="G71" s="153">
        <f>SUM(H71,J71,L71,N71)</f>
        <v>465</v>
      </c>
      <c r="H71" s="128">
        <v>85</v>
      </c>
      <c r="I71" s="158">
        <v>276.5</v>
      </c>
      <c r="J71" s="128">
        <v>341</v>
      </c>
      <c r="K71" s="158">
        <v>1127.5</v>
      </c>
      <c r="L71" s="128">
        <v>35</v>
      </c>
      <c r="M71" s="158">
        <v>90</v>
      </c>
      <c r="N71" s="131">
        <v>4</v>
      </c>
      <c r="O71" s="129">
        <v>9.5</v>
      </c>
      <c r="P71" s="130" t="s">
        <v>103</v>
      </c>
    </row>
    <row r="72" spans="1:18" x14ac:dyDescent="0.3">
      <c r="A72" s="127" t="s">
        <v>104</v>
      </c>
      <c r="B72" s="150">
        <f t="shared" si="30"/>
        <v>171</v>
      </c>
      <c r="C72" s="128">
        <v>76</v>
      </c>
      <c r="D72" s="128">
        <v>336.8</v>
      </c>
      <c r="E72" s="128">
        <v>95</v>
      </c>
      <c r="F72" s="129">
        <v>254.6</v>
      </c>
      <c r="G72" s="153">
        <f>SUM(H72,J72,L72,N72)</f>
        <v>247</v>
      </c>
      <c r="H72" s="128">
        <v>114</v>
      </c>
      <c r="I72" s="158">
        <v>371.9</v>
      </c>
      <c r="J72" s="128">
        <v>85</v>
      </c>
      <c r="K72" s="158">
        <v>233.65799999999999</v>
      </c>
      <c r="L72" s="128">
        <v>48</v>
      </c>
      <c r="M72" s="158">
        <v>131.5</v>
      </c>
      <c r="N72" s="128" t="s">
        <v>288</v>
      </c>
      <c r="O72" s="129" t="s">
        <v>288</v>
      </c>
      <c r="P72" s="130" t="s">
        <v>105</v>
      </c>
    </row>
    <row r="73" spans="1:18" x14ac:dyDescent="0.3">
      <c r="A73" s="127" t="s">
        <v>106</v>
      </c>
      <c r="B73" s="150">
        <f t="shared" si="30"/>
        <v>2636</v>
      </c>
      <c r="C73" s="128">
        <v>2224</v>
      </c>
      <c r="D73" s="128">
        <v>11820.14</v>
      </c>
      <c r="E73" s="128">
        <v>412</v>
      </c>
      <c r="F73" s="129">
        <v>911.82600000000002</v>
      </c>
      <c r="G73" s="153">
        <f>SUM(H73,J73,L73,N73)</f>
        <v>2120</v>
      </c>
      <c r="H73" s="128">
        <v>1307</v>
      </c>
      <c r="I73" s="158">
        <v>4129.2839999999997</v>
      </c>
      <c r="J73" s="128">
        <v>123</v>
      </c>
      <c r="K73" s="158">
        <v>278.36</v>
      </c>
      <c r="L73" s="128">
        <v>402</v>
      </c>
      <c r="M73" s="158">
        <v>967.84500000000003</v>
      </c>
      <c r="N73" s="128">
        <v>288</v>
      </c>
      <c r="O73" s="129">
        <v>766.5</v>
      </c>
      <c r="P73" s="130" t="s">
        <v>107</v>
      </c>
    </row>
    <row r="74" spans="1:18" x14ac:dyDescent="0.3">
      <c r="A74" s="192" t="s">
        <v>108</v>
      </c>
      <c r="B74" s="182">
        <f>SUM(B76:B83)</f>
        <v>722</v>
      </c>
      <c r="C74" s="187">
        <f>SUM(C76:C83)</f>
        <v>383</v>
      </c>
      <c r="D74" s="187">
        <f t="shared" ref="D74:O74" si="31">SUM(D76:D83)</f>
        <v>1243.5999999999999</v>
      </c>
      <c r="E74" s="187">
        <f t="shared" si="31"/>
        <v>339</v>
      </c>
      <c r="F74" s="188">
        <f>SUM(F76:F83)</f>
        <v>769.65</v>
      </c>
      <c r="G74" s="182">
        <f>SUM(G76:G83)</f>
        <v>1272</v>
      </c>
      <c r="H74" s="187">
        <f t="shared" si="31"/>
        <v>830</v>
      </c>
      <c r="I74" s="187">
        <f>SUM(I76:I83)</f>
        <v>1735</v>
      </c>
      <c r="J74" s="187">
        <f>SUM(J76:J83)</f>
        <v>305</v>
      </c>
      <c r="K74" s="187">
        <f t="shared" si="31"/>
        <v>599.5</v>
      </c>
      <c r="L74" s="187">
        <f>SUM(L76:L83)</f>
        <v>129</v>
      </c>
      <c r="M74" s="187">
        <f>SUM(M76:M83)</f>
        <v>346.5</v>
      </c>
      <c r="N74" s="187">
        <f t="shared" si="31"/>
        <v>8</v>
      </c>
      <c r="O74" s="188">
        <f t="shared" si="31"/>
        <v>12.5</v>
      </c>
      <c r="P74" s="197" t="s">
        <v>109</v>
      </c>
      <c r="Q74" s="197"/>
    </row>
    <row r="75" spans="1:18" x14ac:dyDescent="0.3">
      <c r="A75" s="192"/>
      <c r="B75" s="182"/>
      <c r="C75" s="187"/>
      <c r="D75" s="187"/>
      <c r="E75" s="187"/>
      <c r="F75" s="188"/>
      <c r="G75" s="182"/>
      <c r="H75" s="187"/>
      <c r="I75" s="187"/>
      <c r="J75" s="187"/>
      <c r="K75" s="187"/>
      <c r="L75" s="187"/>
      <c r="M75" s="187"/>
      <c r="N75" s="187"/>
      <c r="O75" s="188"/>
      <c r="P75" s="197"/>
      <c r="Q75" s="197"/>
    </row>
    <row r="76" spans="1:18" x14ac:dyDescent="0.3">
      <c r="A76" s="134" t="s">
        <v>110</v>
      </c>
      <c r="B76" s="150">
        <f t="shared" ref="B76:B83" si="32">SUM(C76,E76)</f>
        <v>0</v>
      </c>
      <c r="C76" s="128" t="s">
        <v>288</v>
      </c>
      <c r="D76" s="128" t="s">
        <v>288</v>
      </c>
      <c r="E76" s="128" t="s">
        <v>288</v>
      </c>
      <c r="F76" s="146" t="s">
        <v>288</v>
      </c>
      <c r="G76" s="153">
        <f t="shared" ref="G76:G83" si="33">SUM(H76,J76,L76,N76)</f>
        <v>0</v>
      </c>
      <c r="H76" s="128" t="s">
        <v>288</v>
      </c>
      <c r="I76" s="128" t="s">
        <v>288</v>
      </c>
      <c r="J76" s="128" t="s">
        <v>288</v>
      </c>
      <c r="K76" s="128" t="s">
        <v>288</v>
      </c>
      <c r="L76" s="128" t="s">
        <v>288</v>
      </c>
      <c r="M76" s="128" t="s">
        <v>288</v>
      </c>
      <c r="N76" s="128" t="s">
        <v>288</v>
      </c>
      <c r="O76" s="146" t="s">
        <v>288</v>
      </c>
      <c r="P76" s="199" t="s">
        <v>111</v>
      </c>
      <c r="Q76" s="199"/>
      <c r="R76" s="199"/>
    </row>
    <row r="77" spans="1:18" x14ac:dyDescent="0.3">
      <c r="A77" s="134" t="s">
        <v>112</v>
      </c>
      <c r="B77" s="150">
        <f t="shared" si="32"/>
        <v>2</v>
      </c>
      <c r="C77" s="128">
        <v>1</v>
      </c>
      <c r="D77" s="128">
        <v>4.5999999999999996</v>
      </c>
      <c r="E77" s="128">
        <v>1</v>
      </c>
      <c r="F77" s="146">
        <v>1.7</v>
      </c>
      <c r="G77" s="153">
        <f t="shared" si="33"/>
        <v>0</v>
      </c>
      <c r="H77" s="128" t="s">
        <v>288</v>
      </c>
      <c r="I77" s="128" t="s">
        <v>288</v>
      </c>
      <c r="J77" s="128" t="s">
        <v>288</v>
      </c>
      <c r="K77" s="128" t="s">
        <v>288</v>
      </c>
      <c r="L77" s="128" t="s">
        <v>288</v>
      </c>
      <c r="M77" s="128" t="s">
        <v>288</v>
      </c>
      <c r="N77" s="128" t="s">
        <v>288</v>
      </c>
      <c r="O77" s="146" t="s">
        <v>288</v>
      </c>
      <c r="P77" s="199" t="s">
        <v>113</v>
      </c>
      <c r="Q77" s="199"/>
      <c r="R77" s="199"/>
    </row>
    <row r="78" spans="1:18" x14ac:dyDescent="0.3">
      <c r="A78" s="134" t="s">
        <v>275</v>
      </c>
      <c r="B78" s="150">
        <f t="shared" si="32"/>
        <v>0</v>
      </c>
      <c r="C78" s="128" t="s">
        <v>288</v>
      </c>
      <c r="D78" s="128" t="s">
        <v>288</v>
      </c>
      <c r="E78" s="128" t="s">
        <v>288</v>
      </c>
      <c r="F78" s="146" t="s">
        <v>288</v>
      </c>
      <c r="G78" s="153">
        <f t="shared" si="33"/>
        <v>0</v>
      </c>
      <c r="H78" s="128" t="s">
        <v>288</v>
      </c>
      <c r="I78" s="128" t="s">
        <v>288</v>
      </c>
      <c r="J78" s="128" t="s">
        <v>288</v>
      </c>
      <c r="K78" s="128" t="s">
        <v>288</v>
      </c>
      <c r="L78" s="128" t="s">
        <v>288</v>
      </c>
      <c r="M78" s="128" t="s">
        <v>288</v>
      </c>
      <c r="N78" s="128" t="s">
        <v>288</v>
      </c>
      <c r="O78" s="146" t="s">
        <v>288</v>
      </c>
      <c r="P78" s="199" t="s">
        <v>115</v>
      </c>
      <c r="Q78" s="199"/>
      <c r="R78" s="199"/>
    </row>
    <row r="79" spans="1:18" x14ac:dyDescent="0.3">
      <c r="A79" s="134" t="s">
        <v>276</v>
      </c>
      <c r="B79" s="150">
        <f t="shared" si="32"/>
        <v>0</v>
      </c>
      <c r="C79" s="128" t="s">
        <v>288</v>
      </c>
      <c r="D79" s="128" t="s">
        <v>288</v>
      </c>
      <c r="E79" s="128" t="s">
        <v>288</v>
      </c>
      <c r="F79" s="146" t="s">
        <v>288</v>
      </c>
      <c r="G79" s="153">
        <f t="shared" si="33"/>
        <v>0</v>
      </c>
      <c r="H79" s="128" t="s">
        <v>288</v>
      </c>
      <c r="I79" s="128" t="s">
        <v>288</v>
      </c>
      <c r="J79" s="128" t="s">
        <v>288</v>
      </c>
      <c r="K79" s="128" t="s">
        <v>288</v>
      </c>
      <c r="L79" s="128" t="s">
        <v>288</v>
      </c>
      <c r="M79" s="128" t="s">
        <v>288</v>
      </c>
      <c r="N79" s="128" t="s">
        <v>288</v>
      </c>
      <c r="O79" s="146" t="s">
        <v>288</v>
      </c>
      <c r="P79" s="199" t="s">
        <v>117</v>
      </c>
      <c r="Q79" s="199"/>
      <c r="R79" s="199"/>
    </row>
    <row r="80" spans="1:18" x14ac:dyDescent="0.3">
      <c r="A80" s="134" t="s">
        <v>277</v>
      </c>
      <c r="B80" s="150">
        <f t="shared" si="32"/>
        <v>184</v>
      </c>
      <c r="C80" s="128">
        <v>90</v>
      </c>
      <c r="D80" s="128">
        <v>457</v>
      </c>
      <c r="E80" s="128">
        <v>94</v>
      </c>
      <c r="F80" s="129">
        <v>245.25</v>
      </c>
      <c r="G80" s="153">
        <f t="shared" si="33"/>
        <v>198</v>
      </c>
      <c r="H80" s="128">
        <v>35</v>
      </c>
      <c r="I80" s="158">
        <v>103</v>
      </c>
      <c r="J80" s="128">
        <v>82</v>
      </c>
      <c r="K80" s="158">
        <v>219</v>
      </c>
      <c r="L80" s="128">
        <v>73</v>
      </c>
      <c r="M80" s="158">
        <v>206.5</v>
      </c>
      <c r="N80" s="128">
        <v>8</v>
      </c>
      <c r="O80" s="129">
        <v>12.5</v>
      </c>
      <c r="P80" s="199" t="s">
        <v>119</v>
      </c>
      <c r="Q80" s="199"/>
      <c r="R80" s="199"/>
    </row>
    <row r="81" spans="1:22" x14ac:dyDescent="0.3">
      <c r="A81" s="134" t="s">
        <v>278</v>
      </c>
      <c r="B81" s="150">
        <f t="shared" si="32"/>
        <v>57</v>
      </c>
      <c r="C81" s="128">
        <v>14</v>
      </c>
      <c r="D81" s="128">
        <v>70</v>
      </c>
      <c r="E81" s="128">
        <v>43</v>
      </c>
      <c r="F81" s="129">
        <v>87</v>
      </c>
      <c r="G81" s="153">
        <f t="shared" si="33"/>
        <v>155</v>
      </c>
      <c r="H81" s="128">
        <v>84</v>
      </c>
      <c r="I81" s="158">
        <v>237</v>
      </c>
      <c r="J81" s="128">
        <v>15</v>
      </c>
      <c r="K81" s="158">
        <v>37</v>
      </c>
      <c r="L81" s="128">
        <v>56</v>
      </c>
      <c r="M81" s="158">
        <v>140</v>
      </c>
      <c r="N81" s="128" t="s">
        <v>288</v>
      </c>
      <c r="O81" s="129" t="s">
        <v>288</v>
      </c>
      <c r="P81" s="199" t="s">
        <v>121</v>
      </c>
      <c r="Q81" s="199"/>
      <c r="R81" s="199"/>
    </row>
    <row r="82" spans="1:22" x14ac:dyDescent="0.3">
      <c r="A82" s="134" t="s">
        <v>279</v>
      </c>
      <c r="B82" s="150">
        <f t="shared" si="32"/>
        <v>0</v>
      </c>
      <c r="C82" s="128" t="s">
        <v>288</v>
      </c>
      <c r="D82" s="128" t="s">
        <v>288</v>
      </c>
      <c r="E82" s="128" t="s">
        <v>288</v>
      </c>
      <c r="F82" s="146" t="s">
        <v>288</v>
      </c>
      <c r="G82" s="153">
        <f t="shared" si="33"/>
        <v>0</v>
      </c>
      <c r="H82" s="128" t="s">
        <v>288</v>
      </c>
      <c r="I82" s="128" t="s">
        <v>288</v>
      </c>
      <c r="J82" s="128" t="s">
        <v>288</v>
      </c>
      <c r="K82" s="128" t="s">
        <v>288</v>
      </c>
      <c r="L82" s="128" t="s">
        <v>288</v>
      </c>
      <c r="M82" s="128" t="s">
        <v>288</v>
      </c>
      <c r="N82" s="128" t="s">
        <v>288</v>
      </c>
      <c r="O82" s="146" t="s">
        <v>288</v>
      </c>
      <c r="P82" s="199" t="s">
        <v>123</v>
      </c>
      <c r="Q82" s="199"/>
      <c r="R82" s="199"/>
    </row>
    <row r="83" spans="1:22" x14ac:dyDescent="0.3">
      <c r="A83" s="134" t="s">
        <v>280</v>
      </c>
      <c r="B83" s="150">
        <f t="shared" si="32"/>
        <v>479</v>
      </c>
      <c r="C83" s="128">
        <v>278</v>
      </c>
      <c r="D83" s="128">
        <v>712</v>
      </c>
      <c r="E83" s="128">
        <v>201</v>
      </c>
      <c r="F83" s="146">
        <v>435.7</v>
      </c>
      <c r="G83" s="153">
        <f t="shared" si="33"/>
        <v>919</v>
      </c>
      <c r="H83" s="128">
        <v>711</v>
      </c>
      <c r="I83" s="128">
        <v>1395</v>
      </c>
      <c r="J83" s="128">
        <v>208</v>
      </c>
      <c r="K83" s="128">
        <v>343.5</v>
      </c>
      <c r="L83" s="128" t="s">
        <v>288</v>
      </c>
      <c r="M83" s="128" t="s">
        <v>288</v>
      </c>
      <c r="N83" s="128" t="s">
        <v>288</v>
      </c>
      <c r="O83" s="146" t="s">
        <v>288</v>
      </c>
      <c r="P83" s="199" t="s">
        <v>125</v>
      </c>
      <c r="Q83" s="199"/>
      <c r="R83" s="199"/>
    </row>
    <row r="84" spans="1:22" x14ac:dyDescent="0.3">
      <c r="A84" s="192" t="s">
        <v>126</v>
      </c>
      <c r="B84" s="182">
        <f>SUM(B86:B90)</f>
        <v>751</v>
      </c>
      <c r="C84" s="187">
        <f>SUM(C86:C90)</f>
        <v>403</v>
      </c>
      <c r="D84" s="187">
        <f>SUM(D86:D90)</f>
        <v>1173.3579999999999</v>
      </c>
      <c r="E84" s="187">
        <f t="shared" ref="E84:K84" si="34">SUM(E86:E90)</f>
        <v>348</v>
      </c>
      <c r="F84" s="188">
        <f t="shared" si="34"/>
        <v>578.58000000000004</v>
      </c>
      <c r="G84" s="182">
        <f t="shared" ref="G84" si="35">SUM(G86:G90)</f>
        <v>1766</v>
      </c>
      <c r="H84" s="187">
        <f t="shared" si="34"/>
        <v>1302</v>
      </c>
      <c r="I84" s="187">
        <f t="shared" si="34"/>
        <v>2644.35</v>
      </c>
      <c r="J84" s="187">
        <f t="shared" si="34"/>
        <v>191</v>
      </c>
      <c r="K84" s="187">
        <f t="shared" si="34"/>
        <v>407.19000000000005</v>
      </c>
      <c r="L84" s="187">
        <f t="shared" ref="L84:O84" si="36">SUM(L86:L90)</f>
        <v>266</v>
      </c>
      <c r="M84" s="187">
        <f t="shared" si="36"/>
        <v>510.5</v>
      </c>
      <c r="N84" s="187">
        <f t="shared" si="36"/>
        <v>7</v>
      </c>
      <c r="O84" s="188">
        <f t="shared" si="36"/>
        <v>9.2000000000000011</v>
      </c>
      <c r="P84" s="200" t="s">
        <v>127</v>
      </c>
      <c r="Q84" s="200"/>
      <c r="T84" s="147"/>
    </row>
    <row r="85" spans="1:22" x14ac:dyDescent="0.3">
      <c r="A85" s="192"/>
      <c r="B85" s="182"/>
      <c r="C85" s="187"/>
      <c r="D85" s="187"/>
      <c r="E85" s="187"/>
      <c r="F85" s="188"/>
      <c r="G85" s="182"/>
      <c r="H85" s="187"/>
      <c r="I85" s="187"/>
      <c r="J85" s="187"/>
      <c r="K85" s="187"/>
      <c r="L85" s="187"/>
      <c r="M85" s="187"/>
      <c r="N85" s="187"/>
      <c r="O85" s="188"/>
      <c r="P85" s="200"/>
      <c r="Q85" s="200"/>
    </row>
    <row r="86" spans="1:22" x14ac:dyDescent="0.3">
      <c r="A86" s="127" t="s">
        <v>128</v>
      </c>
      <c r="B86" s="150">
        <f t="shared" ref="B86:B90" si="37">SUM(C86,E86)</f>
        <v>335</v>
      </c>
      <c r="C86" s="128">
        <v>206</v>
      </c>
      <c r="D86" s="128">
        <v>676.4</v>
      </c>
      <c r="E86" s="128">
        <v>129</v>
      </c>
      <c r="F86" s="129">
        <v>229.7</v>
      </c>
      <c r="G86" s="153">
        <f>SUM(H86,J86,L86,N86)</f>
        <v>611</v>
      </c>
      <c r="H86" s="128">
        <v>352</v>
      </c>
      <c r="I86" s="158">
        <v>952.9</v>
      </c>
      <c r="J86" s="128">
        <v>138</v>
      </c>
      <c r="K86" s="158">
        <v>314.10000000000002</v>
      </c>
      <c r="L86" s="128">
        <v>121</v>
      </c>
      <c r="M86" s="158">
        <v>292.7</v>
      </c>
      <c r="N86" s="128" t="s">
        <v>288</v>
      </c>
      <c r="O86" s="146" t="s">
        <v>288</v>
      </c>
      <c r="P86" s="130" t="s">
        <v>129</v>
      </c>
    </row>
    <row r="87" spans="1:22" x14ac:dyDescent="0.3">
      <c r="A87" s="127" t="s">
        <v>130</v>
      </c>
      <c r="B87" s="150">
        <f t="shared" si="37"/>
        <v>68</v>
      </c>
      <c r="C87" s="128">
        <v>30</v>
      </c>
      <c r="D87" s="128">
        <v>75</v>
      </c>
      <c r="E87" s="128">
        <v>38</v>
      </c>
      <c r="F87" s="146">
        <v>26.6</v>
      </c>
      <c r="G87" s="153">
        <f>SUM(H87,J87,L87,N87)</f>
        <v>269</v>
      </c>
      <c r="H87" s="128">
        <v>226</v>
      </c>
      <c r="I87" s="158">
        <v>406.8</v>
      </c>
      <c r="J87" s="128">
        <v>31</v>
      </c>
      <c r="K87" s="158">
        <v>55.8</v>
      </c>
      <c r="L87" s="128">
        <v>11</v>
      </c>
      <c r="M87" s="158">
        <v>19.8</v>
      </c>
      <c r="N87" s="128">
        <v>1</v>
      </c>
      <c r="O87" s="129">
        <v>0.3</v>
      </c>
      <c r="P87" s="130" t="s">
        <v>131</v>
      </c>
    </row>
    <row r="88" spans="1:22" x14ac:dyDescent="0.3">
      <c r="A88" s="127" t="s">
        <v>132</v>
      </c>
      <c r="B88" s="150">
        <f t="shared" si="37"/>
        <v>150</v>
      </c>
      <c r="C88" s="128">
        <v>57</v>
      </c>
      <c r="D88" s="128">
        <v>182.55799999999999</v>
      </c>
      <c r="E88" s="128">
        <v>93</v>
      </c>
      <c r="F88" s="146">
        <v>177.97</v>
      </c>
      <c r="G88" s="153">
        <f>SUM(H88,J88,L88,N88)</f>
        <v>44</v>
      </c>
      <c r="H88" s="128">
        <v>36</v>
      </c>
      <c r="I88" s="128">
        <v>94.95</v>
      </c>
      <c r="J88" s="128">
        <v>8</v>
      </c>
      <c r="K88" s="128">
        <v>18.940000000000001</v>
      </c>
      <c r="L88" s="128" t="s">
        <v>288</v>
      </c>
      <c r="M88" s="158" t="s">
        <v>288</v>
      </c>
      <c r="N88" s="128" t="s">
        <v>288</v>
      </c>
      <c r="O88" s="146" t="s">
        <v>288</v>
      </c>
      <c r="P88" s="130" t="s">
        <v>133</v>
      </c>
    </row>
    <row r="89" spans="1:22" x14ac:dyDescent="0.3">
      <c r="A89" s="127" t="s">
        <v>134</v>
      </c>
      <c r="B89" s="150">
        <f t="shared" si="37"/>
        <v>124</v>
      </c>
      <c r="C89" s="128">
        <v>74</v>
      </c>
      <c r="D89" s="128">
        <v>139.80000000000001</v>
      </c>
      <c r="E89" s="128">
        <v>50</v>
      </c>
      <c r="F89" s="129">
        <v>63.6</v>
      </c>
      <c r="G89" s="153">
        <f>SUM(H89,J89,L89,N89)</f>
        <v>372</v>
      </c>
      <c r="H89" s="128">
        <v>289</v>
      </c>
      <c r="I89" s="158">
        <v>552.79999999999995</v>
      </c>
      <c r="J89" s="128">
        <v>13</v>
      </c>
      <c r="K89" s="158">
        <v>17.8</v>
      </c>
      <c r="L89" s="128">
        <v>64</v>
      </c>
      <c r="M89" s="158">
        <v>92</v>
      </c>
      <c r="N89" s="128">
        <v>6</v>
      </c>
      <c r="O89" s="129">
        <v>8.9</v>
      </c>
      <c r="P89" s="130" t="s">
        <v>135</v>
      </c>
    </row>
    <row r="90" spans="1:22" x14ac:dyDescent="0.3">
      <c r="A90" s="127" t="s">
        <v>136</v>
      </c>
      <c r="B90" s="150">
        <f t="shared" si="37"/>
        <v>74</v>
      </c>
      <c r="C90" s="128">
        <v>36</v>
      </c>
      <c r="D90" s="128">
        <v>99.6</v>
      </c>
      <c r="E90" s="128">
        <v>38</v>
      </c>
      <c r="F90" s="146">
        <v>80.709999999999994</v>
      </c>
      <c r="G90" s="153">
        <f>SUM(H90,J90,L90,N90)</f>
        <v>470</v>
      </c>
      <c r="H90" s="128">
        <v>399</v>
      </c>
      <c r="I90" s="128">
        <v>636.9</v>
      </c>
      <c r="J90" s="128">
        <v>1</v>
      </c>
      <c r="K90" s="128">
        <v>0.55000000000000004</v>
      </c>
      <c r="L90" s="128">
        <v>70</v>
      </c>
      <c r="M90" s="158">
        <v>106</v>
      </c>
      <c r="N90" s="128" t="s">
        <v>288</v>
      </c>
      <c r="O90" s="129" t="s">
        <v>288</v>
      </c>
      <c r="P90" s="130" t="s">
        <v>137</v>
      </c>
    </row>
    <row r="91" spans="1:22" x14ac:dyDescent="0.3">
      <c r="A91" s="192" t="s">
        <v>138</v>
      </c>
      <c r="B91" s="182">
        <f>SUM(B93:B105)</f>
        <v>1515</v>
      </c>
      <c r="C91" s="187">
        <f>SUM(C93:C105)</f>
        <v>1014</v>
      </c>
      <c r="D91" s="187">
        <f t="shared" ref="D91:O91" si="38">SUM(D93:D105)</f>
        <v>2480.9449999999997</v>
      </c>
      <c r="E91" s="187">
        <f t="shared" si="38"/>
        <v>501</v>
      </c>
      <c r="F91" s="188">
        <f t="shared" si="38"/>
        <v>546.69900000000007</v>
      </c>
      <c r="G91" s="182">
        <f t="shared" ref="G91" si="39">SUM(G93:G105)</f>
        <v>6395</v>
      </c>
      <c r="H91" s="187">
        <f t="shared" si="38"/>
        <v>4246</v>
      </c>
      <c r="I91" s="187">
        <f t="shared" si="38"/>
        <v>11164.876</v>
      </c>
      <c r="J91" s="187">
        <f t="shared" si="38"/>
        <v>202</v>
      </c>
      <c r="K91" s="187">
        <f t="shared" si="38"/>
        <v>218.97800000000001</v>
      </c>
      <c r="L91" s="187">
        <f t="shared" si="38"/>
        <v>1868</v>
      </c>
      <c r="M91" s="187">
        <f t="shared" si="38"/>
        <v>2634.9500000000003</v>
      </c>
      <c r="N91" s="187">
        <f t="shared" si="38"/>
        <v>79</v>
      </c>
      <c r="O91" s="188">
        <f t="shared" si="38"/>
        <v>97.806000000000012</v>
      </c>
      <c r="P91" s="198" t="s">
        <v>139</v>
      </c>
      <c r="Q91" s="198"/>
      <c r="T91" s="147"/>
      <c r="V91" s="147"/>
    </row>
    <row r="92" spans="1:22" x14ac:dyDescent="0.3">
      <c r="A92" s="192"/>
      <c r="B92" s="182"/>
      <c r="C92" s="187"/>
      <c r="D92" s="187"/>
      <c r="E92" s="187"/>
      <c r="F92" s="188"/>
      <c r="G92" s="182"/>
      <c r="H92" s="187"/>
      <c r="I92" s="187"/>
      <c r="J92" s="187"/>
      <c r="K92" s="187"/>
      <c r="L92" s="187"/>
      <c r="M92" s="187"/>
      <c r="N92" s="187"/>
      <c r="O92" s="188"/>
      <c r="P92" s="198"/>
      <c r="Q92" s="198"/>
    </row>
    <row r="93" spans="1:22" x14ac:dyDescent="0.3">
      <c r="A93" s="127" t="s">
        <v>140</v>
      </c>
      <c r="B93" s="150">
        <f t="shared" ref="B93:B105" si="40">SUM(C93,E93)</f>
        <v>24</v>
      </c>
      <c r="C93" s="128">
        <v>9</v>
      </c>
      <c r="D93" s="128">
        <v>12.4</v>
      </c>
      <c r="E93" s="128">
        <v>15</v>
      </c>
      <c r="F93" s="146">
        <v>15</v>
      </c>
      <c r="G93" s="153">
        <f t="shared" ref="G93:G105" si="41">SUM(H93,J93,L93,N93)</f>
        <v>120</v>
      </c>
      <c r="H93" s="128">
        <v>20</v>
      </c>
      <c r="I93" s="128">
        <v>36</v>
      </c>
      <c r="J93" s="128" t="s">
        <v>288</v>
      </c>
      <c r="K93" s="128" t="s">
        <v>288</v>
      </c>
      <c r="L93" s="128">
        <v>100</v>
      </c>
      <c r="M93" s="158">
        <v>130</v>
      </c>
      <c r="N93" s="128" t="s">
        <v>288</v>
      </c>
      <c r="O93" s="146" t="s">
        <v>288</v>
      </c>
      <c r="P93" s="130" t="s">
        <v>141</v>
      </c>
    </row>
    <row r="94" spans="1:22" x14ac:dyDescent="0.3">
      <c r="A94" s="127" t="s">
        <v>142</v>
      </c>
      <c r="B94" s="150">
        <f t="shared" si="40"/>
        <v>55</v>
      </c>
      <c r="C94" s="128">
        <v>28</v>
      </c>
      <c r="D94" s="128">
        <v>25.45</v>
      </c>
      <c r="E94" s="128">
        <v>27</v>
      </c>
      <c r="F94" s="129">
        <v>20.95</v>
      </c>
      <c r="G94" s="153">
        <f t="shared" si="41"/>
        <v>190</v>
      </c>
      <c r="H94" s="128">
        <v>117</v>
      </c>
      <c r="I94" s="158">
        <v>123.4</v>
      </c>
      <c r="J94" s="128">
        <v>60</v>
      </c>
      <c r="K94" s="158">
        <v>54.13</v>
      </c>
      <c r="L94" s="128">
        <v>13</v>
      </c>
      <c r="M94" s="158">
        <v>10.65</v>
      </c>
      <c r="N94" s="128" t="s">
        <v>288</v>
      </c>
      <c r="O94" s="146" t="s">
        <v>288</v>
      </c>
      <c r="P94" s="130" t="s">
        <v>143</v>
      </c>
    </row>
    <row r="95" spans="1:22" x14ac:dyDescent="0.3">
      <c r="A95" s="127" t="s">
        <v>144</v>
      </c>
      <c r="B95" s="150">
        <f t="shared" si="40"/>
        <v>135</v>
      </c>
      <c r="C95" s="128">
        <v>34</v>
      </c>
      <c r="D95" s="128">
        <v>7.35</v>
      </c>
      <c r="E95" s="128">
        <v>101</v>
      </c>
      <c r="F95" s="129">
        <v>24.404</v>
      </c>
      <c r="G95" s="153">
        <f t="shared" si="41"/>
        <v>398</v>
      </c>
      <c r="H95" s="128">
        <v>246</v>
      </c>
      <c r="I95" s="158">
        <v>67.338999999999999</v>
      </c>
      <c r="J95" s="128">
        <v>7</v>
      </c>
      <c r="K95" s="128">
        <v>4.5</v>
      </c>
      <c r="L95" s="128">
        <v>145</v>
      </c>
      <c r="M95" s="158">
        <v>53.4</v>
      </c>
      <c r="N95" s="128" t="s">
        <v>288</v>
      </c>
      <c r="O95" s="146" t="s">
        <v>288</v>
      </c>
      <c r="P95" s="130" t="s">
        <v>145</v>
      </c>
    </row>
    <row r="96" spans="1:22" x14ac:dyDescent="0.3">
      <c r="A96" s="127" t="s">
        <v>146</v>
      </c>
      <c r="B96" s="150">
        <f t="shared" si="40"/>
        <v>28</v>
      </c>
      <c r="C96" s="128">
        <v>15</v>
      </c>
      <c r="D96" s="128">
        <v>14.5</v>
      </c>
      <c r="E96" s="128">
        <v>13</v>
      </c>
      <c r="F96" s="129">
        <v>9.1999999999999993</v>
      </c>
      <c r="G96" s="153">
        <f t="shared" si="41"/>
        <v>235</v>
      </c>
      <c r="H96" s="128">
        <v>179</v>
      </c>
      <c r="I96" s="158">
        <v>157.19999999999999</v>
      </c>
      <c r="J96" s="128">
        <v>6</v>
      </c>
      <c r="K96" s="128">
        <v>2.7</v>
      </c>
      <c r="L96" s="128">
        <v>49</v>
      </c>
      <c r="M96" s="158">
        <v>39</v>
      </c>
      <c r="N96" s="128">
        <v>1</v>
      </c>
      <c r="O96" s="129">
        <v>0.5</v>
      </c>
      <c r="P96" s="130" t="s">
        <v>147</v>
      </c>
    </row>
    <row r="97" spans="1:17" x14ac:dyDescent="0.3">
      <c r="A97" s="127" t="s">
        <v>284</v>
      </c>
      <c r="B97" s="150">
        <f t="shared" si="40"/>
        <v>8</v>
      </c>
      <c r="C97" s="128">
        <v>6</v>
      </c>
      <c r="D97" s="128">
        <v>4.8</v>
      </c>
      <c r="E97" s="131">
        <v>2</v>
      </c>
      <c r="F97" s="129">
        <v>2.4</v>
      </c>
      <c r="G97" s="153">
        <f t="shared" si="41"/>
        <v>78</v>
      </c>
      <c r="H97" s="128">
        <v>70</v>
      </c>
      <c r="I97" s="158">
        <v>56</v>
      </c>
      <c r="J97" s="128">
        <v>1</v>
      </c>
      <c r="K97" s="128">
        <v>0.8</v>
      </c>
      <c r="L97" s="128">
        <v>7</v>
      </c>
      <c r="M97" s="158">
        <v>5.6</v>
      </c>
      <c r="N97" s="128" t="s">
        <v>288</v>
      </c>
      <c r="O97" s="146" t="s">
        <v>288</v>
      </c>
      <c r="P97" s="130" t="s">
        <v>286</v>
      </c>
    </row>
    <row r="98" spans="1:17" x14ac:dyDescent="0.3">
      <c r="A98" s="127" t="s">
        <v>285</v>
      </c>
      <c r="B98" s="150">
        <f t="shared" si="40"/>
        <v>25</v>
      </c>
      <c r="C98" s="128">
        <v>12</v>
      </c>
      <c r="D98" s="128">
        <v>16.2</v>
      </c>
      <c r="E98" s="128">
        <v>13</v>
      </c>
      <c r="F98" s="146">
        <v>10</v>
      </c>
      <c r="G98" s="153">
        <f t="shared" si="41"/>
        <v>34</v>
      </c>
      <c r="H98" s="128">
        <v>1</v>
      </c>
      <c r="I98" s="128">
        <v>1.8</v>
      </c>
      <c r="J98" s="128">
        <v>8</v>
      </c>
      <c r="K98" s="128">
        <v>6.4</v>
      </c>
      <c r="L98" s="128">
        <v>25</v>
      </c>
      <c r="M98" s="158">
        <v>32.5</v>
      </c>
      <c r="N98" s="128" t="s">
        <v>288</v>
      </c>
      <c r="O98" s="146" t="s">
        <v>288</v>
      </c>
      <c r="P98" s="130" t="s">
        <v>287</v>
      </c>
    </row>
    <row r="99" spans="1:17" x14ac:dyDescent="0.3">
      <c r="A99" s="127" t="s">
        <v>150</v>
      </c>
      <c r="B99" s="150">
        <f t="shared" si="40"/>
        <v>214</v>
      </c>
      <c r="C99" s="128">
        <v>180</v>
      </c>
      <c r="D99" s="128">
        <v>134</v>
      </c>
      <c r="E99" s="128">
        <v>34</v>
      </c>
      <c r="F99" s="129">
        <v>22</v>
      </c>
      <c r="G99" s="153">
        <f t="shared" si="41"/>
        <v>594</v>
      </c>
      <c r="H99" s="128">
        <v>288</v>
      </c>
      <c r="I99" s="158">
        <v>200.4</v>
      </c>
      <c r="J99" s="128">
        <v>67</v>
      </c>
      <c r="K99" s="128">
        <v>49.6</v>
      </c>
      <c r="L99" s="128">
        <v>218</v>
      </c>
      <c r="M99" s="158">
        <v>156.4</v>
      </c>
      <c r="N99" s="128">
        <v>21</v>
      </c>
      <c r="O99" s="146">
        <v>16.8</v>
      </c>
      <c r="P99" s="130" t="s">
        <v>151</v>
      </c>
    </row>
    <row r="100" spans="1:17" x14ac:dyDescent="0.3">
      <c r="A100" s="127" t="s">
        <v>152</v>
      </c>
      <c r="B100" s="150">
        <f t="shared" si="40"/>
        <v>49</v>
      </c>
      <c r="C100" s="128">
        <v>29</v>
      </c>
      <c r="D100" s="128">
        <v>23.695</v>
      </c>
      <c r="E100" s="128">
        <v>20</v>
      </c>
      <c r="F100" s="129">
        <v>13.73</v>
      </c>
      <c r="G100" s="153">
        <f t="shared" si="41"/>
        <v>90</v>
      </c>
      <c r="H100" s="128">
        <v>46</v>
      </c>
      <c r="I100" s="158">
        <v>79.125</v>
      </c>
      <c r="J100" s="128">
        <v>35</v>
      </c>
      <c r="K100" s="158">
        <v>59.317999999999998</v>
      </c>
      <c r="L100" s="128">
        <v>8</v>
      </c>
      <c r="M100" s="158">
        <v>7.3</v>
      </c>
      <c r="N100" s="128">
        <v>1</v>
      </c>
      <c r="O100" s="146">
        <v>1</v>
      </c>
      <c r="P100" s="130" t="s">
        <v>153</v>
      </c>
    </row>
    <row r="101" spans="1:17" x14ac:dyDescent="0.3">
      <c r="A101" s="127" t="s">
        <v>154</v>
      </c>
      <c r="B101" s="150">
        <f t="shared" si="40"/>
        <v>2</v>
      </c>
      <c r="C101" s="128" t="s">
        <v>288</v>
      </c>
      <c r="D101" s="128" t="s">
        <v>288</v>
      </c>
      <c r="E101" s="128">
        <v>2</v>
      </c>
      <c r="F101" s="129">
        <v>2</v>
      </c>
      <c r="G101" s="153">
        <f t="shared" si="41"/>
        <v>1</v>
      </c>
      <c r="H101" s="128" t="s">
        <v>288</v>
      </c>
      <c r="I101" s="158" t="s">
        <v>288</v>
      </c>
      <c r="J101" s="128" t="s">
        <v>288</v>
      </c>
      <c r="K101" s="128" t="s">
        <v>288</v>
      </c>
      <c r="L101" s="128">
        <v>1</v>
      </c>
      <c r="M101" s="158">
        <v>1.3</v>
      </c>
      <c r="N101" s="128" t="s">
        <v>288</v>
      </c>
      <c r="O101" s="146" t="s">
        <v>288</v>
      </c>
      <c r="P101" s="130" t="s">
        <v>155</v>
      </c>
    </row>
    <row r="102" spans="1:17" x14ac:dyDescent="0.3">
      <c r="A102" s="127" t="s">
        <v>156</v>
      </c>
      <c r="B102" s="150">
        <f t="shared" si="40"/>
        <v>92</v>
      </c>
      <c r="C102" s="128">
        <v>61</v>
      </c>
      <c r="D102" s="128">
        <v>25.15</v>
      </c>
      <c r="E102" s="128">
        <v>31</v>
      </c>
      <c r="F102" s="146">
        <v>25.106999999999999</v>
      </c>
      <c r="G102" s="153">
        <f t="shared" si="41"/>
        <v>2474</v>
      </c>
      <c r="H102" s="128">
        <v>1715</v>
      </c>
      <c r="I102" s="128">
        <v>6440.3</v>
      </c>
      <c r="J102" s="128" t="s">
        <v>288</v>
      </c>
      <c r="K102" s="128" t="s">
        <v>288</v>
      </c>
      <c r="L102" s="128">
        <v>723</v>
      </c>
      <c r="M102" s="158">
        <v>1296.4000000000001</v>
      </c>
      <c r="N102" s="128">
        <v>36</v>
      </c>
      <c r="O102" s="129">
        <v>39.9</v>
      </c>
      <c r="P102" s="130" t="s">
        <v>157</v>
      </c>
    </row>
    <row r="103" spans="1:17" x14ac:dyDescent="0.3">
      <c r="A103" s="127" t="s">
        <v>158</v>
      </c>
      <c r="B103" s="150">
        <f t="shared" si="40"/>
        <v>30</v>
      </c>
      <c r="C103" s="128">
        <v>14</v>
      </c>
      <c r="D103" s="128">
        <v>41.4</v>
      </c>
      <c r="E103" s="128">
        <v>16</v>
      </c>
      <c r="F103" s="129">
        <v>25.5</v>
      </c>
      <c r="G103" s="153">
        <f t="shared" si="41"/>
        <v>280</v>
      </c>
      <c r="H103" s="128">
        <v>187</v>
      </c>
      <c r="I103" s="158">
        <v>546</v>
      </c>
      <c r="J103" s="128">
        <v>2</v>
      </c>
      <c r="K103" s="128">
        <v>4.8</v>
      </c>
      <c r="L103" s="128">
        <v>81</v>
      </c>
      <c r="M103" s="158">
        <v>153.25</v>
      </c>
      <c r="N103" s="128">
        <v>10</v>
      </c>
      <c r="O103" s="129">
        <v>21.606000000000002</v>
      </c>
      <c r="P103" s="130" t="s">
        <v>159</v>
      </c>
    </row>
    <row r="104" spans="1:17" x14ac:dyDescent="0.3">
      <c r="A104" s="127" t="s">
        <v>160</v>
      </c>
      <c r="B104" s="150">
        <f t="shared" si="40"/>
        <v>837</v>
      </c>
      <c r="C104" s="128">
        <v>619</v>
      </c>
      <c r="D104" s="128">
        <v>2166</v>
      </c>
      <c r="E104" s="128">
        <v>218</v>
      </c>
      <c r="F104" s="129">
        <v>367.40800000000002</v>
      </c>
      <c r="G104" s="153">
        <f t="shared" si="41"/>
        <v>1821</v>
      </c>
      <c r="H104" s="128">
        <v>1371</v>
      </c>
      <c r="I104" s="158">
        <v>3446.5120000000002</v>
      </c>
      <c r="J104" s="128">
        <v>15</v>
      </c>
      <c r="K104" s="158">
        <v>35.93</v>
      </c>
      <c r="L104" s="128">
        <v>425</v>
      </c>
      <c r="M104" s="158">
        <v>648.35</v>
      </c>
      <c r="N104" s="128">
        <v>10</v>
      </c>
      <c r="O104" s="129">
        <v>18</v>
      </c>
      <c r="P104" s="130" t="s">
        <v>161</v>
      </c>
    </row>
    <row r="105" spans="1:17" x14ac:dyDescent="0.3">
      <c r="A105" s="127" t="s">
        <v>162</v>
      </c>
      <c r="B105" s="150">
        <f t="shared" si="40"/>
        <v>16</v>
      </c>
      <c r="C105" s="128">
        <v>7</v>
      </c>
      <c r="D105" s="128">
        <v>10</v>
      </c>
      <c r="E105" s="128">
        <v>9</v>
      </c>
      <c r="F105" s="129">
        <v>9</v>
      </c>
      <c r="G105" s="153">
        <f t="shared" si="41"/>
        <v>80</v>
      </c>
      <c r="H105" s="128">
        <v>6</v>
      </c>
      <c r="I105" s="158">
        <v>10.8</v>
      </c>
      <c r="J105" s="128">
        <v>1</v>
      </c>
      <c r="K105" s="128">
        <v>0.8</v>
      </c>
      <c r="L105" s="128">
        <v>73</v>
      </c>
      <c r="M105" s="158">
        <v>100.8</v>
      </c>
      <c r="N105" s="131" t="s">
        <v>288</v>
      </c>
      <c r="O105" s="129" t="s">
        <v>288</v>
      </c>
      <c r="P105" s="130" t="s">
        <v>163</v>
      </c>
    </row>
    <row r="106" spans="1:17" x14ac:dyDescent="0.3">
      <c r="A106" s="192" t="s">
        <v>164</v>
      </c>
      <c r="B106" s="182">
        <f>SUM(B108:B111)</f>
        <v>4697</v>
      </c>
      <c r="C106" s="187">
        <f>SUM(C108:C111)</f>
        <v>2340</v>
      </c>
      <c r="D106" s="187">
        <f t="shared" ref="D106:O106" si="42">SUM(D108:D111)</f>
        <v>3963.645</v>
      </c>
      <c r="E106" s="187">
        <f t="shared" si="42"/>
        <v>2357</v>
      </c>
      <c r="F106" s="188">
        <f t="shared" si="42"/>
        <v>3098.5239999999999</v>
      </c>
      <c r="G106" s="182">
        <f t="shared" ref="G106" si="43">SUM(G108:G111)</f>
        <v>6601</v>
      </c>
      <c r="H106" s="187">
        <f t="shared" si="42"/>
        <v>2130</v>
      </c>
      <c r="I106" s="187">
        <f t="shared" si="42"/>
        <v>3226.8710000000001</v>
      </c>
      <c r="J106" s="187">
        <f t="shared" si="42"/>
        <v>2863</v>
      </c>
      <c r="K106" s="187">
        <f t="shared" si="42"/>
        <v>4528.9179999999997</v>
      </c>
      <c r="L106" s="187">
        <f t="shared" si="42"/>
        <v>1445</v>
      </c>
      <c r="M106" s="187">
        <f t="shared" si="42"/>
        <v>1755.5670000000002</v>
      </c>
      <c r="N106" s="187">
        <f t="shared" si="42"/>
        <v>163</v>
      </c>
      <c r="O106" s="188">
        <f t="shared" si="42"/>
        <v>155.79000000000002</v>
      </c>
      <c r="P106" s="197" t="s">
        <v>165</v>
      </c>
      <c r="Q106" s="197"/>
    </row>
    <row r="107" spans="1:17" x14ac:dyDescent="0.3">
      <c r="A107" s="192"/>
      <c r="B107" s="182"/>
      <c r="C107" s="187"/>
      <c r="D107" s="187"/>
      <c r="E107" s="187"/>
      <c r="F107" s="188"/>
      <c r="G107" s="182"/>
      <c r="H107" s="187"/>
      <c r="I107" s="187"/>
      <c r="J107" s="187"/>
      <c r="K107" s="187"/>
      <c r="L107" s="187"/>
      <c r="M107" s="187"/>
      <c r="N107" s="187"/>
      <c r="O107" s="188"/>
      <c r="P107" s="197"/>
      <c r="Q107" s="197"/>
    </row>
    <row r="108" spans="1:17" x14ac:dyDescent="0.3">
      <c r="A108" s="127" t="s">
        <v>166</v>
      </c>
      <c r="B108" s="150">
        <f t="shared" ref="B108:B111" si="44">SUM(C108,E108)</f>
        <v>3376</v>
      </c>
      <c r="C108" s="128">
        <v>1550</v>
      </c>
      <c r="D108" s="128">
        <v>1793.93</v>
      </c>
      <c r="E108" s="128">
        <v>1826</v>
      </c>
      <c r="F108" s="129">
        <v>2060.4499999999998</v>
      </c>
      <c r="G108" s="153">
        <f>SUM(H108,J108,L108,N108)</f>
        <v>2838</v>
      </c>
      <c r="H108" s="128">
        <v>892</v>
      </c>
      <c r="I108" s="158">
        <v>1151.05</v>
      </c>
      <c r="J108" s="128">
        <v>855</v>
      </c>
      <c r="K108" s="158">
        <v>1039.7</v>
      </c>
      <c r="L108" s="128">
        <v>936</v>
      </c>
      <c r="M108" s="158">
        <v>1025.1500000000001</v>
      </c>
      <c r="N108" s="128">
        <v>155</v>
      </c>
      <c r="O108" s="129">
        <v>141.80000000000001</v>
      </c>
      <c r="P108" s="130" t="s">
        <v>167</v>
      </c>
    </row>
    <row r="109" spans="1:17" x14ac:dyDescent="0.3">
      <c r="A109" s="127" t="s">
        <v>168</v>
      </c>
      <c r="B109" s="150">
        <f t="shared" si="44"/>
        <v>206</v>
      </c>
      <c r="C109" s="128">
        <v>104</v>
      </c>
      <c r="D109" s="128">
        <v>500.8</v>
      </c>
      <c r="E109" s="128">
        <v>102</v>
      </c>
      <c r="F109" s="129">
        <v>233.6</v>
      </c>
      <c r="G109" s="153">
        <f>SUM(H109,J109,L109,N109)</f>
        <v>1786</v>
      </c>
      <c r="H109" s="128">
        <v>207</v>
      </c>
      <c r="I109" s="158">
        <v>362.44799999999998</v>
      </c>
      <c r="J109" s="128">
        <v>1425</v>
      </c>
      <c r="K109" s="158">
        <v>2717.8339999999998</v>
      </c>
      <c r="L109" s="128">
        <v>151</v>
      </c>
      <c r="M109" s="158">
        <v>228.61</v>
      </c>
      <c r="N109" s="128">
        <v>3</v>
      </c>
      <c r="O109" s="129">
        <v>4.0999999999999996</v>
      </c>
      <c r="P109" s="130" t="s">
        <v>169</v>
      </c>
    </row>
    <row r="110" spans="1:17" x14ac:dyDescent="0.3">
      <c r="A110" s="127" t="s">
        <v>170</v>
      </c>
      <c r="B110" s="150">
        <f t="shared" si="44"/>
        <v>676</v>
      </c>
      <c r="C110" s="128">
        <v>406</v>
      </c>
      <c r="D110" s="128">
        <v>967.42</v>
      </c>
      <c r="E110" s="128">
        <v>270</v>
      </c>
      <c r="F110" s="129">
        <v>534.29</v>
      </c>
      <c r="G110" s="153">
        <f>SUM(H110,J110,L110,N110)</f>
        <v>1244</v>
      </c>
      <c r="H110" s="128">
        <v>765</v>
      </c>
      <c r="I110" s="158">
        <v>1343.15</v>
      </c>
      <c r="J110" s="128">
        <v>343</v>
      </c>
      <c r="K110" s="158">
        <v>443</v>
      </c>
      <c r="L110" s="128">
        <v>134</v>
      </c>
      <c r="M110" s="158">
        <v>197.97</v>
      </c>
      <c r="N110" s="131">
        <v>2</v>
      </c>
      <c r="O110" s="129">
        <v>2.9</v>
      </c>
      <c r="P110" s="130" t="s">
        <v>171</v>
      </c>
    </row>
    <row r="111" spans="1:17" ht="15" thickBot="1" x14ac:dyDescent="0.35">
      <c r="A111" s="135" t="s">
        <v>172</v>
      </c>
      <c r="B111" s="152">
        <f t="shared" si="44"/>
        <v>439</v>
      </c>
      <c r="C111" s="136">
        <v>280</v>
      </c>
      <c r="D111" s="136">
        <v>701.495</v>
      </c>
      <c r="E111" s="136">
        <v>159</v>
      </c>
      <c r="F111" s="138">
        <v>270.18400000000003</v>
      </c>
      <c r="G111" s="154">
        <f>SUM(H111,J111,L111,N111)</f>
        <v>733</v>
      </c>
      <c r="H111" s="136">
        <v>266</v>
      </c>
      <c r="I111" s="137">
        <v>370.22300000000001</v>
      </c>
      <c r="J111" s="136">
        <v>240</v>
      </c>
      <c r="K111" s="137">
        <v>328.38400000000001</v>
      </c>
      <c r="L111" s="136">
        <v>224</v>
      </c>
      <c r="M111" s="137">
        <v>303.83699999999999</v>
      </c>
      <c r="N111" s="136">
        <v>3</v>
      </c>
      <c r="O111" s="138">
        <v>6.99</v>
      </c>
      <c r="P111" s="139" t="s">
        <v>173</v>
      </c>
      <c r="Q111" s="140"/>
    </row>
    <row r="112" spans="1:17" x14ac:dyDescent="0.3">
      <c r="A112" s="141" t="s">
        <v>174</v>
      </c>
      <c r="O112" s="202" t="s">
        <v>175</v>
      </c>
      <c r="P112" s="203"/>
      <c r="Q112" s="203"/>
    </row>
    <row r="113" spans="1:1" x14ac:dyDescent="0.3">
      <c r="A113" s="142"/>
    </row>
  </sheetData>
  <mergeCells count="243">
    <mergeCell ref="A2:P2"/>
    <mergeCell ref="A3:P3"/>
    <mergeCell ref="O112:Q112"/>
    <mergeCell ref="P106:Q107"/>
    <mergeCell ref="N84:N85"/>
    <mergeCell ref="O74:O75"/>
    <mergeCell ref="P74:Q75"/>
    <mergeCell ref="L106:L107"/>
    <mergeCell ref="M106:M107"/>
    <mergeCell ref="P91:Q92"/>
    <mergeCell ref="O84:O85"/>
    <mergeCell ref="P84:Q85"/>
    <mergeCell ref="P83:R83"/>
    <mergeCell ref="P77:R77"/>
    <mergeCell ref="P78:R78"/>
    <mergeCell ref="O106:O107"/>
    <mergeCell ref="O91:O92"/>
    <mergeCell ref="L84:L85"/>
    <mergeCell ref="M84:M85"/>
    <mergeCell ref="P79:R79"/>
    <mergeCell ref="P80:R80"/>
    <mergeCell ref="A91:A92"/>
    <mergeCell ref="B91:B92"/>
    <mergeCell ref="C91:C92"/>
    <mergeCell ref="D91:D92"/>
    <mergeCell ref="E91:E92"/>
    <mergeCell ref="F91:F92"/>
    <mergeCell ref="H91:H92"/>
    <mergeCell ref="I91:I92"/>
    <mergeCell ref="A106:A107"/>
    <mergeCell ref="B106:B107"/>
    <mergeCell ref="C106:C107"/>
    <mergeCell ref="D106:D107"/>
    <mergeCell ref="E106:E107"/>
    <mergeCell ref="F106:F107"/>
    <mergeCell ref="H106:H107"/>
    <mergeCell ref="I106:I107"/>
    <mergeCell ref="A74:A75"/>
    <mergeCell ref="B74:B75"/>
    <mergeCell ref="C74:C75"/>
    <mergeCell ref="D74:D75"/>
    <mergeCell ref="E74:E75"/>
    <mergeCell ref="F74:F75"/>
    <mergeCell ref="A84:A85"/>
    <mergeCell ref="B84:B85"/>
    <mergeCell ref="C84:C85"/>
    <mergeCell ref="D84:D85"/>
    <mergeCell ref="E84:E85"/>
    <mergeCell ref="F84:F85"/>
    <mergeCell ref="J106:J107"/>
    <mergeCell ref="J91:J92"/>
    <mergeCell ref="H84:H85"/>
    <mergeCell ref="I84:I85"/>
    <mergeCell ref="J84:J85"/>
    <mergeCell ref="P81:R81"/>
    <mergeCell ref="P82:R82"/>
    <mergeCell ref="K106:K107"/>
    <mergeCell ref="N91:N92"/>
    <mergeCell ref="L91:L92"/>
    <mergeCell ref="M91:M92"/>
    <mergeCell ref="K84:K85"/>
    <mergeCell ref="N106:N107"/>
    <mergeCell ref="K91:K92"/>
    <mergeCell ref="L62:L63"/>
    <mergeCell ref="M62:M63"/>
    <mergeCell ref="O62:O63"/>
    <mergeCell ref="P62:Q63"/>
    <mergeCell ref="H62:H63"/>
    <mergeCell ref="P76:R76"/>
    <mergeCell ref="H74:H75"/>
    <mergeCell ref="I74:I75"/>
    <mergeCell ref="J74:J75"/>
    <mergeCell ref="K74:K75"/>
    <mergeCell ref="L74:L75"/>
    <mergeCell ref="M74:M75"/>
    <mergeCell ref="N74:N75"/>
    <mergeCell ref="B62:B63"/>
    <mergeCell ref="C62:C63"/>
    <mergeCell ref="D62:D63"/>
    <mergeCell ref="E62:E63"/>
    <mergeCell ref="F62:F63"/>
    <mergeCell ref="J62:J63"/>
    <mergeCell ref="P65:Q65"/>
    <mergeCell ref="A67:A68"/>
    <mergeCell ref="B67:B68"/>
    <mergeCell ref="C67:C68"/>
    <mergeCell ref="D67:D68"/>
    <mergeCell ref="E67:E68"/>
    <mergeCell ref="O67:O68"/>
    <mergeCell ref="P67:Q68"/>
    <mergeCell ref="F67:F68"/>
    <mergeCell ref="H67:H68"/>
    <mergeCell ref="N67:N68"/>
    <mergeCell ref="I67:I68"/>
    <mergeCell ref="J67:J68"/>
    <mergeCell ref="K67:K68"/>
    <mergeCell ref="L67:L68"/>
    <mergeCell ref="M67:M68"/>
    <mergeCell ref="N62:N63"/>
    <mergeCell ref="K62:K63"/>
    <mergeCell ref="H55:H56"/>
    <mergeCell ref="I55:I56"/>
    <mergeCell ref="N55:N56"/>
    <mergeCell ref="O55:O56"/>
    <mergeCell ref="I62:I63"/>
    <mergeCell ref="A48:A49"/>
    <mergeCell ref="B48:B49"/>
    <mergeCell ref="C48:C49"/>
    <mergeCell ref="D48:D49"/>
    <mergeCell ref="E48:E49"/>
    <mergeCell ref="F48:F49"/>
    <mergeCell ref="H48:H49"/>
    <mergeCell ref="I48:I49"/>
    <mergeCell ref="J48:J49"/>
    <mergeCell ref="G48:G49"/>
    <mergeCell ref="G55:G56"/>
    <mergeCell ref="G62:G63"/>
    <mergeCell ref="A55:A56"/>
    <mergeCell ref="B55:B56"/>
    <mergeCell ref="C55:C56"/>
    <mergeCell ref="D55:D56"/>
    <mergeCell ref="E55:E56"/>
    <mergeCell ref="F55:F56"/>
    <mergeCell ref="A62:A63"/>
    <mergeCell ref="P55:Q56"/>
    <mergeCell ref="L55:L56"/>
    <mergeCell ref="N41:N42"/>
    <mergeCell ref="O41:O42"/>
    <mergeCell ref="P41:Q42"/>
    <mergeCell ref="M55:M56"/>
    <mergeCell ref="J41:J42"/>
    <mergeCell ref="K41:K42"/>
    <mergeCell ref="L41:L42"/>
    <mergeCell ref="P46:Q46"/>
    <mergeCell ref="O48:O49"/>
    <mergeCell ref="P48:Q49"/>
    <mergeCell ref="L48:L49"/>
    <mergeCell ref="M48:M49"/>
    <mergeCell ref="N48:N49"/>
    <mergeCell ref="K48:K49"/>
    <mergeCell ref="M41:M42"/>
    <mergeCell ref="K55:K56"/>
    <mergeCell ref="J55:J56"/>
    <mergeCell ref="B41:B42"/>
    <mergeCell ref="C41:C42"/>
    <mergeCell ref="D41:D42"/>
    <mergeCell ref="E41:E42"/>
    <mergeCell ref="H35:H36"/>
    <mergeCell ref="I35:I36"/>
    <mergeCell ref="G35:G36"/>
    <mergeCell ref="G41:G42"/>
    <mergeCell ref="A35:A36"/>
    <mergeCell ref="B35:B36"/>
    <mergeCell ref="C35:C36"/>
    <mergeCell ref="D35:D36"/>
    <mergeCell ref="E35:E36"/>
    <mergeCell ref="F35:F36"/>
    <mergeCell ref="F41:F42"/>
    <mergeCell ref="H41:H42"/>
    <mergeCell ref="I41:I42"/>
    <mergeCell ref="A41:A42"/>
    <mergeCell ref="B11:B12"/>
    <mergeCell ref="G21:G22"/>
    <mergeCell ref="J35:J36"/>
    <mergeCell ref="K35:K36"/>
    <mergeCell ref="L35:L36"/>
    <mergeCell ref="M35:M36"/>
    <mergeCell ref="N35:N36"/>
    <mergeCell ref="O35:O36"/>
    <mergeCell ref="P35:Q36"/>
    <mergeCell ref="P21:Q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H21:H22"/>
    <mergeCell ref="P7:Q10"/>
    <mergeCell ref="P11:Q12"/>
    <mergeCell ref="H11:H12"/>
    <mergeCell ref="I11:I12"/>
    <mergeCell ref="D13:D14"/>
    <mergeCell ref="E13:E14"/>
    <mergeCell ref="F13:F14"/>
    <mergeCell ref="N13:N14"/>
    <mergeCell ref="O13:O14"/>
    <mergeCell ref="P13:Q14"/>
    <mergeCell ref="I13:I14"/>
    <mergeCell ref="J13:J14"/>
    <mergeCell ref="L13:L14"/>
    <mergeCell ref="M13:M14"/>
    <mergeCell ref="K13:K14"/>
    <mergeCell ref="G13:G14"/>
    <mergeCell ref="H13:H14"/>
    <mergeCell ref="G67:G68"/>
    <mergeCell ref="G74:G75"/>
    <mergeCell ref="G84:G85"/>
    <mergeCell ref="G91:G92"/>
    <mergeCell ref="G106:G107"/>
    <mergeCell ref="A7:A10"/>
    <mergeCell ref="M11:M12"/>
    <mergeCell ref="N11:N12"/>
    <mergeCell ref="O11:O12"/>
    <mergeCell ref="J11:J12"/>
    <mergeCell ref="K11:K12"/>
    <mergeCell ref="L11:L12"/>
    <mergeCell ref="F11:F12"/>
    <mergeCell ref="C11:C12"/>
    <mergeCell ref="D11:D12"/>
    <mergeCell ref="E11:E12"/>
    <mergeCell ref="G11:G12"/>
    <mergeCell ref="M21:M22"/>
    <mergeCell ref="A11:A12"/>
    <mergeCell ref="N21:N22"/>
    <mergeCell ref="O21:O22"/>
    <mergeCell ref="A13:A14"/>
    <mergeCell ref="B13:B14"/>
    <mergeCell ref="C13:C14"/>
    <mergeCell ref="B7:B8"/>
    <mergeCell ref="B9:B10"/>
    <mergeCell ref="C7:D8"/>
    <mergeCell ref="C9:D9"/>
    <mergeCell ref="E9:F9"/>
    <mergeCell ref="E7:F8"/>
    <mergeCell ref="G5:O5"/>
    <mergeCell ref="B5:F5"/>
    <mergeCell ref="G7:G8"/>
    <mergeCell ref="G9:G10"/>
    <mergeCell ref="H7:I8"/>
    <mergeCell ref="H9:I9"/>
    <mergeCell ref="J7:K8"/>
    <mergeCell ref="L7:M8"/>
    <mergeCell ref="J9:K9"/>
    <mergeCell ref="L9:M9"/>
    <mergeCell ref="N7:O8"/>
    <mergeCell ref="N9:O9"/>
    <mergeCell ref="B6:F6"/>
    <mergeCell ref="G6:O6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ListOfValues</vt:lpstr>
      <vt:lpstr>ΠΙΝΑΚΑΣ 2(η)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2015-05-06T08:57:43Z</cp:lastPrinted>
  <dcterms:created xsi:type="dcterms:W3CDTF">2015-05-06T07:17:17Z</dcterms:created>
  <dcterms:modified xsi:type="dcterms:W3CDTF">2026-06-23T05:22:22Z</dcterms:modified>
</cp:coreProperties>
</file>