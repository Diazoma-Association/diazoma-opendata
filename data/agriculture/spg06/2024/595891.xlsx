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92F4B719-88C6-45CA-BBC3-29376F1E9F73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B17" i="2"/>
  <c r="B18" i="2"/>
  <c r="C18" i="2"/>
  <c r="B20" i="2"/>
  <c r="F15" i="2"/>
  <c r="B110" i="2"/>
  <c r="C17" i="2"/>
  <c r="D17" i="2"/>
  <c r="E42" i="2"/>
  <c r="E40" i="2"/>
  <c r="E17" i="2"/>
  <c r="E18" i="2"/>
  <c r="Y76" i="2"/>
  <c r="C23" i="2" l="1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E19" i="2"/>
  <c r="D19" i="2"/>
  <c r="E113" i="2"/>
  <c r="E112" i="2"/>
  <c r="E111" i="2"/>
  <c r="E110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2" i="2"/>
  <c r="E91" i="2"/>
  <c r="E90" i="2"/>
  <c r="E89" i="2"/>
  <c r="E88" i="2"/>
  <c r="E85" i="2"/>
  <c r="E84" i="2"/>
  <c r="E83" i="2"/>
  <c r="E82" i="2"/>
  <c r="E81" i="2"/>
  <c r="E80" i="2"/>
  <c r="E79" i="2"/>
  <c r="E78" i="2"/>
  <c r="E75" i="2"/>
  <c r="E74" i="2"/>
  <c r="E73" i="2"/>
  <c r="E72" i="2"/>
  <c r="E71" i="2"/>
  <c r="E68" i="2"/>
  <c r="E67" i="2"/>
  <c r="E66" i="2"/>
  <c r="E63" i="2"/>
  <c r="E62" i="2"/>
  <c r="E61" i="2"/>
  <c r="E60" i="2"/>
  <c r="E59" i="2"/>
  <c r="E56" i="2"/>
  <c r="E55" i="2"/>
  <c r="E54" i="2"/>
  <c r="E53" i="2"/>
  <c r="E52" i="2"/>
  <c r="E49" i="2"/>
  <c r="E48" i="2"/>
  <c r="E47" i="2"/>
  <c r="E46" i="2"/>
  <c r="E45" i="2"/>
  <c r="E41" i="2"/>
  <c r="E39" i="2"/>
  <c r="E36" i="2"/>
  <c r="E35" i="2"/>
  <c r="E34" i="2"/>
  <c r="E33" i="2"/>
  <c r="E31" i="2"/>
  <c r="E30" i="2"/>
  <c r="E29" i="2"/>
  <c r="E28" i="2"/>
  <c r="E27" i="2"/>
  <c r="E26" i="2"/>
  <c r="E25" i="2"/>
  <c r="E22" i="2"/>
  <c r="E21" i="2"/>
  <c r="E20" i="2"/>
  <c r="D113" i="2"/>
  <c r="D112" i="2"/>
  <c r="D111" i="2"/>
  <c r="D110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2" i="2"/>
  <c r="D91" i="2"/>
  <c r="D90" i="2"/>
  <c r="D89" i="2"/>
  <c r="D88" i="2"/>
  <c r="D85" i="2"/>
  <c r="D84" i="2"/>
  <c r="D83" i="2"/>
  <c r="D82" i="2"/>
  <c r="D81" i="2"/>
  <c r="D80" i="2"/>
  <c r="D79" i="2"/>
  <c r="D78" i="2"/>
  <c r="D75" i="2"/>
  <c r="D74" i="2"/>
  <c r="D73" i="2"/>
  <c r="D72" i="2"/>
  <c r="D71" i="2"/>
  <c r="D68" i="2"/>
  <c r="D67" i="2"/>
  <c r="D66" i="2"/>
  <c r="D63" i="2"/>
  <c r="D62" i="2"/>
  <c r="D61" i="2"/>
  <c r="D60" i="2"/>
  <c r="D59" i="2"/>
  <c r="D56" i="2"/>
  <c r="D55" i="2"/>
  <c r="D54" i="2"/>
  <c r="D53" i="2"/>
  <c r="D52" i="2"/>
  <c r="D49" i="2"/>
  <c r="D48" i="2"/>
  <c r="D47" i="2"/>
  <c r="D46" i="2"/>
  <c r="D45" i="2"/>
  <c r="D42" i="2"/>
  <c r="D41" i="2"/>
  <c r="D40" i="2"/>
  <c r="D39" i="2"/>
  <c r="D36" i="2"/>
  <c r="D35" i="2"/>
  <c r="D34" i="2"/>
  <c r="D33" i="2"/>
  <c r="D31" i="2"/>
  <c r="D30" i="2"/>
  <c r="D29" i="2"/>
  <c r="D28" i="2"/>
  <c r="D27" i="2"/>
  <c r="D26" i="2"/>
  <c r="D25" i="2"/>
  <c r="D18" i="2"/>
  <c r="C113" i="2"/>
  <c r="C112" i="2"/>
  <c r="C111" i="2"/>
  <c r="C110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2" i="2"/>
  <c r="C91" i="2"/>
  <c r="C90" i="2"/>
  <c r="C89" i="2"/>
  <c r="C88" i="2"/>
  <c r="C85" i="2"/>
  <c r="C84" i="2"/>
  <c r="C83" i="2"/>
  <c r="C82" i="2"/>
  <c r="C81" i="2"/>
  <c r="C80" i="2"/>
  <c r="C79" i="2"/>
  <c r="C78" i="2"/>
  <c r="C75" i="2"/>
  <c r="C74" i="2"/>
  <c r="C73" i="2"/>
  <c r="C72" i="2"/>
  <c r="C71" i="2"/>
  <c r="C68" i="2"/>
  <c r="C67" i="2"/>
  <c r="C66" i="2"/>
  <c r="C63" i="2"/>
  <c r="C62" i="2"/>
  <c r="C61" i="2"/>
  <c r="C60" i="2"/>
  <c r="C59" i="2"/>
  <c r="C56" i="2"/>
  <c r="C55" i="2"/>
  <c r="C54" i="2"/>
  <c r="C53" i="2"/>
  <c r="C52" i="2"/>
  <c r="C49" i="2"/>
  <c r="C48" i="2"/>
  <c r="C47" i="2"/>
  <c r="C46" i="2"/>
  <c r="C45" i="2"/>
  <c r="C42" i="2"/>
  <c r="C41" i="2"/>
  <c r="C40" i="2"/>
  <c r="C39" i="2"/>
  <c r="C33" i="2"/>
  <c r="C36" i="2"/>
  <c r="C35" i="2"/>
  <c r="C34" i="2"/>
  <c r="C31" i="2"/>
  <c r="C30" i="2"/>
  <c r="C29" i="2"/>
  <c r="C28" i="2"/>
  <c r="C27" i="2"/>
  <c r="C25" i="2"/>
  <c r="D20" i="2"/>
  <c r="D21" i="2"/>
  <c r="D22" i="2"/>
  <c r="C19" i="2"/>
  <c r="C20" i="2"/>
  <c r="C21" i="2"/>
  <c r="C22" i="2"/>
  <c r="J32" i="2"/>
  <c r="J15" i="2"/>
  <c r="F23" i="2"/>
  <c r="C15" i="2" l="1"/>
  <c r="E76" i="2"/>
  <c r="D15" i="2"/>
  <c r="B113" i="2"/>
  <c r="B112" i="2"/>
  <c r="B111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2" i="2"/>
  <c r="B91" i="2"/>
  <c r="B90" i="2"/>
  <c r="B89" i="2"/>
  <c r="B88" i="2"/>
  <c r="B85" i="2"/>
  <c r="B84" i="2"/>
  <c r="B83" i="2"/>
  <c r="B82" i="2"/>
  <c r="B81" i="2"/>
  <c r="B80" i="2"/>
  <c r="B79" i="2"/>
  <c r="B78" i="2"/>
  <c r="B75" i="2"/>
  <c r="B74" i="2"/>
  <c r="B73" i="2"/>
  <c r="B72" i="2"/>
  <c r="B71" i="2"/>
  <c r="B68" i="2"/>
  <c r="B67" i="2"/>
  <c r="B66" i="2"/>
  <c r="B63" i="2"/>
  <c r="B62" i="2"/>
  <c r="B61" i="2"/>
  <c r="B60" i="2"/>
  <c r="B59" i="2"/>
  <c r="B56" i="2"/>
  <c r="B55" i="2"/>
  <c r="B54" i="2"/>
  <c r="B53" i="2"/>
  <c r="B52" i="2"/>
  <c r="B49" i="2"/>
  <c r="B48" i="2"/>
  <c r="B47" i="2"/>
  <c r="B46" i="2"/>
  <c r="B45" i="2"/>
  <c r="B42" i="2"/>
  <c r="B41" i="2"/>
  <c r="B40" i="2"/>
  <c r="B39" i="2"/>
  <c r="B36" i="2"/>
  <c r="B35" i="2"/>
  <c r="B34" i="2"/>
  <c r="B33" i="2"/>
  <c r="B22" i="2"/>
  <c r="B21" i="2"/>
  <c r="B19" i="2"/>
  <c r="B27" i="2"/>
  <c r="B25" i="2"/>
  <c r="B26" i="2"/>
  <c r="B28" i="2"/>
  <c r="B29" i="2"/>
  <c r="B30" i="2"/>
  <c r="B31" i="2"/>
  <c r="F32" i="2"/>
  <c r="G32" i="2"/>
  <c r="H32" i="2"/>
  <c r="I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D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I108" i="2"/>
  <c r="J108" i="2"/>
  <c r="I93" i="2"/>
  <c r="J93" i="2"/>
  <c r="I69" i="2"/>
  <c r="J69" i="2"/>
  <c r="I86" i="2"/>
  <c r="J86" i="2"/>
  <c r="I76" i="2"/>
  <c r="J76" i="2"/>
  <c r="I64" i="2"/>
  <c r="J64" i="2"/>
  <c r="I57" i="2"/>
  <c r="J57" i="2"/>
  <c r="I43" i="2"/>
  <c r="J43" i="2"/>
  <c r="I37" i="2"/>
  <c r="J37" i="2"/>
  <c r="I15" i="2"/>
  <c r="X108" i="2"/>
  <c r="Y108" i="2"/>
  <c r="X93" i="2"/>
  <c r="Y93" i="2"/>
  <c r="X86" i="2"/>
  <c r="Y86" i="2"/>
  <c r="X76" i="2"/>
  <c r="X69" i="2"/>
  <c r="Y69" i="2"/>
  <c r="X64" i="2"/>
  <c r="Y64" i="2"/>
  <c r="X57" i="2"/>
  <c r="Y57" i="2"/>
  <c r="X43" i="2"/>
  <c r="Y43" i="2"/>
  <c r="X37" i="2"/>
  <c r="Y37" i="2"/>
  <c r="Y15" i="2"/>
  <c r="G15" i="2"/>
  <c r="H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H108" i="2"/>
  <c r="G108" i="2"/>
  <c r="F108" i="2"/>
  <c r="D108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H93" i="2"/>
  <c r="G93" i="2"/>
  <c r="F93" i="2"/>
  <c r="D93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H86" i="2"/>
  <c r="G86" i="2"/>
  <c r="F86" i="2"/>
  <c r="D8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H76" i="2"/>
  <c r="G76" i="2"/>
  <c r="F76" i="2"/>
  <c r="C76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H69" i="2"/>
  <c r="G69" i="2"/>
  <c r="F69" i="2"/>
  <c r="E69" i="2"/>
  <c r="C69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H64" i="2"/>
  <c r="G64" i="2"/>
  <c r="F64" i="2"/>
  <c r="E64" i="2"/>
  <c r="C64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H57" i="2"/>
  <c r="G57" i="2"/>
  <c r="F57" i="2"/>
  <c r="E57" i="2"/>
  <c r="C57" i="2"/>
  <c r="E50" i="2"/>
  <c r="C50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H43" i="2"/>
  <c r="G43" i="2"/>
  <c r="F43" i="2"/>
  <c r="E43" i="2"/>
  <c r="C43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H37" i="2"/>
  <c r="G37" i="2"/>
  <c r="F37" i="2"/>
  <c r="D37" i="2"/>
  <c r="B76" i="2" l="1"/>
  <c r="B108" i="2"/>
  <c r="B57" i="2"/>
  <c r="B43" i="2"/>
  <c r="F13" i="2"/>
  <c r="B37" i="2"/>
  <c r="B15" i="2"/>
  <c r="N13" i="2"/>
  <c r="Y13" i="2"/>
  <c r="X13" i="2"/>
  <c r="B86" i="2"/>
  <c r="B64" i="2"/>
  <c r="B50" i="2"/>
  <c r="B93" i="2"/>
  <c r="B69" i="2"/>
  <c r="J13" i="2"/>
  <c r="B32" i="2"/>
  <c r="B23" i="2"/>
  <c r="I13" i="2"/>
  <c r="D32" i="2"/>
  <c r="C108" i="2"/>
  <c r="E108" i="2"/>
  <c r="C93" i="2"/>
  <c r="E93" i="2"/>
  <c r="C86" i="2"/>
  <c r="E86" i="2"/>
  <c r="D76" i="2"/>
  <c r="D69" i="2"/>
  <c r="D64" i="2"/>
  <c r="D50" i="2"/>
  <c r="D43" i="2"/>
  <c r="C37" i="2"/>
  <c r="E37" i="2"/>
  <c r="E32" i="2"/>
  <c r="E23" i="2"/>
  <c r="E15" i="2"/>
  <c r="D57" i="2"/>
  <c r="V13" i="2"/>
  <c r="T13" i="2"/>
  <c r="R13" i="2"/>
  <c r="P13" i="2"/>
  <c r="L13" i="2"/>
  <c r="H13" i="2"/>
  <c r="W13" i="2"/>
  <c r="U13" i="2"/>
  <c r="S13" i="2"/>
  <c r="Q13" i="2"/>
  <c r="O13" i="2"/>
  <c r="M13" i="2"/>
  <c r="K13" i="2"/>
  <c r="G13" i="2"/>
  <c r="C32" i="2"/>
  <c r="B13" i="2" l="1"/>
  <c r="E13" i="2"/>
  <c r="D13" i="2"/>
  <c r="C13" i="2"/>
</calcChain>
</file>

<file path=xl/sharedStrings.xml><?xml version="1.0" encoding="utf-8"?>
<sst xmlns="http://schemas.openxmlformats.org/spreadsheetml/2006/main" count="2815" uniqueCount="347">
  <si>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</si>
  <si>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</si>
  <si>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</si>
  <si>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</si>
  <si>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</si>
  <si>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</si>
  <si>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</si>
  <si>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</si>
  <si>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</si>
  <si>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</si>
  <si>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</si>
  <si>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</si>
  <si>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</si>
  <si>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</si>
  <si>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</si>
  <si>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</si>
  <si>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</si>
  <si>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</si>
  <si>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</si>
  <si>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</si>
  <si>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</si>
  <si>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</si>
  <si>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</si>
  <si>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</si>
  <si>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</si>
  <si>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</si>
  <si>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</si>
  <si>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</si>
  <si>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</si>
  <si>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</si>
  <si>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</si>
  <si>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</si>
  <si>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</si>
  <si>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</si>
  <si>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</si>
  <si>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</si>
  <si>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</si>
  <si>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</si>
  <si>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</si>
  <si>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</si>
  <si>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</si>
  <si>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</si>
  <si>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</si>
  <si>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</si>
  <si>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</si>
  <si>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</si>
  <si>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</si>
  <si>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</si>
  <si>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</si>
  <si>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</si>
  <si>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</si>
  <si>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</si>
  <si>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</si>
  <si>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</si>
  <si>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</si>
  <si>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</si>
  <si>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</si>
  <si>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</si>
  <si>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</si>
  <si>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</si>
  <si>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</si>
  <si>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</si>
  <si>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</si>
  <si>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</si>
  <si>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</si>
  <si>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</si>
  <si>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</si>
  <si>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</si>
  <si>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</si>
  <si>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</si>
  <si>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</si>
  <si>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</si>
  <si>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</si>
  <si>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</si>
  <si>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</si>
  <si>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</si>
  <si>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</si>
  <si>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</si>
  <si>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</si>
  <si>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</si>
  <si>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</si>
  <si>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</si>
  <si>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</si>
  <si>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</si>
  <si>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</si>
  <si>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</si>
  <si>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</si>
  <si>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</si>
  <si>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</si>
  <si>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</si>
  <si>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</si>
  <si>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</si>
  <si>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</si>
  <si>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</si>
  <si>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</si>
  <si>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</si>
  <si>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</si>
  <si>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</si>
  <si>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</si>
  <si>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</si>
  <si>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</si>
  <si>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</si>
  <si>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</si>
  <si>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</si>
  <si>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</si>
  <si>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</si>
  <si>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</si>
  <si>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</si>
  <si>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</si>
  <si>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</si>
  <si>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</si>
  <si>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</si>
  <si>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</si>
  <si>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</si>
  <si>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</si>
  <si>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</si>
  <si>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</si>
  <si>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</si>
  <si>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</si>
  <si>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</si>
  <si>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</si>
  <si>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</si>
  <si>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</si>
  <si>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</si>
  <si>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</si>
  <si>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</si>
  <si>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</si>
  <si>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</si>
  <si>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</si>
  <si>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</si>
  <si>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</si>
  <si>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</si>
  <si>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</si>
  <si>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</si>
  <si>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</si>
  <si>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</si>
  <si>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</si>
  <si>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</si>
  <si>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</si>
  <si>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</si>
  <si>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</si>
  <si>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</si>
  <si>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</si>
  <si>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</si>
  <si>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</si>
  <si>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</si>
  <si>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</si>
  <si>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</si>
  <si>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</si>
  <si>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</si>
  <si>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</si>
  <si>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</si>
  <si>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</si>
  <si>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</si>
  <si>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</si>
  <si>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</si>
  <si>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</si>
  <si>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</si>
  <si>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</si>
  <si>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</si>
  <si>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</si>
  <si>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</si>
  <si>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</si>
  <si>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</si>
  <si>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</si>
  <si>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</si>
  <si>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</si>
  <si>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</si>
  <si>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</si>
  <si>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</si>
  <si>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</si>
  <si>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</si>
  <si>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</si>
  <si>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</si>
  <si>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</si>
  <si>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</si>
  <si>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</si>
  <si>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</si>
  <si>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</si>
  <si>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</si>
  <si>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</si>
  <si>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</si>
  <si>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</si>
  <si>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</si>
  <si>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</si>
  <si>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</si>
  <si>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</si>
  <si>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</si>
  <si>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</si>
  <si>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</si>
  <si>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</si>
  <si>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</si>
  <si>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</si>
  <si>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</si>
  <si>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</si>
  <si>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</si>
  <si>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</si>
  <si>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</si>
  <si>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</si>
  <si>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</si>
  <si>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</si>
  <si>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</si>
  <si>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</si>
  <si>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</si>
  <si>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</si>
  <si>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</si>
  <si>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</si>
  <si>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</si>
  <si>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</si>
  <si>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</si>
  <si>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</si>
  <si>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</si>
  <si>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</si>
  <si>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</si>
  <si>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</si>
  <si>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</si>
  <si>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</si>
  <si>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</si>
  <si>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</si>
  <si>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</si>
  <si>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</si>
  <si>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</si>
  <si>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</si>
  <si>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</si>
  <si>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</si>
  <si>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</si>
  <si>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</si>
  <si>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</si>
  <si>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</si>
  <si>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</si>
  <si>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</si>
  <si>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</si>
  <si>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</si>
  <si>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</si>
  <si>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</si>
  <si>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</si>
  <si>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</si>
  <si>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</si>
  <si>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</si>
  <si>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</si>
  <si>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</si>
  <si>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</si>
  <si>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</si>
  <si>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</si>
  <si>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</si>
  <si>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</si>
  <si>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</si>
  <si>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</si>
  <si>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</si>
  <si>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</si>
  <si>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</si>
  <si>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</si>
  <si>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</si>
  <si>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</si>
  <si>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</si>
  <si>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</si>
  <si>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</si>
  <si>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</si>
  <si>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</si>
  <si>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</si>
  <si>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</si>
  <si>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</si>
  <si>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</si>
  <si>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</si>
  <si>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</si>
  <si>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</si>
  <si>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</si>
  <si>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</si>
  <si>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</si>
  <si>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</si>
  <si>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</si>
  <si>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</si>
  <si>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</si>
  <si>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</si>
  <si>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</si>
  <si>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</si>
  <si>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</si>
  <si>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</si>
  <si>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</si>
  <si>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</si>
  <si>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</si>
  <si>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</si>
  <si>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</si>
  <si>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</si>
  <si>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</si>
  <si>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</si>
  <si>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</si>
  <si>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</si>
  <si>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</si>
  <si>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</si>
  <si>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</si>
  <si>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</si>
  <si>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</si>
  <si>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</si>
  <si>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</si>
  <si>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</si>
  <si>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</si>
  <si>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</si>
  <si>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</si>
  <si>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</si>
  <si>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</si>
  <si>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</si>
  <si>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</si>
  <si>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</si>
  <si>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</si>
  <si>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</si>
  <si>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</si>
  <si>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</si>
  <si>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</si>
  <si>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</si>
  <si>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</si>
  <si>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</si>
  <si>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</si>
  <si>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</si>
  <si>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</si>
  <si>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</si>
  <si>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</si>
  <si>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</si>
  <si>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Areas in stremmas (1 stremma = 0.1 ha), production in tons</t>
  </si>
  <si>
    <t>—</t>
  </si>
  <si>
    <t xml:space="preserve">Αμπέλια για κρασί </t>
  </si>
  <si>
    <t>Grapes for wine</t>
  </si>
  <si>
    <t>Αμπέλια επιτραπέζιων σταφυλιών</t>
  </si>
  <si>
    <t>Table grapes</t>
  </si>
  <si>
    <t>Vines total</t>
  </si>
  <si>
    <t>Κορινθιακής</t>
  </si>
  <si>
    <t>Corinth</t>
  </si>
  <si>
    <t>Σουλτανίνα</t>
  </si>
  <si>
    <t>Λοιπά</t>
  </si>
  <si>
    <t>επιτραπέζιων
σταφυλιών</t>
  </si>
  <si>
    <t>σταφίδων</t>
  </si>
  <si>
    <r>
      <t>σταφυλιών που γλευκοποιήθηκαν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</si>
  <si>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</si>
  <si>
    <t>wine</t>
  </si>
  <si>
    <t>table use</t>
  </si>
  <si>
    <t>raisins</t>
  </si>
  <si>
    <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</si>
  <si>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t>Other</t>
  </si>
  <si>
    <t>Εκτάσεις</t>
  </si>
  <si>
    <t>Areas</t>
  </si>
  <si>
    <t>Soultanina</t>
  </si>
  <si>
    <t>Vines for raisins</t>
  </si>
  <si>
    <t>Σταφιδάμπελα</t>
  </si>
  <si>
    <r>
      <t>Total 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</si>
  <si>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t>(2) Σταφύλια που γλαυκοποιήθηκαν μέσα και έξω από την κοινότητα (ή δήμο) παραγωγής τους</t>
  </si>
  <si>
    <t>Πίνακας 4. Εκτάσεις και παραγωγή κατά Περιφέρεια και Περιφερειακή Ενότητα, 2024</t>
  </si>
  <si>
    <t>Table 4. Areas and production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</si>
</sst>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 wrapText="1" indent="2"/>
    </xf>
    <xf numFmtId="49" fontId="10" fillId="0" borderId="7" xfId="0" applyNumberFormat="1" applyFont="1" applyBorder="1" applyAlignment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0" fillId="0" borderId="7" xfId="0" applyFont="1" applyBorder="1"/>
    <xf numFmtId="0" fontId="18" fillId="0" borderId="0" xfId="0" applyFont="1" applyAlignment="1">
      <alignment horizontal="lef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Alignment="1" applyProtection="1">
      <alignment horizontal="left" vertical="center" wrapText="1" indent="2"/>
      <protection locked="0"/>
    </xf>
    <xf numFmtId="3" fontId="10" fillId="0" borderId="13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0" fillId="0" borderId="18" xfId="0" quotePrefix="1" applyNumberFormat="1" applyFont="1" applyBorder="1" applyAlignment="1">
      <alignment horizontal="right"/>
    </xf>
    <xf numFmtId="3" fontId="10" fillId="0" borderId="13" xfId="0" quotePrefix="1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2" fillId="0" borderId="13" xfId="0" quotePrefix="1" applyNumberFormat="1" applyFont="1" applyBorder="1" applyAlignment="1">
      <alignment horizontal="right"/>
    </xf>
    <xf numFmtId="3" fontId="2" fillId="0" borderId="18" xfId="0" quotePrefix="1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10" fillId="0" borderId="14" xfId="0" applyNumberFormat="1" applyFont="1" applyBorder="1" applyAlignment="1">
      <alignment horizontal="right"/>
    </xf>
    <xf numFmtId="3" fontId="10" fillId="0" borderId="19" xfId="0" applyNumberFormat="1" applyFont="1" applyBorder="1" applyAlignment="1">
      <alignment horizontal="right"/>
    </xf>
    <xf numFmtId="3" fontId="10" fillId="0" borderId="19" xfId="0" quotePrefix="1" applyNumberFormat="1" applyFont="1" applyBorder="1" applyAlignment="1">
      <alignment horizontal="right"/>
    </xf>
    <xf numFmtId="3" fontId="2" fillId="0" borderId="14" xfId="0" quotePrefix="1" applyNumberFormat="1" applyFont="1" applyBorder="1" applyAlignment="1">
      <alignment horizontal="right"/>
    </xf>
    <xf numFmtId="3" fontId="2" fillId="0" borderId="19" xfId="0" quotePrefix="1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10" fillId="0" borderId="8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top"/>
    </xf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Border="1" applyAlignment="1">
      <alignment horizontal="right"/>
    </xf>
    <xf numFmtId="3" fontId="10" fillId="0" borderId="4" xfId="0" quotePrefix="1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2" fillId="0" borderId="4" xfId="0" quotePrefix="1" applyNumberFormat="1" applyFont="1" applyBorder="1" applyAlignment="1">
      <alignment horizontal="right"/>
    </xf>
    <xf numFmtId="3" fontId="2" fillId="0" borderId="6" xfId="0" quotePrefix="1" applyNumberFormat="1" applyFont="1" applyBorder="1" applyAlignment="1">
      <alignment horizontal="right"/>
    </xf>
    <xf numFmtId="0" fontId="11" fillId="0" borderId="2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0" fillId="0" borderId="7" xfId="0" applyBorder="1"/>
    <xf numFmtId="0" fontId="26" fillId="0" borderId="7" xfId="0" applyFont="1" applyBorder="1"/>
    <xf numFmtId="0" fontId="26" fillId="0" borderId="0" xfId="0" applyFont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6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49" fontId="23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/>
    </xf>
    <xf numFmtId="2" fontId="29" fillId="0" borderId="0" xfId="0" applyNumberFormat="1" applyFont="1" applyAlignment="1" applyProtection="1">
      <alignment horizontal="left" vertical="center" wrapText="1" indent="1"/>
      <protection locked="0"/>
    </xf>
    <xf numFmtId="49" fontId="26" fillId="0" borderId="7" xfId="0" applyNumberFormat="1" applyFont="1" applyBorder="1" applyAlignment="1">
      <alignment horizontal="left" wrapText="1" indent="1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2"/>
    </xf>
    <xf numFmtId="49" fontId="2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26" fillId="0" borderId="0" xfId="0" applyFont="1" applyAlignment="1">
      <alignment horizontal="left" indent="2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left" indent="2"/>
    </xf>
    <xf numFmtId="0" fontId="26" fillId="0" borderId="0" xfId="0" applyFont="1" applyAlignment="1">
      <alignment horizontal="center" vertical="center" wrapText="1"/>
    </xf>
    <xf numFmtId="49" fontId="0" fillId="0" borderId="0" xfId="0" applyNumberFormat="1"/>
    <xf numFmtId="0" fontId="22" fillId="0" borderId="0" xfId="0" applyFont="1" applyAlignment="1">
      <alignment horizontal="right" vertical="center"/>
    </xf>
    <xf numFmtId="3" fontId="30" fillId="0" borderId="13" xfId="0" applyNumberFormat="1" applyFont="1" applyBorder="1" applyAlignment="1">
      <alignment horizontal="right" vertical="top"/>
    </xf>
    <xf numFmtId="3" fontId="30" fillId="0" borderId="0" xfId="0" applyNumberFormat="1" applyFont="1" applyAlignment="1">
      <alignment horizontal="right" vertical="top"/>
    </xf>
    <xf numFmtId="0" fontId="30" fillId="0" borderId="13" xfId="0" applyFont="1" applyBorder="1" applyAlignment="1">
      <alignment horizontal="right" vertical="top"/>
    </xf>
    <xf numFmtId="3" fontId="30" fillId="0" borderId="5" xfId="0" applyNumberFormat="1" applyFont="1" applyBorder="1" applyAlignment="1">
      <alignment horizontal="right" vertical="top"/>
    </xf>
    <xf numFmtId="3" fontId="30" fillId="0" borderId="14" xfId="0" applyNumberFormat="1" applyFont="1" applyBorder="1" applyAlignment="1">
      <alignment horizontal="right" vertical="top"/>
    </xf>
    <xf numFmtId="3" fontId="30" fillId="0" borderId="7" xfId="0" applyNumberFormat="1" applyFont="1" applyBorder="1" applyAlignment="1">
      <alignment horizontal="right" vertical="top"/>
    </xf>
    <xf numFmtId="0" fontId="30" fillId="0" borderId="14" xfId="0" applyFont="1" applyBorder="1" applyAlignment="1">
      <alignment horizontal="right" vertical="top"/>
    </xf>
    <xf numFmtId="3" fontId="30" fillId="0" borderId="8" xfId="0" applyNumberFormat="1" applyFont="1" applyBorder="1" applyAlignment="1">
      <alignment horizontal="right" vertical="top"/>
    </xf>
    <xf numFmtId="0" fontId="32" fillId="0" borderId="0" xfId="0" applyFont="1"/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/>
    <xf numFmtId="0" fontId="25" fillId="0" borderId="0" xfId="0" applyFont="1" applyAlignment="1">
      <alignment horizontal="right"/>
    </xf>
    <xf numFmtId="0" fontId="26" fillId="0" borderId="16" xfId="0" applyFont="1" applyBorder="1" applyAlignment="1">
      <alignment horizontal="center" vertical="center" wrapText="1"/>
    </xf>
    <xf numFmtId="3" fontId="26" fillId="16" borderId="4" xfId="0" applyNumberFormat="1" applyFont="1" applyFill="1" applyBorder="1" applyAlignment="1">
      <alignment horizontal="right" vertical="center" wrapText="1"/>
    </xf>
    <xf numFmtId="3" fontId="26" fillId="16" borderId="13" xfId="0" applyNumberFormat="1" applyFont="1" applyFill="1" applyBorder="1" applyAlignment="1">
      <alignment horizontal="right"/>
    </xf>
    <xf numFmtId="3" fontId="23" fillId="16" borderId="37" xfId="0" applyNumberFormat="1" applyFont="1" applyFill="1" applyBorder="1" applyAlignment="1">
      <alignment horizontal="right" vertical="center"/>
    </xf>
    <xf numFmtId="3" fontId="23" fillId="16" borderId="13" xfId="0" applyNumberFormat="1" applyFont="1" applyFill="1" applyBorder="1" applyAlignment="1">
      <alignment horizontal="right" vertical="center"/>
    </xf>
    <xf numFmtId="3" fontId="23" fillId="16" borderId="31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 vertical="center"/>
    </xf>
    <xf numFmtId="3" fontId="23" fillId="16" borderId="5" xfId="0" applyNumberFormat="1" applyFont="1" applyFill="1" applyBorder="1" applyAlignment="1">
      <alignment horizontal="right" vertical="center"/>
    </xf>
    <xf numFmtId="3" fontId="26" fillId="16" borderId="6" xfId="0" applyNumberFormat="1" applyFont="1" applyFill="1" applyBorder="1" applyAlignment="1">
      <alignment horizontal="right" vertical="center" wrapText="1"/>
    </xf>
    <xf numFmtId="3" fontId="26" fillId="16" borderId="14" xfId="0" applyNumberFormat="1" applyFont="1" applyFill="1" applyBorder="1" applyAlignment="1">
      <alignment horizontal="right"/>
    </xf>
    <xf numFmtId="0" fontId="26" fillId="0" borderId="1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0" fillId="0" borderId="23" xfId="0" applyBorder="1"/>
    <xf numFmtId="0" fontId="0" fillId="0" borderId="16" xfId="0" applyBorder="1"/>
    <xf numFmtId="0" fontId="0" fillId="0" borderId="36" xfId="0" applyBorder="1"/>
    <xf numFmtId="0" fontId="26" fillId="0" borderId="3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26" fillId="0" borderId="7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vertical="center" wrapText="1"/>
    </xf>
    <xf numFmtId="3" fontId="22" fillId="16" borderId="13" xfId="0" applyNumberFormat="1" applyFont="1" applyFill="1" applyBorder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left" vertical="center" wrapText="1"/>
    </xf>
    <xf numFmtId="3" fontId="23" fillId="16" borderId="13" xfId="0" applyNumberFormat="1" applyFont="1" applyFill="1" applyBorder="1" applyAlignment="1">
      <alignment horizontal="right" vertical="center"/>
    </xf>
    <xf numFmtId="3" fontId="23" fillId="16" borderId="31" xfId="0" applyNumberFormat="1" applyFont="1" applyFill="1" applyBorder="1" applyAlignment="1">
      <alignment horizontal="right" vertical="center"/>
    </xf>
    <xf numFmtId="3" fontId="23" fillId="16" borderId="37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 vertical="center"/>
    </xf>
    <xf numFmtId="3" fontId="22" fillId="16" borderId="0" xfId="0" applyNumberFormat="1" applyFont="1" applyFill="1" applyAlignment="1">
      <alignment horizontal="right" vertical="center"/>
    </xf>
    <xf numFmtId="3" fontId="22" fillId="16" borderId="5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 vertical="center" wrapText="1"/>
    </xf>
    <xf numFmtId="0" fontId="23" fillId="16" borderId="0" xfId="0" applyFont="1" applyFill="1" applyAlignment="1">
      <alignment horizontal="right" vertical="center" wrapText="1"/>
    </xf>
    <xf numFmtId="3" fontId="23" fillId="16" borderId="21" xfId="0" applyNumberFormat="1" applyFont="1" applyFill="1" applyBorder="1" applyAlignment="1">
      <alignment horizontal="right" vertical="center" wrapText="1"/>
    </xf>
    <xf numFmtId="0" fontId="23" fillId="16" borderId="13" xfId="0" applyFont="1" applyFill="1" applyBorder="1" applyAlignment="1">
      <alignment horizontal="right" vertical="center" wrapText="1"/>
    </xf>
    <xf numFmtId="3" fontId="23" fillId="16" borderId="5" xfId="0" applyNumberFormat="1" applyFont="1" applyFill="1" applyBorder="1" applyAlignment="1">
      <alignment horizontal="right" vertical="center"/>
    </xf>
    <xf numFmtId="3" fontId="28" fillId="16" borderId="0" xfId="0" applyNumberFormat="1" applyFont="1" applyFill="1" applyAlignment="1">
      <alignment horizontal="right" vertical="center"/>
    </xf>
    <xf numFmtId="3" fontId="28" fillId="16" borderId="13" xfId="0" applyNumberFormat="1" applyFont="1" applyFill="1" applyBorder="1" applyAlignment="1">
      <alignment horizontal="right" vertical="center"/>
    </xf>
    <xf numFmtId="49" fontId="23" fillId="0" borderId="32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vertical="center" wrapText="1"/>
    </xf>
    <xf numFmtId="3" fontId="23" fillId="16" borderId="4" xfId="0" applyNumberFormat="1" applyFont="1" applyFill="1" applyBorder="1" applyAlignment="1">
      <alignment horizontal="right" vertical="center" wrapText="1"/>
    </xf>
    <xf numFmtId="0" fontId="23" fillId="16" borderId="4" xfId="0" applyFont="1" applyFill="1" applyBorder="1" applyAlignment="1">
      <alignment horizontal="right" vertical="center" wrapText="1"/>
    </xf>
    <xf numFmtId="3" fontId="23" fillId="16" borderId="35" xfId="0" applyNumberFormat="1" applyFont="1" applyFill="1" applyBorder="1" applyAlignment="1">
      <alignment horizontal="right" vertical="center" wrapText="1"/>
    </xf>
    <xf numFmtId="0" fontId="23" fillId="16" borderId="18" xfId="0" applyFont="1" applyFill="1" applyBorder="1" applyAlignment="1">
      <alignment horizontal="right" vertical="center" wrapText="1"/>
    </xf>
    <xf numFmtId="3" fontId="28" fillId="16" borderId="37" xfId="0" applyNumberFormat="1" applyFont="1" applyFill="1" applyBorder="1" applyAlignment="1">
      <alignment horizontal="right" vertical="center"/>
    </xf>
    <xf numFmtId="3" fontId="28" fillId="16" borderId="31" xfId="0" applyNumberFormat="1" applyFont="1" applyFill="1" applyBorder="1" applyAlignment="1">
      <alignment horizontal="right" vertical="center"/>
    </xf>
    <xf numFmtId="0" fontId="23" fillId="0" borderId="2" xfId="0" applyFont="1" applyBorder="1" applyAlignment="1">
      <alignment horizontal="left" vertical="center" wrapText="1"/>
    </xf>
    <xf numFmtId="3" fontId="23" fillId="16" borderId="5" xfId="0" applyNumberFormat="1" applyFont="1" applyFill="1" applyBorder="1" applyAlignment="1">
      <alignment horizontal="right" vertical="center" wrapText="1"/>
    </xf>
    <xf numFmtId="0" fontId="23" fillId="16" borderId="5" xfId="0" applyFont="1" applyFill="1" applyBorder="1" applyAlignment="1">
      <alignment horizontal="right" vertical="center" wrapText="1"/>
    </xf>
    <xf numFmtId="3" fontId="28" fillId="16" borderId="5" xfId="0" applyNumberFormat="1" applyFont="1" applyFill="1" applyBorder="1" applyAlignment="1">
      <alignment horizontal="right" vertical="center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3" fontId="9" fillId="0" borderId="13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 wrapText="1"/>
    </xf>
    <xf numFmtId="49" fontId="9" fillId="0" borderId="32" xfId="0" applyNumberFormat="1" applyFont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wrapText="1" indent="1"/>
    </xf>
    <xf numFmtId="49" fontId="9" fillId="0" borderId="5" xfId="0" applyNumberFormat="1" applyFont="1" applyBorder="1" applyAlignment="1">
      <alignment horizontal="left" vertical="center" wrapText="1"/>
    </xf>
    <xf numFmtId="3" fontId="9" fillId="0" borderId="21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3" fontId="14" fillId="0" borderId="4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0" fillId="0" borderId="22" xfId="0" applyBorder="1"/>
    <xf numFmtId="49" fontId="9" fillId="0" borderId="0" xfId="0" applyNumberFormat="1" applyFont="1" applyAlignment="1">
      <alignment horizontal="center" vertical="center" wrapText="1"/>
    </xf>
    <xf numFmtId="3" fontId="9" fillId="0" borderId="4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29" xfId="0" applyBorder="1"/>
    <xf numFmtId="0" fontId="9" fillId="0" borderId="4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306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307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309" t="s">
        <v>7</v>
      </c>
      <c r="E3" s="309"/>
      <c r="F3" s="309"/>
      <c r="G3" s="309"/>
      <c r="H3" s="307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307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307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307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307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307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307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307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307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307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307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307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307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307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307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307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307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307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308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310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311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311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311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311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311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311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311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311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312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313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314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314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314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314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314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314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314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314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314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314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314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315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306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307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307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307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307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307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307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308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303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304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304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304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304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304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304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304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304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304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304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304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304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304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304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304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304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305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9"/>
  <sheetViews>
    <sheetView showGridLines="0" tabSelected="1" zoomScaleNormal="100" workbookViewId="0">
      <selection activeCell="K32" sqref="K32"/>
    </sheetView>
  </sheetViews>
  <sheetFormatPr defaultRowHeight="14.4" x14ac:dyDescent="0.3"/>
  <cols>
    <col min="1" max="1" width="43.44140625" customWidth="1"/>
    <col min="2" max="2" width="8.109375" bestFit="1" customWidth="1"/>
    <col min="3" max="3" width="17.88671875" customWidth="1"/>
    <col min="4" max="4" width="12" bestFit="1" customWidth="1"/>
    <col min="5" max="5" width="10.88671875" customWidth="1"/>
    <col min="6" max="6" width="8.109375" bestFit="1" customWidth="1"/>
    <col min="7" max="7" width="18" customWidth="1"/>
    <col min="8" max="8" width="12.6640625" customWidth="1"/>
    <col min="9" max="9" width="9.6640625" customWidth="1"/>
    <col min="10" max="10" width="8.109375" bestFit="1" customWidth="1"/>
    <col min="11" max="11" width="17.88671875" customWidth="1"/>
    <col min="12" max="12" width="13.109375" customWidth="1"/>
    <col min="13" max="13" width="10.88671875" customWidth="1"/>
    <col min="14" max="14" width="8.109375" bestFit="1" customWidth="1"/>
    <col min="15" max="15" width="17.109375" customWidth="1"/>
    <col min="16" max="16" width="12.88671875" customWidth="1"/>
    <col min="17" max="17" width="10.109375" customWidth="1"/>
    <col min="18" max="18" width="8.109375" bestFit="1" customWidth="1"/>
    <col min="19" max="19" width="18.33203125" customWidth="1"/>
    <col min="20" max="20" width="12" bestFit="1" customWidth="1"/>
    <col min="21" max="21" width="10.109375" customWidth="1"/>
    <col min="22" max="22" width="8.109375" bestFit="1" customWidth="1"/>
    <col min="23" max="23" width="17.44140625" customWidth="1"/>
    <col min="24" max="24" width="12" bestFit="1" customWidth="1"/>
    <col min="25" max="25" width="9.5546875" customWidth="1"/>
    <col min="26" max="26" width="40" bestFit="1" customWidth="1"/>
    <col min="27" max="27" width="10.109375" customWidth="1"/>
  </cols>
  <sheetData>
    <row r="1" spans="1:27" x14ac:dyDescent="0.3">
      <c r="P1" s="190"/>
      <c r="V1" s="190"/>
    </row>
    <row r="2" spans="1:27" s="205" customFormat="1" ht="14.4" customHeight="1" x14ac:dyDescent="0.35">
      <c r="A2" s="255" t="s">
        <v>282</v>
      </c>
      <c r="B2" s="255"/>
      <c r="C2" s="255"/>
      <c r="D2" s="255"/>
      <c r="E2" s="255"/>
      <c r="F2" s="255"/>
      <c r="G2" s="255"/>
      <c r="H2" s="255" t="s">
        <v>310</v>
      </c>
      <c r="I2" s="255"/>
      <c r="J2" s="255"/>
      <c r="K2" s="255"/>
      <c r="L2" s="255"/>
      <c r="M2" s="255"/>
      <c r="N2" s="255"/>
      <c r="O2" s="255"/>
      <c r="U2" s="208"/>
    </row>
    <row r="3" spans="1:27" s="205" customFormat="1" ht="19.95" customHeight="1" x14ac:dyDescent="0.35">
      <c r="A3" s="256" t="s">
        <v>345</v>
      </c>
      <c r="B3" s="256"/>
      <c r="C3" s="256"/>
      <c r="D3" s="256"/>
      <c r="E3" s="256"/>
      <c r="F3" s="256"/>
      <c r="G3" s="256"/>
      <c r="H3" s="256" t="s">
        <v>346</v>
      </c>
      <c r="I3" s="256"/>
      <c r="J3" s="256"/>
      <c r="K3" s="256"/>
      <c r="L3" s="256"/>
      <c r="M3" s="256"/>
      <c r="N3" s="256"/>
      <c r="O3" s="256"/>
      <c r="U3" s="206"/>
      <c r="V3" s="206"/>
      <c r="W3" s="206"/>
      <c r="X3" s="206"/>
      <c r="Y3" s="206"/>
      <c r="Z3" s="207"/>
      <c r="AA3" s="207"/>
    </row>
    <row r="4" spans="1:27" ht="15" customHeight="1" thickBot="1" x14ac:dyDescent="0.35">
      <c r="A4" s="171" t="s">
        <v>170</v>
      </c>
      <c r="B4" s="172"/>
      <c r="C4" s="172"/>
      <c r="D4" s="172"/>
      <c r="E4" s="172"/>
      <c r="F4" s="172"/>
      <c r="G4" s="173"/>
      <c r="H4" s="174"/>
      <c r="I4" s="174"/>
      <c r="J4" s="174"/>
      <c r="K4" s="174"/>
      <c r="L4" s="174"/>
      <c r="M4" s="174"/>
      <c r="N4" s="174"/>
      <c r="O4" s="257"/>
      <c r="P4" s="257"/>
      <c r="Q4" s="257"/>
      <c r="R4" s="257"/>
      <c r="S4" s="173"/>
      <c r="T4" s="174"/>
      <c r="U4" s="174"/>
      <c r="V4" s="174"/>
      <c r="W4" s="174"/>
      <c r="X4" s="174"/>
      <c r="Y4" s="174"/>
      <c r="Z4" s="209" t="s">
        <v>318</v>
      </c>
      <c r="AA4" s="175"/>
    </row>
    <row r="5" spans="1:27" x14ac:dyDescent="0.3">
      <c r="A5" s="258" t="s">
        <v>274</v>
      </c>
      <c r="B5" s="246" t="s">
        <v>280</v>
      </c>
      <c r="C5" s="247"/>
      <c r="D5" s="247"/>
      <c r="E5" s="248"/>
      <c r="F5" s="252" t="s">
        <v>320</v>
      </c>
      <c r="G5" s="253"/>
      <c r="H5" s="253"/>
      <c r="I5" s="261"/>
      <c r="J5" s="252" t="s">
        <v>322</v>
      </c>
      <c r="K5" s="253"/>
      <c r="L5" s="253"/>
      <c r="M5" s="261"/>
      <c r="N5" s="252" t="s">
        <v>342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4"/>
      <c r="Z5" s="262" t="s">
        <v>172</v>
      </c>
    </row>
    <row r="6" spans="1:27" x14ac:dyDescent="0.3">
      <c r="A6" s="259"/>
      <c r="B6" s="240" t="s">
        <v>324</v>
      </c>
      <c r="C6" s="241"/>
      <c r="D6" s="241"/>
      <c r="E6" s="242"/>
      <c r="F6" s="231" t="s">
        <v>321</v>
      </c>
      <c r="G6" s="232"/>
      <c r="H6" s="232"/>
      <c r="I6" s="233"/>
      <c r="J6" s="231" t="s">
        <v>323</v>
      </c>
      <c r="K6" s="232"/>
      <c r="L6" s="232"/>
      <c r="M6" s="233"/>
      <c r="N6" s="221" t="s">
        <v>341</v>
      </c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4"/>
      <c r="Z6" s="263"/>
    </row>
    <row r="7" spans="1:27" x14ac:dyDescent="0.3">
      <c r="A7" s="259"/>
      <c r="B7" s="240"/>
      <c r="C7" s="241"/>
      <c r="D7" s="241"/>
      <c r="E7" s="242"/>
      <c r="F7" s="234"/>
      <c r="G7" s="235"/>
      <c r="H7" s="235"/>
      <c r="I7" s="236"/>
      <c r="J7" s="234"/>
      <c r="K7" s="235"/>
      <c r="L7" s="235"/>
      <c r="M7" s="236"/>
      <c r="N7" s="221" t="s">
        <v>325</v>
      </c>
      <c r="O7" s="222"/>
      <c r="P7" s="222"/>
      <c r="Q7" s="223"/>
      <c r="R7" s="221" t="s">
        <v>327</v>
      </c>
      <c r="S7" s="222"/>
      <c r="T7" s="222"/>
      <c r="U7" s="223"/>
      <c r="V7" s="221" t="s">
        <v>328</v>
      </c>
      <c r="W7" s="222"/>
      <c r="X7" s="222"/>
      <c r="Y7" s="224"/>
      <c r="Z7" s="263"/>
    </row>
    <row r="8" spans="1:27" x14ac:dyDescent="0.3">
      <c r="A8" s="259"/>
      <c r="B8" s="243"/>
      <c r="C8" s="244"/>
      <c r="D8" s="244"/>
      <c r="E8" s="245"/>
      <c r="F8" s="237"/>
      <c r="G8" s="238"/>
      <c r="H8" s="238"/>
      <c r="I8" s="239"/>
      <c r="J8" s="237"/>
      <c r="K8" s="238"/>
      <c r="L8" s="238"/>
      <c r="M8" s="239"/>
      <c r="N8" s="221" t="s">
        <v>326</v>
      </c>
      <c r="O8" s="222"/>
      <c r="P8" s="222"/>
      <c r="Q8" s="223"/>
      <c r="R8" s="221" t="s">
        <v>340</v>
      </c>
      <c r="S8" s="222"/>
      <c r="T8" s="222"/>
      <c r="U8" s="223"/>
      <c r="V8" s="221" t="s">
        <v>337</v>
      </c>
      <c r="W8" s="222"/>
      <c r="X8" s="222"/>
      <c r="Y8" s="224"/>
      <c r="Z8" s="263"/>
    </row>
    <row r="9" spans="1:27" x14ac:dyDescent="0.3">
      <c r="A9" s="259"/>
      <c r="B9" s="227" t="s">
        <v>338</v>
      </c>
      <c r="C9" s="221" t="s">
        <v>332</v>
      </c>
      <c r="D9" s="222"/>
      <c r="E9" s="222"/>
      <c r="F9" s="228" t="s">
        <v>338</v>
      </c>
      <c r="G9" s="221" t="s">
        <v>332</v>
      </c>
      <c r="H9" s="222"/>
      <c r="I9" s="222"/>
      <c r="J9" s="228" t="s">
        <v>338</v>
      </c>
      <c r="K9" s="221" t="s">
        <v>332</v>
      </c>
      <c r="L9" s="222"/>
      <c r="M9" s="223"/>
      <c r="N9" s="228" t="s">
        <v>338</v>
      </c>
      <c r="O9" s="221" t="s">
        <v>332</v>
      </c>
      <c r="P9" s="222"/>
      <c r="Q9" s="223"/>
      <c r="R9" s="228" t="s">
        <v>338</v>
      </c>
      <c r="S9" s="221" t="s">
        <v>332</v>
      </c>
      <c r="T9" s="249"/>
      <c r="U9" s="250"/>
      <c r="V9" s="228" t="s">
        <v>338</v>
      </c>
      <c r="W9" s="221" t="s">
        <v>332</v>
      </c>
      <c r="X9" s="249"/>
      <c r="Y9" s="251"/>
      <c r="Z9" s="263"/>
    </row>
    <row r="10" spans="1:27" ht="46.8" x14ac:dyDescent="0.3">
      <c r="A10" s="259"/>
      <c r="B10" s="226"/>
      <c r="C10" s="220" t="s">
        <v>331</v>
      </c>
      <c r="D10" s="220" t="s">
        <v>329</v>
      </c>
      <c r="E10" s="210" t="s">
        <v>330</v>
      </c>
      <c r="F10" s="229"/>
      <c r="G10" s="220" t="s">
        <v>331</v>
      </c>
      <c r="H10" s="220" t="s">
        <v>329</v>
      </c>
      <c r="I10" s="210" t="s">
        <v>330</v>
      </c>
      <c r="J10" s="229"/>
      <c r="K10" s="220" t="s">
        <v>331</v>
      </c>
      <c r="L10" s="220" t="s">
        <v>329</v>
      </c>
      <c r="M10" s="210" t="s">
        <v>330</v>
      </c>
      <c r="N10" s="229"/>
      <c r="O10" s="220" t="s">
        <v>331</v>
      </c>
      <c r="P10" s="220" t="s">
        <v>329</v>
      </c>
      <c r="Q10" s="210" t="s">
        <v>330</v>
      </c>
      <c r="R10" s="229"/>
      <c r="S10" s="220" t="s">
        <v>331</v>
      </c>
      <c r="T10" s="220" t="s">
        <v>329</v>
      </c>
      <c r="U10" s="210" t="s">
        <v>330</v>
      </c>
      <c r="V10" s="229"/>
      <c r="W10" s="220" t="s">
        <v>331</v>
      </c>
      <c r="X10" s="220" t="s">
        <v>329</v>
      </c>
      <c r="Y10" s="210" t="s">
        <v>330</v>
      </c>
      <c r="Z10" s="263"/>
    </row>
    <row r="11" spans="1:27" x14ac:dyDescent="0.3">
      <c r="A11" s="259"/>
      <c r="B11" s="225" t="s">
        <v>339</v>
      </c>
      <c r="C11" s="221" t="s">
        <v>343</v>
      </c>
      <c r="D11" s="222"/>
      <c r="E11" s="223"/>
      <c r="F11" s="230" t="s">
        <v>339</v>
      </c>
      <c r="G11" s="221" t="s">
        <v>336</v>
      </c>
      <c r="H11" s="222"/>
      <c r="I11" s="223"/>
      <c r="J11" s="230" t="s">
        <v>339</v>
      </c>
      <c r="K11" s="221" t="s">
        <v>336</v>
      </c>
      <c r="L11" s="222"/>
      <c r="M11" s="223"/>
      <c r="N11" s="230" t="s">
        <v>339</v>
      </c>
      <c r="O11" s="221" t="s">
        <v>336</v>
      </c>
      <c r="P11" s="222"/>
      <c r="Q11" s="223"/>
      <c r="R11" s="230" t="s">
        <v>339</v>
      </c>
      <c r="S11" s="221" t="s">
        <v>336</v>
      </c>
      <c r="T11" s="222"/>
      <c r="U11" s="223"/>
      <c r="V11" s="230" t="s">
        <v>339</v>
      </c>
      <c r="W11" s="221" t="s">
        <v>336</v>
      </c>
      <c r="X11" s="222"/>
      <c r="Y11" s="223"/>
      <c r="Z11" s="263"/>
    </row>
    <row r="12" spans="1:27" s="178" customFormat="1" ht="15" thickBot="1" x14ac:dyDescent="0.35">
      <c r="A12" s="260"/>
      <c r="B12" s="226"/>
      <c r="C12" s="176" t="s">
        <v>333</v>
      </c>
      <c r="D12" s="177" t="s">
        <v>334</v>
      </c>
      <c r="E12" s="176" t="s">
        <v>335</v>
      </c>
      <c r="F12" s="229"/>
      <c r="G12" s="176" t="s">
        <v>333</v>
      </c>
      <c r="H12" s="177" t="s">
        <v>334</v>
      </c>
      <c r="I12" s="176" t="s">
        <v>335</v>
      </c>
      <c r="J12" s="229"/>
      <c r="K12" s="176" t="s">
        <v>333</v>
      </c>
      <c r="L12" s="177" t="s">
        <v>334</v>
      </c>
      <c r="M12" s="176" t="s">
        <v>335</v>
      </c>
      <c r="N12" s="229"/>
      <c r="O12" s="176" t="s">
        <v>333</v>
      </c>
      <c r="P12" s="177" t="s">
        <v>334</v>
      </c>
      <c r="Q12" s="176" t="s">
        <v>335</v>
      </c>
      <c r="R12" s="229"/>
      <c r="S12" s="176" t="s">
        <v>333</v>
      </c>
      <c r="T12" s="177" t="s">
        <v>334</v>
      </c>
      <c r="U12" s="176" t="s">
        <v>335</v>
      </c>
      <c r="V12" s="229"/>
      <c r="W12" s="176" t="s">
        <v>333</v>
      </c>
      <c r="X12" s="177" t="s">
        <v>334</v>
      </c>
      <c r="Y12" s="176" t="s">
        <v>335</v>
      </c>
      <c r="Z12" s="264"/>
    </row>
    <row r="13" spans="1:27" ht="14.4" customHeight="1" x14ac:dyDescent="0.3">
      <c r="A13" s="291" t="s">
        <v>173</v>
      </c>
      <c r="B13" s="293">
        <f>SUM(B15,B23,B32,B37,B43,B50,B57,B64,B69,B76,B86,B93,B108)</f>
        <v>646255</v>
      </c>
      <c r="C13" s="286">
        <f t="shared" ref="C13:X13" si="0">SUM(C15,C23,C32,C37,C43,C50,C57,C64,C69,C76,C86,C93,C108)</f>
        <v>464586</v>
      </c>
      <c r="D13" s="295">
        <f t="shared" si="0"/>
        <v>120788</v>
      </c>
      <c r="E13" s="284">
        <f>SUM(E15,E23,E32,E37,E43,E50,E57,E64,E69,E76,E86,E93,E108)</f>
        <v>46821</v>
      </c>
      <c r="F13" s="286">
        <f>SUM(F15,F23,F32,F37,F43,F50,F57,F64,F69,F76,F86,F93,F108)</f>
        <v>392294</v>
      </c>
      <c r="G13" s="284">
        <f t="shared" si="0"/>
        <v>416395</v>
      </c>
      <c r="H13" s="286">
        <f t="shared" si="0"/>
        <v>2180</v>
      </c>
      <c r="I13" s="284">
        <f t="shared" si="0"/>
        <v>442</v>
      </c>
      <c r="J13" s="286">
        <f>SUM(J15,J23,J32,J37,J43,J50,J57,J64,J69,J76,J86,J93,J108)</f>
        <v>75783</v>
      </c>
      <c r="K13" s="284">
        <f t="shared" si="0"/>
        <v>10423</v>
      </c>
      <c r="L13" s="286">
        <f t="shared" si="0"/>
        <v>85730</v>
      </c>
      <c r="M13" s="284">
        <f t="shared" si="0"/>
        <v>6538</v>
      </c>
      <c r="N13" s="286">
        <f>SUM(N15,N23,N32,N37,N43,N50,N57,N64,N69,N76,N86,N93,N108)</f>
        <v>91086</v>
      </c>
      <c r="O13" s="286">
        <f t="shared" si="0"/>
        <v>1072</v>
      </c>
      <c r="P13" s="284">
        <f t="shared" si="0"/>
        <v>1006</v>
      </c>
      <c r="Q13" s="286">
        <f t="shared" si="0"/>
        <v>23356</v>
      </c>
      <c r="R13" s="284">
        <f t="shared" si="0"/>
        <v>87033</v>
      </c>
      <c r="S13" s="286">
        <f t="shared" si="0"/>
        <v>36683</v>
      </c>
      <c r="T13" s="284">
        <f t="shared" si="0"/>
        <v>31859</v>
      </c>
      <c r="U13" s="286">
        <f t="shared" si="0"/>
        <v>16460</v>
      </c>
      <c r="V13" s="284">
        <f t="shared" si="0"/>
        <v>59</v>
      </c>
      <c r="W13" s="286">
        <f t="shared" si="0"/>
        <v>13</v>
      </c>
      <c r="X13" s="286">
        <f t="shared" si="0"/>
        <v>13</v>
      </c>
      <c r="Y13" s="300">
        <f>SUM(Y15,Y23,Y32,Y37,Y43,Y50,Y57,Y64,Y69,Y76,Y86,Y93,Y108)</f>
        <v>25</v>
      </c>
      <c r="Z13" s="299" t="s">
        <v>174</v>
      </c>
    </row>
    <row r="14" spans="1:27" x14ac:dyDescent="0.3">
      <c r="A14" s="292"/>
      <c r="B14" s="294"/>
      <c r="C14" s="287"/>
      <c r="D14" s="296"/>
      <c r="E14" s="285"/>
      <c r="F14" s="287"/>
      <c r="G14" s="285"/>
      <c r="H14" s="287"/>
      <c r="I14" s="285"/>
      <c r="J14" s="287"/>
      <c r="K14" s="285"/>
      <c r="L14" s="287"/>
      <c r="M14" s="285"/>
      <c r="N14" s="287"/>
      <c r="O14" s="287"/>
      <c r="P14" s="285"/>
      <c r="Q14" s="287"/>
      <c r="R14" s="285"/>
      <c r="S14" s="287"/>
      <c r="T14" s="285"/>
      <c r="U14" s="287"/>
      <c r="V14" s="285"/>
      <c r="W14" s="287"/>
      <c r="X14" s="287"/>
      <c r="Y14" s="301"/>
      <c r="Z14" s="276"/>
    </row>
    <row r="15" spans="1:27" x14ac:dyDescent="0.3">
      <c r="A15" s="292" t="s">
        <v>175</v>
      </c>
      <c r="B15" s="297">
        <f>SUM(B17:B22)</f>
        <v>46006</v>
      </c>
      <c r="C15" s="290">
        <f>SUM(C17:C22)</f>
        <v>23655</v>
      </c>
      <c r="D15" s="290">
        <f t="shared" ref="D15:X15" si="1">SUM(D17:D22)</f>
        <v>27544</v>
      </c>
      <c r="E15" s="298">
        <f>SUM(E17:E22)</f>
        <v>6392</v>
      </c>
      <c r="F15" s="290">
        <f>SUM(F17:F22)</f>
        <v>20360</v>
      </c>
      <c r="G15" s="289">
        <f t="shared" si="1"/>
        <v>18245</v>
      </c>
      <c r="H15" s="290">
        <f t="shared" si="1"/>
        <v>83</v>
      </c>
      <c r="I15" s="289">
        <f>SUM(I17:I22)</f>
        <v>0</v>
      </c>
      <c r="J15" s="290">
        <f>SUM(J17:J22)</f>
        <v>25532</v>
      </c>
      <c r="K15" s="289">
        <f t="shared" si="1"/>
        <v>5410</v>
      </c>
      <c r="L15" s="290">
        <f t="shared" si="1"/>
        <v>27461</v>
      </c>
      <c r="M15" s="289">
        <f t="shared" si="1"/>
        <v>6383</v>
      </c>
      <c r="N15" s="290">
        <f t="shared" si="1"/>
        <v>49</v>
      </c>
      <c r="O15" s="290">
        <f t="shared" si="1"/>
        <v>0</v>
      </c>
      <c r="P15" s="289">
        <f t="shared" si="1"/>
        <v>0</v>
      </c>
      <c r="Q15" s="290">
        <f t="shared" si="1"/>
        <v>9</v>
      </c>
      <c r="R15" s="289">
        <f t="shared" si="1"/>
        <v>65</v>
      </c>
      <c r="S15" s="290">
        <f t="shared" si="1"/>
        <v>0</v>
      </c>
      <c r="T15" s="289">
        <f t="shared" si="1"/>
        <v>0</v>
      </c>
      <c r="U15" s="290">
        <f t="shared" si="1"/>
        <v>0</v>
      </c>
      <c r="V15" s="289">
        <f t="shared" si="1"/>
        <v>0</v>
      </c>
      <c r="W15" s="290">
        <f t="shared" si="1"/>
        <v>0</v>
      </c>
      <c r="X15" s="290">
        <f t="shared" si="1"/>
        <v>0</v>
      </c>
      <c r="Y15" s="302">
        <f>SUM(Y17:Y22)</f>
        <v>0</v>
      </c>
      <c r="Z15" s="276" t="s">
        <v>176</v>
      </c>
    </row>
    <row r="16" spans="1:27" x14ac:dyDescent="0.3">
      <c r="A16" s="292"/>
      <c r="B16" s="297"/>
      <c r="C16" s="290"/>
      <c r="D16" s="290"/>
      <c r="E16" s="298"/>
      <c r="F16" s="290"/>
      <c r="G16" s="289"/>
      <c r="H16" s="290"/>
      <c r="I16" s="289"/>
      <c r="J16" s="290"/>
      <c r="K16" s="289"/>
      <c r="L16" s="290"/>
      <c r="M16" s="289"/>
      <c r="N16" s="290"/>
      <c r="O16" s="290"/>
      <c r="P16" s="289"/>
      <c r="Q16" s="290"/>
      <c r="R16" s="289"/>
      <c r="S16" s="290"/>
      <c r="T16" s="289"/>
      <c r="U16" s="290"/>
      <c r="V16" s="289"/>
      <c r="W16" s="290"/>
      <c r="X16" s="290"/>
      <c r="Y16" s="302"/>
      <c r="Z16" s="276"/>
    </row>
    <row r="17" spans="1:26" x14ac:dyDescent="0.3">
      <c r="A17" s="179" t="s">
        <v>1</v>
      </c>
      <c r="B17" s="211">
        <f>SUM(F17,J17,N17,R17,V17)</f>
        <v>3303</v>
      </c>
      <c r="C17" s="212">
        <f>(SUM(G17,K17,O17,S17,W17))</f>
        <v>2045</v>
      </c>
      <c r="D17" s="212">
        <f>(SUM(H17,L17,P17,T17,X17))</f>
        <v>1211</v>
      </c>
      <c r="E17" s="212">
        <f t="shared" ref="C17:E19" si="2">(SUM(I17,M17,Q17,U17,Y17))</f>
        <v>0</v>
      </c>
      <c r="F17" s="197">
        <v>2049</v>
      </c>
      <c r="G17" s="198">
        <v>2031</v>
      </c>
      <c r="H17" s="197">
        <v>23</v>
      </c>
      <c r="I17" s="198" t="s">
        <v>319</v>
      </c>
      <c r="J17" s="197">
        <v>1254</v>
      </c>
      <c r="K17" s="198">
        <v>14</v>
      </c>
      <c r="L17" s="197">
        <v>1188</v>
      </c>
      <c r="M17" s="198" t="s">
        <v>319</v>
      </c>
      <c r="N17" s="197" t="s">
        <v>319</v>
      </c>
      <c r="O17" s="198" t="s">
        <v>319</v>
      </c>
      <c r="P17" s="197" t="s">
        <v>319</v>
      </c>
      <c r="Q17" s="198" t="s">
        <v>319</v>
      </c>
      <c r="R17" s="199" t="s">
        <v>319</v>
      </c>
      <c r="S17" s="198" t="s">
        <v>319</v>
      </c>
      <c r="T17" s="197" t="s">
        <v>319</v>
      </c>
      <c r="U17" s="198" t="s">
        <v>319</v>
      </c>
      <c r="V17" s="199" t="s">
        <v>319</v>
      </c>
      <c r="W17" s="198" t="s">
        <v>319</v>
      </c>
      <c r="X17" s="197" t="s">
        <v>319</v>
      </c>
      <c r="Y17" s="200" t="s">
        <v>319</v>
      </c>
      <c r="Z17" s="180" t="s">
        <v>177</v>
      </c>
    </row>
    <row r="18" spans="1:26" x14ac:dyDescent="0.3">
      <c r="A18" s="179" t="s">
        <v>4</v>
      </c>
      <c r="B18" s="211">
        <f>SUM(F18,J18,N18,R18,V18)</f>
        <v>7887</v>
      </c>
      <c r="C18" s="212">
        <f>(SUM(G18,K18,O18,S18,W18))</f>
        <v>6485</v>
      </c>
      <c r="D18" s="212">
        <f t="shared" si="2"/>
        <v>1055</v>
      </c>
      <c r="E18" s="212">
        <f t="shared" si="2"/>
        <v>0</v>
      </c>
      <c r="F18" s="197">
        <v>6927</v>
      </c>
      <c r="G18" s="198">
        <v>6485</v>
      </c>
      <c r="H18" s="197" t="s">
        <v>319</v>
      </c>
      <c r="I18" s="198" t="s">
        <v>319</v>
      </c>
      <c r="J18" s="197">
        <v>960</v>
      </c>
      <c r="K18" s="198" t="s">
        <v>319</v>
      </c>
      <c r="L18" s="197">
        <v>1055</v>
      </c>
      <c r="M18" s="198" t="s">
        <v>319</v>
      </c>
      <c r="N18" s="199" t="s">
        <v>319</v>
      </c>
      <c r="O18" s="198" t="s">
        <v>319</v>
      </c>
      <c r="P18" s="197" t="s">
        <v>319</v>
      </c>
      <c r="Q18" s="198" t="s">
        <v>319</v>
      </c>
      <c r="R18" s="199" t="s">
        <v>319</v>
      </c>
      <c r="S18" s="198" t="s">
        <v>319</v>
      </c>
      <c r="T18" s="197" t="s">
        <v>319</v>
      </c>
      <c r="U18" s="198" t="s">
        <v>319</v>
      </c>
      <c r="V18" s="199" t="s">
        <v>319</v>
      </c>
      <c r="W18" s="198" t="s">
        <v>319</v>
      </c>
      <c r="X18" s="197" t="s">
        <v>319</v>
      </c>
      <c r="Y18" s="200" t="s">
        <v>319</v>
      </c>
      <c r="Z18" s="180" t="s">
        <v>178</v>
      </c>
    </row>
    <row r="19" spans="1:26" x14ac:dyDescent="0.3">
      <c r="A19" s="179" t="s">
        <v>6</v>
      </c>
      <c r="B19" s="211">
        <f t="shared" ref="B19:B22" si="3">SUM(F19,J19,N19,R19,V19)</f>
        <v>5760</v>
      </c>
      <c r="C19" s="212">
        <f t="shared" si="2"/>
        <v>3772</v>
      </c>
      <c r="D19" s="212">
        <f t="shared" si="2"/>
        <v>822</v>
      </c>
      <c r="E19" s="212">
        <f t="shared" si="2"/>
        <v>0</v>
      </c>
      <c r="F19" s="197">
        <v>4070</v>
      </c>
      <c r="G19" s="198">
        <v>3168</v>
      </c>
      <c r="H19" s="197">
        <v>51</v>
      </c>
      <c r="I19" s="198" t="s">
        <v>319</v>
      </c>
      <c r="J19" s="197">
        <v>1625</v>
      </c>
      <c r="K19" s="198">
        <v>604</v>
      </c>
      <c r="L19" s="197">
        <v>771</v>
      </c>
      <c r="M19" s="198" t="s">
        <v>319</v>
      </c>
      <c r="N19" s="199" t="s">
        <v>319</v>
      </c>
      <c r="O19" s="198" t="s">
        <v>319</v>
      </c>
      <c r="P19" s="197" t="s">
        <v>319</v>
      </c>
      <c r="Q19" s="198" t="s">
        <v>319</v>
      </c>
      <c r="R19" s="199">
        <v>65</v>
      </c>
      <c r="S19" s="198" t="s">
        <v>319</v>
      </c>
      <c r="T19" s="197" t="s">
        <v>319</v>
      </c>
      <c r="U19" s="198" t="s">
        <v>319</v>
      </c>
      <c r="V19" s="199" t="s">
        <v>319</v>
      </c>
      <c r="W19" s="198" t="s">
        <v>319</v>
      </c>
      <c r="X19" s="197" t="s">
        <v>319</v>
      </c>
      <c r="Y19" s="200" t="s">
        <v>319</v>
      </c>
      <c r="Z19" s="180" t="s">
        <v>179</v>
      </c>
    </row>
    <row r="20" spans="1:26" x14ac:dyDescent="0.3">
      <c r="A20" s="179" t="s">
        <v>9</v>
      </c>
      <c r="B20" s="211">
        <f>SUM(F20,J20,N20,R20,V20)</f>
        <v>77</v>
      </c>
      <c r="C20" s="212">
        <f t="shared" ref="C20:C22" si="4">(SUM(G20,K20,O20,S20,W20))</f>
        <v>93</v>
      </c>
      <c r="D20" s="212">
        <f t="shared" ref="D20:D22" si="5">(SUM(H20,L20,P20,T20,X20))</f>
        <v>13</v>
      </c>
      <c r="E20" s="212">
        <f t="shared" ref="E20:E22" si="6">(SUM(I20,M20,Q20,U20,Y20))</f>
        <v>0</v>
      </c>
      <c r="F20" s="197">
        <v>69</v>
      </c>
      <c r="G20" s="198">
        <v>93</v>
      </c>
      <c r="H20" s="197" t="s">
        <v>319</v>
      </c>
      <c r="I20" s="198" t="s">
        <v>319</v>
      </c>
      <c r="J20" s="197">
        <v>8</v>
      </c>
      <c r="K20" s="198" t="s">
        <v>319</v>
      </c>
      <c r="L20" s="197">
        <v>13</v>
      </c>
      <c r="M20" s="198" t="s">
        <v>319</v>
      </c>
      <c r="N20" s="199" t="s">
        <v>319</v>
      </c>
      <c r="O20" s="198" t="s">
        <v>319</v>
      </c>
      <c r="P20" s="197" t="s">
        <v>319</v>
      </c>
      <c r="Q20" s="198" t="s">
        <v>319</v>
      </c>
      <c r="R20" s="199" t="s">
        <v>319</v>
      </c>
      <c r="S20" s="198" t="s">
        <v>319</v>
      </c>
      <c r="T20" s="197" t="s">
        <v>319</v>
      </c>
      <c r="U20" s="198" t="s">
        <v>319</v>
      </c>
      <c r="V20" s="199" t="s">
        <v>319</v>
      </c>
      <c r="W20" s="198" t="s">
        <v>319</v>
      </c>
      <c r="X20" s="197" t="s">
        <v>319</v>
      </c>
      <c r="Y20" s="200" t="s">
        <v>319</v>
      </c>
      <c r="Z20" s="180" t="s">
        <v>180</v>
      </c>
    </row>
    <row r="21" spans="1:26" x14ac:dyDescent="0.3">
      <c r="A21" s="179" t="s">
        <v>12</v>
      </c>
      <c r="B21" s="211">
        <f t="shared" si="3"/>
        <v>27642</v>
      </c>
      <c r="C21" s="212">
        <f t="shared" si="4"/>
        <v>9942</v>
      </c>
      <c r="D21" s="212">
        <f t="shared" si="5"/>
        <v>24031</v>
      </c>
      <c r="E21" s="212">
        <f t="shared" si="6"/>
        <v>6392</v>
      </c>
      <c r="F21" s="197">
        <v>6190</v>
      </c>
      <c r="G21" s="198">
        <v>5152</v>
      </c>
      <c r="H21" s="197" t="s">
        <v>319</v>
      </c>
      <c r="I21" s="198" t="s">
        <v>319</v>
      </c>
      <c r="J21" s="197">
        <v>21403</v>
      </c>
      <c r="K21" s="198">
        <v>4790</v>
      </c>
      <c r="L21" s="197">
        <v>24031</v>
      </c>
      <c r="M21" s="198">
        <v>6383</v>
      </c>
      <c r="N21" s="199">
        <v>49</v>
      </c>
      <c r="O21" s="198" t="s">
        <v>319</v>
      </c>
      <c r="P21" s="197" t="s">
        <v>319</v>
      </c>
      <c r="Q21" s="198">
        <v>9</v>
      </c>
      <c r="R21" s="199" t="s">
        <v>319</v>
      </c>
      <c r="S21" s="198" t="s">
        <v>319</v>
      </c>
      <c r="T21" s="197" t="s">
        <v>319</v>
      </c>
      <c r="U21" s="198" t="s">
        <v>319</v>
      </c>
      <c r="V21" s="199" t="s">
        <v>319</v>
      </c>
      <c r="W21" s="198" t="s">
        <v>319</v>
      </c>
      <c r="X21" s="197" t="s">
        <v>319</v>
      </c>
      <c r="Y21" s="200" t="s">
        <v>319</v>
      </c>
      <c r="Z21" s="180" t="s">
        <v>181</v>
      </c>
    </row>
    <row r="22" spans="1:26" x14ac:dyDescent="0.3">
      <c r="A22" s="179" t="s">
        <v>14</v>
      </c>
      <c r="B22" s="211">
        <f t="shared" si="3"/>
        <v>1337</v>
      </c>
      <c r="C22" s="212">
        <f t="shared" si="4"/>
        <v>1318</v>
      </c>
      <c r="D22" s="212">
        <f t="shared" si="5"/>
        <v>412</v>
      </c>
      <c r="E22" s="212">
        <f t="shared" si="6"/>
        <v>0</v>
      </c>
      <c r="F22" s="197">
        <v>1055</v>
      </c>
      <c r="G22" s="198">
        <v>1316</v>
      </c>
      <c r="H22" s="197">
        <v>9</v>
      </c>
      <c r="I22" s="198" t="s">
        <v>319</v>
      </c>
      <c r="J22" s="197">
        <v>282</v>
      </c>
      <c r="K22" s="198">
        <v>2</v>
      </c>
      <c r="L22" s="197">
        <v>403</v>
      </c>
      <c r="M22" s="198" t="s">
        <v>319</v>
      </c>
      <c r="N22" s="199" t="s">
        <v>319</v>
      </c>
      <c r="O22" s="198" t="s">
        <v>319</v>
      </c>
      <c r="P22" s="197" t="s">
        <v>319</v>
      </c>
      <c r="Q22" s="198" t="s">
        <v>319</v>
      </c>
      <c r="R22" s="199" t="s">
        <v>319</v>
      </c>
      <c r="S22" s="198" t="s">
        <v>319</v>
      </c>
      <c r="T22" s="197" t="s">
        <v>319</v>
      </c>
      <c r="U22" s="198" t="s">
        <v>319</v>
      </c>
      <c r="V22" s="199" t="s">
        <v>319</v>
      </c>
      <c r="W22" s="198" t="s">
        <v>319</v>
      </c>
      <c r="X22" s="197" t="s">
        <v>319</v>
      </c>
      <c r="Y22" s="200" t="s">
        <v>319</v>
      </c>
      <c r="Z22" s="180" t="s">
        <v>182</v>
      </c>
    </row>
    <row r="23" spans="1:26" x14ac:dyDescent="0.3">
      <c r="A23" s="277" t="s">
        <v>183</v>
      </c>
      <c r="B23" s="280">
        <f>SUM(B25:B31)</f>
        <v>51506</v>
      </c>
      <c r="C23" s="278">
        <f>SUM(C25:C31)</f>
        <v>43459</v>
      </c>
      <c r="D23" s="278">
        <f t="shared" ref="D23:Y23" si="7">SUM(D25:D31)</f>
        <v>21846</v>
      </c>
      <c r="E23" s="279">
        <f t="shared" si="7"/>
        <v>2</v>
      </c>
      <c r="F23" s="278">
        <f>SUM(F25:F31)</f>
        <v>38019</v>
      </c>
      <c r="G23" s="281">
        <f t="shared" si="7"/>
        <v>43445</v>
      </c>
      <c r="H23" s="278">
        <f t="shared" si="7"/>
        <v>679</v>
      </c>
      <c r="I23" s="281">
        <f t="shared" si="7"/>
        <v>0</v>
      </c>
      <c r="J23" s="278">
        <f t="shared" si="7"/>
        <v>13304</v>
      </c>
      <c r="K23" s="281">
        <f t="shared" si="7"/>
        <v>13</v>
      </c>
      <c r="L23" s="278">
        <f t="shared" si="7"/>
        <v>21013</v>
      </c>
      <c r="M23" s="281">
        <f t="shared" si="7"/>
        <v>0</v>
      </c>
      <c r="N23" s="278">
        <f t="shared" si="7"/>
        <v>0</v>
      </c>
      <c r="O23" s="278">
        <f t="shared" si="7"/>
        <v>0</v>
      </c>
      <c r="P23" s="281">
        <f t="shared" si="7"/>
        <v>0</v>
      </c>
      <c r="Q23" s="278">
        <f t="shared" si="7"/>
        <v>0</v>
      </c>
      <c r="R23" s="281">
        <f t="shared" si="7"/>
        <v>183</v>
      </c>
      <c r="S23" s="278">
        <f t="shared" si="7"/>
        <v>1</v>
      </c>
      <c r="T23" s="281">
        <f t="shared" si="7"/>
        <v>154</v>
      </c>
      <c r="U23" s="278">
        <f t="shared" si="7"/>
        <v>2</v>
      </c>
      <c r="V23" s="281">
        <f t="shared" si="7"/>
        <v>0</v>
      </c>
      <c r="W23" s="278">
        <f t="shared" si="7"/>
        <v>0</v>
      </c>
      <c r="X23" s="278">
        <f t="shared" si="7"/>
        <v>0</v>
      </c>
      <c r="Y23" s="288">
        <f t="shared" si="7"/>
        <v>0</v>
      </c>
      <c r="Z23" s="275" t="s">
        <v>184</v>
      </c>
    </row>
    <row r="24" spans="1:26" x14ac:dyDescent="0.3">
      <c r="A24" s="277"/>
      <c r="B24" s="280"/>
      <c r="C24" s="278"/>
      <c r="D24" s="278"/>
      <c r="E24" s="279"/>
      <c r="F24" s="278"/>
      <c r="G24" s="281"/>
      <c r="H24" s="278"/>
      <c r="I24" s="281"/>
      <c r="J24" s="278"/>
      <c r="K24" s="281"/>
      <c r="L24" s="278"/>
      <c r="M24" s="281"/>
      <c r="N24" s="278"/>
      <c r="O24" s="278"/>
      <c r="P24" s="281"/>
      <c r="Q24" s="278"/>
      <c r="R24" s="281"/>
      <c r="S24" s="278"/>
      <c r="T24" s="281"/>
      <c r="U24" s="278"/>
      <c r="V24" s="281"/>
      <c r="W24" s="278"/>
      <c r="X24" s="278"/>
      <c r="Y24" s="288"/>
      <c r="Z24" s="275"/>
    </row>
    <row r="25" spans="1:26" x14ac:dyDescent="0.3">
      <c r="A25" s="179" t="s">
        <v>16</v>
      </c>
      <c r="B25" s="211">
        <f t="shared" ref="B25:B31" si="8">SUM(F25,J25,N25,R25,V25)</f>
        <v>10658</v>
      </c>
      <c r="C25" s="212">
        <f t="shared" ref="C25:C31" si="9">(SUM(G25,K25,O25,S25,W25))</f>
        <v>8344</v>
      </c>
      <c r="D25" s="212">
        <f t="shared" ref="D25:D31" si="10">(SUM(H25,L25,P25,T25,X25))</f>
        <v>2459</v>
      </c>
      <c r="E25" s="212">
        <f t="shared" ref="E25:E31" si="11">(SUM(I25,M25,Q25,U25,Y25))</f>
        <v>0</v>
      </c>
      <c r="F25" s="197">
        <v>8672</v>
      </c>
      <c r="G25" s="198">
        <v>8344</v>
      </c>
      <c r="H25" s="197" t="s">
        <v>319</v>
      </c>
      <c r="I25" s="198" t="s">
        <v>319</v>
      </c>
      <c r="J25" s="197">
        <v>1986</v>
      </c>
      <c r="K25" s="198" t="s">
        <v>319</v>
      </c>
      <c r="L25" s="197">
        <v>2459</v>
      </c>
      <c r="M25" s="198" t="s">
        <v>319</v>
      </c>
      <c r="N25" s="199" t="s">
        <v>319</v>
      </c>
      <c r="O25" s="198" t="s">
        <v>319</v>
      </c>
      <c r="P25" s="197" t="s">
        <v>319</v>
      </c>
      <c r="Q25" s="198" t="s">
        <v>319</v>
      </c>
      <c r="R25" s="199" t="s">
        <v>319</v>
      </c>
      <c r="S25" s="198" t="s">
        <v>319</v>
      </c>
      <c r="T25" s="197" t="s">
        <v>319</v>
      </c>
      <c r="U25" s="198" t="s">
        <v>319</v>
      </c>
      <c r="V25" s="199" t="s">
        <v>319</v>
      </c>
      <c r="W25" s="198" t="s">
        <v>319</v>
      </c>
      <c r="X25" s="197" t="s">
        <v>319</v>
      </c>
      <c r="Y25" s="200" t="s">
        <v>319</v>
      </c>
      <c r="Z25" s="180" t="s">
        <v>185</v>
      </c>
    </row>
    <row r="26" spans="1:26" x14ac:dyDescent="0.3">
      <c r="A26" s="179" t="s">
        <v>18</v>
      </c>
      <c r="B26" s="211">
        <f t="shared" si="8"/>
        <v>5320</v>
      </c>
      <c r="C26" s="212">
        <f>(SUM(G26,K26,O26,S26,W26))</f>
        <v>4884</v>
      </c>
      <c r="D26" s="212">
        <f t="shared" si="10"/>
        <v>975</v>
      </c>
      <c r="E26" s="212">
        <f t="shared" si="11"/>
        <v>1</v>
      </c>
      <c r="F26" s="197">
        <v>4679</v>
      </c>
      <c r="G26" s="198">
        <v>4873</v>
      </c>
      <c r="H26" s="197">
        <v>23</v>
      </c>
      <c r="I26" s="198" t="s">
        <v>319</v>
      </c>
      <c r="J26" s="197">
        <v>626</v>
      </c>
      <c r="K26" s="198">
        <v>11</v>
      </c>
      <c r="L26" s="197">
        <v>952</v>
      </c>
      <c r="M26" s="198" t="s">
        <v>319</v>
      </c>
      <c r="N26" s="199" t="s">
        <v>319</v>
      </c>
      <c r="O26" s="198" t="s">
        <v>319</v>
      </c>
      <c r="P26" s="197" t="s">
        <v>319</v>
      </c>
      <c r="Q26" s="198" t="s">
        <v>319</v>
      </c>
      <c r="R26" s="197">
        <v>15</v>
      </c>
      <c r="S26" s="198" t="s">
        <v>319</v>
      </c>
      <c r="T26" s="197" t="s">
        <v>319</v>
      </c>
      <c r="U26" s="198">
        <v>1</v>
      </c>
      <c r="V26" s="199" t="s">
        <v>319</v>
      </c>
      <c r="W26" s="198" t="s">
        <v>319</v>
      </c>
      <c r="X26" s="197" t="s">
        <v>319</v>
      </c>
      <c r="Y26" s="200" t="s">
        <v>319</v>
      </c>
      <c r="Z26" s="180" t="s">
        <v>186</v>
      </c>
    </row>
    <row r="27" spans="1:26" x14ac:dyDescent="0.3">
      <c r="A27" s="179" t="s">
        <v>20</v>
      </c>
      <c r="B27" s="211">
        <f>SUM(F27,J27,N27,R27,V27)</f>
        <v>7732</v>
      </c>
      <c r="C27" s="212">
        <f t="shared" si="9"/>
        <v>5692</v>
      </c>
      <c r="D27" s="212">
        <f t="shared" si="10"/>
        <v>1611</v>
      </c>
      <c r="E27" s="212">
        <f t="shared" si="11"/>
        <v>0</v>
      </c>
      <c r="F27" s="197">
        <v>6313</v>
      </c>
      <c r="G27" s="198">
        <v>5692</v>
      </c>
      <c r="H27" s="197" t="s">
        <v>319</v>
      </c>
      <c r="I27" s="198" t="s">
        <v>319</v>
      </c>
      <c r="J27" s="197">
        <v>1419</v>
      </c>
      <c r="K27" s="198" t="s">
        <v>319</v>
      </c>
      <c r="L27" s="197">
        <v>1611</v>
      </c>
      <c r="M27" s="198" t="s">
        <v>319</v>
      </c>
      <c r="N27" s="199" t="s">
        <v>319</v>
      </c>
      <c r="O27" s="198" t="s">
        <v>319</v>
      </c>
      <c r="P27" s="197" t="s">
        <v>319</v>
      </c>
      <c r="Q27" s="198" t="s">
        <v>319</v>
      </c>
      <c r="R27" s="199" t="s">
        <v>319</v>
      </c>
      <c r="S27" s="198" t="s">
        <v>319</v>
      </c>
      <c r="T27" s="197" t="s">
        <v>319</v>
      </c>
      <c r="U27" s="198" t="s">
        <v>319</v>
      </c>
      <c r="V27" s="199" t="s">
        <v>319</v>
      </c>
      <c r="W27" s="198" t="s">
        <v>319</v>
      </c>
      <c r="X27" s="197" t="s">
        <v>319</v>
      </c>
      <c r="Y27" s="200" t="s">
        <v>319</v>
      </c>
      <c r="Z27" s="180" t="s">
        <v>187</v>
      </c>
    </row>
    <row r="28" spans="1:26" x14ac:dyDescent="0.3">
      <c r="A28" s="179" t="s">
        <v>22</v>
      </c>
      <c r="B28" s="211">
        <f t="shared" si="8"/>
        <v>5611</v>
      </c>
      <c r="C28" s="212">
        <f t="shared" si="9"/>
        <v>10066</v>
      </c>
      <c r="D28" s="212">
        <f t="shared" si="10"/>
        <v>4073</v>
      </c>
      <c r="E28" s="212">
        <f t="shared" si="11"/>
        <v>0</v>
      </c>
      <c r="F28" s="197">
        <v>4074</v>
      </c>
      <c r="G28" s="198">
        <v>10066</v>
      </c>
      <c r="H28" s="197">
        <v>111</v>
      </c>
      <c r="I28" s="198" t="s">
        <v>319</v>
      </c>
      <c r="J28" s="197">
        <v>1537</v>
      </c>
      <c r="K28" s="198" t="s">
        <v>319</v>
      </c>
      <c r="L28" s="197">
        <v>3962</v>
      </c>
      <c r="M28" s="198" t="s">
        <v>319</v>
      </c>
      <c r="N28" s="199" t="s">
        <v>319</v>
      </c>
      <c r="O28" s="198" t="s">
        <v>319</v>
      </c>
      <c r="P28" s="197" t="s">
        <v>319</v>
      </c>
      <c r="Q28" s="198" t="s">
        <v>319</v>
      </c>
      <c r="R28" s="199" t="s">
        <v>319</v>
      </c>
      <c r="S28" s="198" t="s">
        <v>319</v>
      </c>
      <c r="T28" s="197" t="s">
        <v>319</v>
      </c>
      <c r="U28" s="198" t="s">
        <v>319</v>
      </c>
      <c r="V28" s="199" t="s">
        <v>319</v>
      </c>
      <c r="W28" s="198" t="s">
        <v>319</v>
      </c>
      <c r="X28" s="197" t="s">
        <v>319</v>
      </c>
      <c r="Y28" s="200" t="s">
        <v>319</v>
      </c>
      <c r="Z28" s="180" t="s">
        <v>188</v>
      </c>
    </row>
    <row r="29" spans="1:26" x14ac:dyDescent="0.3">
      <c r="A29" s="179" t="s">
        <v>24</v>
      </c>
      <c r="B29" s="211">
        <f t="shared" si="8"/>
        <v>5329</v>
      </c>
      <c r="C29" s="212">
        <f t="shared" si="9"/>
        <v>2039</v>
      </c>
      <c r="D29" s="212">
        <f t="shared" si="10"/>
        <v>3781</v>
      </c>
      <c r="E29" s="212">
        <f t="shared" si="11"/>
        <v>0</v>
      </c>
      <c r="F29" s="197">
        <v>2151</v>
      </c>
      <c r="G29" s="198">
        <v>2039</v>
      </c>
      <c r="H29" s="197" t="s">
        <v>319</v>
      </c>
      <c r="I29" s="198" t="s">
        <v>319</v>
      </c>
      <c r="J29" s="197">
        <v>3178</v>
      </c>
      <c r="K29" s="198" t="s">
        <v>319</v>
      </c>
      <c r="L29" s="197">
        <v>3781</v>
      </c>
      <c r="M29" s="198" t="s">
        <v>319</v>
      </c>
      <c r="N29" s="199" t="s">
        <v>319</v>
      </c>
      <c r="O29" s="198" t="s">
        <v>319</v>
      </c>
      <c r="P29" s="197" t="s">
        <v>319</v>
      </c>
      <c r="Q29" s="198" t="s">
        <v>319</v>
      </c>
      <c r="R29" s="199" t="s">
        <v>319</v>
      </c>
      <c r="S29" s="198" t="s">
        <v>319</v>
      </c>
      <c r="T29" s="197" t="s">
        <v>319</v>
      </c>
      <c r="U29" s="198" t="s">
        <v>319</v>
      </c>
      <c r="V29" s="199" t="s">
        <v>319</v>
      </c>
      <c r="W29" s="198" t="s">
        <v>319</v>
      </c>
      <c r="X29" s="197" t="s">
        <v>319</v>
      </c>
      <c r="Y29" s="200" t="s">
        <v>319</v>
      </c>
      <c r="Z29" s="180" t="s">
        <v>189</v>
      </c>
    </row>
    <row r="30" spans="1:26" x14ac:dyDescent="0.3">
      <c r="A30" s="179" t="s">
        <v>27</v>
      </c>
      <c r="B30" s="211">
        <f t="shared" si="8"/>
        <v>6882</v>
      </c>
      <c r="C30" s="212">
        <f t="shared" si="9"/>
        <v>5092</v>
      </c>
      <c r="D30" s="212">
        <f t="shared" si="10"/>
        <v>2782</v>
      </c>
      <c r="E30" s="212">
        <f t="shared" si="11"/>
        <v>0</v>
      </c>
      <c r="F30" s="197">
        <v>5334</v>
      </c>
      <c r="G30" s="198">
        <v>5092</v>
      </c>
      <c r="H30" s="197">
        <v>545</v>
      </c>
      <c r="I30" s="198" t="s">
        <v>319</v>
      </c>
      <c r="J30" s="197">
        <v>1548</v>
      </c>
      <c r="K30" s="198" t="s">
        <v>319</v>
      </c>
      <c r="L30" s="197">
        <v>2237</v>
      </c>
      <c r="M30" s="198" t="s">
        <v>319</v>
      </c>
      <c r="N30" s="199" t="s">
        <v>319</v>
      </c>
      <c r="O30" s="198" t="s">
        <v>319</v>
      </c>
      <c r="P30" s="197" t="s">
        <v>319</v>
      </c>
      <c r="Q30" s="198" t="s">
        <v>319</v>
      </c>
      <c r="R30" s="199" t="s">
        <v>319</v>
      </c>
      <c r="S30" s="198" t="s">
        <v>319</v>
      </c>
      <c r="T30" s="197" t="s">
        <v>319</v>
      </c>
      <c r="U30" s="198" t="s">
        <v>319</v>
      </c>
      <c r="V30" s="197" t="s">
        <v>319</v>
      </c>
      <c r="W30" s="198" t="s">
        <v>319</v>
      </c>
      <c r="X30" s="197" t="s">
        <v>319</v>
      </c>
      <c r="Y30" s="200" t="s">
        <v>319</v>
      </c>
      <c r="Z30" s="180" t="s">
        <v>190</v>
      </c>
    </row>
    <row r="31" spans="1:26" x14ac:dyDescent="0.3">
      <c r="A31" s="179" t="s">
        <v>29</v>
      </c>
      <c r="B31" s="211">
        <f t="shared" si="8"/>
        <v>9974</v>
      </c>
      <c r="C31" s="212">
        <f t="shared" si="9"/>
        <v>7342</v>
      </c>
      <c r="D31" s="212">
        <f t="shared" si="10"/>
        <v>6165</v>
      </c>
      <c r="E31" s="212">
        <f t="shared" si="11"/>
        <v>1</v>
      </c>
      <c r="F31" s="197">
        <v>6796</v>
      </c>
      <c r="G31" s="198">
        <v>7339</v>
      </c>
      <c r="H31" s="197" t="s">
        <v>319</v>
      </c>
      <c r="I31" s="198" t="s">
        <v>319</v>
      </c>
      <c r="J31" s="197">
        <v>3010</v>
      </c>
      <c r="K31" s="198">
        <v>2</v>
      </c>
      <c r="L31" s="197">
        <v>6011</v>
      </c>
      <c r="M31" s="198" t="s">
        <v>319</v>
      </c>
      <c r="N31" s="199" t="s">
        <v>319</v>
      </c>
      <c r="O31" s="198" t="s">
        <v>319</v>
      </c>
      <c r="P31" s="197" t="s">
        <v>319</v>
      </c>
      <c r="Q31" s="198" t="s">
        <v>319</v>
      </c>
      <c r="R31" s="197">
        <v>168</v>
      </c>
      <c r="S31" s="198">
        <v>1</v>
      </c>
      <c r="T31" s="197">
        <v>154</v>
      </c>
      <c r="U31" s="198">
        <v>1</v>
      </c>
      <c r="V31" s="197" t="s">
        <v>319</v>
      </c>
      <c r="W31" s="198" t="s">
        <v>319</v>
      </c>
      <c r="X31" s="197" t="s">
        <v>319</v>
      </c>
      <c r="Y31" s="200" t="s">
        <v>319</v>
      </c>
      <c r="Z31" s="180" t="s">
        <v>191</v>
      </c>
    </row>
    <row r="32" spans="1:26" ht="18" customHeight="1" x14ac:dyDescent="0.3">
      <c r="A32" s="181" t="s">
        <v>308</v>
      </c>
      <c r="B32" s="213">
        <f>SUM(B33:B36)</f>
        <v>18031</v>
      </c>
      <c r="C32" s="214">
        <f>SUM(C33:C36)</f>
        <v>22300</v>
      </c>
      <c r="D32" s="214">
        <f t="shared" ref="D32:Y32" si="12">SUM(D33:D36)</f>
        <v>678</v>
      </c>
      <c r="E32" s="215">
        <f t="shared" si="12"/>
        <v>1</v>
      </c>
      <c r="F32" s="214">
        <f t="shared" si="12"/>
        <v>17086</v>
      </c>
      <c r="G32" s="216">
        <f t="shared" si="12"/>
        <v>22163</v>
      </c>
      <c r="H32" s="214">
        <f t="shared" si="12"/>
        <v>15</v>
      </c>
      <c r="I32" s="216">
        <f t="shared" si="12"/>
        <v>0</v>
      </c>
      <c r="J32" s="214">
        <f>SUM(J33:J36)</f>
        <v>945</v>
      </c>
      <c r="K32" s="216">
        <f t="shared" si="12"/>
        <v>137</v>
      </c>
      <c r="L32" s="214">
        <f t="shared" si="12"/>
        <v>663</v>
      </c>
      <c r="M32" s="216">
        <f t="shared" si="12"/>
        <v>1</v>
      </c>
      <c r="N32" s="214">
        <f t="shared" si="12"/>
        <v>0</v>
      </c>
      <c r="O32" s="214">
        <f t="shared" si="12"/>
        <v>0</v>
      </c>
      <c r="P32" s="216">
        <f t="shared" si="12"/>
        <v>0</v>
      </c>
      <c r="Q32" s="214">
        <f t="shared" si="12"/>
        <v>0</v>
      </c>
      <c r="R32" s="216">
        <f t="shared" si="12"/>
        <v>0</v>
      </c>
      <c r="S32" s="214">
        <f t="shared" si="12"/>
        <v>0</v>
      </c>
      <c r="T32" s="216">
        <f t="shared" si="12"/>
        <v>0</v>
      </c>
      <c r="U32" s="214">
        <f t="shared" si="12"/>
        <v>0</v>
      </c>
      <c r="V32" s="216">
        <f t="shared" si="12"/>
        <v>0</v>
      </c>
      <c r="W32" s="214">
        <f t="shared" si="12"/>
        <v>0</v>
      </c>
      <c r="X32" s="214">
        <f t="shared" si="12"/>
        <v>0</v>
      </c>
      <c r="Y32" s="217">
        <f t="shared" si="12"/>
        <v>0</v>
      </c>
      <c r="Z32" s="182" t="s">
        <v>309</v>
      </c>
    </row>
    <row r="33" spans="1:26" x14ac:dyDescent="0.3">
      <c r="A33" s="179" t="s">
        <v>31</v>
      </c>
      <c r="B33" s="211">
        <f t="shared" ref="B33:B36" si="13">SUM(F33,J33,N33,R33,V33)</f>
        <v>4645</v>
      </c>
      <c r="C33" s="212">
        <f>(SUM(G33,K33,O33,S33,W33))</f>
        <v>11343</v>
      </c>
      <c r="D33" s="212">
        <f t="shared" ref="D33:D36" si="14">(SUM(H33,L33,P33,T33,X33))</f>
        <v>260</v>
      </c>
      <c r="E33" s="212">
        <f t="shared" ref="E33:E36" si="15">(SUM(I33,M33,Q33,U33,Y33))</f>
        <v>0</v>
      </c>
      <c r="F33" s="197">
        <v>4368</v>
      </c>
      <c r="G33" s="198">
        <v>11303</v>
      </c>
      <c r="H33" s="197">
        <v>13</v>
      </c>
      <c r="I33" s="198" t="s">
        <v>319</v>
      </c>
      <c r="J33" s="197">
        <v>277</v>
      </c>
      <c r="K33" s="198">
        <v>40</v>
      </c>
      <c r="L33" s="197">
        <v>247</v>
      </c>
      <c r="M33" s="198" t="s">
        <v>319</v>
      </c>
      <c r="N33" s="199" t="s">
        <v>319</v>
      </c>
      <c r="O33" s="198" t="s">
        <v>319</v>
      </c>
      <c r="P33" s="197" t="s">
        <v>319</v>
      </c>
      <c r="Q33" s="198" t="s">
        <v>319</v>
      </c>
      <c r="R33" s="199" t="s">
        <v>319</v>
      </c>
      <c r="S33" s="198" t="s">
        <v>319</v>
      </c>
      <c r="T33" s="197" t="s">
        <v>319</v>
      </c>
      <c r="U33" s="198" t="s">
        <v>319</v>
      </c>
      <c r="V33" s="199" t="s">
        <v>319</v>
      </c>
      <c r="W33" s="198" t="s">
        <v>319</v>
      </c>
      <c r="X33" s="197" t="s">
        <v>319</v>
      </c>
      <c r="Y33" s="200" t="s">
        <v>319</v>
      </c>
      <c r="Z33" s="180" t="s">
        <v>192</v>
      </c>
    </row>
    <row r="34" spans="1:26" x14ac:dyDescent="0.3">
      <c r="A34" s="179" t="s">
        <v>33</v>
      </c>
      <c r="B34" s="211">
        <f t="shared" si="13"/>
        <v>1323</v>
      </c>
      <c r="C34" s="212">
        <f t="shared" ref="C34:C36" si="16">(SUM(G34,K34,O34,S34,W34))</f>
        <v>633</v>
      </c>
      <c r="D34" s="212">
        <f t="shared" si="14"/>
        <v>75</v>
      </c>
      <c r="E34" s="212">
        <f t="shared" si="15"/>
        <v>0</v>
      </c>
      <c r="F34" s="197">
        <v>1192</v>
      </c>
      <c r="G34" s="198">
        <v>633</v>
      </c>
      <c r="H34" s="197" t="s">
        <v>319</v>
      </c>
      <c r="I34" s="198" t="s">
        <v>319</v>
      </c>
      <c r="J34" s="197">
        <v>131</v>
      </c>
      <c r="K34" s="198" t="s">
        <v>319</v>
      </c>
      <c r="L34" s="197">
        <v>75</v>
      </c>
      <c r="M34" s="198" t="s">
        <v>319</v>
      </c>
      <c r="N34" s="199" t="s">
        <v>319</v>
      </c>
      <c r="O34" s="198" t="s">
        <v>319</v>
      </c>
      <c r="P34" s="197" t="s">
        <v>319</v>
      </c>
      <c r="Q34" s="198" t="s">
        <v>319</v>
      </c>
      <c r="R34" s="199" t="s">
        <v>319</v>
      </c>
      <c r="S34" s="198" t="s">
        <v>319</v>
      </c>
      <c r="T34" s="197" t="s">
        <v>319</v>
      </c>
      <c r="U34" s="198" t="s">
        <v>319</v>
      </c>
      <c r="V34" s="199" t="s">
        <v>319</v>
      </c>
      <c r="W34" s="198" t="s">
        <v>319</v>
      </c>
      <c r="X34" s="197" t="s">
        <v>319</v>
      </c>
      <c r="Y34" s="200" t="s">
        <v>319</v>
      </c>
      <c r="Z34" s="180" t="s">
        <v>193</v>
      </c>
    </row>
    <row r="35" spans="1:26" x14ac:dyDescent="0.3">
      <c r="A35" s="179" t="s">
        <v>35</v>
      </c>
      <c r="B35" s="211">
        <f t="shared" si="13"/>
        <v>1087</v>
      </c>
      <c r="C35" s="212">
        <f t="shared" si="16"/>
        <v>641</v>
      </c>
      <c r="D35" s="212">
        <f t="shared" si="14"/>
        <v>218</v>
      </c>
      <c r="E35" s="212">
        <f t="shared" si="15"/>
        <v>1</v>
      </c>
      <c r="F35" s="197">
        <v>754</v>
      </c>
      <c r="G35" s="198">
        <v>547</v>
      </c>
      <c r="H35" s="197">
        <v>2</v>
      </c>
      <c r="I35" s="198" t="s">
        <v>319</v>
      </c>
      <c r="J35" s="197">
        <v>333</v>
      </c>
      <c r="K35" s="198">
        <v>94</v>
      </c>
      <c r="L35" s="197">
        <v>216</v>
      </c>
      <c r="M35" s="198">
        <v>1</v>
      </c>
      <c r="N35" s="199" t="s">
        <v>319</v>
      </c>
      <c r="O35" s="198" t="s">
        <v>319</v>
      </c>
      <c r="P35" s="197" t="s">
        <v>319</v>
      </c>
      <c r="Q35" s="198" t="s">
        <v>319</v>
      </c>
      <c r="R35" s="199" t="s">
        <v>319</v>
      </c>
      <c r="S35" s="198" t="s">
        <v>319</v>
      </c>
      <c r="T35" s="197" t="s">
        <v>319</v>
      </c>
      <c r="U35" s="198" t="s">
        <v>319</v>
      </c>
      <c r="V35" s="199" t="s">
        <v>319</v>
      </c>
      <c r="W35" s="198" t="s">
        <v>319</v>
      </c>
      <c r="X35" s="197" t="s">
        <v>319</v>
      </c>
      <c r="Y35" s="200" t="s">
        <v>319</v>
      </c>
      <c r="Z35" s="180" t="s">
        <v>194</v>
      </c>
    </row>
    <row r="36" spans="1:26" x14ac:dyDescent="0.3">
      <c r="A36" s="179" t="s">
        <v>37</v>
      </c>
      <c r="B36" s="211">
        <f t="shared" si="13"/>
        <v>10976</v>
      </c>
      <c r="C36" s="212">
        <f t="shared" si="16"/>
        <v>9683</v>
      </c>
      <c r="D36" s="212">
        <f t="shared" si="14"/>
        <v>125</v>
      </c>
      <c r="E36" s="212">
        <f t="shared" si="15"/>
        <v>0</v>
      </c>
      <c r="F36" s="197">
        <v>10772</v>
      </c>
      <c r="G36" s="198">
        <v>9680</v>
      </c>
      <c r="H36" s="197" t="s">
        <v>319</v>
      </c>
      <c r="I36" s="198" t="s">
        <v>319</v>
      </c>
      <c r="J36" s="197">
        <v>204</v>
      </c>
      <c r="K36" s="198">
        <v>3</v>
      </c>
      <c r="L36" s="197">
        <v>125</v>
      </c>
      <c r="M36" s="198" t="s">
        <v>319</v>
      </c>
      <c r="N36" s="199" t="s">
        <v>319</v>
      </c>
      <c r="O36" s="198" t="s">
        <v>319</v>
      </c>
      <c r="P36" s="197" t="s">
        <v>319</v>
      </c>
      <c r="Q36" s="198" t="s">
        <v>319</v>
      </c>
      <c r="R36" s="199" t="s">
        <v>319</v>
      </c>
      <c r="S36" s="198" t="s">
        <v>319</v>
      </c>
      <c r="T36" s="197" t="s">
        <v>319</v>
      </c>
      <c r="U36" s="198" t="s">
        <v>319</v>
      </c>
      <c r="V36" s="199" t="s">
        <v>319</v>
      </c>
      <c r="W36" s="198" t="s">
        <v>319</v>
      </c>
      <c r="X36" s="197" t="s">
        <v>319</v>
      </c>
      <c r="Y36" s="200" t="s">
        <v>319</v>
      </c>
      <c r="Z36" s="180" t="s">
        <v>195</v>
      </c>
    </row>
    <row r="37" spans="1:26" x14ac:dyDescent="0.3">
      <c r="A37" s="277" t="s">
        <v>196</v>
      </c>
      <c r="B37" s="280">
        <f>SUM(B39:B42)</f>
        <v>3724</v>
      </c>
      <c r="C37" s="278">
        <f>SUM(C39:C42)</f>
        <v>2758</v>
      </c>
      <c r="D37" s="278">
        <f>SUM(D39:D42)</f>
        <v>209</v>
      </c>
      <c r="E37" s="279">
        <f t="shared" ref="E37:N37" si="17">SUM(E39:E42)</f>
        <v>3</v>
      </c>
      <c r="F37" s="278">
        <f t="shared" si="17"/>
        <v>3622</v>
      </c>
      <c r="G37" s="281">
        <f t="shared" si="17"/>
        <v>2734</v>
      </c>
      <c r="H37" s="278">
        <f t="shared" si="17"/>
        <v>136</v>
      </c>
      <c r="I37" s="281">
        <f>SUM(I39:I42)</f>
        <v>1</v>
      </c>
      <c r="J37" s="278">
        <f>SUM(J39:J42)</f>
        <v>95</v>
      </c>
      <c r="K37" s="281">
        <f t="shared" si="17"/>
        <v>24</v>
      </c>
      <c r="L37" s="278">
        <f t="shared" si="17"/>
        <v>70</v>
      </c>
      <c r="M37" s="281">
        <f t="shared" si="17"/>
        <v>0</v>
      </c>
      <c r="N37" s="278">
        <f t="shared" si="17"/>
        <v>0</v>
      </c>
      <c r="O37" s="273">
        <f>SUM(O39:O42)</f>
        <v>0</v>
      </c>
      <c r="P37" s="282">
        <f t="shared" ref="P37:W37" si="18">SUM(P39:P42)</f>
        <v>0</v>
      </c>
      <c r="Q37" s="273">
        <f t="shared" si="18"/>
        <v>0</v>
      </c>
      <c r="R37" s="282">
        <f t="shared" si="18"/>
        <v>7</v>
      </c>
      <c r="S37" s="273">
        <f t="shared" si="18"/>
        <v>0</v>
      </c>
      <c r="T37" s="282">
        <f t="shared" si="18"/>
        <v>3</v>
      </c>
      <c r="U37" s="273">
        <f t="shared" si="18"/>
        <v>2</v>
      </c>
      <c r="V37" s="282">
        <f t="shared" si="18"/>
        <v>0</v>
      </c>
      <c r="W37" s="273">
        <f t="shared" si="18"/>
        <v>0</v>
      </c>
      <c r="X37" s="273">
        <f>SUM(X39:X42)</f>
        <v>0</v>
      </c>
      <c r="Y37" s="283">
        <f>SUM(Y39:Y42)</f>
        <v>0</v>
      </c>
      <c r="Z37" s="267" t="s">
        <v>197</v>
      </c>
    </row>
    <row r="38" spans="1:26" x14ac:dyDescent="0.3">
      <c r="A38" s="277"/>
      <c r="B38" s="280"/>
      <c r="C38" s="278"/>
      <c r="D38" s="278"/>
      <c r="E38" s="279"/>
      <c r="F38" s="278"/>
      <c r="G38" s="281"/>
      <c r="H38" s="278"/>
      <c r="I38" s="281"/>
      <c r="J38" s="278"/>
      <c r="K38" s="281"/>
      <c r="L38" s="278"/>
      <c r="M38" s="281"/>
      <c r="N38" s="278"/>
      <c r="O38" s="273"/>
      <c r="P38" s="282"/>
      <c r="Q38" s="273"/>
      <c r="R38" s="282"/>
      <c r="S38" s="273"/>
      <c r="T38" s="282"/>
      <c r="U38" s="273"/>
      <c r="V38" s="282"/>
      <c r="W38" s="273"/>
      <c r="X38" s="273"/>
      <c r="Y38" s="283"/>
      <c r="Z38" s="267"/>
    </row>
    <row r="39" spans="1:26" x14ac:dyDescent="0.3">
      <c r="A39" s="179" t="s">
        <v>39</v>
      </c>
      <c r="B39" s="211">
        <f t="shared" ref="B39:B42" si="19">SUM(F39,J39,N39,R39,V39)</f>
        <v>2484</v>
      </c>
      <c r="C39" s="212">
        <f t="shared" ref="C39:C42" si="20">(SUM(G39,K39,O39,S39,W39))</f>
        <v>1853</v>
      </c>
      <c r="D39" s="212">
        <f t="shared" ref="D39:D42" si="21">(SUM(H39,L39,P39,T39,X39))</f>
        <v>11</v>
      </c>
      <c r="E39" s="212">
        <f t="shared" ref="E39:E41" si="22">(SUM(I39,M39,Q39,U39,Y39))</f>
        <v>0</v>
      </c>
      <c r="F39" s="197">
        <v>2484</v>
      </c>
      <c r="G39" s="198">
        <v>1853</v>
      </c>
      <c r="H39" s="197">
        <v>11</v>
      </c>
      <c r="I39" s="198" t="s">
        <v>319</v>
      </c>
      <c r="J39" s="199" t="s">
        <v>319</v>
      </c>
      <c r="K39" s="198" t="s">
        <v>319</v>
      </c>
      <c r="L39" s="197" t="s">
        <v>319</v>
      </c>
      <c r="M39" s="198" t="s">
        <v>319</v>
      </c>
      <c r="N39" s="199" t="s">
        <v>319</v>
      </c>
      <c r="O39" s="198" t="s">
        <v>319</v>
      </c>
      <c r="P39" s="197" t="s">
        <v>319</v>
      </c>
      <c r="Q39" s="198" t="s">
        <v>319</v>
      </c>
      <c r="R39" s="197" t="s">
        <v>319</v>
      </c>
      <c r="S39" s="198" t="s">
        <v>319</v>
      </c>
      <c r="T39" s="197" t="s">
        <v>319</v>
      </c>
      <c r="U39" s="198" t="s">
        <v>319</v>
      </c>
      <c r="V39" s="199" t="s">
        <v>319</v>
      </c>
      <c r="W39" s="198" t="s">
        <v>319</v>
      </c>
      <c r="X39" s="197" t="s">
        <v>319</v>
      </c>
      <c r="Y39" s="200" t="s">
        <v>319</v>
      </c>
      <c r="Z39" s="180" t="s">
        <v>198</v>
      </c>
    </row>
    <row r="40" spans="1:26" x14ac:dyDescent="0.3">
      <c r="A40" s="179" t="s">
        <v>41</v>
      </c>
      <c r="B40" s="211">
        <f t="shared" si="19"/>
        <v>382</v>
      </c>
      <c r="C40" s="212">
        <f t="shared" si="20"/>
        <v>276</v>
      </c>
      <c r="D40" s="212">
        <f t="shared" si="21"/>
        <v>42</v>
      </c>
      <c r="E40" s="212">
        <f>(SUM(I40,M40,Q40,U40,Y40))</f>
        <v>0</v>
      </c>
      <c r="F40" s="197">
        <v>371</v>
      </c>
      <c r="G40" s="198">
        <v>276</v>
      </c>
      <c r="H40" s="197">
        <v>35</v>
      </c>
      <c r="I40" s="198" t="s">
        <v>319</v>
      </c>
      <c r="J40" s="197">
        <v>11</v>
      </c>
      <c r="K40" s="198" t="s">
        <v>319</v>
      </c>
      <c r="L40" s="197">
        <v>7</v>
      </c>
      <c r="M40" s="198" t="s">
        <v>319</v>
      </c>
      <c r="N40" s="197" t="s">
        <v>319</v>
      </c>
      <c r="O40" s="198" t="s">
        <v>319</v>
      </c>
      <c r="P40" s="197" t="s">
        <v>319</v>
      </c>
      <c r="Q40" s="198" t="s">
        <v>319</v>
      </c>
      <c r="R40" s="199" t="s">
        <v>319</v>
      </c>
      <c r="S40" s="198" t="s">
        <v>319</v>
      </c>
      <c r="T40" s="197" t="s">
        <v>319</v>
      </c>
      <c r="U40" s="198" t="s">
        <v>319</v>
      </c>
      <c r="V40" s="199" t="s">
        <v>319</v>
      </c>
      <c r="W40" s="198" t="s">
        <v>319</v>
      </c>
      <c r="X40" s="197" t="s">
        <v>319</v>
      </c>
      <c r="Y40" s="200" t="s">
        <v>319</v>
      </c>
      <c r="Z40" s="180" t="s">
        <v>199</v>
      </c>
    </row>
    <row r="41" spans="1:26" x14ac:dyDescent="0.3">
      <c r="A41" s="179" t="s">
        <v>43</v>
      </c>
      <c r="B41" s="211">
        <f t="shared" si="19"/>
        <v>463</v>
      </c>
      <c r="C41" s="212">
        <f t="shared" si="20"/>
        <v>398</v>
      </c>
      <c r="D41" s="212">
        <f t="shared" si="21"/>
        <v>48</v>
      </c>
      <c r="E41" s="212">
        <f t="shared" si="22"/>
        <v>3</v>
      </c>
      <c r="F41" s="197">
        <v>417</v>
      </c>
      <c r="G41" s="198">
        <v>398</v>
      </c>
      <c r="H41" s="197" t="s">
        <v>319</v>
      </c>
      <c r="I41" s="198">
        <v>1</v>
      </c>
      <c r="J41" s="197">
        <v>40</v>
      </c>
      <c r="K41" s="198" t="s">
        <v>319</v>
      </c>
      <c r="L41" s="197">
        <v>45</v>
      </c>
      <c r="M41" s="198" t="s">
        <v>319</v>
      </c>
      <c r="N41" s="199" t="s">
        <v>319</v>
      </c>
      <c r="O41" s="198" t="s">
        <v>319</v>
      </c>
      <c r="P41" s="197" t="s">
        <v>319</v>
      </c>
      <c r="Q41" s="198" t="s">
        <v>319</v>
      </c>
      <c r="R41" s="197">
        <v>6</v>
      </c>
      <c r="S41" s="198" t="s">
        <v>319</v>
      </c>
      <c r="T41" s="197">
        <v>3</v>
      </c>
      <c r="U41" s="198">
        <v>2</v>
      </c>
      <c r="V41" s="199" t="s">
        <v>319</v>
      </c>
      <c r="W41" s="198" t="s">
        <v>319</v>
      </c>
      <c r="X41" s="197" t="s">
        <v>319</v>
      </c>
      <c r="Y41" s="200" t="s">
        <v>319</v>
      </c>
      <c r="Z41" s="180" t="s">
        <v>200</v>
      </c>
    </row>
    <row r="42" spans="1:26" x14ac:dyDescent="0.3">
      <c r="A42" s="179" t="s">
        <v>46</v>
      </c>
      <c r="B42" s="211">
        <f t="shared" si="19"/>
        <v>395</v>
      </c>
      <c r="C42" s="212">
        <f t="shared" si="20"/>
        <v>231</v>
      </c>
      <c r="D42" s="212">
        <f t="shared" si="21"/>
        <v>108</v>
      </c>
      <c r="E42" s="212">
        <f>(SUM(I42,M42,Q42,U42,Y42))</f>
        <v>0</v>
      </c>
      <c r="F42" s="197">
        <v>350</v>
      </c>
      <c r="G42" s="198">
        <v>207</v>
      </c>
      <c r="H42" s="197">
        <v>90</v>
      </c>
      <c r="I42" s="198" t="s">
        <v>319</v>
      </c>
      <c r="J42" s="197">
        <v>44</v>
      </c>
      <c r="K42" s="198">
        <v>24</v>
      </c>
      <c r="L42" s="197">
        <v>18</v>
      </c>
      <c r="M42" s="198" t="s">
        <v>319</v>
      </c>
      <c r="N42" s="199" t="s">
        <v>319</v>
      </c>
      <c r="O42" s="198" t="s">
        <v>319</v>
      </c>
      <c r="P42" s="197" t="s">
        <v>319</v>
      </c>
      <c r="Q42" s="198" t="s">
        <v>319</v>
      </c>
      <c r="R42" s="197">
        <v>1</v>
      </c>
      <c r="S42" s="198" t="s">
        <v>319</v>
      </c>
      <c r="T42" s="197" t="s">
        <v>319</v>
      </c>
      <c r="U42" s="198" t="s">
        <v>319</v>
      </c>
      <c r="V42" s="199" t="s">
        <v>319</v>
      </c>
      <c r="W42" s="198" t="s">
        <v>319</v>
      </c>
      <c r="X42" s="197" t="s">
        <v>319</v>
      </c>
      <c r="Y42" s="200" t="s">
        <v>319</v>
      </c>
      <c r="Z42" s="180" t="s">
        <v>201</v>
      </c>
    </row>
    <row r="43" spans="1:26" x14ac:dyDescent="0.3">
      <c r="A43" s="277" t="s">
        <v>202</v>
      </c>
      <c r="B43" s="280">
        <f>SUM(B45:B49)</f>
        <v>42715</v>
      </c>
      <c r="C43" s="278">
        <f>SUM(C45:C49)</f>
        <v>69297</v>
      </c>
      <c r="D43" s="278">
        <f t="shared" ref="D43:N43" si="23">SUM(D45:D49)</f>
        <v>8992</v>
      </c>
      <c r="E43" s="279">
        <f t="shared" si="23"/>
        <v>9305</v>
      </c>
      <c r="F43" s="278">
        <f t="shared" si="23"/>
        <v>33592</v>
      </c>
      <c r="G43" s="281">
        <f t="shared" si="23"/>
        <v>68761</v>
      </c>
      <c r="H43" s="278">
        <f t="shared" si="23"/>
        <v>535</v>
      </c>
      <c r="I43" s="281">
        <f>SUM(I45:I49)</f>
        <v>46</v>
      </c>
      <c r="J43" s="278">
        <f>SUM(J45:J49)</f>
        <v>5599</v>
      </c>
      <c r="K43" s="281">
        <f t="shared" si="23"/>
        <v>536</v>
      </c>
      <c r="L43" s="278">
        <f t="shared" si="23"/>
        <v>8454</v>
      </c>
      <c r="M43" s="281">
        <f t="shared" si="23"/>
        <v>102</v>
      </c>
      <c r="N43" s="278">
        <f t="shared" si="23"/>
        <v>2157</v>
      </c>
      <c r="O43" s="273">
        <f>SUM(O45:O49)</f>
        <v>0</v>
      </c>
      <c r="P43" s="282">
        <f t="shared" ref="P43:W43" si="24">SUM(P45:P49)</f>
        <v>0</v>
      </c>
      <c r="Q43" s="273">
        <f t="shared" si="24"/>
        <v>5265</v>
      </c>
      <c r="R43" s="282">
        <f t="shared" si="24"/>
        <v>1366</v>
      </c>
      <c r="S43" s="273">
        <f t="shared" si="24"/>
        <v>0</v>
      </c>
      <c r="T43" s="282">
        <f t="shared" si="24"/>
        <v>3</v>
      </c>
      <c r="U43" s="273">
        <f t="shared" si="24"/>
        <v>3891</v>
      </c>
      <c r="V43" s="282">
        <f t="shared" si="24"/>
        <v>1</v>
      </c>
      <c r="W43" s="273">
        <f t="shared" si="24"/>
        <v>0</v>
      </c>
      <c r="X43" s="273">
        <f>SUM(X45:X49)</f>
        <v>0</v>
      </c>
      <c r="Y43" s="283">
        <f>SUM(Y45:Y49)</f>
        <v>1</v>
      </c>
      <c r="Z43" s="267" t="s">
        <v>203</v>
      </c>
    </row>
    <row r="44" spans="1:26" x14ac:dyDescent="0.3">
      <c r="A44" s="277"/>
      <c r="B44" s="280"/>
      <c r="C44" s="278"/>
      <c r="D44" s="278"/>
      <c r="E44" s="279"/>
      <c r="F44" s="278"/>
      <c r="G44" s="281"/>
      <c r="H44" s="278"/>
      <c r="I44" s="281"/>
      <c r="J44" s="278"/>
      <c r="K44" s="281"/>
      <c r="L44" s="278"/>
      <c r="M44" s="281"/>
      <c r="N44" s="278"/>
      <c r="O44" s="273"/>
      <c r="P44" s="282"/>
      <c r="Q44" s="273"/>
      <c r="R44" s="282"/>
      <c r="S44" s="273"/>
      <c r="T44" s="282"/>
      <c r="U44" s="273"/>
      <c r="V44" s="282"/>
      <c r="W44" s="273"/>
      <c r="X44" s="273"/>
      <c r="Y44" s="283"/>
      <c r="Z44" s="267"/>
    </row>
    <row r="45" spans="1:26" x14ac:dyDescent="0.3">
      <c r="A45" s="179" t="s">
        <v>48</v>
      </c>
      <c r="B45" s="211">
        <f t="shared" ref="B45:B49" si="25">SUM(F45,J45,N45,R45,V45)</f>
        <v>29761</v>
      </c>
      <c r="C45" s="212">
        <f t="shared" ref="C45:C49" si="26">(SUM(G45,K45,O45,S45,W45))</f>
        <v>58708</v>
      </c>
      <c r="D45" s="212">
        <f t="shared" ref="D45:D49" si="27">(SUM(H45,L45,P45,T45,X45))</f>
        <v>6528</v>
      </c>
      <c r="E45" s="212">
        <f t="shared" ref="E45:E49" si="28">(SUM(I45,M45,Q45,U45,Y45))</f>
        <v>9295</v>
      </c>
      <c r="F45" s="197">
        <v>22768</v>
      </c>
      <c r="G45" s="198">
        <v>58708</v>
      </c>
      <c r="H45" s="197" t="s">
        <v>319</v>
      </c>
      <c r="I45" s="198">
        <v>38</v>
      </c>
      <c r="J45" s="197">
        <v>3474</v>
      </c>
      <c r="K45" s="198" t="s">
        <v>319</v>
      </c>
      <c r="L45" s="197">
        <v>6528</v>
      </c>
      <c r="M45" s="198">
        <v>102</v>
      </c>
      <c r="N45" s="197">
        <v>2157</v>
      </c>
      <c r="O45" s="198" t="s">
        <v>319</v>
      </c>
      <c r="P45" s="197" t="s">
        <v>319</v>
      </c>
      <c r="Q45" s="198">
        <v>5265</v>
      </c>
      <c r="R45" s="197">
        <v>1362</v>
      </c>
      <c r="S45" s="198" t="s">
        <v>319</v>
      </c>
      <c r="T45" s="197" t="s">
        <v>319</v>
      </c>
      <c r="U45" s="198">
        <v>3890</v>
      </c>
      <c r="V45" s="199" t="s">
        <v>319</v>
      </c>
      <c r="W45" s="198" t="s">
        <v>319</v>
      </c>
      <c r="X45" s="197" t="s">
        <v>319</v>
      </c>
      <c r="Y45" s="200" t="s">
        <v>319</v>
      </c>
      <c r="Z45" s="180" t="s">
        <v>204</v>
      </c>
    </row>
    <row r="46" spans="1:26" x14ac:dyDescent="0.3">
      <c r="A46" s="179" t="s">
        <v>51</v>
      </c>
      <c r="B46" s="211">
        <f t="shared" si="25"/>
        <v>4000</v>
      </c>
      <c r="C46" s="212">
        <f t="shared" si="26"/>
        <v>2546</v>
      </c>
      <c r="D46" s="212">
        <f t="shared" si="27"/>
        <v>655</v>
      </c>
      <c r="E46" s="212">
        <f t="shared" si="28"/>
        <v>8</v>
      </c>
      <c r="F46" s="197">
        <v>3600</v>
      </c>
      <c r="G46" s="198">
        <v>2362</v>
      </c>
      <c r="H46" s="197">
        <v>523</v>
      </c>
      <c r="I46" s="198">
        <v>8</v>
      </c>
      <c r="J46" s="197">
        <v>400</v>
      </c>
      <c r="K46" s="198">
        <v>184</v>
      </c>
      <c r="L46" s="197">
        <v>132</v>
      </c>
      <c r="M46" s="198" t="s">
        <v>319</v>
      </c>
      <c r="N46" s="199" t="s">
        <v>319</v>
      </c>
      <c r="O46" s="198" t="s">
        <v>319</v>
      </c>
      <c r="P46" s="197" t="s">
        <v>319</v>
      </c>
      <c r="Q46" s="198" t="s">
        <v>319</v>
      </c>
      <c r="R46" s="199" t="s">
        <v>319</v>
      </c>
      <c r="S46" s="198" t="s">
        <v>319</v>
      </c>
      <c r="T46" s="197" t="s">
        <v>319</v>
      </c>
      <c r="U46" s="198" t="s">
        <v>319</v>
      </c>
      <c r="V46" s="199" t="s">
        <v>319</v>
      </c>
      <c r="W46" s="198" t="s">
        <v>319</v>
      </c>
      <c r="X46" s="197" t="s">
        <v>319</v>
      </c>
      <c r="Y46" s="200" t="s">
        <v>319</v>
      </c>
      <c r="Z46" s="180" t="s">
        <v>205</v>
      </c>
    </row>
    <row r="47" spans="1:26" x14ac:dyDescent="0.3">
      <c r="A47" s="179" t="s">
        <v>53</v>
      </c>
      <c r="B47" s="211">
        <f t="shared" si="25"/>
        <v>3948</v>
      </c>
      <c r="C47" s="212">
        <f t="shared" si="26"/>
        <v>3651</v>
      </c>
      <c r="D47" s="212">
        <f t="shared" si="27"/>
        <v>619</v>
      </c>
      <c r="E47" s="212">
        <f t="shared" si="28"/>
        <v>1</v>
      </c>
      <c r="F47" s="197">
        <v>3559</v>
      </c>
      <c r="G47" s="198">
        <v>3650</v>
      </c>
      <c r="H47" s="197" t="s">
        <v>319</v>
      </c>
      <c r="I47" s="198" t="s">
        <v>319</v>
      </c>
      <c r="J47" s="197">
        <v>385</v>
      </c>
      <c r="K47" s="198">
        <v>1</v>
      </c>
      <c r="L47" s="197">
        <v>616</v>
      </c>
      <c r="M47" s="198" t="s">
        <v>319</v>
      </c>
      <c r="N47" s="199" t="s">
        <v>319</v>
      </c>
      <c r="O47" s="198" t="s">
        <v>319</v>
      </c>
      <c r="P47" s="197" t="s">
        <v>319</v>
      </c>
      <c r="Q47" s="198" t="s">
        <v>319</v>
      </c>
      <c r="R47" s="197">
        <v>3</v>
      </c>
      <c r="S47" s="198" t="s">
        <v>319</v>
      </c>
      <c r="T47" s="197">
        <v>3</v>
      </c>
      <c r="U47" s="198" t="s">
        <v>319</v>
      </c>
      <c r="V47" s="199">
        <v>1</v>
      </c>
      <c r="W47" s="198" t="s">
        <v>319</v>
      </c>
      <c r="X47" s="197" t="s">
        <v>319</v>
      </c>
      <c r="Y47" s="200">
        <v>1</v>
      </c>
      <c r="Z47" s="180" t="s">
        <v>206</v>
      </c>
    </row>
    <row r="48" spans="1:26" x14ac:dyDescent="0.3">
      <c r="A48" s="179" t="s">
        <v>56</v>
      </c>
      <c r="B48" s="211">
        <f t="shared" si="25"/>
        <v>87</v>
      </c>
      <c r="C48" s="212">
        <f t="shared" si="26"/>
        <v>68</v>
      </c>
      <c r="D48" s="212">
        <f t="shared" si="27"/>
        <v>4</v>
      </c>
      <c r="E48" s="212">
        <f t="shared" si="28"/>
        <v>0</v>
      </c>
      <c r="F48" s="197">
        <v>84</v>
      </c>
      <c r="G48" s="198">
        <v>68</v>
      </c>
      <c r="H48" s="197" t="s">
        <v>319</v>
      </c>
      <c r="I48" s="198" t="s">
        <v>319</v>
      </c>
      <c r="J48" s="197">
        <v>3</v>
      </c>
      <c r="K48" s="198" t="s">
        <v>319</v>
      </c>
      <c r="L48" s="197">
        <v>4</v>
      </c>
      <c r="M48" s="198" t="s">
        <v>319</v>
      </c>
      <c r="N48" s="199" t="s">
        <v>319</v>
      </c>
      <c r="O48" s="198" t="s">
        <v>319</v>
      </c>
      <c r="P48" s="197" t="s">
        <v>319</v>
      </c>
      <c r="Q48" s="198" t="s">
        <v>319</v>
      </c>
      <c r="R48" s="199" t="s">
        <v>319</v>
      </c>
      <c r="S48" s="198" t="s">
        <v>319</v>
      </c>
      <c r="T48" s="197" t="s">
        <v>319</v>
      </c>
      <c r="U48" s="198" t="s">
        <v>319</v>
      </c>
      <c r="V48" s="199" t="s">
        <v>319</v>
      </c>
      <c r="W48" s="198" t="s">
        <v>319</v>
      </c>
      <c r="X48" s="197" t="s">
        <v>319</v>
      </c>
      <c r="Y48" s="200" t="s">
        <v>319</v>
      </c>
      <c r="Z48" s="180" t="s">
        <v>207</v>
      </c>
    </row>
    <row r="49" spans="1:26" x14ac:dyDescent="0.3">
      <c r="A49" s="179" t="s">
        <v>58</v>
      </c>
      <c r="B49" s="211">
        <f t="shared" si="25"/>
        <v>4919</v>
      </c>
      <c r="C49" s="212">
        <f t="shared" si="26"/>
        <v>4324</v>
      </c>
      <c r="D49" s="212">
        <f t="shared" si="27"/>
        <v>1186</v>
      </c>
      <c r="E49" s="212">
        <f t="shared" si="28"/>
        <v>1</v>
      </c>
      <c r="F49" s="197">
        <v>3581</v>
      </c>
      <c r="G49" s="198">
        <v>3973</v>
      </c>
      <c r="H49" s="197">
        <v>12</v>
      </c>
      <c r="I49" s="198" t="s">
        <v>319</v>
      </c>
      <c r="J49" s="197">
        <v>1337</v>
      </c>
      <c r="K49" s="198">
        <v>351</v>
      </c>
      <c r="L49" s="197">
        <v>1174</v>
      </c>
      <c r="M49" s="198" t="s">
        <v>319</v>
      </c>
      <c r="N49" s="199" t="s">
        <v>319</v>
      </c>
      <c r="O49" s="198" t="s">
        <v>319</v>
      </c>
      <c r="P49" s="197" t="s">
        <v>319</v>
      </c>
      <c r="Q49" s="198" t="s">
        <v>319</v>
      </c>
      <c r="R49" s="199">
        <v>1</v>
      </c>
      <c r="S49" s="198" t="s">
        <v>319</v>
      </c>
      <c r="T49" s="197" t="s">
        <v>319</v>
      </c>
      <c r="U49" s="198">
        <v>1</v>
      </c>
      <c r="V49" s="199" t="s">
        <v>319</v>
      </c>
      <c r="W49" s="198" t="s">
        <v>319</v>
      </c>
      <c r="X49" s="197" t="s">
        <v>319</v>
      </c>
      <c r="Y49" s="200" t="s">
        <v>319</v>
      </c>
      <c r="Z49" s="180" t="s">
        <v>208</v>
      </c>
    </row>
    <row r="50" spans="1:26" x14ac:dyDescent="0.3">
      <c r="A50" s="277" t="s">
        <v>209</v>
      </c>
      <c r="B50" s="280">
        <f>SUM(B52:B56)</f>
        <v>52639</v>
      </c>
      <c r="C50" s="278">
        <f>SUM(C52:C56)</f>
        <v>51560</v>
      </c>
      <c r="D50" s="278">
        <f t="shared" ref="D50:N50" si="29">SUM(D52:D56)</f>
        <v>1316</v>
      </c>
      <c r="E50" s="279">
        <f t="shared" si="29"/>
        <v>579</v>
      </c>
      <c r="F50" s="278">
        <f t="shared" si="29"/>
        <v>51258</v>
      </c>
      <c r="G50" s="281">
        <f t="shared" si="29"/>
        <v>51359</v>
      </c>
      <c r="H50" s="278">
        <f t="shared" si="29"/>
        <v>231</v>
      </c>
      <c r="I50" s="281">
        <f>SUM(I52:I56)</f>
        <v>380</v>
      </c>
      <c r="J50" s="278">
        <f>SUM(J52:J56)</f>
        <v>1176</v>
      </c>
      <c r="K50" s="281">
        <f t="shared" si="29"/>
        <v>186</v>
      </c>
      <c r="L50" s="278">
        <f t="shared" si="29"/>
        <v>1085</v>
      </c>
      <c r="M50" s="281">
        <f t="shared" si="29"/>
        <v>27</v>
      </c>
      <c r="N50" s="278">
        <f t="shared" si="29"/>
        <v>3</v>
      </c>
      <c r="O50" s="273">
        <f>SUM(O52:O56)</f>
        <v>1</v>
      </c>
      <c r="P50" s="282">
        <f t="shared" ref="P50:W50" si="30">SUM(P52:P56)</f>
        <v>0</v>
      </c>
      <c r="Q50" s="273">
        <f t="shared" si="30"/>
        <v>0</v>
      </c>
      <c r="R50" s="282">
        <f t="shared" si="30"/>
        <v>192</v>
      </c>
      <c r="S50" s="273">
        <f t="shared" si="30"/>
        <v>2</v>
      </c>
      <c r="T50" s="282">
        <f t="shared" si="30"/>
        <v>0</v>
      </c>
      <c r="U50" s="273">
        <f t="shared" si="30"/>
        <v>164</v>
      </c>
      <c r="V50" s="282">
        <f t="shared" si="30"/>
        <v>10</v>
      </c>
      <c r="W50" s="273">
        <f t="shared" si="30"/>
        <v>12</v>
      </c>
      <c r="X50" s="273">
        <f>SUM(X52:X56)</f>
        <v>0</v>
      </c>
      <c r="Y50" s="283">
        <f>SUM(Y52:Y56)</f>
        <v>8</v>
      </c>
      <c r="Z50" s="267" t="s">
        <v>210</v>
      </c>
    </row>
    <row r="51" spans="1:26" x14ac:dyDescent="0.3">
      <c r="A51" s="277"/>
      <c r="B51" s="280"/>
      <c r="C51" s="278"/>
      <c r="D51" s="278"/>
      <c r="E51" s="279"/>
      <c r="F51" s="278"/>
      <c r="G51" s="281"/>
      <c r="H51" s="278"/>
      <c r="I51" s="281"/>
      <c r="J51" s="278"/>
      <c r="K51" s="281"/>
      <c r="L51" s="278"/>
      <c r="M51" s="281"/>
      <c r="N51" s="278"/>
      <c r="O51" s="273"/>
      <c r="P51" s="282"/>
      <c r="Q51" s="273"/>
      <c r="R51" s="282"/>
      <c r="S51" s="273"/>
      <c r="T51" s="282"/>
      <c r="U51" s="273"/>
      <c r="V51" s="282"/>
      <c r="W51" s="273"/>
      <c r="X51" s="273"/>
      <c r="Y51" s="283"/>
      <c r="Z51" s="267"/>
    </row>
    <row r="52" spans="1:26" x14ac:dyDescent="0.3">
      <c r="A52" s="179" t="s">
        <v>60</v>
      </c>
      <c r="B52" s="211">
        <f t="shared" ref="B52:B56" si="31">SUM(F52,J52,N52,R52,V52)</f>
        <v>11305</v>
      </c>
      <c r="C52" s="212">
        <f t="shared" ref="C52:C56" si="32">(SUM(G52,K52,O52,S52,W52))</f>
        <v>9363</v>
      </c>
      <c r="D52" s="212">
        <f t="shared" ref="D52:D56" si="33">(SUM(H52,L52,P52,T52,X52))</f>
        <v>755</v>
      </c>
      <c r="E52" s="212">
        <f t="shared" ref="E52:E56" si="34">(SUM(I52,M52,Q52,U52,Y52))</f>
        <v>186</v>
      </c>
      <c r="F52" s="197">
        <v>10255</v>
      </c>
      <c r="G52" s="198">
        <v>9259</v>
      </c>
      <c r="H52" s="197">
        <v>55</v>
      </c>
      <c r="I52" s="198" t="s">
        <v>319</v>
      </c>
      <c r="J52" s="197">
        <v>866</v>
      </c>
      <c r="K52" s="198">
        <v>103</v>
      </c>
      <c r="L52" s="197">
        <v>700</v>
      </c>
      <c r="M52" s="198">
        <v>27</v>
      </c>
      <c r="N52" s="199">
        <v>3</v>
      </c>
      <c r="O52" s="198">
        <v>1</v>
      </c>
      <c r="P52" s="197" t="s">
        <v>319</v>
      </c>
      <c r="Q52" s="198" t="s">
        <v>319</v>
      </c>
      <c r="R52" s="197">
        <v>176</v>
      </c>
      <c r="S52" s="198" t="s">
        <v>319</v>
      </c>
      <c r="T52" s="197" t="s">
        <v>319</v>
      </c>
      <c r="U52" s="198">
        <v>154</v>
      </c>
      <c r="V52" s="197">
        <v>5</v>
      </c>
      <c r="W52" s="198" t="s">
        <v>319</v>
      </c>
      <c r="X52" s="197" t="s">
        <v>319</v>
      </c>
      <c r="Y52" s="200">
        <v>5</v>
      </c>
      <c r="Z52" s="180" t="s">
        <v>211</v>
      </c>
    </row>
    <row r="53" spans="1:26" x14ac:dyDescent="0.3">
      <c r="A53" s="179" t="s">
        <v>62</v>
      </c>
      <c r="B53" s="211">
        <f t="shared" si="31"/>
        <v>31608</v>
      </c>
      <c r="C53" s="212">
        <f t="shared" si="32"/>
        <v>32023</v>
      </c>
      <c r="D53" s="212">
        <f t="shared" si="33"/>
        <v>253</v>
      </c>
      <c r="E53" s="212">
        <f t="shared" si="34"/>
        <v>0</v>
      </c>
      <c r="F53" s="197">
        <v>31487</v>
      </c>
      <c r="G53" s="198">
        <v>32010</v>
      </c>
      <c r="H53" s="197">
        <v>160</v>
      </c>
      <c r="I53" s="198" t="s">
        <v>319</v>
      </c>
      <c r="J53" s="197">
        <v>121</v>
      </c>
      <c r="K53" s="198">
        <v>13</v>
      </c>
      <c r="L53" s="197">
        <v>93</v>
      </c>
      <c r="M53" s="198" t="s">
        <v>319</v>
      </c>
      <c r="N53" s="199" t="s">
        <v>319</v>
      </c>
      <c r="O53" s="198" t="s">
        <v>319</v>
      </c>
      <c r="P53" s="197" t="s">
        <v>319</v>
      </c>
      <c r="Q53" s="198" t="s">
        <v>319</v>
      </c>
      <c r="R53" s="197" t="s">
        <v>319</v>
      </c>
      <c r="S53" s="198" t="s">
        <v>319</v>
      </c>
      <c r="T53" s="197" t="s">
        <v>319</v>
      </c>
      <c r="U53" s="198" t="s">
        <v>319</v>
      </c>
      <c r="V53" s="199" t="s">
        <v>319</v>
      </c>
      <c r="W53" s="198" t="s">
        <v>319</v>
      </c>
      <c r="X53" s="197" t="s">
        <v>319</v>
      </c>
      <c r="Y53" s="200" t="s">
        <v>319</v>
      </c>
      <c r="Z53" s="180" t="s">
        <v>212</v>
      </c>
    </row>
    <row r="54" spans="1:26" x14ac:dyDescent="0.3">
      <c r="A54" s="179" t="s">
        <v>64</v>
      </c>
      <c r="B54" s="211">
        <f t="shared" si="31"/>
        <v>8483</v>
      </c>
      <c r="C54" s="212">
        <f t="shared" si="32"/>
        <v>8587</v>
      </c>
      <c r="D54" s="212">
        <f t="shared" si="33"/>
        <v>304</v>
      </c>
      <c r="E54" s="212">
        <f t="shared" si="34"/>
        <v>393</v>
      </c>
      <c r="F54" s="197">
        <v>8275</v>
      </c>
      <c r="G54" s="198">
        <v>8503</v>
      </c>
      <c r="H54" s="197">
        <v>12</v>
      </c>
      <c r="I54" s="198">
        <v>380</v>
      </c>
      <c r="J54" s="197">
        <v>187</v>
      </c>
      <c r="K54" s="198">
        <v>70</v>
      </c>
      <c r="L54" s="197">
        <v>292</v>
      </c>
      <c r="M54" s="198" t="s">
        <v>319</v>
      </c>
      <c r="N54" s="199" t="s">
        <v>319</v>
      </c>
      <c r="O54" s="198" t="s">
        <v>319</v>
      </c>
      <c r="P54" s="197" t="s">
        <v>319</v>
      </c>
      <c r="Q54" s="198" t="s">
        <v>319</v>
      </c>
      <c r="R54" s="197">
        <v>16</v>
      </c>
      <c r="S54" s="198">
        <v>2</v>
      </c>
      <c r="T54" s="197" t="s">
        <v>319</v>
      </c>
      <c r="U54" s="198">
        <v>10</v>
      </c>
      <c r="V54" s="197">
        <v>5</v>
      </c>
      <c r="W54" s="198">
        <v>12</v>
      </c>
      <c r="X54" s="197" t="s">
        <v>319</v>
      </c>
      <c r="Y54" s="200">
        <v>3</v>
      </c>
      <c r="Z54" s="180" t="s">
        <v>213</v>
      </c>
    </row>
    <row r="55" spans="1:26" x14ac:dyDescent="0.3">
      <c r="A55" s="179" t="s">
        <v>67</v>
      </c>
      <c r="B55" s="211">
        <f t="shared" si="31"/>
        <v>45</v>
      </c>
      <c r="C55" s="212">
        <f t="shared" si="32"/>
        <v>17</v>
      </c>
      <c r="D55" s="212">
        <f t="shared" si="33"/>
        <v>1</v>
      </c>
      <c r="E55" s="212">
        <f t="shared" si="34"/>
        <v>0</v>
      </c>
      <c r="F55" s="197">
        <v>44</v>
      </c>
      <c r="G55" s="198">
        <v>17</v>
      </c>
      <c r="H55" s="197">
        <v>1</v>
      </c>
      <c r="I55" s="198" t="s">
        <v>319</v>
      </c>
      <c r="J55" s="197">
        <v>1</v>
      </c>
      <c r="K55" s="198" t="s">
        <v>319</v>
      </c>
      <c r="L55" s="197" t="s">
        <v>319</v>
      </c>
      <c r="M55" s="198" t="s">
        <v>319</v>
      </c>
      <c r="N55" s="199" t="s">
        <v>319</v>
      </c>
      <c r="O55" s="198" t="s">
        <v>319</v>
      </c>
      <c r="P55" s="197" t="s">
        <v>319</v>
      </c>
      <c r="Q55" s="198" t="s">
        <v>319</v>
      </c>
      <c r="R55" s="199" t="s">
        <v>319</v>
      </c>
      <c r="S55" s="198" t="s">
        <v>319</v>
      </c>
      <c r="T55" s="197" t="s">
        <v>319</v>
      </c>
      <c r="U55" s="198" t="s">
        <v>319</v>
      </c>
      <c r="V55" s="197" t="s">
        <v>319</v>
      </c>
      <c r="W55" s="198" t="s">
        <v>319</v>
      </c>
      <c r="X55" s="197" t="s">
        <v>319</v>
      </c>
      <c r="Y55" s="200" t="s">
        <v>319</v>
      </c>
      <c r="Z55" s="180" t="s">
        <v>214</v>
      </c>
    </row>
    <row r="56" spans="1:26" x14ac:dyDescent="0.3">
      <c r="A56" s="179" t="s">
        <v>69</v>
      </c>
      <c r="B56" s="211">
        <f t="shared" si="31"/>
        <v>1198</v>
      </c>
      <c r="C56" s="212">
        <f t="shared" si="32"/>
        <v>1570</v>
      </c>
      <c r="D56" s="212">
        <f t="shared" si="33"/>
        <v>3</v>
      </c>
      <c r="E56" s="212">
        <f t="shared" si="34"/>
        <v>0</v>
      </c>
      <c r="F56" s="197">
        <v>1197</v>
      </c>
      <c r="G56" s="198">
        <v>1570</v>
      </c>
      <c r="H56" s="197">
        <v>3</v>
      </c>
      <c r="I56" s="198" t="s">
        <v>319</v>
      </c>
      <c r="J56" s="199">
        <v>1</v>
      </c>
      <c r="K56" s="198" t="s">
        <v>319</v>
      </c>
      <c r="L56" s="197" t="s">
        <v>319</v>
      </c>
      <c r="M56" s="198" t="s">
        <v>319</v>
      </c>
      <c r="N56" s="199" t="s">
        <v>319</v>
      </c>
      <c r="O56" s="198" t="s">
        <v>319</v>
      </c>
      <c r="P56" s="197" t="s">
        <v>319</v>
      </c>
      <c r="Q56" s="198" t="s">
        <v>319</v>
      </c>
      <c r="R56" s="199" t="s">
        <v>319</v>
      </c>
      <c r="S56" s="198" t="s">
        <v>319</v>
      </c>
      <c r="T56" s="197" t="s">
        <v>319</v>
      </c>
      <c r="U56" s="198" t="s">
        <v>319</v>
      </c>
      <c r="V56" s="199" t="s">
        <v>319</v>
      </c>
      <c r="W56" s="198" t="s">
        <v>319</v>
      </c>
      <c r="X56" s="197" t="s">
        <v>319</v>
      </c>
      <c r="Y56" s="200" t="s">
        <v>319</v>
      </c>
      <c r="Z56" s="180" t="s">
        <v>215</v>
      </c>
    </row>
    <row r="57" spans="1:26" x14ac:dyDescent="0.3">
      <c r="A57" s="277" t="s">
        <v>216</v>
      </c>
      <c r="B57" s="280">
        <f>SUM(B59:B63)</f>
        <v>21056</v>
      </c>
      <c r="C57" s="278">
        <f>SUM(C59:C63)</f>
        <v>5890</v>
      </c>
      <c r="D57" s="278">
        <f t="shared" ref="D57:N57" si="35">SUM(D59:D63)</f>
        <v>58</v>
      </c>
      <c r="E57" s="279">
        <f t="shared" si="35"/>
        <v>1732</v>
      </c>
      <c r="F57" s="278">
        <f t="shared" si="35"/>
        <v>12231</v>
      </c>
      <c r="G57" s="281">
        <f t="shared" si="35"/>
        <v>5890</v>
      </c>
      <c r="H57" s="278">
        <f t="shared" si="35"/>
        <v>0</v>
      </c>
      <c r="I57" s="281">
        <f>SUM(I59:I63)</f>
        <v>0</v>
      </c>
      <c r="J57" s="278">
        <f>SUM(J59:J63)</f>
        <v>122</v>
      </c>
      <c r="K57" s="281">
        <f t="shared" si="35"/>
        <v>0</v>
      </c>
      <c r="L57" s="278">
        <f t="shared" si="35"/>
        <v>58</v>
      </c>
      <c r="M57" s="281">
        <f t="shared" si="35"/>
        <v>0</v>
      </c>
      <c r="N57" s="278">
        <f t="shared" si="35"/>
        <v>8688</v>
      </c>
      <c r="O57" s="273">
        <f>SUM(O59:O63)</f>
        <v>0</v>
      </c>
      <c r="P57" s="282">
        <f t="shared" ref="P57:W57" si="36">SUM(P59:P63)</f>
        <v>0</v>
      </c>
      <c r="Q57" s="273">
        <f t="shared" si="36"/>
        <v>1724</v>
      </c>
      <c r="R57" s="282">
        <f t="shared" si="36"/>
        <v>15</v>
      </c>
      <c r="S57" s="273">
        <f t="shared" si="36"/>
        <v>0</v>
      </c>
      <c r="T57" s="282">
        <f t="shared" si="36"/>
        <v>0</v>
      </c>
      <c r="U57" s="273">
        <f t="shared" si="36"/>
        <v>8</v>
      </c>
      <c r="V57" s="282">
        <f t="shared" si="36"/>
        <v>0</v>
      </c>
      <c r="W57" s="273">
        <f t="shared" si="36"/>
        <v>0</v>
      </c>
      <c r="X57" s="273">
        <f>SUM(X59:X63)</f>
        <v>0</v>
      </c>
      <c r="Y57" s="283">
        <f>SUM(Y59:Y63)</f>
        <v>0</v>
      </c>
      <c r="Z57" s="267" t="s">
        <v>217</v>
      </c>
    </row>
    <row r="58" spans="1:26" x14ac:dyDescent="0.3">
      <c r="A58" s="277"/>
      <c r="B58" s="280"/>
      <c r="C58" s="278"/>
      <c r="D58" s="278"/>
      <c r="E58" s="279"/>
      <c r="F58" s="278"/>
      <c r="G58" s="281"/>
      <c r="H58" s="278"/>
      <c r="I58" s="281"/>
      <c r="J58" s="278"/>
      <c r="K58" s="281"/>
      <c r="L58" s="278"/>
      <c r="M58" s="281"/>
      <c r="N58" s="278"/>
      <c r="O58" s="273"/>
      <c r="P58" s="282"/>
      <c r="Q58" s="273"/>
      <c r="R58" s="282"/>
      <c r="S58" s="273"/>
      <c r="T58" s="282"/>
      <c r="U58" s="273"/>
      <c r="V58" s="282"/>
      <c r="W58" s="273"/>
      <c r="X58" s="273"/>
      <c r="Y58" s="283"/>
      <c r="Z58" s="267"/>
    </row>
    <row r="59" spans="1:26" x14ac:dyDescent="0.3">
      <c r="A59" s="179" t="s">
        <v>71</v>
      </c>
      <c r="B59" s="211">
        <f t="shared" ref="B59:B63" si="37">SUM(F59,J59,N59,R59,V59)</f>
        <v>2081</v>
      </c>
      <c r="C59" s="212">
        <f t="shared" ref="C59:C63" si="38">(SUM(G59,K59,O59,S59,W59))</f>
        <v>1372</v>
      </c>
      <c r="D59" s="212">
        <f t="shared" ref="D59:D63" si="39">(SUM(H59,L59,P59,T59,X59))</f>
        <v>3</v>
      </c>
      <c r="E59" s="212">
        <f t="shared" ref="E59:E63" si="40">(SUM(I59,M59,Q59,U59,Y59))</f>
        <v>0</v>
      </c>
      <c r="F59" s="197">
        <v>2073</v>
      </c>
      <c r="G59" s="198">
        <v>1372</v>
      </c>
      <c r="H59" s="197" t="s">
        <v>319</v>
      </c>
      <c r="I59" s="198" t="s">
        <v>319</v>
      </c>
      <c r="J59" s="197">
        <v>8</v>
      </c>
      <c r="K59" s="198" t="s">
        <v>319</v>
      </c>
      <c r="L59" s="197">
        <v>3</v>
      </c>
      <c r="M59" s="198" t="s">
        <v>319</v>
      </c>
      <c r="N59" s="199" t="s">
        <v>319</v>
      </c>
      <c r="O59" s="198" t="s">
        <v>319</v>
      </c>
      <c r="P59" s="197" t="s">
        <v>319</v>
      </c>
      <c r="Q59" s="198" t="s">
        <v>319</v>
      </c>
      <c r="R59" s="199" t="s">
        <v>319</v>
      </c>
      <c r="S59" s="198" t="s">
        <v>319</v>
      </c>
      <c r="T59" s="197" t="s">
        <v>319</v>
      </c>
      <c r="U59" s="198" t="s">
        <v>319</v>
      </c>
      <c r="V59" s="199" t="s">
        <v>319</v>
      </c>
      <c r="W59" s="198" t="s">
        <v>319</v>
      </c>
      <c r="X59" s="197" t="s">
        <v>319</v>
      </c>
      <c r="Y59" s="200" t="s">
        <v>319</v>
      </c>
      <c r="Z59" s="180" t="s">
        <v>218</v>
      </c>
    </row>
    <row r="60" spans="1:26" x14ac:dyDescent="0.3">
      <c r="A60" s="179" t="s">
        <v>74</v>
      </c>
      <c r="B60" s="211">
        <f t="shared" si="37"/>
        <v>12923</v>
      </c>
      <c r="C60" s="212">
        <f t="shared" si="38"/>
        <v>3068</v>
      </c>
      <c r="D60" s="212">
        <f t="shared" si="39"/>
        <v>5</v>
      </c>
      <c r="E60" s="212">
        <f t="shared" si="40"/>
        <v>1673</v>
      </c>
      <c r="F60" s="197">
        <v>4269</v>
      </c>
      <c r="G60" s="198">
        <v>3068</v>
      </c>
      <c r="H60" s="197" t="s">
        <v>319</v>
      </c>
      <c r="I60" s="198" t="s">
        <v>319</v>
      </c>
      <c r="J60" s="197">
        <v>11</v>
      </c>
      <c r="K60" s="198" t="s">
        <v>319</v>
      </c>
      <c r="L60" s="197">
        <v>5</v>
      </c>
      <c r="M60" s="198" t="s">
        <v>319</v>
      </c>
      <c r="N60" s="197">
        <v>8643</v>
      </c>
      <c r="O60" s="198" t="s">
        <v>319</v>
      </c>
      <c r="P60" s="197" t="s">
        <v>319</v>
      </c>
      <c r="Q60" s="198">
        <v>1673</v>
      </c>
      <c r="R60" s="197" t="s">
        <v>319</v>
      </c>
      <c r="S60" s="198" t="s">
        <v>319</v>
      </c>
      <c r="T60" s="197" t="s">
        <v>319</v>
      </c>
      <c r="U60" s="198" t="s">
        <v>319</v>
      </c>
      <c r="V60" s="199" t="s">
        <v>319</v>
      </c>
      <c r="W60" s="198" t="s">
        <v>319</v>
      </c>
      <c r="X60" s="197" t="s">
        <v>319</v>
      </c>
      <c r="Y60" s="200" t="s">
        <v>319</v>
      </c>
      <c r="Z60" s="180" t="s">
        <v>219</v>
      </c>
    </row>
    <row r="61" spans="1:26" x14ac:dyDescent="0.3">
      <c r="A61" s="179" t="s">
        <v>76</v>
      </c>
      <c r="B61" s="211">
        <f t="shared" si="37"/>
        <v>59</v>
      </c>
      <c r="C61" s="212">
        <f t="shared" si="38"/>
        <v>7</v>
      </c>
      <c r="D61" s="212">
        <f t="shared" si="39"/>
        <v>0</v>
      </c>
      <c r="E61" s="212">
        <f t="shared" si="40"/>
        <v>0</v>
      </c>
      <c r="F61" s="197">
        <v>52</v>
      </c>
      <c r="G61" s="198">
        <v>7</v>
      </c>
      <c r="H61" s="197" t="s">
        <v>319</v>
      </c>
      <c r="I61" s="198" t="s">
        <v>319</v>
      </c>
      <c r="J61" s="197">
        <v>7</v>
      </c>
      <c r="K61" s="198" t="s">
        <v>319</v>
      </c>
      <c r="L61" s="197" t="s">
        <v>319</v>
      </c>
      <c r="M61" s="198" t="s">
        <v>319</v>
      </c>
      <c r="N61" s="199" t="s">
        <v>319</v>
      </c>
      <c r="O61" s="198" t="s">
        <v>319</v>
      </c>
      <c r="P61" s="197" t="s">
        <v>319</v>
      </c>
      <c r="Q61" s="198" t="s">
        <v>319</v>
      </c>
      <c r="R61" s="199" t="s">
        <v>319</v>
      </c>
      <c r="S61" s="198" t="s">
        <v>319</v>
      </c>
      <c r="T61" s="197" t="s">
        <v>319</v>
      </c>
      <c r="U61" s="198" t="s">
        <v>319</v>
      </c>
      <c r="V61" s="199" t="s">
        <v>319</v>
      </c>
      <c r="W61" s="198" t="s">
        <v>319</v>
      </c>
      <c r="X61" s="197" t="s">
        <v>319</v>
      </c>
      <c r="Y61" s="200" t="s">
        <v>319</v>
      </c>
      <c r="Z61" s="180" t="s">
        <v>220</v>
      </c>
    </row>
    <row r="62" spans="1:26" x14ac:dyDescent="0.3">
      <c r="A62" s="179" t="s">
        <v>79</v>
      </c>
      <c r="B62" s="211">
        <f t="shared" si="37"/>
        <v>2449</v>
      </c>
      <c r="C62" s="212">
        <f t="shared" si="38"/>
        <v>748</v>
      </c>
      <c r="D62" s="212">
        <f t="shared" si="39"/>
        <v>50</v>
      </c>
      <c r="E62" s="212">
        <f t="shared" si="40"/>
        <v>59</v>
      </c>
      <c r="F62" s="197">
        <v>2293</v>
      </c>
      <c r="G62" s="198">
        <v>748</v>
      </c>
      <c r="H62" s="197" t="s">
        <v>319</v>
      </c>
      <c r="I62" s="198" t="s">
        <v>319</v>
      </c>
      <c r="J62" s="197">
        <v>96</v>
      </c>
      <c r="K62" s="198" t="s">
        <v>319</v>
      </c>
      <c r="L62" s="197">
        <v>50</v>
      </c>
      <c r="M62" s="198" t="s">
        <v>319</v>
      </c>
      <c r="N62" s="197">
        <v>45</v>
      </c>
      <c r="O62" s="198" t="s">
        <v>319</v>
      </c>
      <c r="P62" s="197" t="s">
        <v>319</v>
      </c>
      <c r="Q62" s="198">
        <v>51</v>
      </c>
      <c r="R62" s="199">
        <v>15</v>
      </c>
      <c r="S62" s="198" t="s">
        <v>319</v>
      </c>
      <c r="T62" s="197" t="s">
        <v>319</v>
      </c>
      <c r="U62" s="198">
        <v>8</v>
      </c>
      <c r="V62" s="199" t="s">
        <v>319</v>
      </c>
      <c r="W62" s="198" t="s">
        <v>319</v>
      </c>
      <c r="X62" s="197" t="s">
        <v>319</v>
      </c>
      <c r="Y62" s="200" t="s">
        <v>319</v>
      </c>
      <c r="Z62" s="180" t="s">
        <v>221</v>
      </c>
    </row>
    <row r="63" spans="1:26" x14ac:dyDescent="0.3">
      <c r="A63" s="179" t="s">
        <v>81</v>
      </c>
      <c r="B63" s="211">
        <f t="shared" si="37"/>
        <v>3544</v>
      </c>
      <c r="C63" s="212">
        <f t="shared" si="38"/>
        <v>695</v>
      </c>
      <c r="D63" s="212">
        <f t="shared" si="39"/>
        <v>0</v>
      </c>
      <c r="E63" s="212">
        <f t="shared" si="40"/>
        <v>0</v>
      </c>
      <c r="F63" s="197">
        <v>3544</v>
      </c>
      <c r="G63" s="198">
        <v>695</v>
      </c>
      <c r="H63" s="197" t="s">
        <v>319</v>
      </c>
      <c r="I63" s="198" t="s">
        <v>319</v>
      </c>
      <c r="J63" s="199" t="s">
        <v>319</v>
      </c>
      <c r="K63" s="198" t="s">
        <v>319</v>
      </c>
      <c r="L63" s="197" t="s">
        <v>319</v>
      </c>
      <c r="M63" s="198" t="s">
        <v>319</v>
      </c>
      <c r="N63" s="199" t="s">
        <v>319</v>
      </c>
      <c r="O63" s="198" t="s">
        <v>319</v>
      </c>
      <c r="P63" s="197" t="s">
        <v>319</v>
      </c>
      <c r="Q63" s="198" t="s">
        <v>319</v>
      </c>
      <c r="R63" s="199" t="s">
        <v>319</v>
      </c>
      <c r="S63" s="198" t="s">
        <v>319</v>
      </c>
      <c r="T63" s="197" t="s">
        <v>319</v>
      </c>
      <c r="U63" s="198" t="s">
        <v>319</v>
      </c>
      <c r="V63" s="199" t="s">
        <v>319</v>
      </c>
      <c r="W63" s="198" t="s">
        <v>319</v>
      </c>
      <c r="X63" s="197" t="s">
        <v>319</v>
      </c>
      <c r="Y63" s="200" t="s">
        <v>319</v>
      </c>
      <c r="Z63" s="180" t="s">
        <v>222</v>
      </c>
    </row>
    <row r="64" spans="1:26" x14ac:dyDescent="0.3">
      <c r="A64" s="277" t="s">
        <v>223</v>
      </c>
      <c r="B64" s="280">
        <f>SUM(B66:B68)</f>
        <v>87480</v>
      </c>
      <c r="C64" s="278">
        <f>SUM(C66:C68)</f>
        <v>56862</v>
      </c>
      <c r="D64" s="278">
        <f t="shared" ref="D64:N64" si="41">SUM(D66:D68)</f>
        <v>1775</v>
      </c>
      <c r="E64" s="279">
        <f t="shared" si="41"/>
        <v>8388</v>
      </c>
      <c r="F64" s="278">
        <f t="shared" si="41"/>
        <v>45923</v>
      </c>
      <c r="G64" s="281">
        <f t="shared" si="41"/>
        <v>55888</v>
      </c>
      <c r="H64" s="278">
        <f t="shared" si="41"/>
        <v>76</v>
      </c>
      <c r="I64" s="281">
        <f>SUM(I66:I68)</f>
        <v>0</v>
      </c>
      <c r="J64" s="278">
        <f>SUM(J66:J68)</f>
        <v>548</v>
      </c>
      <c r="K64" s="281">
        <f t="shared" si="41"/>
        <v>36</v>
      </c>
      <c r="L64" s="278">
        <f t="shared" si="41"/>
        <v>752</v>
      </c>
      <c r="M64" s="281">
        <f t="shared" si="41"/>
        <v>0</v>
      </c>
      <c r="N64" s="278">
        <f t="shared" si="41"/>
        <v>40943</v>
      </c>
      <c r="O64" s="273">
        <f>SUM(O66:O68)</f>
        <v>936</v>
      </c>
      <c r="P64" s="282">
        <f t="shared" ref="P64:W64" si="42">SUM(P66:P68)</f>
        <v>940</v>
      </c>
      <c r="Q64" s="273">
        <f t="shared" si="42"/>
        <v>8373</v>
      </c>
      <c r="R64" s="282">
        <f t="shared" si="42"/>
        <v>66</v>
      </c>
      <c r="S64" s="273">
        <f t="shared" si="42"/>
        <v>2</v>
      </c>
      <c r="T64" s="282">
        <f t="shared" si="42"/>
        <v>7</v>
      </c>
      <c r="U64" s="273">
        <f t="shared" si="42"/>
        <v>15</v>
      </c>
      <c r="V64" s="282">
        <f t="shared" si="42"/>
        <v>0</v>
      </c>
      <c r="W64" s="273">
        <f t="shared" si="42"/>
        <v>0</v>
      </c>
      <c r="X64" s="273">
        <f>SUM(X66:X68)</f>
        <v>0</v>
      </c>
      <c r="Y64" s="283">
        <f>SUM(Y66:Y68)</f>
        <v>0</v>
      </c>
      <c r="Z64" s="267" t="s">
        <v>224</v>
      </c>
    </row>
    <row r="65" spans="1:26" x14ac:dyDescent="0.3">
      <c r="A65" s="277"/>
      <c r="B65" s="280"/>
      <c r="C65" s="278"/>
      <c r="D65" s="278"/>
      <c r="E65" s="279"/>
      <c r="F65" s="278"/>
      <c r="G65" s="281"/>
      <c r="H65" s="278"/>
      <c r="I65" s="281"/>
      <c r="J65" s="278"/>
      <c r="K65" s="281"/>
      <c r="L65" s="278"/>
      <c r="M65" s="281"/>
      <c r="N65" s="278"/>
      <c r="O65" s="273"/>
      <c r="P65" s="282"/>
      <c r="Q65" s="273"/>
      <c r="R65" s="282"/>
      <c r="S65" s="273"/>
      <c r="T65" s="282"/>
      <c r="U65" s="273"/>
      <c r="V65" s="282"/>
      <c r="W65" s="273"/>
      <c r="X65" s="273"/>
      <c r="Y65" s="283"/>
      <c r="Z65" s="267"/>
    </row>
    <row r="66" spans="1:26" x14ac:dyDescent="0.3">
      <c r="A66" s="179" t="s">
        <v>83</v>
      </c>
      <c r="B66" s="211">
        <f t="shared" ref="B66:B68" si="43">SUM(F66,J66,N66,R66,V66)</f>
        <v>60124</v>
      </c>
      <c r="C66" s="212">
        <f t="shared" ref="C66:C68" si="44">(SUM(G66,K66,O66,S66,W66))</f>
        <v>43395</v>
      </c>
      <c r="D66" s="212">
        <f t="shared" ref="D66:D68" si="45">(SUM(H66,L66,P66,T66,X66))</f>
        <v>1216</v>
      </c>
      <c r="E66" s="212">
        <f t="shared" ref="E66:E68" si="46">(SUM(I66,M66,Q66,U66,Y66))</f>
        <v>4304</v>
      </c>
      <c r="F66" s="197">
        <v>33792</v>
      </c>
      <c r="G66" s="198">
        <v>42423</v>
      </c>
      <c r="H66" s="197">
        <v>76</v>
      </c>
      <c r="I66" s="198" t="s">
        <v>319</v>
      </c>
      <c r="J66" s="197">
        <v>234</v>
      </c>
      <c r="K66" s="198">
        <v>36</v>
      </c>
      <c r="L66" s="197">
        <v>198</v>
      </c>
      <c r="M66" s="198" t="s">
        <v>319</v>
      </c>
      <c r="N66" s="197">
        <v>26078</v>
      </c>
      <c r="O66" s="198">
        <v>936</v>
      </c>
      <c r="P66" s="197">
        <v>940</v>
      </c>
      <c r="Q66" s="198">
        <v>4298</v>
      </c>
      <c r="R66" s="197">
        <v>20</v>
      </c>
      <c r="S66" s="198" t="s">
        <v>319</v>
      </c>
      <c r="T66" s="197">
        <v>2</v>
      </c>
      <c r="U66" s="198">
        <v>6</v>
      </c>
      <c r="V66" s="197" t="s">
        <v>319</v>
      </c>
      <c r="W66" s="198" t="s">
        <v>319</v>
      </c>
      <c r="X66" s="197" t="s">
        <v>319</v>
      </c>
      <c r="Y66" s="200" t="s">
        <v>319</v>
      </c>
      <c r="Z66" s="180" t="s">
        <v>225</v>
      </c>
    </row>
    <row r="67" spans="1:26" x14ac:dyDescent="0.3">
      <c r="A67" s="179" t="s">
        <v>85</v>
      </c>
      <c r="B67" s="211">
        <f t="shared" si="43"/>
        <v>2798</v>
      </c>
      <c r="C67" s="212">
        <f t="shared" si="44"/>
        <v>2486</v>
      </c>
      <c r="D67" s="212">
        <f t="shared" si="45"/>
        <v>177</v>
      </c>
      <c r="E67" s="212">
        <f t="shared" si="46"/>
        <v>13</v>
      </c>
      <c r="F67" s="197">
        <v>2663</v>
      </c>
      <c r="G67" s="198">
        <v>2484</v>
      </c>
      <c r="H67" s="197" t="s">
        <v>319</v>
      </c>
      <c r="I67" s="198" t="s">
        <v>319</v>
      </c>
      <c r="J67" s="197">
        <v>118</v>
      </c>
      <c r="K67" s="198" t="s">
        <v>319</v>
      </c>
      <c r="L67" s="197">
        <v>172</v>
      </c>
      <c r="M67" s="198" t="s">
        <v>319</v>
      </c>
      <c r="N67" s="199">
        <v>10</v>
      </c>
      <c r="O67" s="198" t="s">
        <v>319</v>
      </c>
      <c r="P67" s="197" t="s">
        <v>319</v>
      </c>
      <c r="Q67" s="198">
        <v>13</v>
      </c>
      <c r="R67" s="199">
        <v>7</v>
      </c>
      <c r="S67" s="198">
        <v>2</v>
      </c>
      <c r="T67" s="197">
        <v>5</v>
      </c>
      <c r="U67" s="198" t="s">
        <v>319</v>
      </c>
      <c r="V67" s="199" t="s">
        <v>319</v>
      </c>
      <c r="W67" s="198" t="s">
        <v>319</v>
      </c>
      <c r="X67" s="197" t="s">
        <v>319</v>
      </c>
      <c r="Y67" s="200" t="s">
        <v>319</v>
      </c>
      <c r="Z67" s="180" t="s">
        <v>226</v>
      </c>
    </row>
    <row r="68" spans="1:26" x14ac:dyDescent="0.3">
      <c r="A68" s="179" t="s">
        <v>88</v>
      </c>
      <c r="B68" s="211">
        <f t="shared" si="43"/>
        <v>24558</v>
      </c>
      <c r="C68" s="212">
        <f t="shared" si="44"/>
        <v>10981</v>
      </c>
      <c r="D68" s="212">
        <f t="shared" si="45"/>
        <v>382</v>
      </c>
      <c r="E68" s="212">
        <f t="shared" si="46"/>
        <v>4071</v>
      </c>
      <c r="F68" s="197">
        <v>9468</v>
      </c>
      <c r="G68" s="198">
        <v>10981</v>
      </c>
      <c r="H68" s="197" t="s">
        <v>319</v>
      </c>
      <c r="I68" s="198" t="s">
        <v>319</v>
      </c>
      <c r="J68" s="197">
        <v>196</v>
      </c>
      <c r="K68" s="198" t="s">
        <v>319</v>
      </c>
      <c r="L68" s="197">
        <v>382</v>
      </c>
      <c r="M68" s="198" t="s">
        <v>319</v>
      </c>
      <c r="N68" s="197">
        <v>14855</v>
      </c>
      <c r="O68" s="198" t="s">
        <v>319</v>
      </c>
      <c r="P68" s="197" t="s">
        <v>319</v>
      </c>
      <c r="Q68" s="198">
        <v>4062</v>
      </c>
      <c r="R68" s="197">
        <v>39</v>
      </c>
      <c r="S68" s="198" t="s">
        <v>319</v>
      </c>
      <c r="T68" s="197" t="s">
        <v>319</v>
      </c>
      <c r="U68" s="198">
        <v>9</v>
      </c>
      <c r="V68" s="199" t="s">
        <v>319</v>
      </c>
      <c r="W68" s="198" t="s">
        <v>319</v>
      </c>
      <c r="X68" s="197" t="s">
        <v>319</v>
      </c>
      <c r="Y68" s="200" t="s">
        <v>319</v>
      </c>
      <c r="Z68" s="180" t="s">
        <v>227</v>
      </c>
    </row>
    <row r="69" spans="1:26" x14ac:dyDescent="0.3">
      <c r="A69" s="277" t="s">
        <v>228</v>
      </c>
      <c r="B69" s="280">
        <f>SUM(B71:B75)</f>
        <v>153546</v>
      </c>
      <c r="C69" s="278">
        <f>SUM(C71:C75)</f>
        <v>99667</v>
      </c>
      <c r="D69" s="278">
        <f t="shared" ref="D69:N69" si="47">SUM(D71:D75)</f>
        <v>27491</v>
      </c>
      <c r="E69" s="279">
        <f t="shared" si="47"/>
        <v>8707</v>
      </c>
      <c r="F69" s="278">
        <f t="shared" si="47"/>
        <v>62630</v>
      </c>
      <c r="G69" s="281">
        <f t="shared" si="47"/>
        <v>65660</v>
      </c>
      <c r="H69" s="278">
        <f t="shared" si="47"/>
        <v>183</v>
      </c>
      <c r="I69" s="281">
        <f>SUM(I71:I75)</f>
        <v>15</v>
      </c>
      <c r="J69" s="278">
        <f>SUM(J71:J75)</f>
        <v>8798</v>
      </c>
      <c r="K69" s="281">
        <f t="shared" si="47"/>
        <v>3421</v>
      </c>
      <c r="L69" s="278">
        <f t="shared" si="47"/>
        <v>7283</v>
      </c>
      <c r="M69" s="281">
        <f t="shared" si="47"/>
        <v>2</v>
      </c>
      <c r="N69" s="278">
        <f t="shared" si="47"/>
        <v>39241</v>
      </c>
      <c r="O69" s="273">
        <f>SUM(O71:O75)</f>
        <v>135</v>
      </c>
      <c r="P69" s="282">
        <f t="shared" ref="P69:W69" si="48">SUM(P71:P75)</f>
        <v>66</v>
      </c>
      <c r="Q69" s="273">
        <f t="shared" si="48"/>
        <v>7985</v>
      </c>
      <c r="R69" s="282">
        <f t="shared" si="48"/>
        <v>42847</v>
      </c>
      <c r="S69" s="273">
        <f t="shared" si="48"/>
        <v>30451</v>
      </c>
      <c r="T69" s="282">
        <f t="shared" si="48"/>
        <v>19947</v>
      </c>
      <c r="U69" s="273">
        <f t="shared" si="48"/>
        <v>697</v>
      </c>
      <c r="V69" s="282">
        <f t="shared" si="48"/>
        <v>30</v>
      </c>
      <c r="W69" s="273">
        <f t="shared" si="48"/>
        <v>0</v>
      </c>
      <c r="X69" s="273">
        <f>SUM(X71:X75)</f>
        <v>12</v>
      </c>
      <c r="Y69" s="283">
        <f>SUM(Y71:Y75)</f>
        <v>8</v>
      </c>
      <c r="Z69" s="267" t="s">
        <v>229</v>
      </c>
    </row>
    <row r="70" spans="1:26" x14ac:dyDescent="0.3">
      <c r="A70" s="277"/>
      <c r="B70" s="280"/>
      <c r="C70" s="278"/>
      <c r="D70" s="278"/>
      <c r="E70" s="279"/>
      <c r="F70" s="278"/>
      <c r="G70" s="281"/>
      <c r="H70" s="278"/>
      <c r="I70" s="281"/>
      <c r="J70" s="278"/>
      <c r="K70" s="281"/>
      <c r="L70" s="278"/>
      <c r="M70" s="281"/>
      <c r="N70" s="278"/>
      <c r="O70" s="273"/>
      <c r="P70" s="282"/>
      <c r="Q70" s="273"/>
      <c r="R70" s="282"/>
      <c r="S70" s="273"/>
      <c r="T70" s="282"/>
      <c r="U70" s="273"/>
      <c r="V70" s="282"/>
      <c r="W70" s="273"/>
      <c r="X70" s="273"/>
      <c r="Y70" s="283"/>
      <c r="Z70" s="267"/>
    </row>
    <row r="71" spans="1:26" x14ac:dyDescent="0.3">
      <c r="A71" s="179" t="s">
        <v>90</v>
      </c>
      <c r="B71" s="211">
        <f t="shared" ref="B71:B75" si="49">SUM(F71,J71,N71,R71,V71)</f>
        <v>11659</v>
      </c>
      <c r="C71" s="212">
        <f t="shared" ref="C71:C75" si="50">(SUM(G71,K71,O71,S71,W71))</f>
        <v>13909</v>
      </c>
      <c r="D71" s="212">
        <f t="shared" ref="D71:D75" si="51">(SUM(H71,L71,P71,T71,X71))</f>
        <v>240</v>
      </c>
      <c r="E71" s="212">
        <f t="shared" ref="E71:E75" si="52">(SUM(I71,M71,Q71,U71,Y71))</f>
        <v>7</v>
      </c>
      <c r="F71" s="197">
        <v>11552</v>
      </c>
      <c r="G71" s="198">
        <v>13901</v>
      </c>
      <c r="H71" s="197">
        <v>72</v>
      </c>
      <c r="I71" s="198" t="s">
        <v>319</v>
      </c>
      <c r="J71" s="197">
        <v>100</v>
      </c>
      <c r="K71" s="198">
        <v>8</v>
      </c>
      <c r="L71" s="197">
        <v>168</v>
      </c>
      <c r="M71" s="198" t="s">
        <v>319</v>
      </c>
      <c r="N71" s="199">
        <v>7</v>
      </c>
      <c r="O71" s="198" t="s">
        <v>319</v>
      </c>
      <c r="P71" s="197" t="s">
        <v>319</v>
      </c>
      <c r="Q71" s="198">
        <v>7</v>
      </c>
      <c r="R71" s="199" t="s">
        <v>319</v>
      </c>
      <c r="S71" s="198" t="s">
        <v>319</v>
      </c>
      <c r="T71" s="197" t="s">
        <v>319</v>
      </c>
      <c r="U71" s="198" t="s">
        <v>319</v>
      </c>
      <c r="V71" s="199" t="s">
        <v>319</v>
      </c>
      <c r="W71" s="198" t="s">
        <v>319</v>
      </c>
      <c r="X71" s="197" t="s">
        <v>319</v>
      </c>
      <c r="Y71" s="200" t="s">
        <v>319</v>
      </c>
      <c r="Z71" s="180" t="s">
        <v>230</v>
      </c>
    </row>
    <row r="72" spans="1:26" x14ac:dyDescent="0.3">
      <c r="A72" s="179" t="s">
        <v>92</v>
      </c>
      <c r="B72" s="211">
        <f t="shared" si="49"/>
        <v>5764</v>
      </c>
      <c r="C72" s="212">
        <f t="shared" si="50"/>
        <v>5396</v>
      </c>
      <c r="D72" s="212">
        <f t="shared" si="51"/>
        <v>190</v>
      </c>
      <c r="E72" s="212">
        <f t="shared" si="52"/>
        <v>109</v>
      </c>
      <c r="F72" s="197">
        <v>5312</v>
      </c>
      <c r="G72" s="198">
        <v>5396</v>
      </c>
      <c r="H72" s="197" t="s">
        <v>319</v>
      </c>
      <c r="I72" s="198">
        <v>15</v>
      </c>
      <c r="J72" s="197">
        <v>169</v>
      </c>
      <c r="K72" s="198" t="s">
        <v>319</v>
      </c>
      <c r="L72" s="197">
        <v>190</v>
      </c>
      <c r="M72" s="198" t="s">
        <v>319</v>
      </c>
      <c r="N72" s="197">
        <v>133</v>
      </c>
      <c r="O72" s="198" t="s">
        <v>319</v>
      </c>
      <c r="P72" s="197" t="s">
        <v>319</v>
      </c>
      <c r="Q72" s="198">
        <v>36</v>
      </c>
      <c r="R72" s="197">
        <v>143</v>
      </c>
      <c r="S72" s="198" t="s">
        <v>319</v>
      </c>
      <c r="T72" s="197" t="s">
        <v>319</v>
      </c>
      <c r="U72" s="198">
        <v>53</v>
      </c>
      <c r="V72" s="197">
        <v>7</v>
      </c>
      <c r="W72" s="198" t="s">
        <v>319</v>
      </c>
      <c r="X72" s="197" t="s">
        <v>319</v>
      </c>
      <c r="Y72" s="200">
        <v>5</v>
      </c>
      <c r="Z72" s="180" t="s">
        <v>231</v>
      </c>
    </row>
    <row r="73" spans="1:26" x14ac:dyDescent="0.3">
      <c r="A73" s="179" t="s">
        <v>94</v>
      </c>
      <c r="B73" s="211">
        <f t="shared" si="49"/>
        <v>115622</v>
      </c>
      <c r="C73" s="212">
        <f t="shared" si="50"/>
        <v>69181</v>
      </c>
      <c r="D73" s="212">
        <f t="shared" si="51"/>
        <v>26272</v>
      </c>
      <c r="E73" s="212">
        <f t="shared" si="52"/>
        <v>7170</v>
      </c>
      <c r="F73" s="197">
        <v>34483</v>
      </c>
      <c r="G73" s="198">
        <v>35200</v>
      </c>
      <c r="H73" s="197">
        <v>110</v>
      </c>
      <c r="I73" s="198" t="s">
        <v>319</v>
      </c>
      <c r="J73" s="197">
        <v>7966</v>
      </c>
      <c r="K73" s="198">
        <v>3395</v>
      </c>
      <c r="L73" s="197">
        <v>6156</v>
      </c>
      <c r="M73" s="198">
        <v>2</v>
      </c>
      <c r="N73" s="197">
        <v>30496</v>
      </c>
      <c r="O73" s="198">
        <v>135</v>
      </c>
      <c r="P73" s="197">
        <v>65</v>
      </c>
      <c r="Q73" s="198">
        <v>6530</v>
      </c>
      <c r="R73" s="197">
        <v>42677</v>
      </c>
      <c r="S73" s="198">
        <v>30451</v>
      </c>
      <c r="T73" s="197">
        <v>19941</v>
      </c>
      <c r="U73" s="198">
        <v>638</v>
      </c>
      <c r="V73" s="199" t="s">
        <v>319</v>
      </c>
      <c r="W73" s="198" t="s">
        <v>319</v>
      </c>
      <c r="X73" s="197" t="s">
        <v>319</v>
      </c>
      <c r="Y73" s="200" t="s">
        <v>319</v>
      </c>
      <c r="Z73" s="180" t="s">
        <v>232</v>
      </c>
    </row>
    <row r="74" spans="1:26" x14ac:dyDescent="0.3">
      <c r="A74" s="179" t="s">
        <v>97</v>
      </c>
      <c r="B74" s="211">
        <f t="shared" si="49"/>
        <v>2828</v>
      </c>
      <c r="C74" s="212">
        <f t="shared" si="50"/>
        <v>4889</v>
      </c>
      <c r="D74" s="212">
        <f t="shared" si="51"/>
        <v>508</v>
      </c>
      <c r="E74" s="212">
        <f t="shared" si="52"/>
        <v>0</v>
      </c>
      <c r="F74" s="197">
        <v>2548</v>
      </c>
      <c r="G74" s="198">
        <v>4889</v>
      </c>
      <c r="H74" s="197" t="s">
        <v>319</v>
      </c>
      <c r="I74" s="198" t="s">
        <v>319</v>
      </c>
      <c r="J74" s="197">
        <v>259</v>
      </c>
      <c r="K74" s="198" t="s">
        <v>319</v>
      </c>
      <c r="L74" s="197">
        <v>489</v>
      </c>
      <c r="M74" s="198" t="s">
        <v>319</v>
      </c>
      <c r="N74" s="199">
        <v>3</v>
      </c>
      <c r="O74" s="198" t="s">
        <v>319</v>
      </c>
      <c r="P74" s="197">
        <v>1</v>
      </c>
      <c r="Q74" s="198" t="s">
        <v>319</v>
      </c>
      <c r="R74" s="199">
        <v>6</v>
      </c>
      <c r="S74" s="198" t="s">
        <v>319</v>
      </c>
      <c r="T74" s="197">
        <v>6</v>
      </c>
      <c r="U74" s="198" t="s">
        <v>319</v>
      </c>
      <c r="V74" s="199">
        <v>12</v>
      </c>
      <c r="W74" s="198" t="s">
        <v>319</v>
      </c>
      <c r="X74" s="197">
        <v>12</v>
      </c>
      <c r="Y74" s="200" t="s">
        <v>319</v>
      </c>
      <c r="Z74" s="180" t="s">
        <v>233</v>
      </c>
    </row>
    <row r="75" spans="1:26" x14ac:dyDescent="0.3">
      <c r="A75" s="179" t="s">
        <v>99</v>
      </c>
      <c r="B75" s="211">
        <f t="shared" si="49"/>
        <v>17673</v>
      </c>
      <c r="C75" s="212">
        <f t="shared" si="50"/>
        <v>6292</v>
      </c>
      <c r="D75" s="212">
        <f t="shared" si="51"/>
        <v>281</v>
      </c>
      <c r="E75" s="212">
        <f t="shared" si="52"/>
        <v>1421</v>
      </c>
      <c r="F75" s="197">
        <v>8735</v>
      </c>
      <c r="G75" s="198">
        <v>6274</v>
      </c>
      <c r="H75" s="197">
        <v>1</v>
      </c>
      <c r="I75" s="198" t="s">
        <v>319</v>
      </c>
      <c r="J75" s="197">
        <v>304</v>
      </c>
      <c r="K75" s="198">
        <v>18</v>
      </c>
      <c r="L75" s="197">
        <v>280</v>
      </c>
      <c r="M75" s="198" t="s">
        <v>319</v>
      </c>
      <c r="N75" s="197">
        <v>8602</v>
      </c>
      <c r="O75" s="198" t="s">
        <v>319</v>
      </c>
      <c r="P75" s="197" t="s">
        <v>319</v>
      </c>
      <c r="Q75" s="198">
        <v>1412</v>
      </c>
      <c r="R75" s="197">
        <v>21</v>
      </c>
      <c r="S75" s="198" t="s">
        <v>319</v>
      </c>
      <c r="T75" s="197" t="s">
        <v>319</v>
      </c>
      <c r="U75" s="198">
        <v>6</v>
      </c>
      <c r="V75" s="199">
        <v>11</v>
      </c>
      <c r="W75" s="198" t="s">
        <v>319</v>
      </c>
      <c r="X75" s="197" t="s">
        <v>319</v>
      </c>
      <c r="Y75" s="200">
        <v>3</v>
      </c>
      <c r="Z75" s="180" t="s">
        <v>234</v>
      </c>
    </row>
    <row r="76" spans="1:26" x14ac:dyDescent="0.3">
      <c r="A76" s="277" t="s">
        <v>235</v>
      </c>
      <c r="B76" s="280">
        <f>SUM(B78:B85)</f>
        <v>21205</v>
      </c>
      <c r="C76" s="278">
        <f>SUM(C78:C85)</f>
        <v>12870</v>
      </c>
      <c r="D76" s="278">
        <f t="shared" ref="D76:N76" si="53">SUM(D78:D85)</f>
        <v>197</v>
      </c>
      <c r="E76" s="279">
        <f t="shared" si="53"/>
        <v>0</v>
      </c>
      <c r="F76" s="278">
        <f t="shared" si="53"/>
        <v>21149</v>
      </c>
      <c r="G76" s="281">
        <f t="shared" si="53"/>
        <v>12870</v>
      </c>
      <c r="H76" s="278">
        <f t="shared" si="53"/>
        <v>53</v>
      </c>
      <c r="I76" s="281">
        <f>SUM(I78:I85)</f>
        <v>0</v>
      </c>
      <c r="J76" s="278">
        <f>SUM(J78:J85)</f>
        <v>54</v>
      </c>
      <c r="K76" s="281">
        <f t="shared" si="53"/>
        <v>0</v>
      </c>
      <c r="L76" s="278">
        <f t="shared" si="53"/>
        <v>144</v>
      </c>
      <c r="M76" s="281">
        <f t="shared" si="53"/>
        <v>0</v>
      </c>
      <c r="N76" s="278">
        <f t="shared" si="53"/>
        <v>2</v>
      </c>
      <c r="O76" s="273">
        <f>SUM(O78:O85)</f>
        <v>0</v>
      </c>
      <c r="P76" s="282">
        <f t="shared" ref="P76:W76" si="54">SUM(P78:P85)</f>
        <v>0</v>
      </c>
      <c r="Q76" s="273">
        <f t="shared" si="54"/>
        <v>0</v>
      </c>
      <c r="R76" s="282">
        <f t="shared" si="54"/>
        <v>0</v>
      </c>
      <c r="S76" s="273">
        <f t="shared" si="54"/>
        <v>0</v>
      </c>
      <c r="T76" s="282">
        <f t="shared" si="54"/>
        <v>0</v>
      </c>
      <c r="U76" s="273">
        <f t="shared" si="54"/>
        <v>0</v>
      </c>
      <c r="V76" s="282">
        <f t="shared" si="54"/>
        <v>0</v>
      </c>
      <c r="W76" s="273">
        <f t="shared" si="54"/>
        <v>0</v>
      </c>
      <c r="X76" s="273">
        <f>SUM(X78:X85)</f>
        <v>0</v>
      </c>
      <c r="Y76" s="283">
        <f>SUM(Y78:Y85)</f>
        <v>0</v>
      </c>
      <c r="Z76" s="267" t="s">
        <v>236</v>
      </c>
    </row>
    <row r="77" spans="1:26" x14ac:dyDescent="0.3">
      <c r="A77" s="277"/>
      <c r="B77" s="280"/>
      <c r="C77" s="278"/>
      <c r="D77" s="278"/>
      <c r="E77" s="279"/>
      <c r="F77" s="278"/>
      <c r="G77" s="281"/>
      <c r="H77" s="278"/>
      <c r="I77" s="281"/>
      <c r="J77" s="278"/>
      <c r="K77" s="281"/>
      <c r="L77" s="278"/>
      <c r="M77" s="281"/>
      <c r="N77" s="278"/>
      <c r="O77" s="273"/>
      <c r="P77" s="282"/>
      <c r="Q77" s="273"/>
      <c r="R77" s="282"/>
      <c r="S77" s="273"/>
      <c r="T77" s="282"/>
      <c r="U77" s="273"/>
      <c r="V77" s="282"/>
      <c r="W77" s="273"/>
      <c r="X77" s="273"/>
      <c r="Y77" s="283"/>
      <c r="Z77" s="267"/>
    </row>
    <row r="78" spans="1:26" x14ac:dyDescent="0.3">
      <c r="A78" s="183" t="s">
        <v>311</v>
      </c>
      <c r="B78" s="211">
        <f t="shared" ref="B78:B85" si="55">SUM(F78,J78,N78,R78,V78)</f>
        <v>0</v>
      </c>
      <c r="C78" s="212">
        <f t="shared" ref="C78:C85" si="56">(SUM(G78,K78,O78,S78,W78))</f>
        <v>0</v>
      </c>
      <c r="D78" s="212">
        <f t="shared" ref="D78:D85" si="57">(SUM(H78,L78,P78,T78,X78))</f>
        <v>0</v>
      </c>
      <c r="E78" s="212">
        <f t="shared" ref="E78:E85" si="58">(SUM(I78,M78,Q78,U78,Y78))</f>
        <v>0</v>
      </c>
      <c r="F78" s="197" t="s">
        <v>319</v>
      </c>
      <c r="G78" s="198" t="s">
        <v>319</v>
      </c>
      <c r="H78" s="197" t="s">
        <v>319</v>
      </c>
      <c r="I78" s="198" t="s">
        <v>319</v>
      </c>
      <c r="J78" s="197" t="s">
        <v>319</v>
      </c>
      <c r="K78" s="198" t="s">
        <v>319</v>
      </c>
      <c r="L78" s="197" t="s">
        <v>319</v>
      </c>
      <c r="M78" s="198" t="s">
        <v>319</v>
      </c>
      <c r="N78" s="197" t="s">
        <v>319</v>
      </c>
      <c r="O78" s="198" t="s">
        <v>319</v>
      </c>
      <c r="P78" s="197" t="s">
        <v>319</v>
      </c>
      <c r="Q78" s="198" t="s">
        <v>319</v>
      </c>
      <c r="R78" s="197" t="s">
        <v>319</v>
      </c>
      <c r="S78" s="198" t="s">
        <v>319</v>
      </c>
      <c r="T78" s="197" t="s">
        <v>319</v>
      </c>
      <c r="U78" s="197" t="s">
        <v>319</v>
      </c>
      <c r="V78" s="199" t="s">
        <v>319</v>
      </c>
      <c r="W78" s="198" t="s">
        <v>319</v>
      </c>
      <c r="X78" s="197" t="s">
        <v>319</v>
      </c>
      <c r="Y78" s="200" t="s">
        <v>319</v>
      </c>
      <c r="Z78" s="180" t="s">
        <v>237</v>
      </c>
    </row>
    <row r="79" spans="1:26" x14ac:dyDescent="0.3">
      <c r="A79" s="183" t="s">
        <v>104</v>
      </c>
      <c r="B79" s="211">
        <f t="shared" si="55"/>
        <v>50</v>
      </c>
      <c r="C79" s="212">
        <f t="shared" si="56"/>
        <v>15</v>
      </c>
      <c r="D79" s="212">
        <f t="shared" si="57"/>
        <v>0</v>
      </c>
      <c r="E79" s="212">
        <f t="shared" si="58"/>
        <v>0</v>
      </c>
      <c r="F79" s="197">
        <v>50</v>
      </c>
      <c r="G79" s="198">
        <v>15</v>
      </c>
      <c r="H79" s="197" t="s">
        <v>319</v>
      </c>
      <c r="I79" s="198" t="s">
        <v>319</v>
      </c>
      <c r="J79" s="197" t="s">
        <v>319</v>
      </c>
      <c r="K79" s="198" t="s">
        <v>319</v>
      </c>
      <c r="L79" s="197" t="s">
        <v>319</v>
      </c>
      <c r="M79" s="198" t="s">
        <v>319</v>
      </c>
      <c r="N79" s="199" t="s">
        <v>319</v>
      </c>
      <c r="O79" s="198" t="s">
        <v>319</v>
      </c>
      <c r="P79" s="197" t="s">
        <v>319</v>
      </c>
      <c r="Q79" s="198" t="s">
        <v>319</v>
      </c>
      <c r="R79" s="199" t="s">
        <v>319</v>
      </c>
      <c r="S79" s="198" t="s">
        <v>319</v>
      </c>
      <c r="T79" s="197" t="s">
        <v>319</v>
      </c>
      <c r="U79" s="197" t="s">
        <v>319</v>
      </c>
      <c r="V79" s="199" t="s">
        <v>319</v>
      </c>
      <c r="W79" s="198" t="s">
        <v>319</v>
      </c>
      <c r="X79" s="197" t="s">
        <v>319</v>
      </c>
      <c r="Y79" s="200" t="s">
        <v>319</v>
      </c>
      <c r="Z79" s="180" t="s">
        <v>238</v>
      </c>
    </row>
    <row r="80" spans="1:26" x14ac:dyDescent="0.3">
      <c r="A80" s="183" t="s">
        <v>312</v>
      </c>
      <c r="B80" s="211">
        <f t="shared" si="55"/>
        <v>50</v>
      </c>
      <c r="C80" s="212">
        <f t="shared" si="56"/>
        <v>52</v>
      </c>
      <c r="D80" s="212">
        <f t="shared" si="57"/>
        <v>0</v>
      </c>
      <c r="E80" s="212">
        <f t="shared" si="58"/>
        <v>0</v>
      </c>
      <c r="F80" s="197">
        <v>50</v>
      </c>
      <c r="G80" s="198">
        <v>52</v>
      </c>
      <c r="H80" s="197" t="s">
        <v>319</v>
      </c>
      <c r="I80" s="198" t="s">
        <v>319</v>
      </c>
      <c r="J80" s="197" t="s">
        <v>319</v>
      </c>
      <c r="K80" s="198" t="s">
        <v>319</v>
      </c>
      <c r="L80" s="197" t="s">
        <v>319</v>
      </c>
      <c r="M80" s="198" t="s">
        <v>319</v>
      </c>
      <c r="N80" s="199" t="s">
        <v>319</v>
      </c>
      <c r="O80" s="198" t="s">
        <v>319</v>
      </c>
      <c r="P80" s="197" t="s">
        <v>319</v>
      </c>
      <c r="Q80" s="198" t="s">
        <v>319</v>
      </c>
      <c r="R80" s="199" t="s">
        <v>319</v>
      </c>
      <c r="S80" s="198" t="s">
        <v>319</v>
      </c>
      <c r="T80" s="197" t="s">
        <v>319</v>
      </c>
      <c r="U80" s="197" t="s">
        <v>319</v>
      </c>
      <c r="V80" s="199" t="s">
        <v>319</v>
      </c>
      <c r="W80" s="198" t="s">
        <v>319</v>
      </c>
      <c r="X80" s="197" t="s">
        <v>319</v>
      </c>
      <c r="Y80" s="200" t="s">
        <v>319</v>
      </c>
      <c r="Z80" s="180" t="s">
        <v>239</v>
      </c>
    </row>
    <row r="81" spans="1:26" x14ac:dyDescent="0.3">
      <c r="A81" s="183" t="s">
        <v>313</v>
      </c>
      <c r="B81" s="211">
        <f t="shared" si="55"/>
        <v>0</v>
      </c>
      <c r="C81" s="212">
        <f t="shared" si="56"/>
        <v>0</v>
      </c>
      <c r="D81" s="212">
        <f t="shared" si="57"/>
        <v>0</v>
      </c>
      <c r="E81" s="212">
        <f t="shared" si="58"/>
        <v>0</v>
      </c>
      <c r="F81" s="197" t="s">
        <v>319</v>
      </c>
      <c r="G81" s="198" t="s">
        <v>319</v>
      </c>
      <c r="H81" s="197" t="s">
        <v>319</v>
      </c>
      <c r="I81" s="198" t="s">
        <v>319</v>
      </c>
      <c r="J81" s="197" t="s">
        <v>319</v>
      </c>
      <c r="K81" s="198" t="s">
        <v>319</v>
      </c>
      <c r="L81" s="197" t="s">
        <v>319</v>
      </c>
      <c r="M81" s="198" t="s">
        <v>319</v>
      </c>
      <c r="N81" s="199" t="s">
        <v>319</v>
      </c>
      <c r="O81" s="198" t="s">
        <v>319</v>
      </c>
      <c r="P81" s="197" t="s">
        <v>319</v>
      </c>
      <c r="Q81" s="198" t="s">
        <v>319</v>
      </c>
      <c r="R81" s="199" t="s">
        <v>319</v>
      </c>
      <c r="S81" s="198" t="s">
        <v>319</v>
      </c>
      <c r="T81" s="197" t="s">
        <v>319</v>
      </c>
      <c r="U81" s="197" t="s">
        <v>319</v>
      </c>
      <c r="V81" s="199" t="s">
        <v>319</v>
      </c>
      <c r="W81" s="198" t="s">
        <v>319</v>
      </c>
      <c r="X81" s="197" t="s">
        <v>319</v>
      </c>
      <c r="Y81" s="200" t="s">
        <v>319</v>
      </c>
      <c r="Z81" s="180" t="s">
        <v>240</v>
      </c>
    </row>
    <row r="82" spans="1:26" x14ac:dyDescent="0.3">
      <c r="A82" s="183" t="s">
        <v>314</v>
      </c>
      <c r="B82" s="211">
        <f t="shared" si="55"/>
        <v>13747</v>
      </c>
      <c r="C82" s="212">
        <f t="shared" si="56"/>
        <v>9035</v>
      </c>
      <c r="D82" s="212">
        <f t="shared" si="57"/>
        <v>186</v>
      </c>
      <c r="E82" s="212">
        <f t="shared" si="58"/>
        <v>0</v>
      </c>
      <c r="F82" s="197">
        <v>13691</v>
      </c>
      <c r="G82" s="198">
        <v>9035</v>
      </c>
      <c r="H82" s="197">
        <v>42</v>
      </c>
      <c r="I82" s="198" t="s">
        <v>319</v>
      </c>
      <c r="J82" s="197">
        <v>54</v>
      </c>
      <c r="K82" s="198" t="s">
        <v>319</v>
      </c>
      <c r="L82" s="197">
        <v>144</v>
      </c>
      <c r="M82" s="198" t="s">
        <v>319</v>
      </c>
      <c r="N82" s="199">
        <v>2</v>
      </c>
      <c r="O82" s="198" t="s">
        <v>319</v>
      </c>
      <c r="P82" s="197" t="s">
        <v>319</v>
      </c>
      <c r="Q82" s="198" t="s">
        <v>319</v>
      </c>
      <c r="R82" s="199" t="s">
        <v>319</v>
      </c>
      <c r="S82" s="198" t="s">
        <v>319</v>
      </c>
      <c r="T82" s="197" t="s">
        <v>319</v>
      </c>
      <c r="U82" s="197" t="s">
        <v>319</v>
      </c>
      <c r="V82" s="199" t="s">
        <v>319</v>
      </c>
      <c r="W82" s="198" t="s">
        <v>319</v>
      </c>
      <c r="X82" s="197" t="s">
        <v>319</v>
      </c>
      <c r="Y82" s="200" t="s">
        <v>319</v>
      </c>
      <c r="Z82" s="180" t="s">
        <v>241</v>
      </c>
    </row>
    <row r="83" spans="1:26" x14ac:dyDescent="0.3">
      <c r="A83" s="183" t="s">
        <v>315</v>
      </c>
      <c r="B83" s="211">
        <f t="shared" si="55"/>
        <v>6662</v>
      </c>
      <c r="C83" s="212">
        <f t="shared" si="56"/>
        <v>3429</v>
      </c>
      <c r="D83" s="212">
        <f t="shared" si="57"/>
        <v>11</v>
      </c>
      <c r="E83" s="212">
        <f t="shared" si="58"/>
        <v>0</v>
      </c>
      <c r="F83" s="197">
        <v>6662</v>
      </c>
      <c r="G83" s="198">
        <v>3429</v>
      </c>
      <c r="H83" s="197">
        <v>11</v>
      </c>
      <c r="I83" s="198" t="s">
        <v>319</v>
      </c>
      <c r="J83" s="197" t="s">
        <v>319</v>
      </c>
      <c r="K83" s="198" t="s">
        <v>319</v>
      </c>
      <c r="L83" s="197" t="s">
        <v>319</v>
      </c>
      <c r="M83" s="198" t="s">
        <v>319</v>
      </c>
      <c r="N83" s="197" t="s">
        <v>319</v>
      </c>
      <c r="O83" s="198" t="s">
        <v>319</v>
      </c>
      <c r="P83" s="197" t="s">
        <v>319</v>
      </c>
      <c r="Q83" s="198" t="s">
        <v>319</v>
      </c>
      <c r="R83" s="197" t="s">
        <v>319</v>
      </c>
      <c r="S83" s="198" t="s">
        <v>319</v>
      </c>
      <c r="T83" s="197" t="s">
        <v>319</v>
      </c>
      <c r="U83" s="197" t="s">
        <v>319</v>
      </c>
      <c r="V83" s="197" t="s">
        <v>319</v>
      </c>
      <c r="W83" s="198" t="s">
        <v>319</v>
      </c>
      <c r="X83" s="197" t="s">
        <v>319</v>
      </c>
      <c r="Y83" s="200" t="s">
        <v>319</v>
      </c>
      <c r="Z83" s="180" t="s">
        <v>242</v>
      </c>
    </row>
    <row r="84" spans="1:26" x14ac:dyDescent="0.3">
      <c r="A84" s="183" t="s">
        <v>316</v>
      </c>
      <c r="B84" s="211">
        <f t="shared" si="55"/>
        <v>0</v>
      </c>
      <c r="C84" s="212">
        <f t="shared" si="56"/>
        <v>0</v>
      </c>
      <c r="D84" s="212">
        <f t="shared" si="57"/>
        <v>0</v>
      </c>
      <c r="E84" s="212">
        <f t="shared" si="58"/>
        <v>0</v>
      </c>
      <c r="F84" s="197" t="s">
        <v>319</v>
      </c>
      <c r="G84" s="198" t="s">
        <v>319</v>
      </c>
      <c r="H84" s="197" t="s">
        <v>319</v>
      </c>
      <c r="I84" s="198" t="s">
        <v>319</v>
      </c>
      <c r="J84" s="197" t="s">
        <v>319</v>
      </c>
      <c r="K84" s="198" t="s">
        <v>319</v>
      </c>
      <c r="L84" s="197" t="s">
        <v>319</v>
      </c>
      <c r="M84" s="198" t="s">
        <v>319</v>
      </c>
      <c r="N84" s="197" t="s">
        <v>319</v>
      </c>
      <c r="O84" s="198" t="s">
        <v>319</v>
      </c>
      <c r="P84" s="197" t="s">
        <v>319</v>
      </c>
      <c r="Q84" s="198" t="s">
        <v>319</v>
      </c>
      <c r="R84" s="197" t="s">
        <v>319</v>
      </c>
      <c r="S84" s="198" t="s">
        <v>319</v>
      </c>
      <c r="T84" s="197" t="s">
        <v>319</v>
      </c>
      <c r="U84" s="197" t="s">
        <v>319</v>
      </c>
      <c r="V84" s="197" t="s">
        <v>319</v>
      </c>
      <c r="W84" s="198" t="s">
        <v>319</v>
      </c>
      <c r="X84" s="197" t="s">
        <v>319</v>
      </c>
      <c r="Y84" s="200" t="s">
        <v>319</v>
      </c>
      <c r="Z84" s="180" t="s">
        <v>243</v>
      </c>
    </row>
    <row r="85" spans="1:26" x14ac:dyDescent="0.3">
      <c r="A85" s="183" t="s">
        <v>317</v>
      </c>
      <c r="B85" s="211">
        <f t="shared" si="55"/>
        <v>696</v>
      </c>
      <c r="C85" s="212">
        <f t="shared" si="56"/>
        <v>339</v>
      </c>
      <c r="D85" s="212">
        <f t="shared" si="57"/>
        <v>0</v>
      </c>
      <c r="E85" s="212">
        <f t="shared" si="58"/>
        <v>0</v>
      </c>
      <c r="F85" s="197">
        <v>696</v>
      </c>
      <c r="G85" s="198">
        <v>339</v>
      </c>
      <c r="H85" s="197" t="s">
        <v>319</v>
      </c>
      <c r="I85" s="198" t="s">
        <v>319</v>
      </c>
      <c r="J85" s="199" t="s">
        <v>319</v>
      </c>
      <c r="K85" s="198" t="s">
        <v>319</v>
      </c>
      <c r="L85" s="197" t="s">
        <v>319</v>
      </c>
      <c r="M85" s="198" t="s">
        <v>319</v>
      </c>
      <c r="N85" s="199" t="s">
        <v>319</v>
      </c>
      <c r="O85" s="198" t="s">
        <v>319</v>
      </c>
      <c r="P85" s="197" t="s">
        <v>319</v>
      </c>
      <c r="Q85" s="198" t="s">
        <v>319</v>
      </c>
      <c r="R85" s="199" t="s">
        <v>319</v>
      </c>
      <c r="S85" s="198" t="s">
        <v>319</v>
      </c>
      <c r="T85" s="197" t="s">
        <v>319</v>
      </c>
      <c r="U85" s="197" t="s">
        <v>319</v>
      </c>
      <c r="V85" s="199" t="s">
        <v>319</v>
      </c>
      <c r="W85" s="198" t="s">
        <v>319</v>
      </c>
      <c r="X85" s="197" t="s">
        <v>319</v>
      </c>
      <c r="Y85" s="200" t="s">
        <v>319</v>
      </c>
      <c r="Z85" s="180" t="s">
        <v>244</v>
      </c>
    </row>
    <row r="86" spans="1:26" x14ac:dyDescent="0.3">
      <c r="A86" s="277" t="s">
        <v>245</v>
      </c>
      <c r="B86" s="280">
        <f>SUM(B88:B92)</f>
        <v>20433</v>
      </c>
      <c r="C86" s="278">
        <f>SUM(C88:C92)</f>
        <v>15138</v>
      </c>
      <c r="D86" s="278">
        <f t="shared" ref="D86:N86" si="59">SUM(D88:D92)</f>
        <v>450</v>
      </c>
      <c r="E86" s="279">
        <f t="shared" si="59"/>
        <v>2</v>
      </c>
      <c r="F86" s="278">
        <f t="shared" si="59"/>
        <v>19507</v>
      </c>
      <c r="G86" s="281">
        <f t="shared" si="59"/>
        <v>15062</v>
      </c>
      <c r="H86" s="278">
        <f t="shared" si="59"/>
        <v>24</v>
      </c>
      <c r="I86" s="281">
        <f>SUM(I88:I92)</f>
        <v>0</v>
      </c>
      <c r="J86" s="278">
        <f>SUM(J88:J92)</f>
        <v>921</v>
      </c>
      <c r="K86" s="281">
        <f t="shared" si="59"/>
        <v>76</v>
      </c>
      <c r="L86" s="278">
        <f t="shared" si="59"/>
        <v>426</v>
      </c>
      <c r="M86" s="281">
        <f t="shared" si="59"/>
        <v>0</v>
      </c>
      <c r="N86" s="278">
        <f t="shared" si="59"/>
        <v>0</v>
      </c>
      <c r="O86" s="273">
        <f>SUM(O88:O92)</f>
        <v>0</v>
      </c>
      <c r="P86" s="282">
        <f t="shared" ref="P86:W86" si="60">SUM(P88:P92)</f>
        <v>0</v>
      </c>
      <c r="Q86" s="273">
        <f t="shared" si="60"/>
        <v>0</v>
      </c>
      <c r="R86" s="282">
        <f t="shared" si="60"/>
        <v>5</v>
      </c>
      <c r="S86" s="273">
        <f t="shared" si="60"/>
        <v>0</v>
      </c>
      <c r="T86" s="282">
        <f t="shared" si="60"/>
        <v>0</v>
      </c>
      <c r="U86" s="273">
        <f t="shared" si="60"/>
        <v>2</v>
      </c>
      <c r="V86" s="282">
        <f t="shared" si="60"/>
        <v>0</v>
      </c>
      <c r="W86" s="273">
        <f t="shared" si="60"/>
        <v>0</v>
      </c>
      <c r="X86" s="273">
        <f>SUM(X88:X92)</f>
        <v>0</v>
      </c>
      <c r="Y86" s="283">
        <f>SUM(Y88:Y92)</f>
        <v>0</v>
      </c>
      <c r="Z86" s="267" t="s">
        <v>246</v>
      </c>
    </row>
    <row r="87" spans="1:26" x14ac:dyDescent="0.3">
      <c r="A87" s="277"/>
      <c r="B87" s="280"/>
      <c r="C87" s="278"/>
      <c r="D87" s="278"/>
      <c r="E87" s="279"/>
      <c r="F87" s="278"/>
      <c r="G87" s="281"/>
      <c r="H87" s="278"/>
      <c r="I87" s="281"/>
      <c r="J87" s="278"/>
      <c r="K87" s="281"/>
      <c r="L87" s="278"/>
      <c r="M87" s="281"/>
      <c r="N87" s="278"/>
      <c r="O87" s="273"/>
      <c r="P87" s="282"/>
      <c r="Q87" s="273"/>
      <c r="R87" s="282"/>
      <c r="S87" s="273"/>
      <c r="T87" s="282"/>
      <c r="U87" s="273"/>
      <c r="V87" s="282"/>
      <c r="W87" s="273"/>
      <c r="X87" s="273"/>
      <c r="Y87" s="283"/>
      <c r="Z87" s="267"/>
    </row>
    <row r="88" spans="1:26" x14ac:dyDescent="0.3">
      <c r="A88" s="179" t="s">
        <v>119</v>
      </c>
      <c r="B88" s="211">
        <f t="shared" ref="B88:B92" si="61">SUM(F88,J88,N88,R88,V88)</f>
        <v>2011</v>
      </c>
      <c r="C88" s="212">
        <f t="shared" ref="C88:C92" si="62">(SUM(G88,K88,O88,S88,W88))</f>
        <v>706</v>
      </c>
      <c r="D88" s="212">
        <f t="shared" ref="D88:D92" si="63">(SUM(H88,L88,P88,T88,X88))</f>
        <v>271</v>
      </c>
      <c r="E88" s="212">
        <f t="shared" ref="E88:E92" si="64">(SUM(I88,M88,Q88,U88,Y88))</f>
        <v>0</v>
      </c>
      <c r="F88" s="197">
        <v>1406</v>
      </c>
      <c r="G88" s="198">
        <v>664</v>
      </c>
      <c r="H88" s="197">
        <v>18</v>
      </c>
      <c r="I88" s="198" t="s">
        <v>319</v>
      </c>
      <c r="J88" s="197">
        <v>605</v>
      </c>
      <c r="K88" s="198">
        <v>42</v>
      </c>
      <c r="L88" s="197">
        <v>253</v>
      </c>
      <c r="M88" s="198" t="s">
        <v>319</v>
      </c>
      <c r="N88" s="199" t="s">
        <v>319</v>
      </c>
      <c r="O88" s="198" t="s">
        <v>319</v>
      </c>
      <c r="P88" s="197" t="s">
        <v>319</v>
      </c>
      <c r="Q88" s="198" t="s">
        <v>319</v>
      </c>
      <c r="R88" s="199" t="s">
        <v>319</v>
      </c>
      <c r="S88" s="198" t="s">
        <v>319</v>
      </c>
      <c r="T88" s="197" t="s">
        <v>319</v>
      </c>
      <c r="U88" s="197" t="s">
        <v>319</v>
      </c>
      <c r="V88" s="199" t="s">
        <v>319</v>
      </c>
      <c r="W88" s="198" t="s">
        <v>319</v>
      </c>
      <c r="X88" s="197" t="s">
        <v>319</v>
      </c>
      <c r="Y88" s="200" t="s">
        <v>319</v>
      </c>
      <c r="Z88" s="180" t="s">
        <v>247</v>
      </c>
    </row>
    <row r="89" spans="1:26" x14ac:dyDescent="0.3">
      <c r="A89" s="179" t="s">
        <v>122</v>
      </c>
      <c r="B89" s="211">
        <f t="shared" si="61"/>
        <v>2598</v>
      </c>
      <c r="C89" s="212">
        <f t="shared" si="62"/>
        <v>723</v>
      </c>
      <c r="D89" s="212">
        <f t="shared" si="63"/>
        <v>21</v>
      </c>
      <c r="E89" s="212">
        <f t="shared" si="64"/>
        <v>0</v>
      </c>
      <c r="F89" s="197">
        <v>2544</v>
      </c>
      <c r="G89" s="198">
        <v>723</v>
      </c>
      <c r="H89" s="197">
        <v>6</v>
      </c>
      <c r="I89" s="198" t="s">
        <v>319</v>
      </c>
      <c r="J89" s="197">
        <v>54</v>
      </c>
      <c r="K89" s="198" t="s">
        <v>319</v>
      </c>
      <c r="L89" s="197">
        <v>15</v>
      </c>
      <c r="M89" s="198" t="s">
        <v>319</v>
      </c>
      <c r="N89" s="199" t="s">
        <v>319</v>
      </c>
      <c r="O89" s="198" t="s">
        <v>319</v>
      </c>
      <c r="P89" s="197" t="s">
        <v>319</v>
      </c>
      <c r="Q89" s="198" t="s">
        <v>319</v>
      </c>
      <c r="R89" s="199" t="s">
        <v>319</v>
      </c>
      <c r="S89" s="198" t="s">
        <v>319</v>
      </c>
      <c r="T89" s="197" t="s">
        <v>319</v>
      </c>
      <c r="U89" s="197" t="s">
        <v>319</v>
      </c>
      <c r="V89" s="199" t="s">
        <v>319</v>
      </c>
      <c r="W89" s="198" t="s">
        <v>319</v>
      </c>
      <c r="X89" s="197" t="s">
        <v>319</v>
      </c>
      <c r="Y89" s="200" t="s">
        <v>319</v>
      </c>
      <c r="Z89" s="180" t="s">
        <v>248</v>
      </c>
    </row>
    <row r="90" spans="1:26" x14ac:dyDescent="0.3">
      <c r="A90" s="179" t="s">
        <v>124</v>
      </c>
      <c r="B90" s="211">
        <f t="shared" si="61"/>
        <v>7090</v>
      </c>
      <c r="C90" s="212">
        <f t="shared" si="62"/>
        <v>9583</v>
      </c>
      <c r="D90" s="212">
        <f t="shared" si="63"/>
        <v>31</v>
      </c>
      <c r="E90" s="212">
        <f t="shared" si="64"/>
        <v>2</v>
      </c>
      <c r="F90" s="197">
        <v>7068</v>
      </c>
      <c r="G90" s="198">
        <v>9549</v>
      </c>
      <c r="H90" s="197" t="s">
        <v>319</v>
      </c>
      <c r="I90" s="198" t="s">
        <v>319</v>
      </c>
      <c r="J90" s="199">
        <v>17</v>
      </c>
      <c r="K90" s="198">
        <v>34</v>
      </c>
      <c r="L90" s="197">
        <v>31</v>
      </c>
      <c r="M90" s="198" t="s">
        <v>319</v>
      </c>
      <c r="N90" s="199" t="s">
        <v>319</v>
      </c>
      <c r="O90" s="198" t="s">
        <v>319</v>
      </c>
      <c r="P90" s="197" t="s">
        <v>319</v>
      </c>
      <c r="Q90" s="198" t="s">
        <v>319</v>
      </c>
      <c r="R90" s="199">
        <v>5</v>
      </c>
      <c r="S90" s="198" t="s">
        <v>319</v>
      </c>
      <c r="T90" s="197" t="s">
        <v>319</v>
      </c>
      <c r="U90" s="197">
        <v>2</v>
      </c>
      <c r="V90" s="199" t="s">
        <v>319</v>
      </c>
      <c r="W90" s="198" t="s">
        <v>319</v>
      </c>
      <c r="X90" s="197" t="s">
        <v>319</v>
      </c>
      <c r="Y90" s="200" t="s">
        <v>319</v>
      </c>
      <c r="Z90" s="180" t="s">
        <v>249</v>
      </c>
    </row>
    <row r="91" spans="1:26" x14ac:dyDescent="0.3">
      <c r="A91" s="179" t="s">
        <v>127</v>
      </c>
      <c r="B91" s="211">
        <f t="shared" si="61"/>
        <v>8217</v>
      </c>
      <c r="C91" s="212">
        <f t="shared" si="62"/>
        <v>3925</v>
      </c>
      <c r="D91" s="212">
        <f t="shared" si="63"/>
        <v>22</v>
      </c>
      <c r="E91" s="212">
        <f t="shared" si="64"/>
        <v>0</v>
      </c>
      <c r="F91" s="197">
        <v>8169</v>
      </c>
      <c r="G91" s="198">
        <v>3925</v>
      </c>
      <c r="H91" s="197" t="s">
        <v>319</v>
      </c>
      <c r="I91" s="198" t="s">
        <v>319</v>
      </c>
      <c r="J91" s="197">
        <v>48</v>
      </c>
      <c r="K91" s="198" t="s">
        <v>319</v>
      </c>
      <c r="L91" s="197">
        <v>22</v>
      </c>
      <c r="M91" s="198" t="s">
        <v>319</v>
      </c>
      <c r="N91" s="199" t="s">
        <v>319</v>
      </c>
      <c r="O91" s="198" t="s">
        <v>319</v>
      </c>
      <c r="P91" s="197" t="s">
        <v>319</v>
      </c>
      <c r="Q91" s="198" t="s">
        <v>319</v>
      </c>
      <c r="R91" s="197" t="s">
        <v>319</v>
      </c>
      <c r="S91" s="198" t="s">
        <v>319</v>
      </c>
      <c r="T91" s="197" t="s">
        <v>319</v>
      </c>
      <c r="U91" s="197" t="s">
        <v>319</v>
      </c>
      <c r="V91" s="199" t="s">
        <v>319</v>
      </c>
      <c r="W91" s="198" t="s">
        <v>319</v>
      </c>
      <c r="X91" s="197" t="s">
        <v>319</v>
      </c>
      <c r="Y91" s="200" t="s">
        <v>319</v>
      </c>
      <c r="Z91" s="180" t="s">
        <v>250</v>
      </c>
    </row>
    <row r="92" spans="1:26" x14ac:dyDescent="0.3">
      <c r="A92" s="179" t="s">
        <v>129</v>
      </c>
      <c r="B92" s="211">
        <f t="shared" si="61"/>
        <v>517</v>
      </c>
      <c r="C92" s="212">
        <f t="shared" si="62"/>
        <v>201</v>
      </c>
      <c r="D92" s="212">
        <f t="shared" si="63"/>
        <v>105</v>
      </c>
      <c r="E92" s="212">
        <f t="shared" si="64"/>
        <v>0</v>
      </c>
      <c r="F92" s="197">
        <v>320</v>
      </c>
      <c r="G92" s="198">
        <v>201</v>
      </c>
      <c r="H92" s="197" t="s">
        <v>319</v>
      </c>
      <c r="I92" s="198" t="s">
        <v>319</v>
      </c>
      <c r="J92" s="197">
        <v>197</v>
      </c>
      <c r="K92" s="198" t="s">
        <v>319</v>
      </c>
      <c r="L92" s="197">
        <v>105</v>
      </c>
      <c r="M92" s="198" t="s">
        <v>319</v>
      </c>
      <c r="N92" s="199" t="s">
        <v>319</v>
      </c>
      <c r="O92" s="198" t="s">
        <v>319</v>
      </c>
      <c r="P92" s="197" t="s">
        <v>319</v>
      </c>
      <c r="Q92" s="198" t="s">
        <v>319</v>
      </c>
      <c r="R92" s="199" t="s">
        <v>319</v>
      </c>
      <c r="S92" s="198" t="s">
        <v>319</v>
      </c>
      <c r="T92" s="197" t="s">
        <v>319</v>
      </c>
      <c r="U92" s="197" t="s">
        <v>319</v>
      </c>
      <c r="V92" s="199" t="s">
        <v>319</v>
      </c>
      <c r="W92" s="198" t="s">
        <v>319</v>
      </c>
      <c r="X92" s="197" t="s">
        <v>319</v>
      </c>
      <c r="Y92" s="200" t="s">
        <v>319</v>
      </c>
      <c r="Z92" s="180" t="s">
        <v>251</v>
      </c>
    </row>
    <row r="93" spans="1:26" x14ac:dyDescent="0.3">
      <c r="A93" s="277" t="s">
        <v>252</v>
      </c>
      <c r="B93" s="280">
        <f>SUM(B95:B107)</f>
        <v>23791</v>
      </c>
      <c r="C93" s="278">
        <f>SUM(C95:C107)</f>
        <v>7856</v>
      </c>
      <c r="D93" s="278">
        <f t="shared" ref="D93:N93" si="65">SUM(D95:D107)</f>
        <v>821</v>
      </c>
      <c r="E93" s="279">
        <f t="shared" si="65"/>
        <v>10</v>
      </c>
      <c r="F93" s="278">
        <f t="shared" si="65"/>
        <v>23015</v>
      </c>
      <c r="G93" s="281">
        <f t="shared" si="65"/>
        <v>7831</v>
      </c>
      <c r="H93" s="278">
        <f t="shared" si="65"/>
        <v>18</v>
      </c>
      <c r="I93" s="281">
        <f>SUM(I95:I107)</f>
        <v>0</v>
      </c>
      <c r="J93" s="278">
        <f>SUM(J95:J107)</f>
        <v>689</v>
      </c>
      <c r="K93" s="281">
        <f t="shared" si="65"/>
        <v>2</v>
      </c>
      <c r="L93" s="278">
        <f t="shared" si="65"/>
        <v>791</v>
      </c>
      <c r="M93" s="281">
        <f t="shared" si="65"/>
        <v>0</v>
      </c>
      <c r="N93" s="278">
        <f t="shared" si="65"/>
        <v>0</v>
      </c>
      <c r="O93" s="273">
        <f>SUM(O95:O107)</f>
        <v>0</v>
      </c>
      <c r="P93" s="282">
        <f t="shared" ref="P93:W93" si="66">SUM(P95:P107)</f>
        <v>0</v>
      </c>
      <c r="Q93" s="273">
        <f t="shared" si="66"/>
        <v>0</v>
      </c>
      <c r="R93" s="282">
        <f t="shared" si="66"/>
        <v>73</v>
      </c>
      <c r="S93" s="273">
        <f t="shared" si="66"/>
        <v>22</v>
      </c>
      <c r="T93" s="282">
        <f t="shared" si="66"/>
        <v>11</v>
      </c>
      <c r="U93" s="273">
        <f t="shared" si="66"/>
        <v>9</v>
      </c>
      <c r="V93" s="282">
        <f t="shared" si="66"/>
        <v>14</v>
      </c>
      <c r="W93" s="273">
        <f t="shared" si="66"/>
        <v>1</v>
      </c>
      <c r="X93" s="273">
        <f>SUM(X95:X107)</f>
        <v>1</v>
      </c>
      <c r="Y93" s="283">
        <f>SUM(Y95:Y107)</f>
        <v>1</v>
      </c>
      <c r="Z93" s="267" t="s">
        <v>253</v>
      </c>
    </row>
    <row r="94" spans="1:26" x14ac:dyDescent="0.3">
      <c r="A94" s="277"/>
      <c r="B94" s="280"/>
      <c r="C94" s="278"/>
      <c r="D94" s="278"/>
      <c r="E94" s="279"/>
      <c r="F94" s="278"/>
      <c r="G94" s="281"/>
      <c r="H94" s="278"/>
      <c r="I94" s="281"/>
      <c r="J94" s="278"/>
      <c r="K94" s="281"/>
      <c r="L94" s="278"/>
      <c r="M94" s="281"/>
      <c r="N94" s="278"/>
      <c r="O94" s="273"/>
      <c r="P94" s="282"/>
      <c r="Q94" s="273"/>
      <c r="R94" s="282"/>
      <c r="S94" s="273"/>
      <c r="T94" s="282"/>
      <c r="U94" s="273"/>
      <c r="V94" s="282"/>
      <c r="W94" s="273"/>
      <c r="X94" s="273"/>
      <c r="Y94" s="283"/>
      <c r="Z94" s="267"/>
    </row>
    <row r="95" spans="1:26" x14ac:dyDescent="0.3">
      <c r="A95" s="179" t="s">
        <v>131</v>
      </c>
      <c r="B95" s="211">
        <f t="shared" ref="B95:B107" si="67">SUM(F95,J95,N95,R95,V95)</f>
        <v>163</v>
      </c>
      <c r="C95" s="212">
        <f t="shared" ref="C95:C107" si="68">(SUM(G95,K95,O95,S95,W95))</f>
        <v>58</v>
      </c>
      <c r="D95" s="212">
        <f t="shared" ref="D95:D107" si="69">(SUM(H95,L95,P95,T95,X95))</f>
        <v>1</v>
      </c>
      <c r="E95" s="212">
        <f t="shared" ref="E95:E107" si="70">(SUM(I95,M95,Q95,U95,Y95))</f>
        <v>0</v>
      </c>
      <c r="F95" s="197">
        <v>161</v>
      </c>
      <c r="G95" s="198">
        <v>58</v>
      </c>
      <c r="H95" s="197" t="s">
        <v>319</v>
      </c>
      <c r="I95" s="198" t="s">
        <v>319</v>
      </c>
      <c r="J95" s="197">
        <v>2</v>
      </c>
      <c r="K95" s="198" t="s">
        <v>319</v>
      </c>
      <c r="L95" s="197">
        <v>1</v>
      </c>
      <c r="M95" s="198" t="s">
        <v>319</v>
      </c>
      <c r="N95" s="199" t="s">
        <v>319</v>
      </c>
      <c r="O95" s="198" t="s">
        <v>319</v>
      </c>
      <c r="P95" s="197" t="s">
        <v>319</v>
      </c>
      <c r="Q95" s="198" t="s">
        <v>319</v>
      </c>
      <c r="R95" s="199" t="s">
        <v>319</v>
      </c>
      <c r="S95" s="198" t="s">
        <v>319</v>
      </c>
      <c r="T95" s="197" t="s">
        <v>319</v>
      </c>
      <c r="U95" s="197" t="s">
        <v>319</v>
      </c>
      <c r="V95" s="199" t="s">
        <v>319</v>
      </c>
      <c r="W95" s="198" t="s">
        <v>319</v>
      </c>
      <c r="X95" s="197" t="s">
        <v>319</v>
      </c>
      <c r="Y95" s="200" t="s">
        <v>319</v>
      </c>
      <c r="Z95" s="180" t="s">
        <v>254</v>
      </c>
    </row>
    <row r="96" spans="1:26" x14ac:dyDescent="0.3">
      <c r="A96" s="179" t="s">
        <v>133</v>
      </c>
      <c r="B96" s="211">
        <f t="shared" si="67"/>
        <v>567</v>
      </c>
      <c r="C96" s="212">
        <f t="shared" si="68"/>
        <v>74</v>
      </c>
      <c r="D96" s="212">
        <f t="shared" si="69"/>
        <v>1</v>
      </c>
      <c r="E96" s="212">
        <f t="shared" si="70"/>
        <v>0</v>
      </c>
      <c r="F96" s="197">
        <v>561</v>
      </c>
      <c r="G96" s="198">
        <v>74</v>
      </c>
      <c r="H96" s="197">
        <v>1</v>
      </c>
      <c r="I96" s="198" t="s">
        <v>319</v>
      </c>
      <c r="J96" s="197">
        <v>6</v>
      </c>
      <c r="K96" s="198" t="s">
        <v>319</v>
      </c>
      <c r="L96" s="197" t="s">
        <v>319</v>
      </c>
      <c r="M96" s="198" t="s">
        <v>319</v>
      </c>
      <c r="N96" s="199" t="s">
        <v>319</v>
      </c>
      <c r="O96" s="198" t="s">
        <v>319</v>
      </c>
      <c r="P96" s="197" t="s">
        <v>319</v>
      </c>
      <c r="Q96" s="198" t="s">
        <v>319</v>
      </c>
      <c r="R96" s="199" t="s">
        <v>319</v>
      </c>
      <c r="S96" s="198" t="s">
        <v>319</v>
      </c>
      <c r="T96" s="197" t="s">
        <v>319</v>
      </c>
      <c r="U96" s="197" t="s">
        <v>319</v>
      </c>
      <c r="V96" s="199" t="s">
        <v>319</v>
      </c>
      <c r="W96" s="198" t="s">
        <v>319</v>
      </c>
      <c r="X96" s="197" t="s">
        <v>319</v>
      </c>
      <c r="Y96" s="200" t="s">
        <v>319</v>
      </c>
      <c r="Z96" s="180" t="s">
        <v>255</v>
      </c>
    </row>
    <row r="97" spans="1:26" x14ac:dyDescent="0.3">
      <c r="A97" s="179" t="s">
        <v>135</v>
      </c>
      <c r="B97" s="211">
        <f t="shared" si="67"/>
        <v>12924</v>
      </c>
      <c r="C97" s="212">
        <f t="shared" si="68"/>
        <v>944</v>
      </c>
      <c r="D97" s="212">
        <f t="shared" si="69"/>
        <v>2</v>
      </c>
      <c r="E97" s="212">
        <f t="shared" si="70"/>
        <v>0</v>
      </c>
      <c r="F97" s="197">
        <v>12918</v>
      </c>
      <c r="G97" s="198">
        <v>944</v>
      </c>
      <c r="H97" s="197">
        <v>1</v>
      </c>
      <c r="I97" s="198" t="s">
        <v>319</v>
      </c>
      <c r="J97" s="197">
        <v>6</v>
      </c>
      <c r="K97" s="198" t="s">
        <v>319</v>
      </c>
      <c r="L97" s="197">
        <v>1</v>
      </c>
      <c r="M97" s="198" t="s">
        <v>319</v>
      </c>
      <c r="N97" s="199" t="s">
        <v>319</v>
      </c>
      <c r="O97" s="198" t="s">
        <v>319</v>
      </c>
      <c r="P97" s="197" t="s">
        <v>319</v>
      </c>
      <c r="Q97" s="198" t="s">
        <v>319</v>
      </c>
      <c r="R97" s="199" t="s">
        <v>319</v>
      </c>
      <c r="S97" s="198" t="s">
        <v>319</v>
      </c>
      <c r="T97" s="197" t="s">
        <v>319</v>
      </c>
      <c r="U97" s="197" t="s">
        <v>319</v>
      </c>
      <c r="V97" s="199" t="s">
        <v>319</v>
      </c>
      <c r="W97" s="198" t="s">
        <v>319</v>
      </c>
      <c r="X97" s="197" t="s">
        <v>319</v>
      </c>
      <c r="Y97" s="200" t="s">
        <v>319</v>
      </c>
      <c r="Z97" s="180" t="s">
        <v>256</v>
      </c>
    </row>
    <row r="98" spans="1:26" x14ac:dyDescent="0.3">
      <c r="A98" s="179" t="s">
        <v>137</v>
      </c>
      <c r="B98" s="211">
        <f t="shared" si="67"/>
        <v>207</v>
      </c>
      <c r="C98" s="212">
        <f t="shared" si="68"/>
        <v>19</v>
      </c>
      <c r="D98" s="212">
        <f t="shared" si="69"/>
        <v>7</v>
      </c>
      <c r="E98" s="212">
        <f t="shared" si="70"/>
        <v>0</v>
      </c>
      <c r="F98" s="197">
        <v>188</v>
      </c>
      <c r="G98" s="198">
        <v>18</v>
      </c>
      <c r="H98" s="197" t="s">
        <v>319</v>
      </c>
      <c r="I98" s="198" t="s">
        <v>319</v>
      </c>
      <c r="J98" s="197">
        <v>19</v>
      </c>
      <c r="K98" s="198">
        <v>1</v>
      </c>
      <c r="L98" s="197">
        <v>7</v>
      </c>
      <c r="M98" s="198" t="s">
        <v>319</v>
      </c>
      <c r="N98" s="199" t="s">
        <v>319</v>
      </c>
      <c r="O98" s="198" t="s">
        <v>319</v>
      </c>
      <c r="P98" s="197" t="s">
        <v>319</v>
      </c>
      <c r="Q98" s="198" t="s">
        <v>319</v>
      </c>
      <c r="R98" s="199" t="s">
        <v>319</v>
      </c>
      <c r="S98" s="198" t="s">
        <v>319</v>
      </c>
      <c r="T98" s="197" t="s">
        <v>319</v>
      </c>
      <c r="U98" s="197" t="s">
        <v>319</v>
      </c>
      <c r="V98" s="199" t="s">
        <v>319</v>
      </c>
      <c r="W98" s="198" t="s">
        <v>319</v>
      </c>
      <c r="X98" s="197" t="s">
        <v>319</v>
      </c>
      <c r="Y98" s="200" t="s">
        <v>319</v>
      </c>
      <c r="Z98" s="180" t="s">
        <v>257</v>
      </c>
    </row>
    <row r="99" spans="1:26" x14ac:dyDescent="0.3">
      <c r="A99" s="179" t="s">
        <v>139</v>
      </c>
      <c r="B99" s="211">
        <f t="shared" si="67"/>
        <v>138</v>
      </c>
      <c r="C99" s="212">
        <f t="shared" si="68"/>
        <v>17</v>
      </c>
      <c r="D99" s="212">
        <f t="shared" si="69"/>
        <v>6</v>
      </c>
      <c r="E99" s="212">
        <f t="shared" si="70"/>
        <v>0</v>
      </c>
      <c r="F99" s="197">
        <v>112</v>
      </c>
      <c r="G99" s="198">
        <v>17</v>
      </c>
      <c r="H99" s="197" t="s">
        <v>319</v>
      </c>
      <c r="I99" s="198" t="s">
        <v>319</v>
      </c>
      <c r="J99" s="197">
        <v>4</v>
      </c>
      <c r="K99" s="198" t="s">
        <v>319</v>
      </c>
      <c r="L99" s="197">
        <v>1</v>
      </c>
      <c r="M99" s="198" t="s">
        <v>319</v>
      </c>
      <c r="N99" s="199" t="s">
        <v>319</v>
      </c>
      <c r="O99" s="198" t="s">
        <v>319</v>
      </c>
      <c r="P99" s="197" t="s">
        <v>319</v>
      </c>
      <c r="Q99" s="198" t="s">
        <v>319</v>
      </c>
      <c r="R99" s="199">
        <v>17</v>
      </c>
      <c r="S99" s="198" t="s">
        <v>319</v>
      </c>
      <c r="T99" s="197">
        <v>5</v>
      </c>
      <c r="U99" s="197" t="s">
        <v>319</v>
      </c>
      <c r="V99" s="199">
        <v>5</v>
      </c>
      <c r="W99" s="198" t="s">
        <v>319</v>
      </c>
      <c r="X99" s="197" t="s">
        <v>319</v>
      </c>
      <c r="Y99" s="200" t="s">
        <v>319</v>
      </c>
      <c r="Z99" s="180" t="s">
        <v>258</v>
      </c>
    </row>
    <row r="100" spans="1:26" x14ac:dyDescent="0.3">
      <c r="A100" s="179" t="s">
        <v>141</v>
      </c>
      <c r="B100" s="211">
        <f t="shared" si="67"/>
        <v>359</v>
      </c>
      <c r="C100" s="212">
        <f t="shared" si="68"/>
        <v>129</v>
      </c>
      <c r="D100" s="212">
        <f t="shared" si="69"/>
        <v>5</v>
      </c>
      <c r="E100" s="212">
        <f t="shared" si="70"/>
        <v>0</v>
      </c>
      <c r="F100" s="197">
        <v>350</v>
      </c>
      <c r="G100" s="198">
        <v>129</v>
      </c>
      <c r="H100" s="197" t="s">
        <v>319</v>
      </c>
      <c r="I100" s="198" t="s">
        <v>319</v>
      </c>
      <c r="J100" s="199">
        <v>9</v>
      </c>
      <c r="K100" s="198" t="s">
        <v>319</v>
      </c>
      <c r="L100" s="197">
        <v>5</v>
      </c>
      <c r="M100" s="198" t="s">
        <v>319</v>
      </c>
      <c r="N100" s="199" t="s">
        <v>319</v>
      </c>
      <c r="O100" s="198" t="s">
        <v>319</v>
      </c>
      <c r="P100" s="197" t="s">
        <v>319</v>
      </c>
      <c r="Q100" s="198" t="s">
        <v>319</v>
      </c>
      <c r="R100" s="199" t="s">
        <v>319</v>
      </c>
      <c r="S100" s="198" t="s">
        <v>319</v>
      </c>
      <c r="T100" s="197" t="s">
        <v>319</v>
      </c>
      <c r="U100" s="197" t="s">
        <v>319</v>
      </c>
      <c r="V100" s="199" t="s">
        <v>319</v>
      </c>
      <c r="W100" s="198" t="s">
        <v>319</v>
      </c>
      <c r="X100" s="197" t="s">
        <v>319</v>
      </c>
      <c r="Y100" s="200" t="s">
        <v>319</v>
      </c>
      <c r="Z100" s="180" t="s">
        <v>259</v>
      </c>
    </row>
    <row r="101" spans="1:26" x14ac:dyDescent="0.3">
      <c r="A101" s="179" t="s">
        <v>144</v>
      </c>
      <c r="B101" s="211">
        <f t="shared" si="67"/>
        <v>449</v>
      </c>
      <c r="C101" s="212">
        <f t="shared" si="68"/>
        <v>260</v>
      </c>
      <c r="D101" s="212">
        <f t="shared" si="69"/>
        <v>18</v>
      </c>
      <c r="E101" s="212">
        <f t="shared" si="70"/>
        <v>0</v>
      </c>
      <c r="F101" s="197">
        <v>374</v>
      </c>
      <c r="G101" s="198">
        <v>238</v>
      </c>
      <c r="H101" s="197" t="s">
        <v>319</v>
      </c>
      <c r="I101" s="198" t="s">
        <v>319</v>
      </c>
      <c r="J101" s="197">
        <v>28</v>
      </c>
      <c r="K101" s="198" t="s">
        <v>319</v>
      </c>
      <c r="L101" s="197">
        <v>12</v>
      </c>
      <c r="M101" s="198" t="s">
        <v>319</v>
      </c>
      <c r="N101" s="199" t="s">
        <v>319</v>
      </c>
      <c r="O101" s="198" t="s">
        <v>319</v>
      </c>
      <c r="P101" s="197" t="s">
        <v>319</v>
      </c>
      <c r="Q101" s="198" t="s">
        <v>319</v>
      </c>
      <c r="R101" s="199">
        <v>47</v>
      </c>
      <c r="S101" s="198">
        <v>22</v>
      </c>
      <c r="T101" s="197">
        <v>6</v>
      </c>
      <c r="U101" s="197" t="s">
        <v>319</v>
      </c>
      <c r="V101" s="199" t="s">
        <v>319</v>
      </c>
      <c r="W101" s="198" t="s">
        <v>319</v>
      </c>
      <c r="X101" s="197" t="s">
        <v>319</v>
      </c>
      <c r="Y101" s="200" t="s">
        <v>319</v>
      </c>
      <c r="Z101" s="180" t="s">
        <v>260</v>
      </c>
    </row>
    <row r="102" spans="1:26" x14ac:dyDescent="0.3">
      <c r="A102" s="179" t="s">
        <v>146</v>
      </c>
      <c r="B102" s="211">
        <f t="shared" si="67"/>
        <v>296</v>
      </c>
      <c r="C102" s="212">
        <f t="shared" si="68"/>
        <v>63</v>
      </c>
      <c r="D102" s="212">
        <f t="shared" si="69"/>
        <v>6</v>
      </c>
      <c r="E102" s="212">
        <f t="shared" si="70"/>
        <v>0</v>
      </c>
      <c r="F102" s="197">
        <v>281</v>
      </c>
      <c r="G102" s="198">
        <v>62</v>
      </c>
      <c r="H102" s="197">
        <v>1</v>
      </c>
      <c r="I102" s="198" t="s">
        <v>319</v>
      </c>
      <c r="J102" s="197">
        <v>15</v>
      </c>
      <c r="K102" s="198">
        <v>1</v>
      </c>
      <c r="L102" s="197">
        <v>5</v>
      </c>
      <c r="M102" s="198" t="s">
        <v>319</v>
      </c>
      <c r="N102" s="199" t="s">
        <v>319</v>
      </c>
      <c r="O102" s="198" t="s">
        <v>319</v>
      </c>
      <c r="P102" s="197" t="s">
        <v>319</v>
      </c>
      <c r="Q102" s="198" t="s">
        <v>319</v>
      </c>
      <c r="R102" s="199" t="s">
        <v>319</v>
      </c>
      <c r="S102" s="198" t="s">
        <v>319</v>
      </c>
      <c r="T102" s="197" t="s">
        <v>319</v>
      </c>
      <c r="U102" s="197" t="s">
        <v>319</v>
      </c>
      <c r="V102" s="199" t="s">
        <v>319</v>
      </c>
      <c r="W102" s="198" t="s">
        <v>319</v>
      </c>
      <c r="X102" s="197" t="s">
        <v>319</v>
      </c>
      <c r="Y102" s="200" t="s">
        <v>319</v>
      </c>
      <c r="Z102" s="180" t="s">
        <v>261</v>
      </c>
    </row>
    <row r="103" spans="1:26" x14ac:dyDescent="0.3">
      <c r="A103" s="179" t="s">
        <v>148</v>
      </c>
      <c r="B103" s="211">
        <f t="shared" si="67"/>
        <v>65</v>
      </c>
      <c r="C103" s="212">
        <f t="shared" si="68"/>
        <v>22</v>
      </c>
      <c r="D103" s="212">
        <f t="shared" si="69"/>
        <v>0</v>
      </c>
      <c r="E103" s="212">
        <f t="shared" si="70"/>
        <v>0</v>
      </c>
      <c r="F103" s="197">
        <v>64</v>
      </c>
      <c r="G103" s="198">
        <v>22</v>
      </c>
      <c r="H103" s="197" t="s">
        <v>319</v>
      </c>
      <c r="I103" s="198" t="s">
        <v>319</v>
      </c>
      <c r="J103" s="197">
        <v>1</v>
      </c>
      <c r="K103" s="198" t="s">
        <v>319</v>
      </c>
      <c r="L103" s="197" t="s">
        <v>319</v>
      </c>
      <c r="M103" s="198" t="s">
        <v>319</v>
      </c>
      <c r="N103" s="199" t="s">
        <v>319</v>
      </c>
      <c r="O103" s="198" t="s">
        <v>319</v>
      </c>
      <c r="P103" s="197" t="s">
        <v>319</v>
      </c>
      <c r="Q103" s="198" t="s">
        <v>319</v>
      </c>
      <c r="R103" s="199" t="s">
        <v>319</v>
      </c>
      <c r="S103" s="198" t="s">
        <v>319</v>
      </c>
      <c r="T103" s="197" t="s">
        <v>319</v>
      </c>
      <c r="U103" s="197" t="s">
        <v>319</v>
      </c>
      <c r="V103" s="199" t="s">
        <v>319</v>
      </c>
      <c r="W103" s="198" t="s">
        <v>319</v>
      </c>
      <c r="X103" s="197" t="s">
        <v>319</v>
      </c>
      <c r="Y103" s="200" t="s">
        <v>319</v>
      </c>
      <c r="Z103" s="180" t="s">
        <v>262</v>
      </c>
    </row>
    <row r="104" spans="1:26" x14ac:dyDescent="0.3">
      <c r="A104" s="179" t="s">
        <v>150</v>
      </c>
      <c r="B104" s="211">
        <f t="shared" si="67"/>
        <v>1967</v>
      </c>
      <c r="C104" s="212">
        <f t="shared" si="68"/>
        <v>585</v>
      </c>
      <c r="D104" s="212">
        <f t="shared" si="69"/>
        <v>15</v>
      </c>
      <c r="E104" s="212">
        <f t="shared" si="70"/>
        <v>0</v>
      </c>
      <c r="F104" s="197">
        <v>1947</v>
      </c>
      <c r="G104" s="198">
        <v>584</v>
      </c>
      <c r="H104" s="197">
        <v>12</v>
      </c>
      <c r="I104" s="198" t="s">
        <v>319</v>
      </c>
      <c r="J104" s="197">
        <v>10</v>
      </c>
      <c r="K104" s="198" t="s">
        <v>319</v>
      </c>
      <c r="L104" s="197">
        <v>2</v>
      </c>
      <c r="M104" s="198" t="s">
        <v>319</v>
      </c>
      <c r="N104" s="199" t="s">
        <v>319</v>
      </c>
      <c r="O104" s="198" t="s">
        <v>319</v>
      </c>
      <c r="P104" s="197" t="s">
        <v>319</v>
      </c>
      <c r="Q104" s="198" t="s">
        <v>319</v>
      </c>
      <c r="R104" s="199">
        <v>3</v>
      </c>
      <c r="S104" s="198" t="s">
        <v>319</v>
      </c>
      <c r="T104" s="197" t="s">
        <v>319</v>
      </c>
      <c r="U104" s="197" t="s">
        <v>319</v>
      </c>
      <c r="V104" s="199">
        <v>7</v>
      </c>
      <c r="W104" s="198">
        <v>1</v>
      </c>
      <c r="X104" s="197">
        <v>1</v>
      </c>
      <c r="Y104" s="200" t="s">
        <v>319</v>
      </c>
      <c r="Z104" s="180" t="s">
        <v>263</v>
      </c>
    </row>
    <row r="105" spans="1:26" x14ac:dyDescent="0.3">
      <c r="A105" s="179" t="s">
        <v>152</v>
      </c>
      <c r="B105" s="211">
        <f t="shared" si="67"/>
        <v>1892</v>
      </c>
      <c r="C105" s="212">
        <f t="shared" si="68"/>
        <v>748</v>
      </c>
      <c r="D105" s="212">
        <f t="shared" si="69"/>
        <v>5</v>
      </c>
      <c r="E105" s="212">
        <f t="shared" si="70"/>
        <v>0</v>
      </c>
      <c r="F105" s="197">
        <v>1888</v>
      </c>
      <c r="G105" s="198">
        <v>748</v>
      </c>
      <c r="H105" s="197">
        <v>3</v>
      </c>
      <c r="I105" s="198" t="s">
        <v>319</v>
      </c>
      <c r="J105" s="197">
        <v>4</v>
      </c>
      <c r="K105" s="198" t="s">
        <v>319</v>
      </c>
      <c r="L105" s="197">
        <v>2</v>
      </c>
      <c r="M105" s="198" t="s">
        <v>319</v>
      </c>
      <c r="N105" s="199" t="s">
        <v>319</v>
      </c>
      <c r="O105" s="198" t="s">
        <v>319</v>
      </c>
      <c r="P105" s="197" t="s">
        <v>319</v>
      </c>
      <c r="Q105" s="198" t="s">
        <v>319</v>
      </c>
      <c r="R105" s="199" t="s">
        <v>319</v>
      </c>
      <c r="S105" s="198" t="s">
        <v>319</v>
      </c>
      <c r="T105" s="197" t="s">
        <v>319</v>
      </c>
      <c r="U105" s="197" t="s">
        <v>319</v>
      </c>
      <c r="V105" s="199" t="s">
        <v>319</v>
      </c>
      <c r="W105" s="198" t="s">
        <v>319</v>
      </c>
      <c r="X105" s="197" t="s">
        <v>319</v>
      </c>
      <c r="Y105" s="200" t="s">
        <v>319</v>
      </c>
      <c r="Z105" s="180" t="s">
        <v>264</v>
      </c>
    </row>
    <row r="106" spans="1:26" x14ac:dyDescent="0.3">
      <c r="A106" s="179" t="s">
        <v>154</v>
      </c>
      <c r="B106" s="211">
        <f t="shared" si="67"/>
        <v>3936</v>
      </c>
      <c r="C106" s="212">
        <f t="shared" si="68"/>
        <v>4640</v>
      </c>
      <c r="D106" s="212">
        <f t="shared" si="69"/>
        <v>752</v>
      </c>
      <c r="E106" s="212">
        <f t="shared" si="70"/>
        <v>10</v>
      </c>
      <c r="F106" s="197">
        <v>3348</v>
      </c>
      <c r="G106" s="198">
        <v>4640</v>
      </c>
      <c r="H106" s="197" t="s">
        <v>319</v>
      </c>
      <c r="I106" s="198" t="s">
        <v>319</v>
      </c>
      <c r="J106" s="197">
        <v>581</v>
      </c>
      <c r="K106" s="198" t="s">
        <v>319</v>
      </c>
      <c r="L106" s="197">
        <v>752</v>
      </c>
      <c r="M106" s="198" t="s">
        <v>319</v>
      </c>
      <c r="N106" s="199" t="s">
        <v>319</v>
      </c>
      <c r="O106" s="198" t="s">
        <v>319</v>
      </c>
      <c r="P106" s="197" t="s">
        <v>319</v>
      </c>
      <c r="Q106" s="198" t="s">
        <v>319</v>
      </c>
      <c r="R106" s="199">
        <v>5</v>
      </c>
      <c r="S106" s="198" t="s">
        <v>319</v>
      </c>
      <c r="T106" s="197" t="s">
        <v>319</v>
      </c>
      <c r="U106" s="197">
        <v>9</v>
      </c>
      <c r="V106" s="199">
        <v>2</v>
      </c>
      <c r="W106" s="198" t="s">
        <v>319</v>
      </c>
      <c r="X106" s="197" t="s">
        <v>319</v>
      </c>
      <c r="Y106" s="200">
        <v>1</v>
      </c>
      <c r="Z106" s="180" t="s">
        <v>265</v>
      </c>
    </row>
    <row r="107" spans="1:26" x14ac:dyDescent="0.3">
      <c r="A107" s="179" t="s">
        <v>156</v>
      </c>
      <c r="B107" s="211">
        <f t="shared" si="67"/>
        <v>828</v>
      </c>
      <c r="C107" s="212">
        <f t="shared" si="68"/>
        <v>297</v>
      </c>
      <c r="D107" s="212">
        <f t="shared" si="69"/>
        <v>3</v>
      </c>
      <c r="E107" s="212">
        <f t="shared" si="70"/>
        <v>0</v>
      </c>
      <c r="F107" s="197">
        <v>823</v>
      </c>
      <c r="G107" s="198">
        <v>297</v>
      </c>
      <c r="H107" s="197" t="s">
        <v>319</v>
      </c>
      <c r="I107" s="198" t="s">
        <v>319</v>
      </c>
      <c r="J107" s="197">
        <v>4</v>
      </c>
      <c r="K107" s="198" t="s">
        <v>319</v>
      </c>
      <c r="L107" s="197">
        <v>3</v>
      </c>
      <c r="M107" s="198" t="s">
        <v>319</v>
      </c>
      <c r="N107" s="199" t="s">
        <v>319</v>
      </c>
      <c r="O107" s="198" t="s">
        <v>319</v>
      </c>
      <c r="P107" s="197" t="s">
        <v>319</v>
      </c>
      <c r="Q107" s="198" t="s">
        <v>319</v>
      </c>
      <c r="R107" s="199">
        <v>1</v>
      </c>
      <c r="S107" s="198" t="s">
        <v>319</v>
      </c>
      <c r="T107" s="197" t="s">
        <v>319</v>
      </c>
      <c r="U107" s="197" t="s">
        <v>319</v>
      </c>
      <c r="V107" s="199" t="s">
        <v>319</v>
      </c>
      <c r="W107" s="198" t="s">
        <v>319</v>
      </c>
      <c r="X107" s="197" t="s">
        <v>319</v>
      </c>
      <c r="Y107" s="200" t="s">
        <v>319</v>
      </c>
      <c r="Z107" s="180" t="s">
        <v>266</v>
      </c>
    </row>
    <row r="108" spans="1:26" x14ac:dyDescent="0.3">
      <c r="A108" s="277" t="s">
        <v>267</v>
      </c>
      <c r="B108" s="280">
        <f>SUM(B110:B113)</f>
        <v>104123</v>
      </c>
      <c r="C108" s="278">
        <f>SUM(C110:C113)</f>
        <v>53274</v>
      </c>
      <c r="D108" s="278">
        <f t="shared" ref="D108:N108" si="71">SUM(D110:D113)</f>
        <v>29411</v>
      </c>
      <c r="E108" s="279">
        <f t="shared" si="71"/>
        <v>11700</v>
      </c>
      <c r="F108" s="278">
        <f t="shared" si="71"/>
        <v>43902</v>
      </c>
      <c r="G108" s="281">
        <f t="shared" si="71"/>
        <v>46487</v>
      </c>
      <c r="H108" s="278">
        <f t="shared" si="71"/>
        <v>147</v>
      </c>
      <c r="I108" s="281">
        <f>SUM(I110:I113)</f>
        <v>0</v>
      </c>
      <c r="J108" s="278">
        <f>SUM(J110:J113)</f>
        <v>18000</v>
      </c>
      <c r="K108" s="281">
        <f t="shared" si="71"/>
        <v>582</v>
      </c>
      <c r="L108" s="278">
        <f t="shared" si="71"/>
        <v>17530</v>
      </c>
      <c r="M108" s="281">
        <f t="shared" si="71"/>
        <v>23</v>
      </c>
      <c r="N108" s="278">
        <f t="shared" si="71"/>
        <v>3</v>
      </c>
      <c r="O108" s="273">
        <f>SUM(O110:O113)</f>
        <v>0</v>
      </c>
      <c r="P108" s="282">
        <f t="shared" ref="P108:W108" si="72">SUM(P110:P113)</f>
        <v>0</v>
      </c>
      <c r="Q108" s="273">
        <f t="shared" si="72"/>
        <v>0</v>
      </c>
      <c r="R108" s="282">
        <f t="shared" si="72"/>
        <v>42214</v>
      </c>
      <c r="S108" s="273">
        <f t="shared" si="72"/>
        <v>6205</v>
      </c>
      <c r="T108" s="282">
        <f t="shared" si="72"/>
        <v>11734</v>
      </c>
      <c r="U108" s="273">
        <f t="shared" si="72"/>
        <v>11670</v>
      </c>
      <c r="V108" s="282">
        <f t="shared" si="72"/>
        <v>4</v>
      </c>
      <c r="W108" s="273">
        <f t="shared" si="72"/>
        <v>0</v>
      </c>
      <c r="X108" s="273">
        <f>SUM(X110:X113)</f>
        <v>0</v>
      </c>
      <c r="Y108" s="283">
        <f>SUM(Y110:Y113)</f>
        <v>7</v>
      </c>
      <c r="Z108" s="267" t="s">
        <v>268</v>
      </c>
    </row>
    <row r="109" spans="1:26" x14ac:dyDescent="0.3">
      <c r="A109" s="277"/>
      <c r="B109" s="280"/>
      <c r="C109" s="278"/>
      <c r="D109" s="278"/>
      <c r="E109" s="279"/>
      <c r="F109" s="278"/>
      <c r="G109" s="281"/>
      <c r="H109" s="278"/>
      <c r="I109" s="281"/>
      <c r="J109" s="278"/>
      <c r="K109" s="281"/>
      <c r="L109" s="278"/>
      <c r="M109" s="281"/>
      <c r="N109" s="278"/>
      <c r="O109" s="273"/>
      <c r="P109" s="282"/>
      <c r="Q109" s="273"/>
      <c r="R109" s="282"/>
      <c r="S109" s="273"/>
      <c r="T109" s="282"/>
      <c r="U109" s="273"/>
      <c r="V109" s="282"/>
      <c r="W109" s="273"/>
      <c r="X109" s="273"/>
      <c r="Y109" s="283"/>
      <c r="Z109" s="267"/>
    </row>
    <row r="110" spans="1:26" x14ac:dyDescent="0.3">
      <c r="A110" s="179" t="s">
        <v>158</v>
      </c>
      <c r="B110" s="211">
        <f>SUM(F110,J110,N110,R110,V110)</f>
        <v>78420</v>
      </c>
      <c r="C110" s="212">
        <f t="shared" ref="C110:C113" si="73">(SUM(G110,K110,O110,S110,W110))</f>
        <v>31302</v>
      </c>
      <c r="D110" s="212">
        <f t="shared" ref="D110:D113" si="74">(SUM(H110,L110,P110,T110,X110))</f>
        <v>29112</v>
      </c>
      <c r="E110" s="212">
        <f t="shared" ref="E110:E113" si="75">(SUM(I110,M110,Q110,U110,Y110))</f>
        <v>11108</v>
      </c>
      <c r="F110" s="197">
        <v>22663</v>
      </c>
      <c r="G110" s="198">
        <v>24952</v>
      </c>
      <c r="H110" s="197">
        <v>125</v>
      </c>
      <c r="I110" s="198" t="s">
        <v>319</v>
      </c>
      <c r="J110" s="197">
        <v>17765</v>
      </c>
      <c r="K110" s="198">
        <v>566</v>
      </c>
      <c r="L110" s="197">
        <v>17314</v>
      </c>
      <c r="M110" s="198">
        <v>23</v>
      </c>
      <c r="N110" s="199" t="s">
        <v>319</v>
      </c>
      <c r="O110" s="198" t="s">
        <v>319</v>
      </c>
      <c r="P110" s="197" t="s">
        <v>319</v>
      </c>
      <c r="Q110" s="198" t="s">
        <v>319</v>
      </c>
      <c r="R110" s="197">
        <v>37992</v>
      </c>
      <c r="S110" s="198">
        <v>5784</v>
      </c>
      <c r="T110" s="197">
        <v>11673</v>
      </c>
      <c r="U110" s="197">
        <v>11085</v>
      </c>
      <c r="V110" s="197" t="s">
        <v>319</v>
      </c>
      <c r="W110" s="198" t="s">
        <v>319</v>
      </c>
      <c r="X110" s="197" t="s">
        <v>319</v>
      </c>
      <c r="Y110" s="200" t="s">
        <v>319</v>
      </c>
      <c r="Z110" s="180" t="s">
        <v>269</v>
      </c>
    </row>
    <row r="111" spans="1:26" x14ac:dyDescent="0.3">
      <c r="A111" s="179" t="s">
        <v>160</v>
      </c>
      <c r="B111" s="211">
        <f t="shared" ref="B111:B113" si="76">SUM(F111,J111,N111,R111,V111)</f>
        <v>7847</v>
      </c>
      <c r="C111" s="212">
        <f t="shared" si="73"/>
        <v>6955</v>
      </c>
      <c r="D111" s="212">
        <f t="shared" si="74"/>
        <v>105</v>
      </c>
      <c r="E111" s="212">
        <f t="shared" si="75"/>
        <v>431</v>
      </c>
      <c r="F111" s="197">
        <v>5455</v>
      </c>
      <c r="G111" s="198">
        <v>6912</v>
      </c>
      <c r="H111" s="197" t="s">
        <v>319</v>
      </c>
      <c r="I111" s="198" t="s">
        <v>319</v>
      </c>
      <c r="J111" s="197">
        <v>76</v>
      </c>
      <c r="K111" s="198" t="s">
        <v>319</v>
      </c>
      <c r="L111" s="197">
        <v>105</v>
      </c>
      <c r="M111" s="198" t="s">
        <v>319</v>
      </c>
      <c r="N111" s="197">
        <v>3</v>
      </c>
      <c r="O111" s="198" t="s">
        <v>319</v>
      </c>
      <c r="P111" s="197" t="s">
        <v>319</v>
      </c>
      <c r="Q111" s="198" t="s">
        <v>319</v>
      </c>
      <c r="R111" s="197">
        <v>2313</v>
      </c>
      <c r="S111" s="198">
        <v>43</v>
      </c>
      <c r="T111" s="197" t="s">
        <v>319</v>
      </c>
      <c r="U111" s="197">
        <v>431</v>
      </c>
      <c r="V111" s="199" t="s">
        <v>319</v>
      </c>
      <c r="W111" s="198" t="s">
        <v>319</v>
      </c>
      <c r="X111" s="197" t="s">
        <v>319</v>
      </c>
      <c r="Y111" s="200" t="s">
        <v>319</v>
      </c>
      <c r="Z111" s="180" t="s">
        <v>270</v>
      </c>
    </row>
    <row r="112" spans="1:26" x14ac:dyDescent="0.3">
      <c r="A112" s="179" t="s">
        <v>163</v>
      </c>
      <c r="B112" s="211">
        <f t="shared" si="76"/>
        <v>9407</v>
      </c>
      <c r="C112" s="212">
        <f t="shared" si="73"/>
        <v>7878</v>
      </c>
      <c r="D112" s="212">
        <f t="shared" si="74"/>
        <v>100</v>
      </c>
      <c r="E112" s="212">
        <f t="shared" si="75"/>
        <v>145</v>
      </c>
      <c r="F112" s="197">
        <v>7445</v>
      </c>
      <c r="G112" s="198">
        <v>7484</v>
      </c>
      <c r="H112" s="197">
        <v>21</v>
      </c>
      <c r="I112" s="198" t="s">
        <v>319</v>
      </c>
      <c r="J112" s="197">
        <v>69</v>
      </c>
      <c r="K112" s="198">
        <v>16</v>
      </c>
      <c r="L112" s="197">
        <v>18</v>
      </c>
      <c r="M112" s="198" t="s">
        <v>319</v>
      </c>
      <c r="N112" s="199" t="s">
        <v>319</v>
      </c>
      <c r="O112" s="198" t="s">
        <v>319</v>
      </c>
      <c r="P112" s="197" t="s">
        <v>319</v>
      </c>
      <c r="Q112" s="198" t="s">
        <v>319</v>
      </c>
      <c r="R112" s="197">
        <v>1890</v>
      </c>
      <c r="S112" s="198">
        <v>378</v>
      </c>
      <c r="T112" s="197">
        <v>61</v>
      </c>
      <c r="U112" s="197">
        <v>139</v>
      </c>
      <c r="V112" s="197">
        <v>3</v>
      </c>
      <c r="W112" s="198" t="s">
        <v>319</v>
      </c>
      <c r="X112" s="197" t="s">
        <v>319</v>
      </c>
      <c r="Y112" s="200">
        <v>6</v>
      </c>
      <c r="Z112" s="180" t="s">
        <v>271</v>
      </c>
    </row>
    <row r="113" spans="1:26" ht="15" thickBot="1" x14ac:dyDescent="0.35">
      <c r="A113" s="184" t="s">
        <v>166</v>
      </c>
      <c r="B113" s="218">
        <f t="shared" si="76"/>
        <v>8449</v>
      </c>
      <c r="C113" s="219">
        <f t="shared" si="73"/>
        <v>7139</v>
      </c>
      <c r="D113" s="219">
        <f t="shared" si="74"/>
        <v>94</v>
      </c>
      <c r="E113" s="219">
        <f t="shared" si="75"/>
        <v>16</v>
      </c>
      <c r="F113" s="201">
        <v>8339</v>
      </c>
      <c r="G113" s="202">
        <v>7139</v>
      </c>
      <c r="H113" s="201">
        <v>1</v>
      </c>
      <c r="I113" s="202" t="s">
        <v>319</v>
      </c>
      <c r="J113" s="201">
        <v>90</v>
      </c>
      <c r="K113" s="202" t="s">
        <v>319</v>
      </c>
      <c r="L113" s="201">
        <v>93</v>
      </c>
      <c r="M113" s="202" t="s">
        <v>319</v>
      </c>
      <c r="N113" s="203" t="s">
        <v>319</v>
      </c>
      <c r="O113" s="202" t="s">
        <v>319</v>
      </c>
      <c r="P113" s="201" t="s">
        <v>319</v>
      </c>
      <c r="Q113" s="202" t="s">
        <v>319</v>
      </c>
      <c r="R113" s="201">
        <v>19</v>
      </c>
      <c r="S113" s="202" t="s">
        <v>319</v>
      </c>
      <c r="T113" s="201" t="s">
        <v>319</v>
      </c>
      <c r="U113" s="201">
        <v>15</v>
      </c>
      <c r="V113" s="201">
        <v>1</v>
      </c>
      <c r="W113" s="202" t="s">
        <v>319</v>
      </c>
      <c r="X113" s="201" t="s">
        <v>319</v>
      </c>
      <c r="Y113" s="204">
        <v>1</v>
      </c>
      <c r="Z113" s="185" t="s">
        <v>272</v>
      </c>
    </row>
    <row r="114" spans="1:26" x14ac:dyDescent="0.3">
      <c r="A114" s="187" t="s">
        <v>300</v>
      </c>
      <c r="W114" t="s">
        <v>302</v>
      </c>
      <c r="Z114" s="178"/>
    </row>
    <row r="115" spans="1:26" x14ac:dyDescent="0.3">
      <c r="A115" s="187" t="s">
        <v>344</v>
      </c>
      <c r="W115" s="265" t="s">
        <v>303</v>
      </c>
      <c r="X115" s="265"/>
      <c r="Y115" s="265"/>
      <c r="Z115" s="265"/>
    </row>
    <row r="116" spans="1:26" x14ac:dyDescent="0.3">
      <c r="B116" s="189"/>
      <c r="C116" s="189"/>
      <c r="Z116" s="188"/>
    </row>
    <row r="126" spans="1:26" x14ac:dyDescent="0.3">
      <c r="D126" s="190"/>
    </row>
    <row r="128" spans="1:26" x14ac:dyDescent="0.3">
      <c r="A128" s="191"/>
    </row>
    <row r="129" spans="1:14" x14ac:dyDescent="0.3">
      <c r="A129" s="269"/>
      <c r="B129" s="269"/>
      <c r="C129" s="269"/>
      <c r="D129" s="269"/>
      <c r="E129" s="269"/>
      <c r="F129" s="269"/>
      <c r="G129" s="270"/>
      <c r="H129" s="270"/>
      <c r="I129" s="270"/>
      <c r="J129" s="270"/>
      <c r="K129" s="270"/>
      <c r="L129" s="270"/>
      <c r="M129" s="270"/>
      <c r="N129" s="270"/>
    </row>
    <row r="130" spans="1:14" x14ac:dyDescent="0.3">
      <c r="A130" s="269"/>
      <c r="B130" s="269"/>
      <c r="C130" s="269"/>
      <c r="D130" s="269"/>
      <c r="E130" s="269"/>
      <c r="F130" s="269"/>
      <c r="G130" s="270"/>
      <c r="H130" s="270"/>
      <c r="I130" s="270"/>
      <c r="J130" s="270"/>
      <c r="K130" s="270"/>
      <c r="L130" s="270"/>
      <c r="M130" s="270"/>
      <c r="N130" s="270"/>
    </row>
    <row r="131" spans="1:14" x14ac:dyDescent="0.3">
      <c r="A131" s="269"/>
      <c r="B131" s="269"/>
      <c r="C131" s="269"/>
      <c r="D131" s="269"/>
      <c r="E131" s="269"/>
      <c r="F131" s="269"/>
      <c r="G131" s="270"/>
      <c r="H131" s="270"/>
      <c r="I131" s="270"/>
      <c r="J131" s="270"/>
      <c r="K131" s="270"/>
      <c r="L131" s="270"/>
      <c r="M131" s="270"/>
      <c r="N131" s="270"/>
    </row>
    <row r="132" spans="1:14" x14ac:dyDescent="0.3">
      <c r="A132" s="191"/>
      <c r="F132" s="271"/>
      <c r="G132" s="271"/>
      <c r="H132" s="271"/>
      <c r="I132" s="271"/>
      <c r="J132" s="271"/>
      <c r="K132" s="271"/>
      <c r="L132" s="271"/>
      <c r="M132" s="271"/>
      <c r="N132" s="271"/>
    </row>
    <row r="133" spans="1:14" x14ac:dyDescent="0.3">
      <c r="A133" s="235"/>
      <c r="B133" s="235"/>
      <c r="C133" s="272"/>
      <c r="D133" s="272"/>
      <c r="E133" s="272"/>
      <c r="F133" s="235"/>
      <c r="G133" s="235"/>
      <c r="H133" s="235"/>
      <c r="I133" s="235"/>
      <c r="J133" s="235"/>
      <c r="K133" s="235"/>
      <c r="L133" s="235"/>
      <c r="M133" s="235"/>
      <c r="N133" s="235"/>
    </row>
    <row r="134" spans="1:14" x14ac:dyDescent="0.3">
      <c r="A134" s="235"/>
      <c r="B134" s="272"/>
      <c r="C134" s="272"/>
      <c r="D134" s="272"/>
      <c r="E134" s="272"/>
      <c r="F134" s="235"/>
      <c r="G134" s="235"/>
      <c r="H134" s="235"/>
      <c r="I134" s="235"/>
      <c r="J134" s="235"/>
      <c r="K134" s="235"/>
      <c r="L134" s="235"/>
      <c r="M134" s="235"/>
      <c r="N134" s="235"/>
    </row>
    <row r="135" spans="1:14" x14ac:dyDescent="0.3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</row>
    <row r="136" spans="1:14" x14ac:dyDescent="0.3">
      <c r="A136" s="235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235"/>
    </row>
    <row r="137" spans="1:14" x14ac:dyDescent="0.3">
      <c r="A137" s="193"/>
      <c r="N137" s="194"/>
    </row>
    <row r="138" spans="1:14" x14ac:dyDescent="0.3">
      <c r="A138" s="195"/>
      <c r="N138" s="194"/>
    </row>
    <row r="139" spans="1:14" x14ac:dyDescent="0.3">
      <c r="A139" s="274"/>
      <c r="B139" s="268"/>
      <c r="C139" s="268"/>
      <c r="D139" s="268"/>
      <c r="E139" s="268"/>
      <c r="F139" s="268"/>
      <c r="G139" s="268"/>
      <c r="H139" s="268"/>
      <c r="I139" s="196"/>
      <c r="J139" s="196"/>
      <c r="K139" s="268"/>
      <c r="L139" s="268"/>
      <c r="M139" s="268"/>
      <c r="N139" s="276"/>
    </row>
    <row r="140" spans="1:14" x14ac:dyDescent="0.3">
      <c r="A140" s="274"/>
      <c r="B140" s="268"/>
      <c r="C140" s="268"/>
      <c r="D140" s="268"/>
      <c r="E140" s="268"/>
      <c r="F140" s="268"/>
      <c r="G140" s="268"/>
      <c r="H140" s="268"/>
      <c r="I140" s="196"/>
      <c r="J140" s="196"/>
      <c r="K140" s="268"/>
      <c r="L140" s="268"/>
      <c r="M140" s="268"/>
      <c r="N140" s="276"/>
    </row>
    <row r="141" spans="1:14" x14ac:dyDescent="0.3">
      <c r="A141" s="274"/>
      <c r="B141" s="268"/>
      <c r="C141" s="268"/>
      <c r="D141" s="268"/>
      <c r="E141" s="268"/>
      <c r="F141" s="268"/>
      <c r="G141" s="268"/>
      <c r="H141" s="268"/>
      <c r="I141" s="196"/>
      <c r="J141" s="196"/>
      <c r="K141" s="268"/>
      <c r="L141" s="268"/>
      <c r="M141" s="268"/>
      <c r="N141" s="276"/>
    </row>
    <row r="142" spans="1:14" x14ac:dyDescent="0.3">
      <c r="A142" s="195"/>
      <c r="F142" s="175"/>
      <c r="G142" s="175"/>
      <c r="N142" s="186"/>
    </row>
    <row r="143" spans="1:14" x14ac:dyDescent="0.3">
      <c r="A143" s="195"/>
      <c r="F143" s="175"/>
      <c r="G143" s="175"/>
      <c r="N143" s="186"/>
    </row>
    <row r="144" spans="1:14" x14ac:dyDescent="0.3">
      <c r="A144" s="195"/>
      <c r="F144" s="175"/>
      <c r="G144" s="175"/>
      <c r="N144" s="186"/>
    </row>
    <row r="145" spans="1:14" x14ac:dyDescent="0.3">
      <c r="A145" s="195"/>
      <c r="F145" s="175"/>
      <c r="G145" s="175"/>
      <c r="N145" s="186"/>
    </row>
    <row r="146" spans="1:14" x14ac:dyDescent="0.3">
      <c r="A146" s="195"/>
      <c r="F146" s="175"/>
      <c r="G146" s="175"/>
      <c r="N146" s="186"/>
    </row>
    <row r="147" spans="1:14" x14ac:dyDescent="0.3">
      <c r="A147" s="195"/>
      <c r="F147" s="175"/>
      <c r="G147" s="175"/>
      <c r="N147" s="186"/>
    </row>
    <row r="148" spans="1:14" x14ac:dyDescent="0.3">
      <c r="A148" s="274"/>
      <c r="N148" s="275"/>
    </row>
    <row r="149" spans="1:14" x14ac:dyDescent="0.3">
      <c r="A149" s="274"/>
      <c r="N149" s="275"/>
    </row>
    <row r="150" spans="1:14" x14ac:dyDescent="0.3">
      <c r="A150" s="195"/>
      <c r="F150" s="175"/>
      <c r="G150" s="175"/>
      <c r="N150" s="186"/>
    </row>
    <row r="151" spans="1:14" x14ac:dyDescent="0.3">
      <c r="A151" s="195"/>
      <c r="F151" s="175"/>
      <c r="G151" s="175"/>
      <c r="N151" s="186"/>
    </row>
    <row r="152" spans="1:14" x14ac:dyDescent="0.3">
      <c r="A152" s="195"/>
      <c r="F152" s="175"/>
      <c r="G152" s="175"/>
      <c r="N152" s="186"/>
    </row>
    <row r="153" spans="1:14" x14ac:dyDescent="0.3">
      <c r="A153" s="195"/>
      <c r="F153" s="175"/>
      <c r="G153" s="175"/>
      <c r="N153" s="186"/>
    </row>
    <row r="154" spans="1:14" x14ac:dyDescent="0.3">
      <c r="A154" s="195"/>
      <c r="F154" s="175"/>
      <c r="G154" s="175"/>
      <c r="N154" s="186"/>
    </row>
    <row r="155" spans="1:14" x14ac:dyDescent="0.3">
      <c r="A155" s="195"/>
      <c r="F155" s="175"/>
      <c r="G155" s="175"/>
      <c r="N155" s="186"/>
    </row>
    <row r="156" spans="1:14" x14ac:dyDescent="0.3">
      <c r="A156" s="195"/>
      <c r="F156" s="175"/>
      <c r="G156" s="175"/>
      <c r="N156" s="186"/>
    </row>
    <row r="157" spans="1:14" x14ac:dyDescent="0.3">
      <c r="A157" s="195"/>
      <c r="F157" s="175"/>
      <c r="G157" s="175"/>
      <c r="N157" s="186"/>
    </row>
    <row r="158" spans="1:14" x14ac:dyDescent="0.3">
      <c r="A158" s="195"/>
      <c r="F158" s="175"/>
      <c r="G158" s="175"/>
      <c r="N158" s="186"/>
    </row>
    <row r="159" spans="1:14" x14ac:dyDescent="0.3">
      <c r="A159" s="195"/>
      <c r="F159" s="175"/>
      <c r="G159" s="175"/>
      <c r="N159" s="186"/>
    </row>
    <row r="160" spans="1:14" x14ac:dyDescent="0.3">
      <c r="A160" s="195"/>
      <c r="F160" s="175"/>
      <c r="G160" s="175"/>
      <c r="N160" s="186"/>
    </row>
    <row r="161" spans="1:14" x14ac:dyDescent="0.3">
      <c r="A161" s="266"/>
      <c r="N161" s="267"/>
    </row>
    <row r="162" spans="1:14" x14ac:dyDescent="0.3">
      <c r="A162" s="266"/>
      <c r="N162" s="267"/>
    </row>
    <row r="163" spans="1:14" x14ac:dyDescent="0.3">
      <c r="A163" s="195"/>
      <c r="F163" s="175"/>
      <c r="G163" s="175"/>
      <c r="N163" s="186"/>
    </row>
    <row r="164" spans="1:14" x14ac:dyDescent="0.3">
      <c r="A164" s="195"/>
      <c r="F164" s="175"/>
      <c r="G164" s="175"/>
      <c r="N164" s="186"/>
    </row>
    <row r="165" spans="1:14" x14ac:dyDescent="0.3">
      <c r="A165" s="195"/>
      <c r="F165" s="175"/>
      <c r="G165" s="175"/>
      <c r="N165" s="186"/>
    </row>
    <row r="166" spans="1:14" x14ac:dyDescent="0.3">
      <c r="A166" s="195"/>
      <c r="F166" s="175"/>
      <c r="G166" s="175"/>
      <c r="N166" s="186"/>
    </row>
    <row r="167" spans="1:14" x14ac:dyDescent="0.3">
      <c r="A167" s="266"/>
      <c r="N167" s="267"/>
    </row>
    <row r="168" spans="1:14" x14ac:dyDescent="0.3">
      <c r="A168" s="266"/>
      <c r="N168" s="267"/>
    </row>
    <row r="169" spans="1:14" x14ac:dyDescent="0.3">
      <c r="A169" s="195"/>
      <c r="F169" s="175"/>
      <c r="G169" s="175"/>
      <c r="N169" s="186"/>
    </row>
    <row r="170" spans="1:14" x14ac:dyDescent="0.3">
      <c r="A170" s="195"/>
      <c r="F170" s="175"/>
      <c r="G170" s="175"/>
      <c r="N170" s="186"/>
    </row>
    <row r="171" spans="1:14" x14ac:dyDescent="0.3">
      <c r="A171" s="195"/>
      <c r="F171" s="175"/>
      <c r="G171" s="175"/>
      <c r="N171" s="186"/>
    </row>
    <row r="172" spans="1:14" x14ac:dyDescent="0.3">
      <c r="A172" s="195"/>
      <c r="F172" s="175"/>
      <c r="G172" s="175"/>
      <c r="N172" s="186"/>
    </row>
    <row r="173" spans="1:14" x14ac:dyDescent="0.3">
      <c r="A173" s="195"/>
      <c r="F173" s="175"/>
      <c r="G173" s="175"/>
      <c r="N173" s="186"/>
    </row>
    <row r="174" spans="1:14" x14ac:dyDescent="0.3">
      <c r="A174" s="266"/>
      <c r="N174" s="267"/>
    </row>
    <row r="175" spans="1:14" x14ac:dyDescent="0.3">
      <c r="A175" s="266"/>
      <c r="N175" s="267"/>
    </row>
    <row r="176" spans="1:14" x14ac:dyDescent="0.3">
      <c r="A176" s="195"/>
      <c r="F176" s="175"/>
      <c r="G176" s="175"/>
      <c r="N176" s="186"/>
    </row>
    <row r="177" spans="1:14" x14ac:dyDescent="0.3">
      <c r="A177" s="195"/>
      <c r="F177" s="175"/>
      <c r="G177" s="175"/>
      <c r="N177" s="186"/>
    </row>
    <row r="178" spans="1:14" x14ac:dyDescent="0.3">
      <c r="A178" s="195"/>
      <c r="F178" s="175"/>
      <c r="G178" s="175"/>
      <c r="N178" s="186"/>
    </row>
    <row r="179" spans="1:14" x14ac:dyDescent="0.3">
      <c r="A179" s="195"/>
      <c r="F179" s="175"/>
      <c r="G179" s="175"/>
      <c r="N179" s="186"/>
    </row>
    <row r="180" spans="1:14" x14ac:dyDescent="0.3">
      <c r="A180" s="195"/>
      <c r="F180" s="175"/>
      <c r="G180" s="175"/>
      <c r="N180" s="186"/>
    </row>
    <row r="181" spans="1:14" x14ac:dyDescent="0.3">
      <c r="A181" s="266"/>
      <c r="N181" s="267"/>
    </row>
    <row r="182" spans="1:14" x14ac:dyDescent="0.3">
      <c r="A182" s="266"/>
      <c r="N182" s="267"/>
    </row>
    <row r="183" spans="1:14" x14ac:dyDescent="0.3">
      <c r="A183" s="195"/>
      <c r="F183" s="175"/>
      <c r="G183" s="175"/>
      <c r="N183" s="186"/>
    </row>
    <row r="184" spans="1:14" x14ac:dyDescent="0.3">
      <c r="A184" s="195"/>
      <c r="F184" s="175"/>
      <c r="G184" s="175"/>
      <c r="N184" s="186"/>
    </row>
    <row r="185" spans="1:14" x14ac:dyDescent="0.3">
      <c r="A185" s="195"/>
      <c r="F185" s="175"/>
      <c r="G185" s="175"/>
      <c r="N185" s="186"/>
    </row>
    <row r="186" spans="1:14" x14ac:dyDescent="0.3">
      <c r="A186" s="195"/>
      <c r="F186" s="175"/>
      <c r="G186" s="175"/>
      <c r="N186" s="186"/>
    </row>
    <row r="187" spans="1:14" x14ac:dyDescent="0.3">
      <c r="A187" s="195"/>
      <c r="F187" s="175"/>
      <c r="G187" s="175"/>
      <c r="N187" s="186"/>
    </row>
    <row r="188" spans="1:14" x14ac:dyDescent="0.3">
      <c r="A188" s="266"/>
      <c r="N188" s="267"/>
    </row>
    <row r="189" spans="1:14" x14ac:dyDescent="0.3">
      <c r="A189" s="266"/>
      <c r="N189" s="267"/>
    </row>
    <row r="190" spans="1:14" x14ac:dyDescent="0.3">
      <c r="A190" s="195"/>
      <c r="F190" s="175"/>
      <c r="G190" s="175"/>
      <c r="N190" s="186"/>
    </row>
    <row r="191" spans="1:14" x14ac:dyDescent="0.3">
      <c r="A191" s="195"/>
      <c r="F191" s="175"/>
      <c r="G191" s="175"/>
      <c r="N191" s="186"/>
    </row>
    <row r="192" spans="1:14" x14ac:dyDescent="0.3">
      <c r="A192" s="195"/>
      <c r="F192" s="175"/>
      <c r="G192" s="175"/>
      <c r="N192" s="186"/>
    </row>
    <row r="193" spans="1:14" x14ac:dyDescent="0.3">
      <c r="A193" s="266"/>
      <c r="N193" s="267"/>
    </row>
    <row r="194" spans="1:14" x14ac:dyDescent="0.3">
      <c r="A194" s="266"/>
      <c r="N194" s="267"/>
    </row>
    <row r="195" spans="1:14" x14ac:dyDescent="0.3">
      <c r="A195" s="195"/>
      <c r="F195" s="175"/>
      <c r="G195" s="175"/>
      <c r="N195" s="186"/>
    </row>
    <row r="196" spans="1:14" x14ac:dyDescent="0.3">
      <c r="A196" s="195"/>
      <c r="F196" s="175"/>
      <c r="G196" s="175"/>
      <c r="N196" s="186"/>
    </row>
    <row r="197" spans="1:14" x14ac:dyDescent="0.3">
      <c r="A197" s="195"/>
      <c r="F197" s="175"/>
      <c r="G197" s="175"/>
      <c r="N197" s="186"/>
    </row>
    <row r="198" spans="1:14" x14ac:dyDescent="0.3">
      <c r="A198" s="195"/>
      <c r="F198" s="175"/>
      <c r="G198" s="175"/>
      <c r="N198" s="186"/>
    </row>
    <row r="199" spans="1:14" x14ac:dyDescent="0.3">
      <c r="A199" s="195"/>
      <c r="F199" s="175"/>
      <c r="G199" s="175"/>
      <c r="N199" s="186"/>
    </row>
    <row r="200" spans="1:14" x14ac:dyDescent="0.3">
      <c r="A200" s="266"/>
      <c r="N200" s="267"/>
    </row>
    <row r="201" spans="1:14" x14ac:dyDescent="0.3">
      <c r="A201" s="266"/>
      <c r="N201" s="267"/>
    </row>
    <row r="202" spans="1:14" x14ac:dyDescent="0.3">
      <c r="A202" s="195"/>
      <c r="F202" s="175"/>
      <c r="G202" s="175"/>
      <c r="N202" s="186"/>
    </row>
    <row r="203" spans="1:14" x14ac:dyDescent="0.3">
      <c r="A203" s="195"/>
      <c r="F203" s="175"/>
      <c r="G203" s="175"/>
      <c r="N203" s="186"/>
    </row>
    <row r="204" spans="1:14" x14ac:dyDescent="0.3">
      <c r="A204" s="195"/>
      <c r="F204" s="175"/>
      <c r="G204" s="175"/>
      <c r="N204" s="186"/>
    </row>
    <row r="205" spans="1:14" x14ac:dyDescent="0.3">
      <c r="A205" s="195"/>
      <c r="F205" s="175"/>
      <c r="G205" s="175"/>
      <c r="N205" s="186"/>
    </row>
    <row r="206" spans="1:14" x14ac:dyDescent="0.3">
      <c r="A206" s="195"/>
      <c r="F206" s="175"/>
      <c r="G206" s="175"/>
      <c r="N206" s="186"/>
    </row>
    <row r="207" spans="1:14" x14ac:dyDescent="0.3">
      <c r="A207" s="195"/>
      <c r="F207" s="175"/>
      <c r="G207" s="175"/>
      <c r="N207" s="186"/>
    </row>
    <row r="208" spans="1:14" x14ac:dyDescent="0.3">
      <c r="A208" s="195"/>
      <c r="F208" s="175"/>
      <c r="G208" s="175"/>
      <c r="N208" s="186"/>
    </row>
    <row r="209" spans="1:14" x14ac:dyDescent="0.3">
      <c r="A209" s="195"/>
      <c r="F209" s="175"/>
      <c r="G209" s="175"/>
      <c r="N209" s="186"/>
    </row>
    <row r="210" spans="1:14" x14ac:dyDescent="0.3">
      <c r="A210" s="266"/>
      <c r="N210" s="267"/>
    </row>
    <row r="211" spans="1:14" x14ac:dyDescent="0.3">
      <c r="A211" s="266"/>
      <c r="N211" s="267"/>
    </row>
    <row r="212" spans="1:14" x14ac:dyDescent="0.3">
      <c r="A212" s="195"/>
      <c r="F212" s="175"/>
      <c r="G212" s="175"/>
      <c r="N212" s="186"/>
    </row>
    <row r="213" spans="1:14" x14ac:dyDescent="0.3">
      <c r="A213" s="195"/>
      <c r="F213" s="175"/>
      <c r="G213" s="175"/>
      <c r="N213" s="186"/>
    </row>
    <row r="214" spans="1:14" x14ac:dyDescent="0.3">
      <c r="A214" s="195"/>
      <c r="F214" s="175"/>
      <c r="G214" s="175"/>
      <c r="N214" s="186"/>
    </row>
    <row r="215" spans="1:14" x14ac:dyDescent="0.3">
      <c r="A215" s="195"/>
      <c r="F215" s="175"/>
      <c r="G215" s="175"/>
      <c r="N215" s="186"/>
    </row>
    <row r="216" spans="1:14" x14ac:dyDescent="0.3">
      <c r="A216" s="195"/>
      <c r="F216" s="175"/>
      <c r="G216" s="175"/>
      <c r="N216" s="186"/>
    </row>
    <row r="217" spans="1:14" x14ac:dyDescent="0.3">
      <c r="A217" s="266"/>
      <c r="N217" s="267"/>
    </row>
    <row r="218" spans="1:14" x14ac:dyDescent="0.3">
      <c r="A218" s="266"/>
      <c r="N218" s="267"/>
    </row>
    <row r="219" spans="1:14" x14ac:dyDescent="0.3">
      <c r="A219" s="195"/>
      <c r="F219" s="175"/>
      <c r="G219" s="175"/>
      <c r="N219" s="186"/>
    </row>
    <row r="220" spans="1:14" x14ac:dyDescent="0.3">
      <c r="A220" s="195"/>
      <c r="F220" s="175"/>
      <c r="G220" s="175"/>
      <c r="N220" s="186"/>
    </row>
    <row r="221" spans="1:14" x14ac:dyDescent="0.3">
      <c r="A221" s="195"/>
      <c r="F221" s="175"/>
      <c r="G221" s="175"/>
      <c r="N221" s="186"/>
    </row>
    <row r="222" spans="1:14" x14ac:dyDescent="0.3">
      <c r="A222" s="195"/>
      <c r="F222" s="175"/>
      <c r="G222" s="175"/>
      <c r="N222" s="186"/>
    </row>
    <row r="223" spans="1:14" x14ac:dyDescent="0.3">
      <c r="A223" s="195"/>
      <c r="F223" s="175"/>
      <c r="G223" s="175"/>
      <c r="N223" s="186"/>
    </row>
    <row r="224" spans="1:14" x14ac:dyDescent="0.3">
      <c r="A224" s="195"/>
      <c r="F224" s="175"/>
      <c r="G224" s="175"/>
      <c r="N224" s="186"/>
    </row>
    <row r="225" spans="1:14" x14ac:dyDescent="0.3">
      <c r="A225" s="195"/>
      <c r="F225" s="175"/>
      <c r="G225" s="175"/>
      <c r="N225" s="186"/>
    </row>
    <row r="226" spans="1:14" x14ac:dyDescent="0.3">
      <c r="A226" s="195"/>
      <c r="F226" s="175"/>
      <c r="G226" s="175"/>
      <c r="N226" s="186"/>
    </row>
    <row r="227" spans="1:14" x14ac:dyDescent="0.3">
      <c r="A227" s="195"/>
      <c r="F227" s="175"/>
      <c r="G227" s="175"/>
      <c r="N227" s="186"/>
    </row>
    <row r="228" spans="1:14" x14ac:dyDescent="0.3">
      <c r="A228" s="195"/>
      <c r="F228" s="175"/>
      <c r="G228" s="175"/>
      <c r="N228" s="186"/>
    </row>
    <row r="229" spans="1:14" x14ac:dyDescent="0.3">
      <c r="A229" s="195"/>
      <c r="F229" s="175"/>
      <c r="G229" s="175"/>
      <c r="N229" s="186"/>
    </row>
    <row r="230" spans="1:14" x14ac:dyDescent="0.3">
      <c r="A230" s="195"/>
      <c r="F230" s="175"/>
      <c r="G230" s="175"/>
      <c r="N230" s="186"/>
    </row>
    <row r="231" spans="1:14" x14ac:dyDescent="0.3">
      <c r="A231" s="195"/>
      <c r="F231" s="175"/>
      <c r="G231" s="175"/>
      <c r="N231" s="186"/>
    </row>
    <row r="232" spans="1:14" x14ac:dyDescent="0.3">
      <c r="A232" s="266"/>
      <c r="N232" s="267"/>
    </row>
    <row r="233" spans="1:14" x14ac:dyDescent="0.3">
      <c r="A233" s="266"/>
      <c r="N233" s="267"/>
    </row>
    <row r="234" spans="1:14" x14ac:dyDescent="0.3">
      <c r="A234" s="195"/>
      <c r="F234" s="175"/>
      <c r="G234" s="175"/>
      <c r="N234" s="186"/>
    </row>
    <row r="235" spans="1:14" x14ac:dyDescent="0.3">
      <c r="A235" s="195"/>
      <c r="F235" s="175"/>
      <c r="G235" s="175"/>
      <c r="N235" s="186"/>
    </row>
    <row r="236" spans="1:14" x14ac:dyDescent="0.3">
      <c r="A236" s="195"/>
      <c r="F236" s="175"/>
      <c r="G236" s="175"/>
      <c r="N236" s="186"/>
    </row>
    <row r="237" spans="1:14" x14ac:dyDescent="0.3">
      <c r="A237" s="195"/>
      <c r="F237" s="175"/>
      <c r="G237" s="175"/>
      <c r="N237" s="186"/>
    </row>
    <row r="238" spans="1:14" x14ac:dyDescent="0.3">
      <c r="A238" s="195"/>
    </row>
    <row r="239" spans="1:14" x14ac:dyDescent="0.3">
      <c r="A239" s="195"/>
    </row>
  </sheetData>
  <mergeCells count="429">
    <mergeCell ref="Z13:Z14"/>
    <mergeCell ref="S13:S14"/>
    <mergeCell ref="T13:T14"/>
    <mergeCell ref="Y13:Y14"/>
    <mergeCell ref="Q15:Q16"/>
    <mergeCell ref="Y86:Y87"/>
    <mergeCell ref="Y108:Y109"/>
    <mergeCell ref="Y57:Y58"/>
    <mergeCell ref="Y69:Y70"/>
    <mergeCell ref="Q13:Q14"/>
    <mergeCell ref="R13:R14"/>
    <mergeCell ref="T15:T16"/>
    <mergeCell ref="U15:U16"/>
    <mergeCell ref="V15:V16"/>
    <mergeCell ref="W15:W16"/>
    <mergeCell ref="X15:X16"/>
    <mergeCell ref="Z15:Z16"/>
    <mergeCell ref="Y15:Y16"/>
    <mergeCell ref="S15:S16"/>
    <mergeCell ref="R15:R16"/>
    <mergeCell ref="X23:X24"/>
    <mergeCell ref="Z23:Z24"/>
    <mergeCell ref="X37:X38"/>
    <mergeCell ref="U13:U14"/>
    <mergeCell ref="B76:B77"/>
    <mergeCell ref="G37:G38"/>
    <mergeCell ref="H37:H38"/>
    <mergeCell ref="K37:K38"/>
    <mergeCell ref="L37:L38"/>
    <mergeCell ref="A15:A16"/>
    <mergeCell ref="B15:B16"/>
    <mergeCell ref="C15:C16"/>
    <mergeCell ref="D15:D16"/>
    <mergeCell ref="E15:E16"/>
    <mergeCell ref="F37:F38"/>
    <mergeCell ref="A37:A38"/>
    <mergeCell ref="C37:C38"/>
    <mergeCell ref="D37:D38"/>
    <mergeCell ref="E37:E38"/>
    <mergeCell ref="A23:A24"/>
    <mergeCell ref="C23:C24"/>
    <mergeCell ref="D23:D24"/>
    <mergeCell ref="E23:E24"/>
    <mergeCell ref="F23:F24"/>
    <mergeCell ref="B23:B24"/>
    <mergeCell ref="A43:A44"/>
    <mergeCell ref="B43:B44"/>
    <mergeCell ref="C43:C44"/>
    <mergeCell ref="A13:A14"/>
    <mergeCell ref="B13:B14"/>
    <mergeCell ref="N15:N16"/>
    <mergeCell ref="O15:O16"/>
    <mergeCell ref="G13:G14"/>
    <mergeCell ref="H13:H14"/>
    <mergeCell ref="K13:K14"/>
    <mergeCell ref="L13:L14"/>
    <mergeCell ref="M13:M14"/>
    <mergeCell ref="N13:N14"/>
    <mergeCell ref="C13:C14"/>
    <mergeCell ref="D13:D14"/>
    <mergeCell ref="E13:E14"/>
    <mergeCell ref="M15:M16"/>
    <mergeCell ref="I15:I16"/>
    <mergeCell ref="J15:J16"/>
    <mergeCell ref="V13:V14"/>
    <mergeCell ref="W13:W14"/>
    <mergeCell ref="X13:X14"/>
    <mergeCell ref="Y23:Y24"/>
    <mergeCell ref="B37:B38"/>
    <mergeCell ref="B69:B70"/>
    <mergeCell ref="O13:O14"/>
    <mergeCell ref="P13:P14"/>
    <mergeCell ref="P15:P16"/>
    <mergeCell ref="G23:G24"/>
    <mergeCell ref="H23:H24"/>
    <mergeCell ref="K23:K24"/>
    <mergeCell ref="L23:L24"/>
    <mergeCell ref="M23:M24"/>
    <mergeCell ref="N23:N24"/>
    <mergeCell ref="F13:F14"/>
    <mergeCell ref="J13:J14"/>
    <mergeCell ref="I13:I14"/>
    <mergeCell ref="F15:F16"/>
    <mergeCell ref="G15:G16"/>
    <mergeCell ref="H15:H16"/>
    <mergeCell ref="K15:K16"/>
    <mergeCell ref="L15:L16"/>
    <mergeCell ref="M37:M38"/>
    <mergeCell ref="U23:U24"/>
    <mergeCell ref="V23:V24"/>
    <mergeCell ref="W23:W24"/>
    <mergeCell ref="I23:I24"/>
    <mergeCell ref="J23:J24"/>
    <mergeCell ref="I37:I38"/>
    <mergeCell ref="J37:J38"/>
    <mergeCell ref="T37:T38"/>
    <mergeCell ref="U37:U38"/>
    <mergeCell ref="O23:O24"/>
    <mergeCell ref="P23:P24"/>
    <mergeCell ref="Q23:Q24"/>
    <mergeCell ref="R23:R24"/>
    <mergeCell ref="S23:S24"/>
    <mergeCell ref="T23:T24"/>
    <mergeCell ref="Z37:Z38"/>
    <mergeCell ref="N37:N38"/>
    <mergeCell ref="O37:O38"/>
    <mergeCell ref="P37:P38"/>
    <mergeCell ref="Q37:Q38"/>
    <mergeCell ref="R37:R38"/>
    <mergeCell ref="S37:S38"/>
    <mergeCell ref="X43:X44"/>
    <mergeCell ref="Z43:Z44"/>
    <mergeCell ref="S43:S44"/>
    <mergeCell ref="T43:T44"/>
    <mergeCell ref="V37:V38"/>
    <mergeCell ref="W37:W38"/>
    <mergeCell ref="U43:U44"/>
    <mergeCell ref="V43:V44"/>
    <mergeCell ref="W43:W44"/>
    <mergeCell ref="O43:O44"/>
    <mergeCell ref="P43:P44"/>
    <mergeCell ref="Q43:Q44"/>
    <mergeCell ref="R43:R44"/>
    <mergeCell ref="Y37:Y38"/>
    <mergeCell ref="Y43:Y44"/>
    <mergeCell ref="D43:D44"/>
    <mergeCell ref="E43:E44"/>
    <mergeCell ref="F50:F51"/>
    <mergeCell ref="A50:A51"/>
    <mergeCell ref="B50:B51"/>
    <mergeCell ref="C50:C51"/>
    <mergeCell ref="D50:D51"/>
    <mergeCell ref="E50:E51"/>
    <mergeCell ref="G43:G44"/>
    <mergeCell ref="H43:H44"/>
    <mergeCell ref="K43:K44"/>
    <mergeCell ref="L43:L44"/>
    <mergeCell ref="I50:I51"/>
    <mergeCell ref="J50:J51"/>
    <mergeCell ref="F43:F44"/>
    <mergeCell ref="I43:I44"/>
    <mergeCell ref="G50:G51"/>
    <mergeCell ref="H50:H51"/>
    <mergeCell ref="K50:K51"/>
    <mergeCell ref="J43:J44"/>
    <mergeCell ref="M43:M44"/>
    <mergeCell ref="N43:N44"/>
    <mergeCell ref="T50:T51"/>
    <mergeCell ref="U50:U51"/>
    <mergeCell ref="V50:V51"/>
    <mergeCell ref="P50:P51"/>
    <mergeCell ref="Q50:Q51"/>
    <mergeCell ref="R50:R51"/>
    <mergeCell ref="S50:S51"/>
    <mergeCell ref="X57:X58"/>
    <mergeCell ref="Z57:Z58"/>
    <mergeCell ref="S57:S58"/>
    <mergeCell ref="T57:T58"/>
    <mergeCell ref="L50:L51"/>
    <mergeCell ref="M50:M51"/>
    <mergeCell ref="X50:X51"/>
    <mergeCell ref="Z50:Z51"/>
    <mergeCell ref="N50:N51"/>
    <mergeCell ref="O50:O51"/>
    <mergeCell ref="W50:W51"/>
    <mergeCell ref="U57:U58"/>
    <mergeCell ref="V57:V58"/>
    <mergeCell ref="W57:W58"/>
    <mergeCell ref="Y50:Y51"/>
    <mergeCell ref="A64:A65"/>
    <mergeCell ref="B64:B65"/>
    <mergeCell ref="C64:C65"/>
    <mergeCell ref="D64:D65"/>
    <mergeCell ref="E64:E65"/>
    <mergeCell ref="H64:H65"/>
    <mergeCell ref="K64:K65"/>
    <mergeCell ref="L64:L65"/>
    <mergeCell ref="O57:O58"/>
    <mergeCell ref="G57:G58"/>
    <mergeCell ref="H57:H58"/>
    <mergeCell ref="K57:K58"/>
    <mergeCell ref="L57:L58"/>
    <mergeCell ref="M57:M58"/>
    <mergeCell ref="N57:N58"/>
    <mergeCell ref="A57:A58"/>
    <mergeCell ref="C57:C58"/>
    <mergeCell ref="D57:D58"/>
    <mergeCell ref="E57:E58"/>
    <mergeCell ref="F64:F65"/>
    <mergeCell ref="G64:G65"/>
    <mergeCell ref="B57:B58"/>
    <mergeCell ref="M64:M65"/>
    <mergeCell ref="F57:F58"/>
    <mergeCell ref="I57:I58"/>
    <mergeCell ref="J57:J58"/>
    <mergeCell ref="I64:I65"/>
    <mergeCell ref="J64:J65"/>
    <mergeCell ref="T64:T65"/>
    <mergeCell ref="V64:V65"/>
    <mergeCell ref="W64:W65"/>
    <mergeCell ref="P57:P58"/>
    <mergeCell ref="Q57:Q58"/>
    <mergeCell ref="R57:R58"/>
    <mergeCell ref="X64:X65"/>
    <mergeCell ref="Z64:Z65"/>
    <mergeCell ref="N64:N65"/>
    <mergeCell ref="O64:O65"/>
    <mergeCell ref="P64:P65"/>
    <mergeCell ref="Q64:Q65"/>
    <mergeCell ref="R64:R65"/>
    <mergeCell ref="S64:S65"/>
    <mergeCell ref="Y64:Y65"/>
    <mergeCell ref="U64:U65"/>
    <mergeCell ref="X69:X70"/>
    <mergeCell ref="Z69:Z70"/>
    <mergeCell ref="A76:A77"/>
    <mergeCell ref="C76:C77"/>
    <mergeCell ref="D76:D77"/>
    <mergeCell ref="E76:E77"/>
    <mergeCell ref="O69:O70"/>
    <mergeCell ref="P69:P70"/>
    <mergeCell ref="Q69:Q70"/>
    <mergeCell ref="R69:R70"/>
    <mergeCell ref="S69:S70"/>
    <mergeCell ref="T69:T70"/>
    <mergeCell ref="G69:G70"/>
    <mergeCell ref="H69:H70"/>
    <mergeCell ref="K69:K70"/>
    <mergeCell ref="L69:L70"/>
    <mergeCell ref="M69:M70"/>
    <mergeCell ref="N69:N70"/>
    <mergeCell ref="A69:A70"/>
    <mergeCell ref="C69:C70"/>
    <mergeCell ref="D69:D70"/>
    <mergeCell ref="E69:E70"/>
    <mergeCell ref="F69:F70"/>
    <mergeCell ref="I76:I77"/>
    <mergeCell ref="F76:F77"/>
    <mergeCell ref="G76:G77"/>
    <mergeCell ref="H76:H77"/>
    <mergeCell ref="K76:K77"/>
    <mergeCell ref="L76:L77"/>
    <mergeCell ref="M76:M77"/>
    <mergeCell ref="U69:U70"/>
    <mergeCell ref="V69:V70"/>
    <mergeCell ref="W69:W70"/>
    <mergeCell ref="J76:J77"/>
    <mergeCell ref="I69:I70"/>
    <mergeCell ref="J69:J70"/>
    <mergeCell ref="T76:T77"/>
    <mergeCell ref="U76:U77"/>
    <mergeCell ref="V76:V77"/>
    <mergeCell ref="W76:W77"/>
    <mergeCell ref="X76:X77"/>
    <mergeCell ref="Z76:Z77"/>
    <mergeCell ref="N76:N77"/>
    <mergeCell ref="O76:O77"/>
    <mergeCell ref="P76:P77"/>
    <mergeCell ref="Q76:Q77"/>
    <mergeCell ref="R76:R77"/>
    <mergeCell ref="S76:S77"/>
    <mergeCell ref="X86:X87"/>
    <mergeCell ref="Z86:Z87"/>
    <mergeCell ref="T86:T87"/>
    <mergeCell ref="Y76:Y77"/>
    <mergeCell ref="U86:U87"/>
    <mergeCell ref="V86:V87"/>
    <mergeCell ref="W86:W87"/>
    <mergeCell ref="N86:N87"/>
    <mergeCell ref="G86:G87"/>
    <mergeCell ref="H86:H87"/>
    <mergeCell ref="K86:K87"/>
    <mergeCell ref="L86:L87"/>
    <mergeCell ref="I86:I87"/>
    <mergeCell ref="J86:J87"/>
    <mergeCell ref="I93:I94"/>
    <mergeCell ref="A86:A87"/>
    <mergeCell ref="C86:C87"/>
    <mergeCell ref="D86:D87"/>
    <mergeCell ref="E86:E87"/>
    <mergeCell ref="F86:F87"/>
    <mergeCell ref="B93:B94"/>
    <mergeCell ref="F93:F94"/>
    <mergeCell ref="A93:A94"/>
    <mergeCell ref="C93:C94"/>
    <mergeCell ref="D93:D94"/>
    <mergeCell ref="G93:G94"/>
    <mergeCell ref="H93:H94"/>
    <mergeCell ref="B86:B87"/>
    <mergeCell ref="J93:J94"/>
    <mergeCell ref="E93:E94"/>
    <mergeCell ref="Q86:Q87"/>
    <mergeCell ref="R86:R87"/>
    <mergeCell ref="S86:S87"/>
    <mergeCell ref="M86:M87"/>
    <mergeCell ref="K93:K94"/>
    <mergeCell ref="L93:L94"/>
    <mergeCell ref="M93:M94"/>
    <mergeCell ref="O86:O87"/>
    <mergeCell ref="P86:P87"/>
    <mergeCell ref="N93:N94"/>
    <mergeCell ref="Z108:Z109"/>
    <mergeCell ref="O108:O109"/>
    <mergeCell ref="P108:P109"/>
    <mergeCell ref="Q108:Q109"/>
    <mergeCell ref="R108:R109"/>
    <mergeCell ref="S108:S109"/>
    <mergeCell ref="T108:T109"/>
    <mergeCell ref="V93:V94"/>
    <mergeCell ref="W93:W94"/>
    <mergeCell ref="Z93:Z94"/>
    <mergeCell ref="O93:O94"/>
    <mergeCell ref="P93:P94"/>
    <mergeCell ref="Q93:Q94"/>
    <mergeCell ref="R93:R94"/>
    <mergeCell ref="S93:S94"/>
    <mergeCell ref="Y93:Y94"/>
    <mergeCell ref="U108:U109"/>
    <mergeCell ref="V108:V109"/>
    <mergeCell ref="T93:T94"/>
    <mergeCell ref="U93:U94"/>
    <mergeCell ref="N139:N141"/>
    <mergeCell ref="A108:A109"/>
    <mergeCell ref="C108:C109"/>
    <mergeCell ref="D108:D109"/>
    <mergeCell ref="E108:E109"/>
    <mergeCell ref="F108:F109"/>
    <mergeCell ref="B108:B109"/>
    <mergeCell ref="X93:X94"/>
    <mergeCell ref="X108:X109"/>
    <mergeCell ref="G108:G109"/>
    <mergeCell ref="H108:H109"/>
    <mergeCell ref="K108:K109"/>
    <mergeCell ref="L108:L109"/>
    <mergeCell ref="I108:I109"/>
    <mergeCell ref="J108:J109"/>
    <mergeCell ref="M108:M109"/>
    <mergeCell ref="N108:N109"/>
    <mergeCell ref="A232:A233"/>
    <mergeCell ref="N232:N233"/>
    <mergeCell ref="A193:A194"/>
    <mergeCell ref="N193:N194"/>
    <mergeCell ref="A200:A201"/>
    <mergeCell ref="N200:N201"/>
    <mergeCell ref="G139:G141"/>
    <mergeCell ref="H139:H141"/>
    <mergeCell ref="A174:A175"/>
    <mergeCell ref="N174:N175"/>
    <mergeCell ref="A181:A182"/>
    <mergeCell ref="N181:N182"/>
    <mergeCell ref="A148:A149"/>
    <mergeCell ref="N148:N149"/>
    <mergeCell ref="A161:A162"/>
    <mergeCell ref="N161:N162"/>
    <mergeCell ref="A167:A168"/>
    <mergeCell ref="N167:N168"/>
    <mergeCell ref="K139:K141"/>
    <mergeCell ref="L139:L141"/>
    <mergeCell ref="M139:M141"/>
    <mergeCell ref="A139:A141"/>
    <mergeCell ref="A217:A218"/>
    <mergeCell ref="N217:N218"/>
    <mergeCell ref="Z5:Z12"/>
    <mergeCell ref="W115:Z115"/>
    <mergeCell ref="A210:A211"/>
    <mergeCell ref="N210:N211"/>
    <mergeCell ref="K9:M9"/>
    <mergeCell ref="A188:A189"/>
    <mergeCell ref="N188:N189"/>
    <mergeCell ref="D135:E135"/>
    <mergeCell ref="B139:B141"/>
    <mergeCell ref="C139:C141"/>
    <mergeCell ref="D139:D141"/>
    <mergeCell ref="E139:E141"/>
    <mergeCell ref="F139:F141"/>
    <mergeCell ref="A129:F131"/>
    <mergeCell ref="G129:N131"/>
    <mergeCell ref="F132:N132"/>
    <mergeCell ref="A133:A136"/>
    <mergeCell ref="B133:E134"/>
    <mergeCell ref="F133:G135"/>
    <mergeCell ref="W108:W109"/>
    <mergeCell ref="H133:K135"/>
    <mergeCell ref="L133:M135"/>
    <mergeCell ref="N133:N136"/>
    <mergeCell ref="B135:C135"/>
    <mergeCell ref="A2:G2"/>
    <mergeCell ref="G9:I9"/>
    <mergeCell ref="A3:G3"/>
    <mergeCell ref="C9:E9"/>
    <mergeCell ref="O4:R4"/>
    <mergeCell ref="A5:A12"/>
    <mergeCell ref="H3:O3"/>
    <mergeCell ref="H2:O2"/>
    <mergeCell ref="F5:I5"/>
    <mergeCell ref="J5:M5"/>
    <mergeCell ref="B5:E5"/>
    <mergeCell ref="N7:Q7"/>
    <mergeCell ref="R7:U7"/>
    <mergeCell ref="O9:Q9"/>
    <mergeCell ref="O11:Q11"/>
    <mergeCell ref="K11:M11"/>
    <mergeCell ref="G11:I11"/>
    <mergeCell ref="S11:U11"/>
    <mergeCell ref="N6:Y6"/>
    <mergeCell ref="S9:U9"/>
    <mergeCell ref="W9:Y9"/>
    <mergeCell ref="N5:Y5"/>
    <mergeCell ref="N8:Q8"/>
    <mergeCell ref="R8:U8"/>
    <mergeCell ref="V8:Y8"/>
    <mergeCell ref="W11:Y11"/>
    <mergeCell ref="C11:E11"/>
    <mergeCell ref="V7:Y7"/>
    <mergeCell ref="B11:B12"/>
    <mergeCell ref="B9:B10"/>
    <mergeCell ref="F9:F10"/>
    <mergeCell ref="F11:F12"/>
    <mergeCell ref="J9:J10"/>
    <mergeCell ref="J11:J12"/>
    <mergeCell ref="N9:N10"/>
    <mergeCell ref="N11:N12"/>
    <mergeCell ref="R9:R10"/>
    <mergeCell ref="R11:R12"/>
    <mergeCell ref="V9:V10"/>
    <mergeCell ref="V11:V12"/>
    <mergeCell ref="F6:I8"/>
    <mergeCell ref="J6:M8"/>
    <mergeCell ref="B6:E8"/>
  </mergeCells>
  <pageMargins left="0.7" right="0.7" top="0.75" bottom="0.75" header="0.3" footer="0.3"/>
  <pageSetup paperSize="9" orientation="portrait" horizontalDpi="200" verticalDpi="200" r:id="rId1"/>
  <ignoredErrors>
    <ignoredError sqref="B32:I32 K32:Y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59" customWidth="1"/>
    <col min="2" max="2" width="9.109375" style="159" bestFit="1" customWidth="1"/>
    <col min="3" max="3" width="14.33203125" style="159" customWidth="1"/>
    <col min="4" max="4" width="11.33203125" style="159" customWidth="1"/>
    <col min="5" max="6" width="9.88671875" style="159" customWidth="1"/>
    <col min="7" max="7" width="14.77734375" style="159" customWidth="1"/>
    <col min="8" max="8" width="11.44140625" style="159" customWidth="1"/>
    <col min="9" max="10" width="8.88671875" style="159"/>
    <col min="11" max="11" width="14.33203125" style="159" customWidth="1"/>
    <col min="12" max="12" width="11.109375" style="159" customWidth="1"/>
    <col min="13" max="16384" width="8.88671875" style="159"/>
  </cols>
  <sheetData>
    <row r="1" spans="1:16" x14ac:dyDescent="0.2">
      <c r="A1" s="316" t="s">
        <v>282</v>
      </c>
      <c r="B1" s="316"/>
      <c r="C1" s="316"/>
      <c r="D1" s="316"/>
      <c r="E1" s="316"/>
      <c r="F1" s="316"/>
      <c r="G1" s="316"/>
      <c r="H1" s="316" t="s">
        <v>283</v>
      </c>
      <c r="I1" s="316"/>
      <c r="J1" s="316"/>
      <c r="K1" s="316"/>
      <c r="L1" s="316"/>
      <c r="M1" s="316"/>
    </row>
    <row r="2" spans="1:16" x14ac:dyDescent="0.2">
      <c r="A2" s="317" t="s">
        <v>281</v>
      </c>
      <c r="B2" s="317"/>
      <c r="C2" s="317"/>
      <c r="D2" s="317"/>
      <c r="E2" s="317"/>
      <c r="F2" s="317"/>
      <c r="G2" s="317"/>
      <c r="H2" s="317" t="s">
        <v>307</v>
      </c>
      <c r="I2" s="317"/>
      <c r="J2" s="317"/>
      <c r="K2" s="317"/>
      <c r="L2" s="317"/>
      <c r="M2" s="317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18" t="s">
        <v>274</v>
      </c>
      <c r="B5" s="321" t="s">
        <v>280</v>
      </c>
      <c r="C5" s="322"/>
      <c r="D5" s="322"/>
      <c r="E5" s="322"/>
      <c r="F5" s="325" t="s">
        <v>284</v>
      </c>
      <c r="G5" s="318"/>
      <c r="H5" s="318"/>
      <c r="I5" s="326"/>
      <c r="J5" s="325" t="s">
        <v>286</v>
      </c>
      <c r="K5" s="318"/>
      <c r="L5" s="318"/>
      <c r="M5" s="318"/>
      <c r="N5" s="335" t="s">
        <v>172</v>
      </c>
      <c r="O5" s="318"/>
      <c r="P5" s="318"/>
    </row>
    <row r="6" spans="1:16" ht="10.199999999999999" customHeight="1" x14ac:dyDescent="0.2">
      <c r="A6" s="319"/>
      <c r="B6" s="323"/>
      <c r="C6" s="324"/>
      <c r="D6" s="324"/>
      <c r="E6" s="324"/>
      <c r="F6" s="327"/>
      <c r="G6" s="320"/>
      <c r="H6" s="320"/>
      <c r="I6" s="328"/>
      <c r="J6" s="327"/>
      <c r="K6" s="320"/>
      <c r="L6" s="320"/>
      <c r="M6" s="320"/>
      <c r="N6" s="336"/>
      <c r="O6" s="319"/>
      <c r="P6" s="319"/>
    </row>
    <row r="7" spans="1:16" ht="18.600000000000001" customHeight="1" x14ac:dyDescent="0.2">
      <c r="A7" s="319"/>
      <c r="B7" s="329" t="s">
        <v>275</v>
      </c>
      <c r="C7" s="331" t="s">
        <v>276</v>
      </c>
      <c r="D7" s="332"/>
      <c r="E7" s="332"/>
      <c r="F7" s="333" t="s">
        <v>275</v>
      </c>
      <c r="G7" s="331" t="s">
        <v>276</v>
      </c>
      <c r="H7" s="332"/>
      <c r="I7" s="332"/>
      <c r="J7" s="333" t="s">
        <v>275</v>
      </c>
      <c r="K7" s="331" t="s">
        <v>276</v>
      </c>
      <c r="L7" s="332"/>
      <c r="M7" s="332"/>
      <c r="N7" s="336"/>
      <c r="O7" s="319"/>
      <c r="P7" s="319"/>
    </row>
    <row r="8" spans="1:16" ht="36" customHeight="1" x14ac:dyDescent="0.2">
      <c r="A8" s="320"/>
      <c r="B8" s="330"/>
      <c r="C8" s="160" t="s">
        <v>306</v>
      </c>
      <c r="D8" s="161" t="s">
        <v>278</v>
      </c>
      <c r="E8" s="162" t="s">
        <v>279</v>
      </c>
      <c r="F8" s="334"/>
      <c r="G8" s="160" t="s">
        <v>305</v>
      </c>
      <c r="H8" s="161" t="s">
        <v>285</v>
      </c>
      <c r="I8" s="162" t="s">
        <v>279</v>
      </c>
      <c r="J8" s="334"/>
      <c r="K8" s="160" t="s">
        <v>305</v>
      </c>
      <c r="L8" s="161" t="s">
        <v>285</v>
      </c>
      <c r="M8" s="170" t="s">
        <v>279</v>
      </c>
      <c r="N8" s="337"/>
      <c r="O8" s="320"/>
      <c r="P8" s="320"/>
    </row>
    <row r="9" spans="1:16" x14ac:dyDescent="0.2">
      <c r="A9" s="350" t="s">
        <v>173</v>
      </c>
      <c r="B9" s="355">
        <v>765097</v>
      </c>
      <c r="C9" s="353">
        <v>538849.38900000008</v>
      </c>
      <c r="D9" s="342">
        <v>120793.607</v>
      </c>
      <c r="E9" s="342">
        <v>85.962000000000003</v>
      </c>
      <c r="F9" s="342">
        <v>661567</v>
      </c>
      <c r="G9" s="342">
        <v>506295.23499999999</v>
      </c>
      <c r="H9" s="342">
        <v>5931.14</v>
      </c>
      <c r="I9" s="342">
        <v>42.81</v>
      </c>
      <c r="J9" s="342">
        <v>103530</v>
      </c>
      <c r="K9" s="342">
        <v>32554.153999999999</v>
      </c>
      <c r="L9" s="342">
        <v>114862.46700000002</v>
      </c>
      <c r="M9" s="342">
        <v>43.152000000000001</v>
      </c>
      <c r="N9" s="338" t="s">
        <v>174</v>
      </c>
      <c r="O9" s="339"/>
      <c r="P9" s="339"/>
    </row>
    <row r="10" spans="1:16" ht="10.199999999999999" customHeight="1" x14ac:dyDescent="0.2">
      <c r="A10" s="351"/>
      <c r="B10" s="356"/>
      <c r="C10" s="354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0"/>
      <c r="O10" s="341"/>
      <c r="P10" s="341"/>
    </row>
    <row r="11" spans="1:16" ht="10.199999999999999" customHeight="1" x14ac:dyDescent="0.2">
      <c r="A11" s="352" t="s">
        <v>175</v>
      </c>
      <c r="B11" s="357">
        <v>55483</v>
      </c>
      <c r="C11" s="358">
        <v>22543.422000000002</v>
      </c>
      <c r="D11" s="358">
        <v>59023.163999999997</v>
      </c>
      <c r="E11" s="358">
        <v>0</v>
      </c>
      <c r="F11" s="358">
        <v>19168</v>
      </c>
      <c r="G11" s="358">
        <v>13607.732</v>
      </c>
      <c r="H11" s="358">
        <v>375.31</v>
      </c>
      <c r="I11" s="358">
        <v>0</v>
      </c>
      <c r="J11" s="358">
        <v>36315</v>
      </c>
      <c r="K11" s="358">
        <v>8935.69</v>
      </c>
      <c r="L11" s="358">
        <v>58647.853999999999</v>
      </c>
      <c r="M11" s="358">
        <v>0</v>
      </c>
      <c r="N11" s="340" t="s">
        <v>176</v>
      </c>
      <c r="O11" s="341"/>
      <c r="P11" s="341"/>
    </row>
    <row r="12" spans="1:16" ht="22.2" customHeight="1" x14ac:dyDescent="0.2">
      <c r="A12" s="352"/>
      <c r="B12" s="357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40"/>
      <c r="O12" s="341"/>
      <c r="P12" s="341"/>
    </row>
    <row r="13" spans="1:16" x14ac:dyDescent="0.2">
      <c r="A13" s="126" t="s">
        <v>1</v>
      </c>
      <c r="B13" s="157">
        <v>2175</v>
      </c>
      <c r="C13" s="134">
        <v>1127.501</v>
      </c>
      <c r="D13" s="134">
        <v>262.60199999999998</v>
      </c>
      <c r="E13" s="134">
        <v>0</v>
      </c>
      <c r="F13" s="142">
        <v>1636</v>
      </c>
      <c r="G13" s="143">
        <v>1116.3009999999999</v>
      </c>
      <c r="H13" s="143">
        <v>17.3</v>
      </c>
      <c r="I13" s="144" t="s">
        <v>304</v>
      </c>
      <c r="J13" s="142">
        <v>539</v>
      </c>
      <c r="K13" s="143">
        <v>11.2</v>
      </c>
      <c r="L13" s="143">
        <v>245.30199999999999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">
        <v>4</v>
      </c>
      <c r="B14" s="157">
        <v>7905</v>
      </c>
      <c r="C14" s="134">
        <v>5401.2</v>
      </c>
      <c r="D14" s="134">
        <v>276.7</v>
      </c>
      <c r="E14" s="134">
        <v>0</v>
      </c>
      <c r="F14" s="142">
        <v>7260</v>
      </c>
      <c r="G14" s="143">
        <v>5171</v>
      </c>
      <c r="H14" s="143">
        <v>76</v>
      </c>
      <c r="I14" s="144" t="s">
        <v>304</v>
      </c>
      <c r="J14" s="142">
        <v>645</v>
      </c>
      <c r="K14" s="143">
        <v>230.2</v>
      </c>
      <c r="L14" s="143">
        <v>200.7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">
        <v>6</v>
      </c>
      <c r="B15" s="157">
        <v>5984</v>
      </c>
      <c r="C15" s="134">
        <v>2709.77</v>
      </c>
      <c r="D15" s="134">
        <v>786.15199999999993</v>
      </c>
      <c r="E15" s="134">
        <v>0</v>
      </c>
      <c r="F15" s="142">
        <v>4633</v>
      </c>
      <c r="G15" s="143">
        <v>2322.4</v>
      </c>
      <c r="H15" s="143">
        <v>242.91</v>
      </c>
      <c r="I15" s="144" t="s">
        <v>304</v>
      </c>
      <c r="J15" s="142">
        <v>1351</v>
      </c>
      <c r="K15" s="143">
        <v>387.37</v>
      </c>
      <c r="L15" s="143">
        <v>543.24199999999996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">
        <v>9</v>
      </c>
      <c r="B16" s="157">
        <v>562</v>
      </c>
      <c r="C16" s="134">
        <v>263</v>
      </c>
      <c r="D16" s="134">
        <v>42.25</v>
      </c>
      <c r="E16" s="134">
        <v>0</v>
      </c>
      <c r="F16" s="142">
        <v>434</v>
      </c>
      <c r="G16" s="143">
        <v>225.5</v>
      </c>
      <c r="H16" s="143">
        <v>5</v>
      </c>
      <c r="I16" s="144" t="s">
        <v>304</v>
      </c>
      <c r="J16" s="142">
        <v>128</v>
      </c>
      <c r="K16" s="143">
        <v>37.5</v>
      </c>
      <c r="L16" s="143">
        <v>37.25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">
        <v>12</v>
      </c>
      <c r="B17" s="157">
        <v>37888</v>
      </c>
      <c r="C17" s="134">
        <v>12514.7</v>
      </c>
      <c r="D17" s="134">
        <v>57605.65</v>
      </c>
      <c r="E17" s="134">
        <v>0</v>
      </c>
      <c r="F17" s="142">
        <v>4297</v>
      </c>
      <c r="G17" s="143">
        <v>4257.43</v>
      </c>
      <c r="H17" s="143">
        <v>6.6</v>
      </c>
      <c r="I17" s="144" t="s">
        <v>304</v>
      </c>
      <c r="J17" s="142">
        <v>33591</v>
      </c>
      <c r="K17" s="143">
        <v>8257.27</v>
      </c>
      <c r="L17" s="143">
        <v>57599.05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">
        <v>14</v>
      </c>
      <c r="B18" s="157">
        <v>969</v>
      </c>
      <c r="C18" s="134">
        <v>527.25099999999998</v>
      </c>
      <c r="D18" s="134">
        <v>49.81</v>
      </c>
      <c r="E18" s="134">
        <v>0</v>
      </c>
      <c r="F18" s="142">
        <v>908</v>
      </c>
      <c r="G18" s="143">
        <v>515.101</v>
      </c>
      <c r="H18" s="143">
        <v>27.5</v>
      </c>
      <c r="I18" s="144" t="s">
        <v>304</v>
      </c>
      <c r="J18" s="142">
        <v>61</v>
      </c>
      <c r="K18" s="143">
        <v>12.15</v>
      </c>
      <c r="L18" s="143">
        <v>22.31</v>
      </c>
      <c r="M18" s="144" t="s">
        <v>304</v>
      </c>
      <c r="N18" s="129" t="s">
        <v>182</v>
      </c>
      <c r="O18" s="133"/>
      <c r="P18" s="133"/>
    </row>
    <row r="19" spans="1:16" ht="10.199999999999999" customHeight="1" x14ac:dyDescent="0.2">
      <c r="A19" s="349" t="s">
        <v>183</v>
      </c>
      <c r="B19" s="357">
        <v>92418</v>
      </c>
      <c r="C19" s="348">
        <v>61359.012000000002</v>
      </c>
      <c r="D19" s="348">
        <v>26781.936999999998</v>
      </c>
      <c r="E19" s="348">
        <v>42</v>
      </c>
      <c r="F19" s="348">
        <v>72250</v>
      </c>
      <c r="G19" s="348">
        <v>56521.197999999997</v>
      </c>
      <c r="H19" s="348">
        <v>1880.4299999999998</v>
      </c>
      <c r="I19" s="348">
        <v>27.2</v>
      </c>
      <c r="J19" s="348">
        <v>20168</v>
      </c>
      <c r="K19" s="348">
        <v>4837.8139999999994</v>
      </c>
      <c r="L19" s="348">
        <v>24901.506999999998</v>
      </c>
      <c r="M19" s="348">
        <v>14.8</v>
      </c>
      <c r="N19" s="346" t="s">
        <v>184</v>
      </c>
      <c r="O19" s="347"/>
      <c r="P19" s="347"/>
    </row>
    <row r="20" spans="1:16" x14ac:dyDescent="0.2">
      <c r="A20" s="349"/>
      <c r="B20" s="357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6"/>
      <c r="O20" s="347"/>
      <c r="P20" s="347"/>
    </row>
    <row r="21" spans="1:16" x14ac:dyDescent="0.2">
      <c r="A21" s="126" t="s">
        <v>16</v>
      </c>
      <c r="B21" s="157">
        <v>14244</v>
      </c>
      <c r="C21" s="134">
        <v>12428.052</v>
      </c>
      <c r="D21" s="134">
        <v>4043.9760000000001</v>
      </c>
      <c r="E21" s="134">
        <v>0</v>
      </c>
      <c r="F21" s="142">
        <v>9031</v>
      </c>
      <c r="G21" s="143">
        <v>9849.6020000000008</v>
      </c>
      <c r="H21" s="143">
        <v>23.12</v>
      </c>
      <c r="I21" s="144" t="s">
        <v>304</v>
      </c>
      <c r="J21" s="142">
        <v>5213</v>
      </c>
      <c r="K21" s="143">
        <v>2578.4499999999998</v>
      </c>
      <c r="L21" s="143">
        <v>4020.8560000000002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">
        <v>18</v>
      </c>
      <c r="B22" s="157">
        <v>7299</v>
      </c>
      <c r="C22" s="134">
        <v>6676.7</v>
      </c>
      <c r="D22" s="134">
        <v>270.2</v>
      </c>
      <c r="E22" s="134">
        <v>0</v>
      </c>
      <c r="F22" s="142">
        <v>7065</v>
      </c>
      <c r="G22" s="143">
        <v>6632.7</v>
      </c>
      <c r="H22" s="143">
        <v>11.4</v>
      </c>
      <c r="I22" s="144" t="s">
        <v>304</v>
      </c>
      <c r="J22" s="142">
        <v>234</v>
      </c>
      <c r="K22" s="143">
        <v>44</v>
      </c>
      <c r="L22" s="143">
        <v>258.8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">
        <v>20</v>
      </c>
      <c r="B23" s="157">
        <v>7234</v>
      </c>
      <c r="C23" s="134">
        <v>4606.9399999999996</v>
      </c>
      <c r="D23" s="134">
        <v>432.52499999999998</v>
      </c>
      <c r="E23" s="134">
        <v>0</v>
      </c>
      <c r="F23" s="142">
        <v>6438</v>
      </c>
      <c r="G23" s="143">
        <v>4606.9399999999996</v>
      </c>
      <c r="H23" s="143">
        <v>3.46</v>
      </c>
      <c r="I23" s="144" t="s">
        <v>304</v>
      </c>
      <c r="J23" s="142">
        <v>796</v>
      </c>
      <c r="K23" s="144" t="s">
        <v>304</v>
      </c>
      <c r="L23" s="143">
        <v>429.065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">
        <v>22</v>
      </c>
      <c r="B24" s="157">
        <v>8256</v>
      </c>
      <c r="C24" s="134">
        <v>9348.2450000000008</v>
      </c>
      <c r="D24" s="134">
        <v>727.65</v>
      </c>
      <c r="E24" s="134">
        <v>0</v>
      </c>
      <c r="F24" s="142">
        <v>7269</v>
      </c>
      <c r="G24" s="143">
        <v>8777.4950000000008</v>
      </c>
      <c r="H24" s="143">
        <v>214.6</v>
      </c>
      <c r="I24" s="144" t="s">
        <v>304</v>
      </c>
      <c r="J24" s="142">
        <v>987</v>
      </c>
      <c r="K24" s="143">
        <v>570.75</v>
      </c>
      <c r="L24" s="143">
        <v>513.04999999999995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">
        <v>24</v>
      </c>
      <c r="B25" s="157">
        <v>3245</v>
      </c>
      <c r="C25" s="134">
        <v>1352.5030000000002</v>
      </c>
      <c r="D25" s="134">
        <v>2238.3009999999999</v>
      </c>
      <c r="E25" s="134">
        <v>0</v>
      </c>
      <c r="F25" s="142">
        <v>1579</v>
      </c>
      <c r="G25" s="143">
        <v>1136.3030000000001</v>
      </c>
      <c r="H25" s="143">
        <v>26.4</v>
      </c>
      <c r="I25" s="144" t="s">
        <v>304</v>
      </c>
      <c r="J25" s="142">
        <v>1666</v>
      </c>
      <c r="K25" s="143">
        <v>216.2</v>
      </c>
      <c r="L25" s="143">
        <v>2211.9009999999998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">
        <v>27</v>
      </c>
      <c r="B26" s="157">
        <v>7784</v>
      </c>
      <c r="C26" s="134">
        <v>3812</v>
      </c>
      <c r="D26" s="134">
        <v>4025.511</v>
      </c>
      <c r="E26" s="134">
        <v>0</v>
      </c>
      <c r="F26" s="142">
        <v>5486</v>
      </c>
      <c r="G26" s="143">
        <v>3176.8</v>
      </c>
      <c r="H26" s="143">
        <v>1006.1</v>
      </c>
      <c r="I26" s="144" t="s">
        <v>304</v>
      </c>
      <c r="J26" s="142">
        <v>2298</v>
      </c>
      <c r="K26" s="143">
        <v>635.20000000000005</v>
      </c>
      <c r="L26" s="143">
        <v>3019.4110000000001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">
        <v>29</v>
      </c>
      <c r="B27" s="157">
        <v>17151</v>
      </c>
      <c r="C27" s="134">
        <v>8248.0139999999992</v>
      </c>
      <c r="D27" s="134">
        <v>14163.696</v>
      </c>
      <c r="E27" s="134">
        <v>42</v>
      </c>
      <c r="F27" s="142">
        <v>9814</v>
      </c>
      <c r="G27" s="143">
        <v>7816.5</v>
      </c>
      <c r="H27" s="143">
        <v>150.44999999999999</v>
      </c>
      <c r="I27" s="143">
        <v>27.2</v>
      </c>
      <c r="J27" s="142">
        <v>7337</v>
      </c>
      <c r="K27" s="143">
        <v>431.51400000000001</v>
      </c>
      <c r="L27" s="143">
        <v>14013.245999999999</v>
      </c>
      <c r="M27" s="143">
        <v>14.8</v>
      </c>
      <c r="N27" s="129" t="s">
        <v>191</v>
      </c>
      <c r="O27" s="133"/>
      <c r="P27" s="133"/>
    </row>
    <row r="28" spans="1:16" x14ac:dyDescent="0.2">
      <c r="A28" s="126" t="s">
        <v>31</v>
      </c>
      <c r="B28" s="157">
        <v>12336</v>
      </c>
      <c r="C28" s="134">
        <v>4893.6099999999997</v>
      </c>
      <c r="D28" s="134">
        <v>359.14</v>
      </c>
      <c r="E28" s="134">
        <v>0</v>
      </c>
      <c r="F28" s="142">
        <v>11570</v>
      </c>
      <c r="G28" s="143">
        <v>4753.41</v>
      </c>
      <c r="H28" s="143">
        <v>213.464</v>
      </c>
      <c r="I28" s="144" t="s">
        <v>304</v>
      </c>
      <c r="J28" s="142">
        <v>766</v>
      </c>
      <c r="K28" s="143">
        <v>140.19999999999999</v>
      </c>
      <c r="L28" s="143">
        <v>145.67599999999999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">
        <v>33</v>
      </c>
      <c r="B29" s="157">
        <v>3003</v>
      </c>
      <c r="C29" s="134">
        <v>1467.3440000000001</v>
      </c>
      <c r="D29" s="134">
        <v>419.536</v>
      </c>
      <c r="E29" s="134">
        <v>0</v>
      </c>
      <c r="F29" s="142">
        <v>2587</v>
      </c>
      <c r="G29" s="143">
        <v>1420.3440000000001</v>
      </c>
      <c r="H29" s="143">
        <v>177.136</v>
      </c>
      <c r="I29" s="144" t="s">
        <v>304</v>
      </c>
      <c r="J29" s="142">
        <v>416</v>
      </c>
      <c r="K29" s="143">
        <v>47</v>
      </c>
      <c r="L29" s="143">
        <v>242.4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">
        <v>35</v>
      </c>
      <c r="B30" s="157">
        <v>2122</v>
      </c>
      <c r="C30" s="134">
        <v>1177.8040000000001</v>
      </c>
      <c r="D30" s="134">
        <v>92.3</v>
      </c>
      <c r="E30" s="134">
        <v>0</v>
      </c>
      <c r="F30" s="142">
        <v>1708</v>
      </c>
      <c r="G30" s="143">
        <v>1003.304</v>
      </c>
      <c r="H30" s="143">
        <v>51.8</v>
      </c>
      <c r="I30" s="144" t="s">
        <v>304</v>
      </c>
      <c r="J30" s="142">
        <v>414</v>
      </c>
      <c r="K30" s="143">
        <v>174.5</v>
      </c>
      <c r="L30" s="143">
        <v>40.5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">
        <v>37</v>
      </c>
      <c r="B31" s="157">
        <v>9744</v>
      </c>
      <c r="C31" s="134">
        <v>7347.8</v>
      </c>
      <c r="D31" s="134">
        <v>9.1020000000000003</v>
      </c>
      <c r="E31" s="135" t="s">
        <v>304</v>
      </c>
      <c r="F31" s="142">
        <v>9703</v>
      </c>
      <c r="G31" s="143">
        <v>7347.8</v>
      </c>
      <c r="H31" s="143">
        <v>2.5</v>
      </c>
      <c r="I31" s="144" t="s">
        <v>304</v>
      </c>
      <c r="J31" s="142">
        <v>41</v>
      </c>
      <c r="K31" s="144" t="s">
        <v>304</v>
      </c>
      <c r="L31" s="143">
        <v>6.6020000000000003</v>
      </c>
      <c r="M31" s="144" t="s">
        <v>304</v>
      </c>
      <c r="N31" s="129" t="s">
        <v>195</v>
      </c>
      <c r="O31" s="133"/>
      <c r="P31" s="133"/>
    </row>
    <row r="32" spans="1:16" x14ac:dyDescent="0.2">
      <c r="A32" s="349" t="s">
        <v>196</v>
      </c>
      <c r="B32" s="357">
        <v>8014</v>
      </c>
      <c r="C32" s="348">
        <v>5307.1120000000001</v>
      </c>
      <c r="D32" s="348">
        <v>223.26499999999999</v>
      </c>
      <c r="E32" s="348">
        <v>0</v>
      </c>
      <c r="F32" s="348">
        <v>7714</v>
      </c>
      <c r="G32" s="348">
        <v>5296.1220000000003</v>
      </c>
      <c r="H32" s="348">
        <v>121.67</v>
      </c>
      <c r="I32" s="348">
        <v>0</v>
      </c>
      <c r="J32" s="348">
        <v>300</v>
      </c>
      <c r="K32" s="348">
        <v>10.99</v>
      </c>
      <c r="L32" s="348">
        <v>101.595</v>
      </c>
      <c r="M32" s="348">
        <v>0</v>
      </c>
      <c r="N32" s="344" t="s">
        <v>197</v>
      </c>
      <c r="O32" s="345"/>
      <c r="P32" s="345"/>
    </row>
    <row r="33" spans="1:16" x14ac:dyDescent="0.2">
      <c r="A33" s="349"/>
      <c r="B33" s="357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4"/>
      <c r="O33" s="345"/>
      <c r="P33" s="345"/>
    </row>
    <row r="34" spans="1:16" x14ac:dyDescent="0.2">
      <c r="A34" s="126" t="s">
        <v>39</v>
      </c>
      <c r="B34" s="157">
        <v>6466</v>
      </c>
      <c r="C34" s="134">
        <v>4369.37</v>
      </c>
      <c r="D34" s="134">
        <v>93.42</v>
      </c>
      <c r="E34" s="134">
        <v>0</v>
      </c>
      <c r="F34" s="142">
        <v>6435</v>
      </c>
      <c r="G34" s="143">
        <v>4367.38</v>
      </c>
      <c r="H34" s="143">
        <v>82.17</v>
      </c>
      <c r="I34" s="144" t="s">
        <v>304</v>
      </c>
      <c r="J34" s="142">
        <v>31</v>
      </c>
      <c r="K34" s="143">
        <v>1.99</v>
      </c>
      <c r="L34" s="143">
        <v>11.25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">
        <v>41</v>
      </c>
      <c r="B35" s="157">
        <v>659</v>
      </c>
      <c r="C35" s="134">
        <v>430.702</v>
      </c>
      <c r="D35" s="134">
        <v>27.05</v>
      </c>
      <c r="E35" s="134">
        <v>0</v>
      </c>
      <c r="F35" s="142">
        <v>576</v>
      </c>
      <c r="G35" s="143">
        <v>424.702</v>
      </c>
      <c r="H35" s="143">
        <v>1</v>
      </c>
      <c r="I35" s="144" t="s">
        <v>304</v>
      </c>
      <c r="J35" s="142">
        <v>83</v>
      </c>
      <c r="K35" s="143">
        <v>6</v>
      </c>
      <c r="L35" s="143">
        <v>26.05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">
        <v>43</v>
      </c>
      <c r="B36" s="157">
        <v>160</v>
      </c>
      <c r="C36" s="134">
        <v>55.1</v>
      </c>
      <c r="D36" s="134">
        <v>16.95</v>
      </c>
      <c r="E36" s="134">
        <v>0</v>
      </c>
      <c r="F36" s="142">
        <v>121</v>
      </c>
      <c r="G36" s="143">
        <v>52.1</v>
      </c>
      <c r="H36" s="144" t="s">
        <v>304</v>
      </c>
      <c r="I36" s="144" t="s">
        <v>304</v>
      </c>
      <c r="J36" s="142">
        <v>39</v>
      </c>
      <c r="K36" s="143">
        <v>3</v>
      </c>
      <c r="L36" s="143">
        <v>16.95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">
        <v>46</v>
      </c>
      <c r="B37" s="157">
        <v>729</v>
      </c>
      <c r="C37" s="134">
        <v>451.94</v>
      </c>
      <c r="D37" s="134">
        <v>85.844999999999999</v>
      </c>
      <c r="E37" s="134">
        <v>0</v>
      </c>
      <c r="F37" s="142">
        <v>582</v>
      </c>
      <c r="G37" s="143">
        <v>451.94</v>
      </c>
      <c r="H37" s="143">
        <v>38.5</v>
      </c>
      <c r="I37" s="144" t="s">
        <v>304</v>
      </c>
      <c r="J37" s="142">
        <v>147</v>
      </c>
      <c r="K37" s="144" t="s">
        <v>304</v>
      </c>
      <c r="L37" s="143">
        <v>47.344999999999999</v>
      </c>
      <c r="M37" s="144" t="s">
        <v>304</v>
      </c>
      <c r="N37" s="129" t="s">
        <v>201</v>
      </c>
      <c r="O37" s="133"/>
      <c r="P37" s="133"/>
    </row>
    <row r="38" spans="1:16" x14ac:dyDescent="0.2">
      <c r="A38" s="349" t="s">
        <v>202</v>
      </c>
      <c r="B38" s="357">
        <v>54698</v>
      </c>
      <c r="C38" s="348">
        <v>85355.342000000019</v>
      </c>
      <c r="D38" s="348">
        <v>6626.6120000000001</v>
      </c>
      <c r="E38" s="348">
        <v>1.5</v>
      </c>
      <c r="F38" s="348">
        <v>40656</v>
      </c>
      <c r="G38" s="348">
        <v>71078.902000000002</v>
      </c>
      <c r="H38" s="348">
        <v>731.96</v>
      </c>
      <c r="I38" s="348">
        <v>1.5</v>
      </c>
      <c r="J38" s="348">
        <v>14042</v>
      </c>
      <c r="K38" s="348">
        <v>14276.44</v>
      </c>
      <c r="L38" s="348">
        <v>5894.652</v>
      </c>
      <c r="M38" s="348">
        <v>0</v>
      </c>
      <c r="N38" s="344" t="s">
        <v>203</v>
      </c>
      <c r="O38" s="345"/>
      <c r="P38" s="345"/>
    </row>
    <row r="39" spans="1:16" x14ac:dyDescent="0.2">
      <c r="A39" s="349"/>
      <c r="B39" s="357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4"/>
      <c r="O39" s="345"/>
      <c r="P39" s="345"/>
    </row>
    <row r="40" spans="1:16" x14ac:dyDescent="0.2">
      <c r="A40" s="126" t="s">
        <v>48</v>
      </c>
      <c r="B40" s="157">
        <v>31849</v>
      </c>
      <c r="C40" s="134">
        <v>69577.301000000007</v>
      </c>
      <c r="D40" s="134">
        <v>4975.5619999999999</v>
      </c>
      <c r="E40" s="134">
        <v>0</v>
      </c>
      <c r="F40" s="142">
        <v>25647</v>
      </c>
      <c r="G40" s="143">
        <v>58488.800999999999</v>
      </c>
      <c r="H40" s="143">
        <v>551.46</v>
      </c>
      <c r="I40" s="144" t="s">
        <v>304</v>
      </c>
      <c r="J40" s="142">
        <v>6202</v>
      </c>
      <c r="K40" s="143">
        <v>11088.5</v>
      </c>
      <c r="L40" s="143">
        <v>4424.1019999999999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">
        <v>51</v>
      </c>
      <c r="B41" s="157">
        <v>10956</v>
      </c>
      <c r="C41" s="134">
        <v>5485.35</v>
      </c>
      <c r="D41" s="134">
        <v>240.85</v>
      </c>
      <c r="E41" s="134">
        <v>1.5</v>
      </c>
      <c r="F41" s="142">
        <v>6265</v>
      </c>
      <c r="G41" s="143">
        <v>3585.5</v>
      </c>
      <c r="H41" s="143">
        <v>46.9</v>
      </c>
      <c r="I41" s="143">
        <v>1.5</v>
      </c>
      <c r="J41" s="142">
        <v>4691</v>
      </c>
      <c r="K41" s="143">
        <v>1899.85</v>
      </c>
      <c r="L41" s="143">
        <v>193.95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">
        <v>53</v>
      </c>
      <c r="B42" s="157">
        <v>4559</v>
      </c>
      <c r="C42" s="134">
        <v>6564.5</v>
      </c>
      <c r="D42" s="134">
        <v>73.75</v>
      </c>
      <c r="E42" s="134">
        <v>0</v>
      </c>
      <c r="F42" s="142">
        <v>4490</v>
      </c>
      <c r="G42" s="143">
        <v>6513.5</v>
      </c>
      <c r="H42" s="143">
        <v>31.95</v>
      </c>
      <c r="I42" s="144" t="s">
        <v>304</v>
      </c>
      <c r="J42" s="142">
        <v>69</v>
      </c>
      <c r="K42" s="143">
        <v>51</v>
      </c>
      <c r="L42" s="143">
        <v>41.8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">
        <v>56</v>
      </c>
      <c r="B43" s="157">
        <v>116</v>
      </c>
      <c r="C43" s="134">
        <v>41</v>
      </c>
      <c r="D43" s="134">
        <v>2</v>
      </c>
      <c r="E43" s="134">
        <v>0</v>
      </c>
      <c r="F43" s="142">
        <v>116</v>
      </c>
      <c r="G43" s="143">
        <v>41</v>
      </c>
      <c r="H43" s="143">
        <v>2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">
        <v>58</v>
      </c>
      <c r="B44" s="157">
        <v>7218</v>
      </c>
      <c r="C44" s="134">
        <v>3687.1909999999998</v>
      </c>
      <c r="D44" s="134">
        <v>1334.45</v>
      </c>
      <c r="E44" s="134">
        <v>0</v>
      </c>
      <c r="F44" s="142">
        <v>4138</v>
      </c>
      <c r="G44" s="143">
        <v>2450.1010000000001</v>
      </c>
      <c r="H44" s="143">
        <v>99.65</v>
      </c>
      <c r="I44" s="144" t="s">
        <v>304</v>
      </c>
      <c r="J44" s="142">
        <v>3080</v>
      </c>
      <c r="K44" s="143">
        <v>1237.0899999999999</v>
      </c>
      <c r="L44" s="143">
        <v>1234.8</v>
      </c>
      <c r="M44" s="144" t="s">
        <v>304</v>
      </c>
      <c r="N44" s="129" t="s">
        <v>208</v>
      </c>
      <c r="O44" s="133"/>
      <c r="P44" s="133"/>
    </row>
    <row r="45" spans="1:16" ht="10.199999999999999" customHeight="1" x14ac:dyDescent="0.2">
      <c r="A45" s="349" t="s">
        <v>209</v>
      </c>
      <c r="B45" s="357">
        <v>83547</v>
      </c>
      <c r="C45" s="348">
        <v>60875.839999999997</v>
      </c>
      <c r="D45" s="348">
        <v>1306.481</v>
      </c>
      <c r="E45" s="348">
        <v>4.9000000000000004</v>
      </c>
      <c r="F45" s="348">
        <v>81869</v>
      </c>
      <c r="G45" s="348">
        <v>60441.120000000003</v>
      </c>
      <c r="H45" s="348">
        <v>324.29000000000002</v>
      </c>
      <c r="I45" s="348">
        <v>4.9000000000000004</v>
      </c>
      <c r="J45" s="348">
        <v>1678</v>
      </c>
      <c r="K45" s="348">
        <v>434.71999999999997</v>
      </c>
      <c r="L45" s="348">
        <v>982.19100000000014</v>
      </c>
      <c r="M45" s="348">
        <v>0</v>
      </c>
      <c r="N45" s="344" t="s">
        <v>210</v>
      </c>
      <c r="O45" s="345"/>
      <c r="P45" s="345"/>
    </row>
    <row r="46" spans="1:16" x14ac:dyDescent="0.2">
      <c r="A46" s="349"/>
      <c r="B46" s="357"/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4"/>
      <c r="O46" s="345"/>
      <c r="P46" s="345"/>
    </row>
    <row r="47" spans="1:16" x14ac:dyDescent="0.2">
      <c r="A47" s="126" t="s">
        <v>60</v>
      </c>
      <c r="B47" s="157">
        <v>12420</v>
      </c>
      <c r="C47" s="134">
        <v>9333.35</v>
      </c>
      <c r="D47" s="134">
        <v>393.89000000000004</v>
      </c>
      <c r="E47" s="134">
        <v>0</v>
      </c>
      <c r="F47" s="142">
        <v>11794</v>
      </c>
      <c r="G47" s="143">
        <v>9049.25</v>
      </c>
      <c r="H47" s="143">
        <v>84.23</v>
      </c>
      <c r="I47" s="144" t="s">
        <v>304</v>
      </c>
      <c r="J47" s="142">
        <v>626</v>
      </c>
      <c r="K47" s="143">
        <v>284.10000000000002</v>
      </c>
      <c r="L47" s="143">
        <v>309.66000000000003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">
        <v>62</v>
      </c>
      <c r="B48" s="157">
        <v>41423</v>
      </c>
      <c r="C48" s="134">
        <v>26412.25</v>
      </c>
      <c r="D48" s="134">
        <v>240.25</v>
      </c>
      <c r="E48" s="134">
        <v>1.1000000000000001</v>
      </c>
      <c r="F48" s="142">
        <v>41143</v>
      </c>
      <c r="G48" s="143">
        <v>26412.25</v>
      </c>
      <c r="H48" s="143">
        <v>5.25</v>
      </c>
      <c r="I48" s="143">
        <v>1.1000000000000001</v>
      </c>
      <c r="J48" s="142">
        <v>280</v>
      </c>
      <c r="K48" s="144" t="s">
        <v>304</v>
      </c>
      <c r="L48" s="143">
        <v>235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">
        <v>64</v>
      </c>
      <c r="B49" s="157">
        <v>27205</v>
      </c>
      <c r="C49" s="134">
        <v>23882.82</v>
      </c>
      <c r="D49" s="134">
        <v>630.26</v>
      </c>
      <c r="E49" s="134">
        <v>3.8</v>
      </c>
      <c r="F49" s="142">
        <v>26478</v>
      </c>
      <c r="G49" s="143">
        <v>23734.9</v>
      </c>
      <c r="H49" s="143">
        <v>200.63</v>
      </c>
      <c r="I49" s="143">
        <v>3.8</v>
      </c>
      <c r="J49" s="142">
        <v>727</v>
      </c>
      <c r="K49" s="143">
        <v>147.91999999999999</v>
      </c>
      <c r="L49" s="143">
        <v>429.63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">
        <v>67</v>
      </c>
      <c r="B50" s="157">
        <v>429</v>
      </c>
      <c r="C50" s="134">
        <v>181.70000000000002</v>
      </c>
      <c r="D50" s="134">
        <v>35.000999999999998</v>
      </c>
      <c r="E50" s="134">
        <v>0</v>
      </c>
      <c r="F50" s="142">
        <v>401</v>
      </c>
      <c r="G50" s="143">
        <v>180.4</v>
      </c>
      <c r="H50" s="143">
        <v>31.2</v>
      </c>
      <c r="I50" s="144" t="s">
        <v>304</v>
      </c>
      <c r="J50" s="142">
        <v>28</v>
      </c>
      <c r="K50" s="143">
        <v>1.3</v>
      </c>
      <c r="L50" s="143">
        <v>3.8010000000000002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">
        <v>69</v>
      </c>
      <c r="B51" s="157">
        <v>2070</v>
      </c>
      <c r="C51" s="134">
        <v>1065.72</v>
      </c>
      <c r="D51" s="134">
        <v>7.08</v>
      </c>
      <c r="E51" s="134">
        <v>0</v>
      </c>
      <c r="F51" s="142">
        <v>2053</v>
      </c>
      <c r="G51" s="143">
        <v>1064.32</v>
      </c>
      <c r="H51" s="143">
        <v>2.98</v>
      </c>
      <c r="I51" s="144" t="s">
        <v>304</v>
      </c>
      <c r="J51" s="142">
        <v>17</v>
      </c>
      <c r="K51" s="143">
        <v>1.4</v>
      </c>
      <c r="L51" s="143">
        <v>4.0999999999999996</v>
      </c>
      <c r="M51" s="144" t="s">
        <v>304</v>
      </c>
      <c r="N51" s="129" t="s">
        <v>215</v>
      </c>
      <c r="O51" s="133"/>
      <c r="P51" s="133"/>
    </row>
    <row r="52" spans="1:16" ht="10.199999999999999" customHeight="1" x14ac:dyDescent="0.2">
      <c r="A52" s="349" t="s">
        <v>216</v>
      </c>
      <c r="B52" s="357">
        <v>38674</v>
      </c>
      <c r="C52" s="348">
        <v>21619.916999999998</v>
      </c>
      <c r="D52" s="348">
        <v>491.38</v>
      </c>
      <c r="E52" s="348">
        <v>0</v>
      </c>
      <c r="F52" s="348">
        <v>38068</v>
      </c>
      <c r="G52" s="348">
        <v>21605.316999999999</v>
      </c>
      <c r="H52" s="348">
        <v>83.56</v>
      </c>
      <c r="I52" s="348">
        <v>0</v>
      </c>
      <c r="J52" s="348">
        <v>606</v>
      </c>
      <c r="K52" s="348">
        <v>14.6</v>
      </c>
      <c r="L52" s="348">
        <v>407.82000000000005</v>
      </c>
      <c r="M52" s="348">
        <v>0</v>
      </c>
      <c r="N52" s="344" t="s">
        <v>217</v>
      </c>
      <c r="O52" s="345"/>
      <c r="P52" s="345"/>
    </row>
    <row r="53" spans="1:16" x14ac:dyDescent="0.2">
      <c r="A53" s="349"/>
      <c r="B53" s="357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4"/>
      <c r="O53" s="345"/>
      <c r="P53" s="345"/>
    </row>
    <row r="54" spans="1:16" x14ac:dyDescent="0.2">
      <c r="A54" s="126" t="s">
        <v>71</v>
      </c>
      <c r="B54" s="157">
        <v>10097</v>
      </c>
      <c r="C54" s="134">
        <v>5672.45</v>
      </c>
      <c r="D54" s="134">
        <v>146.39000000000001</v>
      </c>
      <c r="E54" s="134">
        <v>0</v>
      </c>
      <c r="F54" s="142">
        <v>9892</v>
      </c>
      <c r="G54" s="143">
        <v>5659.05</v>
      </c>
      <c r="H54" s="143">
        <v>29.99</v>
      </c>
      <c r="I54" s="144" t="s">
        <v>304</v>
      </c>
      <c r="J54" s="142">
        <v>205</v>
      </c>
      <c r="K54" s="143">
        <v>13.4</v>
      </c>
      <c r="L54" s="143">
        <v>116.4</v>
      </c>
      <c r="M54" s="144" t="s">
        <v>304</v>
      </c>
      <c r="N54" s="129" t="s">
        <v>218</v>
      </c>
      <c r="O54" s="133"/>
      <c r="P54" s="133"/>
    </row>
    <row r="55" spans="1:16" x14ac:dyDescent="0.2">
      <c r="A55" s="126" t="s">
        <v>74</v>
      </c>
      <c r="B55" s="157">
        <v>10842</v>
      </c>
      <c r="C55" s="134">
        <v>10271.4</v>
      </c>
      <c r="D55" s="134">
        <v>245.25</v>
      </c>
      <c r="E55" s="134">
        <v>0</v>
      </c>
      <c r="F55" s="142">
        <v>10655</v>
      </c>
      <c r="G55" s="143">
        <v>10271.4</v>
      </c>
      <c r="H55" s="143">
        <v>28.2</v>
      </c>
      <c r="I55" s="144" t="s">
        <v>304</v>
      </c>
      <c r="J55" s="142">
        <v>187</v>
      </c>
      <c r="K55" s="144" t="s">
        <v>304</v>
      </c>
      <c r="L55" s="143">
        <v>217.05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">
        <v>76</v>
      </c>
      <c r="B56" s="157">
        <v>477</v>
      </c>
      <c r="C56" s="134">
        <v>270.685</v>
      </c>
      <c r="D56" s="134">
        <v>4.5999999999999996</v>
      </c>
      <c r="E56" s="134">
        <v>0</v>
      </c>
      <c r="F56" s="142">
        <v>466</v>
      </c>
      <c r="G56" s="143">
        <v>270.685</v>
      </c>
      <c r="H56" s="144" t="s">
        <v>304</v>
      </c>
      <c r="I56" s="144" t="s">
        <v>304</v>
      </c>
      <c r="J56" s="142">
        <v>11</v>
      </c>
      <c r="K56" s="144" t="s">
        <v>304</v>
      </c>
      <c r="L56" s="143">
        <v>4.5999999999999996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">
        <v>79</v>
      </c>
      <c r="B57" s="157">
        <v>11523</v>
      </c>
      <c r="C57" s="134">
        <v>4463.2820000000002</v>
      </c>
      <c r="D57" s="134">
        <v>77.240000000000009</v>
      </c>
      <c r="E57" s="134">
        <v>0</v>
      </c>
      <c r="F57" s="142">
        <v>11368</v>
      </c>
      <c r="G57" s="143">
        <v>4462.0820000000003</v>
      </c>
      <c r="H57" s="143">
        <v>22.97</v>
      </c>
      <c r="I57" s="144" t="s">
        <v>304</v>
      </c>
      <c r="J57" s="142">
        <v>155</v>
      </c>
      <c r="K57" s="143">
        <v>1.2</v>
      </c>
      <c r="L57" s="143">
        <v>54.27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">
        <v>81</v>
      </c>
      <c r="B58" s="157">
        <v>5735</v>
      </c>
      <c r="C58" s="134">
        <v>942.1</v>
      </c>
      <c r="D58" s="134">
        <v>17.899999999999999</v>
      </c>
      <c r="E58" s="134">
        <v>0</v>
      </c>
      <c r="F58" s="142">
        <v>5687</v>
      </c>
      <c r="G58" s="143">
        <v>942.1</v>
      </c>
      <c r="H58" s="143">
        <v>2.4</v>
      </c>
      <c r="I58" s="144" t="s">
        <v>304</v>
      </c>
      <c r="J58" s="142">
        <v>48</v>
      </c>
      <c r="K58" s="144" t="s">
        <v>304</v>
      </c>
      <c r="L58" s="143">
        <v>15.5</v>
      </c>
      <c r="M58" s="144" t="s">
        <v>304</v>
      </c>
      <c r="N58" s="129" t="s">
        <v>222</v>
      </c>
      <c r="O58" s="133"/>
      <c r="P58" s="133"/>
    </row>
    <row r="59" spans="1:16" ht="10.199999999999999" customHeight="1" x14ac:dyDescent="0.2">
      <c r="A59" s="349" t="s">
        <v>223</v>
      </c>
      <c r="B59" s="357">
        <v>95787</v>
      </c>
      <c r="C59" s="348">
        <v>108265.45000000001</v>
      </c>
      <c r="D59" s="348">
        <v>2910.8649999999998</v>
      </c>
      <c r="E59" s="348">
        <v>9.5000000000000001E-2</v>
      </c>
      <c r="F59" s="348">
        <v>92871</v>
      </c>
      <c r="G59" s="348">
        <v>107192.15</v>
      </c>
      <c r="H59" s="348">
        <v>1081.0050000000001</v>
      </c>
      <c r="I59" s="348">
        <v>9.5000000000000001E-2</v>
      </c>
      <c r="J59" s="348">
        <v>2916</v>
      </c>
      <c r="K59" s="348">
        <v>1073.3</v>
      </c>
      <c r="L59" s="348">
        <v>1829.86</v>
      </c>
      <c r="M59" s="348">
        <v>0</v>
      </c>
      <c r="N59" s="344" t="s">
        <v>224</v>
      </c>
      <c r="O59" s="345"/>
      <c r="P59" s="345"/>
    </row>
    <row r="60" spans="1:16" x14ac:dyDescent="0.2">
      <c r="A60" s="349"/>
      <c r="B60" s="357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4"/>
      <c r="O60" s="345"/>
      <c r="P60" s="345"/>
    </row>
    <row r="61" spans="1:16" x14ac:dyDescent="0.2">
      <c r="A61" s="126" t="s">
        <v>83</v>
      </c>
      <c r="B61" s="157">
        <v>52854</v>
      </c>
      <c r="C61" s="134">
        <v>70298</v>
      </c>
      <c r="D61" s="134">
        <v>2022.16</v>
      </c>
      <c r="E61" s="134">
        <v>0</v>
      </c>
      <c r="F61" s="142">
        <v>50918</v>
      </c>
      <c r="G61" s="143">
        <v>69258</v>
      </c>
      <c r="H61" s="143">
        <v>848.95</v>
      </c>
      <c r="I61" s="144" t="s">
        <v>304</v>
      </c>
      <c r="J61" s="142">
        <v>1936</v>
      </c>
      <c r="K61" s="143">
        <v>1040</v>
      </c>
      <c r="L61" s="143">
        <v>1173.21</v>
      </c>
      <c r="M61" s="144" t="s">
        <v>304</v>
      </c>
      <c r="N61" s="129" t="s">
        <v>225</v>
      </c>
      <c r="O61" s="133"/>
      <c r="P61" s="133"/>
    </row>
    <row r="62" spans="1:16" x14ac:dyDescent="0.2">
      <c r="A62" s="126" t="s">
        <v>85</v>
      </c>
      <c r="B62" s="157">
        <v>6912</v>
      </c>
      <c r="C62" s="134">
        <v>3462.55</v>
      </c>
      <c r="D62" s="134">
        <v>182.5</v>
      </c>
      <c r="E62" s="134">
        <v>0</v>
      </c>
      <c r="F62" s="142">
        <v>6672</v>
      </c>
      <c r="G62" s="143">
        <v>3441.25</v>
      </c>
      <c r="H62" s="143">
        <v>55.4</v>
      </c>
      <c r="I62" s="144" t="s">
        <v>304</v>
      </c>
      <c r="J62" s="142">
        <v>240</v>
      </c>
      <c r="K62" s="143">
        <v>21.3</v>
      </c>
      <c r="L62" s="143">
        <v>127.1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">
        <v>88</v>
      </c>
      <c r="B63" s="157">
        <v>36021</v>
      </c>
      <c r="C63" s="134">
        <v>34504.9</v>
      </c>
      <c r="D63" s="134">
        <v>706.20499999999993</v>
      </c>
      <c r="E63" s="134">
        <v>9.5000000000000001E-2</v>
      </c>
      <c r="F63" s="142">
        <v>35281</v>
      </c>
      <c r="G63" s="143">
        <v>34492.9</v>
      </c>
      <c r="H63" s="143">
        <v>176.655</v>
      </c>
      <c r="I63" s="143">
        <v>9.5000000000000001E-2</v>
      </c>
      <c r="J63" s="142">
        <v>740</v>
      </c>
      <c r="K63" s="143">
        <v>12</v>
      </c>
      <c r="L63" s="143">
        <v>529.54999999999995</v>
      </c>
      <c r="M63" s="144" t="s">
        <v>304</v>
      </c>
      <c r="N63" s="129" t="s">
        <v>227</v>
      </c>
      <c r="O63" s="133"/>
      <c r="P63" s="133"/>
    </row>
    <row r="64" spans="1:16" ht="10.199999999999999" customHeight="1" x14ac:dyDescent="0.2">
      <c r="A64" s="349" t="s">
        <v>228</v>
      </c>
      <c r="B64" s="357">
        <v>104689</v>
      </c>
      <c r="C64" s="348">
        <v>68331.014999999999</v>
      </c>
      <c r="D64" s="348">
        <v>8461.2880000000005</v>
      </c>
      <c r="E64" s="348">
        <v>0.502</v>
      </c>
      <c r="F64" s="348">
        <v>99485</v>
      </c>
      <c r="G64" s="348">
        <v>68320.014999999999</v>
      </c>
      <c r="H64" s="348">
        <v>224.98999999999998</v>
      </c>
      <c r="I64" s="348">
        <v>0.5</v>
      </c>
      <c r="J64" s="348">
        <v>5204</v>
      </c>
      <c r="K64" s="348">
        <v>11</v>
      </c>
      <c r="L64" s="348">
        <v>8236.2979999999989</v>
      </c>
      <c r="M64" s="348">
        <v>2E-3</v>
      </c>
      <c r="N64" s="344" t="s">
        <v>229</v>
      </c>
      <c r="O64" s="345"/>
      <c r="P64" s="345"/>
    </row>
    <row r="65" spans="1:16" x14ac:dyDescent="0.2">
      <c r="A65" s="349"/>
      <c r="B65" s="357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4"/>
      <c r="O65" s="345"/>
      <c r="P65" s="345"/>
    </row>
    <row r="66" spans="1:16" x14ac:dyDescent="0.2">
      <c r="A66" s="126" t="s">
        <v>90</v>
      </c>
      <c r="B66" s="157">
        <v>17256</v>
      </c>
      <c r="C66" s="134">
        <v>12299.865</v>
      </c>
      <c r="D66" s="134">
        <v>112.09</v>
      </c>
      <c r="E66" s="134">
        <v>0.5</v>
      </c>
      <c r="F66" s="142">
        <v>17173</v>
      </c>
      <c r="G66" s="143">
        <v>12299.865</v>
      </c>
      <c r="H66" s="143">
        <v>44.69</v>
      </c>
      <c r="I66" s="143">
        <v>0.5</v>
      </c>
      <c r="J66" s="142">
        <v>83</v>
      </c>
      <c r="K66" s="144" t="s">
        <v>304</v>
      </c>
      <c r="L66" s="143">
        <v>67.400000000000006</v>
      </c>
      <c r="M66" s="144" t="s">
        <v>304</v>
      </c>
      <c r="N66" s="129" t="s">
        <v>230</v>
      </c>
      <c r="O66" s="133"/>
      <c r="P66" s="133"/>
    </row>
    <row r="67" spans="1:16" x14ac:dyDescent="0.2">
      <c r="A67" s="126" t="s">
        <v>92</v>
      </c>
      <c r="B67" s="157">
        <v>8409</v>
      </c>
      <c r="C67" s="134">
        <v>5692.9</v>
      </c>
      <c r="D67" s="134">
        <v>686.8</v>
      </c>
      <c r="E67" s="134">
        <v>0</v>
      </c>
      <c r="F67" s="142">
        <v>7846</v>
      </c>
      <c r="G67" s="143">
        <v>5692.9</v>
      </c>
      <c r="H67" s="143">
        <v>7.8</v>
      </c>
      <c r="I67" s="144" t="s">
        <v>304</v>
      </c>
      <c r="J67" s="142">
        <v>563</v>
      </c>
      <c r="K67" s="144" t="s">
        <v>304</v>
      </c>
      <c r="L67" s="143">
        <v>679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">
        <v>94</v>
      </c>
      <c r="B68" s="157">
        <v>48638</v>
      </c>
      <c r="C68" s="134">
        <v>23687.42</v>
      </c>
      <c r="D68" s="134">
        <v>7129.7259999999997</v>
      </c>
      <c r="E68" s="134">
        <v>0</v>
      </c>
      <c r="F68" s="142">
        <v>44551</v>
      </c>
      <c r="G68" s="143">
        <v>23687.42</v>
      </c>
      <c r="H68" s="144" t="s">
        <v>304</v>
      </c>
      <c r="I68" s="144" t="s">
        <v>304</v>
      </c>
      <c r="J68" s="142">
        <v>4087</v>
      </c>
      <c r="K68" s="144" t="s">
        <v>304</v>
      </c>
      <c r="L68" s="143">
        <v>7129.7259999999997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">
        <v>97</v>
      </c>
      <c r="B69" s="157">
        <v>8058</v>
      </c>
      <c r="C69" s="134">
        <v>5256.55</v>
      </c>
      <c r="D69" s="134">
        <v>162.57</v>
      </c>
      <c r="E69" s="134">
        <v>0</v>
      </c>
      <c r="F69" s="142">
        <v>7988</v>
      </c>
      <c r="G69" s="143">
        <v>5253.05</v>
      </c>
      <c r="H69" s="143">
        <v>132.15</v>
      </c>
      <c r="I69" s="144" t="s">
        <v>304</v>
      </c>
      <c r="J69" s="142">
        <v>70</v>
      </c>
      <c r="K69" s="143">
        <v>3.5</v>
      </c>
      <c r="L69" s="143">
        <v>30.42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">
        <v>99</v>
      </c>
      <c r="B70" s="157">
        <v>22328</v>
      </c>
      <c r="C70" s="134">
        <v>21394.28</v>
      </c>
      <c r="D70" s="134">
        <v>370.10200000000003</v>
      </c>
      <c r="E70" s="134">
        <v>2E-3</v>
      </c>
      <c r="F70" s="142">
        <v>21927</v>
      </c>
      <c r="G70" s="143">
        <v>21386.78</v>
      </c>
      <c r="H70" s="143">
        <v>40.35</v>
      </c>
      <c r="I70" s="144" t="s">
        <v>304</v>
      </c>
      <c r="J70" s="142">
        <v>401</v>
      </c>
      <c r="K70" s="143">
        <v>7.5</v>
      </c>
      <c r="L70" s="143">
        <v>329.75200000000001</v>
      </c>
      <c r="M70" s="143">
        <v>2E-3</v>
      </c>
      <c r="N70" s="129" t="s">
        <v>234</v>
      </c>
      <c r="O70" s="133"/>
      <c r="P70" s="133"/>
    </row>
    <row r="71" spans="1:16" x14ac:dyDescent="0.2">
      <c r="A71" s="349" t="s">
        <v>235</v>
      </c>
      <c r="B71" s="357">
        <v>61049</v>
      </c>
      <c r="C71" s="348">
        <v>25299.45</v>
      </c>
      <c r="D71" s="348">
        <v>269.38</v>
      </c>
      <c r="E71" s="348">
        <v>0.7</v>
      </c>
      <c r="F71" s="348">
        <v>60693</v>
      </c>
      <c r="G71" s="348">
        <v>25299.45</v>
      </c>
      <c r="H71" s="348">
        <v>7.75</v>
      </c>
      <c r="I71" s="348">
        <v>0.7</v>
      </c>
      <c r="J71" s="348">
        <v>356</v>
      </c>
      <c r="K71" s="348">
        <v>0</v>
      </c>
      <c r="L71" s="348">
        <v>261.63</v>
      </c>
      <c r="M71" s="348">
        <v>0</v>
      </c>
      <c r="N71" s="344" t="s">
        <v>236</v>
      </c>
      <c r="O71" s="345"/>
      <c r="P71" s="345"/>
    </row>
    <row r="72" spans="1:16" x14ac:dyDescent="0.2">
      <c r="A72" s="349"/>
      <c r="B72" s="357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4"/>
      <c r="O72" s="345"/>
      <c r="P72" s="345"/>
    </row>
    <row r="73" spans="1:16" x14ac:dyDescent="0.2">
      <c r="A73" s="141" t="s">
        <v>287</v>
      </c>
      <c r="B73" s="157">
        <v>0</v>
      </c>
      <c r="C73" s="134">
        <v>0</v>
      </c>
      <c r="D73" s="134">
        <v>0</v>
      </c>
      <c r="E73" s="134">
        <v>0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57">
        <v>85</v>
      </c>
      <c r="C74" s="134">
        <v>32.799999999999997</v>
      </c>
      <c r="D74" s="134">
        <v>0.3</v>
      </c>
      <c r="E74" s="134">
        <v>0</v>
      </c>
      <c r="F74" s="142">
        <v>82</v>
      </c>
      <c r="G74" s="143">
        <v>32.799999999999997</v>
      </c>
      <c r="H74" s="143">
        <v>0.15</v>
      </c>
      <c r="I74" s="144" t="s">
        <v>304</v>
      </c>
      <c r="J74" s="142">
        <v>3</v>
      </c>
      <c r="K74" s="144" t="s">
        <v>304</v>
      </c>
      <c r="L74" s="143">
        <v>0.15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57">
        <v>45</v>
      </c>
      <c r="C75" s="134">
        <v>30</v>
      </c>
      <c r="D75" s="134">
        <v>0</v>
      </c>
      <c r="E75" s="134">
        <v>0</v>
      </c>
      <c r="F75" s="142">
        <v>45</v>
      </c>
      <c r="G75" s="143">
        <v>30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57">
        <v>0</v>
      </c>
      <c r="C76" s="134">
        <v>0</v>
      </c>
      <c r="D76" s="134">
        <v>0</v>
      </c>
      <c r="E76" s="134">
        <v>0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57">
        <v>46824</v>
      </c>
      <c r="C77" s="134">
        <v>17790.900000000001</v>
      </c>
      <c r="D77" s="134">
        <v>210.8</v>
      </c>
      <c r="E77" s="134">
        <v>0</v>
      </c>
      <c r="F77" s="142">
        <v>46626</v>
      </c>
      <c r="G77" s="143">
        <v>17790.900000000001</v>
      </c>
      <c r="H77" s="143">
        <v>1</v>
      </c>
      <c r="I77" s="144" t="s">
        <v>304</v>
      </c>
      <c r="J77" s="142">
        <v>198</v>
      </c>
      <c r="K77" s="144" t="s">
        <v>304</v>
      </c>
      <c r="L77" s="143">
        <v>209.8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57">
        <v>12529</v>
      </c>
      <c r="C78" s="134">
        <v>7030</v>
      </c>
      <c r="D78" s="134">
        <v>30</v>
      </c>
      <c r="E78" s="134">
        <v>0</v>
      </c>
      <c r="F78" s="142">
        <v>12479</v>
      </c>
      <c r="G78" s="143">
        <v>7030</v>
      </c>
      <c r="H78" s="144" t="s">
        <v>304</v>
      </c>
      <c r="I78" s="144" t="s">
        <v>304</v>
      </c>
      <c r="J78" s="142">
        <v>50</v>
      </c>
      <c r="K78" s="144" t="s">
        <v>304</v>
      </c>
      <c r="L78" s="143">
        <v>30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57">
        <v>0</v>
      </c>
      <c r="C79" s="134">
        <v>0</v>
      </c>
      <c r="D79" s="134">
        <v>0</v>
      </c>
      <c r="E79" s="134">
        <v>0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57">
        <v>1566</v>
      </c>
      <c r="C80" s="134">
        <v>415.75</v>
      </c>
      <c r="D80" s="134">
        <v>28.28</v>
      </c>
      <c r="E80" s="134">
        <v>0.7</v>
      </c>
      <c r="F80" s="142">
        <v>1461</v>
      </c>
      <c r="G80" s="143">
        <v>415.75</v>
      </c>
      <c r="H80" s="143">
        <v>6.6</v>
      </c>
      <c r="I80" s="143">
        <v>0.7</v>
      </c>
      <c r="J80" s="142">
        <v>105</v>
      </c>
      <c r="K80" s="144" t="s">
        <v>304</v>
      </c>
      <c r="L80" s="143">
        <v>21.68</v>
      </c>
      <c r="M80" s="144" t="s">
        <v>304</v>
      </c>
      <c r="N80" s="129" t="s">
        <v>244</v>
      </c>
      <c r="O80" s="133"/>
      <c r="P80" s="133"/>
    </row>
    <row r="81" spans="1:16" ht="10.199999999999999" customHeight="1" x14ac:dyDescent="0.2">
      <c r="A81" s="349" t="s">
        <v>245</v>
      </c>
      <c r="B81" s="357">
        <v>33465</v>
      </c>
      <c r="C81" s="348">
        <v>20073.611999999997</v>
      </c>
      <c r="D81" s="348">
        <v>1545.17</v>
      </c>
      <c r="E81" s="348">
        <v>2.3650000000000002</v>
      </c>
      <c r="F81" s="348">
        <v>30206</v>
      </c>
      <c r="G81" s="348">
        <v>20031.421999999999</v>
      </c>
      <c r="H81" s="348">
        <v>200.23000000000002</v>
      </c>
      <c r="I81" s="348">
        <v>1.915</v>
      </c>
      <c r="J81" s="348">
        <v>3259</v>
      </c>
      <c r="K81" s="348">
        <v>42.19</v>
      </c>
      <c r="L81" s="348">
        <v>1344.9400000000003</v>
      </c>
      <c r="M81" s="348">
        <v>0.44999999999999996</v>
      </c>
      <c r="N81" s="344" t="s">
        <v>246</v>
      </c>
      <c r="O81" s="345"/>
      <c r="P81" s="345"/>
    </row>
    <row r="82" spans="1:16" x14ac:dyDescent="0.2">
      <c r="A82" s="349"/>
      <c r="B82" s="357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4"/>
      <c r="O82" s="345"/>
      <c r="P82" s="345"/>
    </row>
    <row r="83" spans="1:16" x14ac:dyDescent="0.2">
      <c r="A83" s="126" t="s">
        <v>119</v>
      </c>
      <c r="B83" s="157">
        <v>3607</v>
      </c>
      <c r="C83" s="134">
        <v>716.11</v>
      </c>
      <c r="D83" s="134">
        <v>924.75</v>
      </c>
      <c r="E83" s="134">
        <v>0</v>
      </c>
      <c r="F83" s="142">
        <v>1609</v>
      </c>
      <c r="G83" s="143">
        <v>711.7</v>
      </c>
      <c r="H83" s="143">
        <v>41.8</v>
      </c>
      <c r="I83" s="144" t="s">
        <v>304</v>
      </c>
      <c r="J83" s="142">
        <v>1998</v>
      </c>
      <c r="K83" s="143">
        <v>4.41</v>
      </c>
      <c r="L83" s="143">
        <v>882.95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">
        <v>122</v>
      </c>
      <c r="B84" s="157">
        <v>2530</v>
      </c>
      <c r="C84" s="134">
        <v>1144.8</v>
      </c>
      <c r="D84" s="134">
        <v>70.88</v>
      </c>
      <c r="E84" s="134">
        <v>0.35</v>
      </c>
      <c r="F84" s="142">
        <v>2438</v>
      </c>
      <c r="G84" s="143">
        <v>1144.8</v>
      </c>
      <c r="H84" s="143">
        <v>20.68</v>
      </c>
      <c r="I84" s="143">
        <v>0.2</v>
      </c>
      <c r="J84" s="142">
        <v>92</v>
      </c>
      <c r="K84" s="144" t="s">
        <v>304</v>
      </c>
      <c r="L84" s="143">
        <v>50.2</v>
      </c>
      <c r="M84" s="143">
        <v>0.15</v>
      </c>
      <c r="N84" s="129" t="s">
        <v>248</v>
      </c>
      <c r="O84" s="133"/>
      <c r="P84" s="133"/>
    </row>
    <row r="85" spans="1:16" x14ac:dyDescent="0.2">
      <c r="A85" s="126" t="s">
        <v>124</v>
      </c>
      <c r="B85" s="157">
        <v>9589</v>
      </c>
      <c r="C85" s="134">
        <v>3818.95</v>
      </c>
      <c r="D85" s="134">
        <v>143.25</v>
      </c>
      <c r="E85" s="134">
        <v>0</v>
      </c>
      <c r="F85" s="142">
        <v>9508</v>
      </c>
      <c r="G85" s="143">
        <v>3800.95</v>
      </c>
      <c r="H85" s="143">
        <v>92.4</v>
      </c>
      <c r="I85" s="144" t="s">
        <v>304</v>
      </c>
      <c r="J85" s="142">
        <v>81</v>
      </c>
      <c r="K85" s="143">
        <v>18</v>
      </c>
      <c r="L85" s="143">
        <v>50.85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">
        <v>127</v>
      </c>
      <c r="B86" s="157">
        <v>15814</v>
      </c>
      <c r="C86" s="134">
        <v>13969.020999999999</v>
      </c>
      <c r="D86" s="134">
        <v>147.34</v>
      </c>
      <c r="E86" s="134">
        <v>2.0150000000000001</v>
      </c>
      <c r="F86" s="142">
        <v>15523</v>
      </c>
      <c r="G86" s="143">
        <v>13967.540999999999</v>
      </c>
      <c r="H86" s="143">
        <v>24.55</v>
      </c>
      <c r="I86" s="143">
        <v>1.7150000000000001</v>
      </c>
      <c r="J86" s="142">
        <v>291</v>
      </c>
      <c r="K86" s="143">
        <v>1.48</v>
      </c>
      <c r="L86" s="143">
        <v>122.79</v>
      </c>
      <c r="M86" s="143">
        <v>0.3</v>
      </c>
      <c r="N86" s="129" t="s">
        <v>250</v>
      </c>
      <c r="O86" s="133"/>
      <c r="P86" s="133"/>
    </row>
    <row r="87" spans="1:16" x14ac:dyDescent="0.2">
      <c r="A87" s="126" t="s">
        <v>129</v>
      </c>
      <c r="B87" s="157">
        <v>1925</v>
      </c>
      <c r="C87" s="134">
        <v>424.73099999999999</v>
      </c>
      <c r="D87" s="134">
        <v>258.95</v>
      </c>
      <c r="E87" s="134">
        <v>0</v>
      </c>
      <c r="F87" s="142">
        <v>1128</v>
      </c>
      <c r="G87" s="143">
        <v>406.43099999999998</v>
      </c>
      <c r="H87" s="143">
        <v>20.8</v>
      </c>
      <c r="I87" s="144" t="s">
        <v>304</v>
      </c>
      <c r="J87" s="142">
        <v>797</v>
      </c>
      <c r="K87" s="143">
        <v>18.3</v>
      </c>
      <c r="L87" s="143">
        <v>238.15</v>
      </c>
      <c r="M87" s="144" t="s">
        <v>304</v>
      </c>
      <c r="N87" s="129" t="s">
        <v>251</v>
      </c>
      <c r="O87" s="133"/>
      <c r="P87" s="133"/>
    </row>
    <row r="88" spans="1:16" ht="10.199999999999999" customHeight="1" x14ac:dyDescent="0.2">
      <c r="A88" s="349" t="s">
        <v>252</v>
      </c>
      <c r="B88" s="357">
        <v>46437</v>
      </c>
      <c r="C88" s="348">
        <v>15441.362000000001</v>
      </c>
      <c r="D88" s="348">
        <v>2974.6100000000006</v>
      </c>
      <c r="E88" s="348">
        <v>4</v>
      </c>
      <c r="F88" s="348">
        <v>42733</v>
      </c>
      <c r="G88" s="348">
        <v>15335.451999999999</v>
      </c>
      <c r="H88" s="348">
        <v>201.6</v>
      </c>
      <c r="I88" s="348">
        <v>2</v>
      </c>
      <c r="J88" s="348">
        <v>3704</v>
      </c>
      <c r="K88" s="348">
        <v>105.91</v>
      </c>
      <c r="L88" s="348">
        <v>2773.01</v>
      </c>
      <c r="M88" s="348">
        <v>2</v>
      </c>
      <c r="N88" s="344" t="s">
        <v>253</v>
      </c>
      <c r="O88" s="345"/>
      <c r="P88" s="345"/>
    </row>
    <row r="89" spans="1:16" ht="10.8" customHeight="1" x14ac:dyDescent="0.2">
      <c r="A89" s="349"/>
      <c r="B89" s="357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4"/>
      <c r="O89" s="345"/>
      <c r="P89" s="345"/>
    </row>
    <row r="90" spans="1:16" x14ac:dyDescent="0.2">
      <c r="A90" s="126" t="s">
        <v>131</v>
      </c>
      <c r="B90" s="157">
        <v>1078</v>
      </c>
      <c r="C90" s="134">
        <v>310.89999999999998</v>
      </c>
      <c r="D90" s="134">
        <v>36.1</v>
      </c>
      <c r="E90" s="134">
        <v>0</v>
      </c>
      <c r="F90" s="142">
        <v>969</v>
      </c>
      <c r="G90" s="143">
        <v>310.89999999999998</v>
      </c>
      <c r="H90" s="143">
        <v>7</v>
      </c>
      <c r="I90" s="144" t="s">
        <v>304</v>
      </c>
      <c r="J90" s="142">
        <v>109</v>
      </c>
      <c r="K90" s="144" t="s">
        <v>304</v>
      </c>
      <c r="L90" s="143">
        <v>29.1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">
        <v>133</v>
      </c>
      <c r="B91" s="157">
        <v>2170</v>
      </c>
      <c r="C91" s="134">
        <v>654.20000000000005</v>
      </c>
      <c r="D91" s="134">
        <v>45.25</v>
      </c>
      <c r="E91" s="134">
        <v>0</v>
      </c>
      <c r="F91" s="142">
        <v>2074</v>
      </c>
      <c r="G91" s="143">
        <v>654.20000000000005</v>
      </c>
      <c r="H91" s="143">
        <v>18.3</v>
      </c>
      <c r="I91" s="144" t="s">
        <v>304</v>
      </c>
      <c r="J91" s="142">
        <v>96</v>
      </c>
      <c r="K91" s="144" t="s">
        <v>304</v>
      </c>
      <c r="L91" s="143">
        <v>26.95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">
        <v>135</v>
      </c>
      <c r="B92" s="157">
        <v>12850</v>
      </c>
      <c r="C92" s="134">
        <v>3139.7</v>
      </c>
      <c r="D92" s="134">
        <v>30.700000000000003</v>
      </c>
      <c r="E92" s="134">
        <v>0.5</v>
      </c>
      <c r="F92" s="142">
        <v>12767</v>
      </c>
      <c r="G92" s="143">
        <v>3139.7</v>
      </c>
      <c r="H92" s="143">
        <v>14.8</v>
      </c>
      <c r="I92" s="143">
        <v>0.5</v>
      </c>
      <c r="J92" s="142">
        <v>83</v>
      </c>
      <c r="K92" s="144" t="s">
        <v>304</v>
      </c>
      <c r="L92" s="143">
        <v>15.9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">
        <v>137</v>
      </c>
      <c r="B93" s="157">
        <v>387</v>
      </c>
      <c r="C93" s="134">
        <v>64.600999999999999</v>
      </c>
      <c r="D93" s="134">
        <v>73</v>
      </c>
      <c r="E93" s="134">
        <v>0</v>
      </c>
      <c r="F93" s="142">
        <v>282</v>
      </c>
      <c r="G93" s="143">
        <v>60.100999999999999</v>
      </c>
      <c r="H93" s="143">
        <v>3</v>
      </c>
      <c r="I93" s="144" t="s">
        <v>304</v>
      </c>
      <c r="J93" s="142">
        <v>105</v>
      </c>
      <c r="K93" s="143">
        <v>4.5</v>
      </c>
      <c r="L93" s="143">
        <v>70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">
        <v>139</v>
      </c>
      <c r="B94" s="157">
        <v>401</v>
      </c>
      <c r="C94" s="134">
        <v>34.200000000000003</v>
      </c>
      <c r="D94" s="134">
        <v>37.150000000000006</v>
      </c>
      <c r="E94" s="134">
        <v>0</v>
      </c>
      <c r="F94" s="142">
        <v>243</v>
      </c>
      <c r="G94" s="143">
        <v>30.2</v>
      </c>
      <c r="H94" s="143">
        <v>0.7</v>
      </c>
      <c r="I94" s="144" t="s">
        <v>304</v>
      </c>
      <c r="J94" s="142">
        <v>158</v>
      </c>
      <c r="K94" s="143">
        <v>4</v>
      </c>
      <c r="L94" s="143">
        <v>36.450000000000003</v>
      </c>
      <c r="M94" s="144" t="s">
        <v>304</v>
      </c>
      <c r="N94" s="129" t="s">
        <v>258</v>
      </c>
      <c r="O94" s="133"/>
      <c r="P94" s="133"/>
    </row>
    <row r="95" spans="1:16" x14ac:dyDescent="0.2">
      <c r="A95" s="126" t="s">
        <v>141</v>
      </c>
      <c r="B95" s="157">
        <v>975</v>
      </c>
      <c r="C95" s="134">
        <v>231</v>
      </c>
      <c r="D95" s="134">
        <v>10</v>
      </c>
      <c r="E95" s="134">
        <v>0</v>
      </c>
      <c r="F95" s="142">
        <v>975</v>
      </c>
      <c r="G95" s="143">
        <v>231</v>
      </c>
      <c r="H95" s="143">
        <v>10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">
        <v>144</v>
      </c>
      <c r="B96" s="157">
        <v>474</v>
      </c>
      <c r="C96" s="134">
        <v>365.49</v>
      </c>
      <c r="D96" s="134">
        <v>637.40000000000009</v>
      </c>
      <c r="E96" s="134">
        <v>2.5</v>
      </c>
      <c r="F96" s="142">
        <v>312</v>
      </c>
      <c r="G96" s="143">
        <v>365.49</v>
      </c>
      <c r="H96" s="143">
        <v>44.2</v>
      </c>
      <c r="I96" s="143">
        <v>1.5</v>
      </c>
      <c r="J96" s="142">
        <v>162</v>
      </c>
      <c r="K96" s="144" t="s">
        <v>304</v>
      </c>
      <c r="L96" s="143">
        <v>593.20000000000005</v>
      </c>
      <c r="M96" s="143">
        <v>1</v>
      </c>
      <c r="N96" s="129" t="s">
        <v>260</v>
      </c>
      <c r="O96" s="133"/>
      <c r="P96" s="133"/>
    </row>
    <row r="97" spans="1:16" x14ac:dyDescent="0.2">
      <c r="A97" s="126" t="s">
        <v>146</v>
      </c>
      <c r="B97" s="157">
        <v>2043</v>
      </c>
      <c r="C97" s="134">
        <v>451.61</v>
      </c>
      <c r="D97" s="134">
        <v>70.22</v>
      </c>
      <c r="E97" s="134">
        <v>0</v>
      </c>
      <c r="F97" s="142">
        <v>1916</v>
      </c>
      <c r="G97" s="143">
        <v>451.55</v>
      </c>
      <c r="H97" s="143">
        <v>57</v>
      </c>
      <c r="I97" s="144" t="s">
        <v>304</v>
      </c>
      <c r="J97" s="142">
        <v>127</v>
      </c>
      <c r="K97" s="143">
        <v>0.06</v>
      </c>
      <c r="L97" s="143">
        <v>13.22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">
        <v>148</v>
      </c>
      <c r="B98" s="157">
        <v>410</v>
      </c>
      <c r="C98" s="134">
        <v>81</v>
      </c>
      <c r="D98" s="134">
        <v>16</v>
      </c>
      <c r="E98" s="134">
        <v>0</v>
      </c>
      <c r="F98" s="142">
        <v>360</v>
      </c>
      <c r="G98" s="143">
        <v>81</v>
      </c>
      <c r="H98" s="144" t="s">
        <v>304</v>
      </c>
      <c r="I98" s="144" t="s">
        <v>304</v>
      </c>
      <c r="J98" s="142">
        <v>50</v>
      </c>
      <c r="K98" s="144" t="s">
        <v>304</v>
      </c>
      <c r="L98" s="143">
        <v>16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">
        <v>150</v>
      </c>
      <c r="B99" s="157">
        <v>6234</v>
      </c>
      <c r="C99" s="134">
        <v>2453.5100000000002</v>
      </c>
      <c r="D99" s="134">
        <v>107.24000000000001</v>
      </c>
      <c r="E99" s="134">
        <v>0</v>
      </c>
      <c r="F99" s="142">
        <v>5259</v>
      </c>
      <c r="G99" s="143">
        <v>2388.0100000000002</v>
      </c>
      <c r="H99" s="143">
        <v>20.399999999999999</v>
      </c>
      <c r="I99" s="144" t="s">
        <v>304</v>
      </c>
      <c r="J99" s="142">
        <v>975</v>
      </c>
      <c r="K99" s="143">
        <v>65.5</v>
      </c>
      <c r="L99" s="143">
        <v>86.84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">
        <v>152</v>
      </c>
      <c r="B100" s="157">
        <v>7490</v>
      </c>
      <c r="C100" s="134">
        <v>1627.5</v>
      </c>
      <c r="D100" s="134">
        <v>28.85</v>
      </c>
      <c r="E100" s="134">
        <v>0</v>
      </c>
      <c r="F100" s="142">
        <v>7258</v>
      </c>
      <c r="G100" s="143">
        <v>1627.5</v>
      </c>
      <c r="H100" s="143">
        <v>4.8499999999999996</v>
      </c>
      <c r="I100" s="144" t="s">
        <v>304</v>
      </c>
      <c r="J100" s="142">
        <v>232</v>
      </c>
      <c r="K100" s="144" t="s">
        <v>304</v>
      </c>
      <c r="L100" s="143">
        <v>24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">
        <v>154</v>
      </c>
      <c r="B101" s="157">
        <v>10549</v>
      </c>
      <c r="C101" s="134">
        <v>5711.451</v>
      </c>
      <c r="D101" s="134">
        <v>1814.9</v>
      </c>
      <c r="E101" s="134">
        <v>1</v>
      </c>
      <c r="F101" s="142">
        <v>9177</v>
      </c>
      <c r="G101" s="143">
        <v>5680.4009999999998</v>
      </c>
      <c r="H101" s="143">
        <v>19.5</v>
      </c>
      <c r="I101" s="144" t="s">
        <v>304</v>
      </c>
      <c r="J101" s="142">
        <v>1372</v>
      </c>
      <c r="K101" s="143">
        <v>31.05</v>
      </c>
      <c r="L101" s="143">
        <v>1795.4</v>
      </c>
      <c r="M101" s="143">
        <v>1</v>
      </c>
      <c r="N101" s="129" t="s">
        <v>265</v>
      </c>
      <c r="O101" s="133"/>
      <c r="P101" s="133"/>
    </row>
    <row r="102" spans="1:16" x14ac:dyDescent="0.2">
      <c r="A102" s="126" t="s">
        <v>156</v>
      </c>
      <c r="B102" s="157">
        <v>1376</v>
      </c>
      <c r="C102" s="134">
        <v>316.2</v>
      </c>
      <c r="D102" s="134">
        <v>67.8</v>
      </c>
      <c r="E102" s="134">
        <v>0</v>
      </c>
      <c r="F102" s="142">
        <v>1141</v>
      </c>
      <c r="G102" s="143">
        <v>315.39999999999998</v>
      </c>
      <c r="H102" s="143">
        <v>1.85</v>
      </c>
      <c r="I102" s="144" t="s">
        <v>304</v>
      </c>
      <c r="J102" s="142">
        <v>235</v>
      </c>
      <c r="K102" s="143">
        <v>0.8</v>
      </c>
      <c r="L102" s="143">
        <v>65.95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49" t="s">
        <v>267</v>
      </c>
      <c r="B103" s="357">
        <v>90836</v>
      </c>
      <c r="C103" s="348">
        <v>44377.855000000003</v>
      </c>
      <c r="D103" s="348">
        <v>10179.455</v>
      </c>
      <c r="E103" s="348">
        <v>29.9</v>
      </c>
      <c r="F103" s="348">
        <v>75854</v>
      </c>
      <c r="G103" s="348">
        <v>41566.354999999996</v>
      </c>
      <c r="H103" s="348">
        <v>698.34500000000003</v>
      </c>
      <c r="I103" s="348">
        <v>4</v>
      </c>
      <c r="J103" s="348">
        <v>14982</v>
      </c>
      <c r="K103" s="348">
        <v>2811.4999999999995</v>
      </c>
      <c r="L103" s="348">
        <v>9481.11</v>
      </c>
      <c r="M103" s="348">
        <v>25.9</v>
      </c>
      <c r="N103" s="344" t="s">
        <v>268</v>
      </c>
      <c r="O103" s="345"/>
      <c r="P103" s="345"/>
    </row>
    <row r="104" spans="1:16" x14ac:dyDescent="0.2">
      <c r="A104" s="349"/>
      <c r="B104" s="357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4"/>
      <c r="O104" s="345"/>
      <c r="P104" s="345"/>
    </row>
    <row r="105" spans="1:16" x14ac:dyDescent="0.2">
      <c r="A105" s="126" t="s">
        <v>158</v>
      </c>
      <c r="B105" s="157">
        <v>46991</v>
      </c>
      <c r="C105" s="134">
        <v>21973.815999999999</v>
      </c>
      <c r="D105" s="134">
        <v>9235.92</v>
      </c>
      <c r="E105" s="134">
        <v>25</v>
      </c>
      <c r="F105" s="142">
        <v>33430</v>
      </c>
      <c r="G105" s="143">
        <v>19328.315999999999</v>
      </c>
      <c r="H105" s="143">
        <v>234.32</v>
      </c>
      <c r="I105" s="144" t="s">
        <v>304</v>
      </c>
      <c r="J105" s="142">
        <v>13561</v>
      </c>
      <c r="K105" s="143">
        <v>2645.5</v>
      </c>
      <c r="L105" s="143">
        <v>9001.6</v>
      </c>
      <c r="M105" s="143">
        <v>25</v>
      </c>
      <c r="N105" s="129" t="s">
        <v>269</v>
      </c>
      <c r="O105" s="133"/>
      <c r="P105" s="133"/>
    </row>
    <row r="106" spans="1:16" x14ac:dyDescent="0.2">
      <c r="A106" s="126" t="s">
        <v>160</v>
      </c>
      <c r="B106" s="157">
        <v>14261</v>
      </c>
      <c r="C106" s="134">
        <v>4923.2889999999998</v>
      </c>
      <c r="D106" s="134">
        <v>199.25</v>
      </c>
      <c r="E106" s="134">
        <v>4</v>
      </c>
      <c r="F106" s="142">
        <v>13825</v>
      </c>
      <c r="G106" s="143">
        <v>4900.5889999999999</v>
      </c>
      <c r="H106" s="143">
        <v>85.6</v>
      </c>
      <c r="I106" s="143">
        <v>4</v>
      </c>
      <c r="J106" s="142">
        <v>436</v>
      </c>
      <c r="K106" s="143">
        <v>22.7</v>
      </c>
      <c r="L106" s="143">
        <v>113.65</v>
      </c>
      <c r="M106" s="144" t="s">
        <v>304</v>
      </c>
      <c r="N106" s="129" t="s">
        <v>270</v>
      </c>
      <c r="O106" s="133"/>
      <c r="P106" s="133"/>
    </row>
    <row r="107" spans="1:16" x14ac:dyDescent="0.2">
      <c r="A107" s="126" t="s">
        <v>163</v>
      </c>
      <c r="B107" s="157">
        <v>13455</v>
      </c>
      <c r="C107" s="134">
        <v>4226.6000000000004</v>
      </c>
      <c r="D107" s="134">
        <v>242.08499999999998</v>
      </c>
      <c r="E107" s="134">
        <v>0.9</v>
      </c>
      <c r="F107" s="142">
        <v>12867</v>
      </c>
      <c r="G107" s="143">
        <v>4187.5</v>
      </c>
      <c r="H107" s="143">
        <v>126.845</v>
      </c>
      <c r="I107" s="144" t="s">
        <v>304</v>
      </c>
      <c r="J107" s="142">
        <v>588</v>
      </c>
      <c r="K107" s="143">
        <v>39.1</v>
      </c>
      <c r="L107" s="143">
        <v>115.24</v>
      </c>
      <c r="M107" s="143">
        <v>0.9</v>
      </c>
      <c r="N107" s="129" t="s">
        <v>271</v>
      </c>
      <c r="O107" s="133"/>
      <c r="P107" s="133"/>
    </row>
    <row r="108" spans="1:16" ht="10.8" thickBot="1" x14ac:dyDescent="0.25">
      <c r="A108" s="127" t="s">
        <v>166</v>
      </c>
      <c r="B108" s="158">
        <v>16129</v>
      </c>
      <c r="C108" s="136">
        <v>13254.150000000001</v>
      </c>
      <c r="D108" s="136">
        <v>502.20000000000005</v>
      </c>
      <c r="E108" s="136">
        <v>0</v>
      </c>
      <c r="F108" s="150">
        <v>15732</v>
      </c>
      <c r="G108" s="151">
        <v>13149.95</v>
      </c>
      <c r="H108" s="151">
        <v>251.58</v>
      </c>
      <c r="I108" s="152" t="s">
        <v>304</v>
      </c>
      <c r="J108" s="150">
        <v>397</v>
      </c>
      <c r="K108" s="151">
        <v>104.2</v>
      </c>
      <c r="L108" s="151">
        <v>250.62</v>
      </c>
      <c r="M108" s="152" t="s">
        <v>304</v>
      </c>
      <c r="N108" s="130" t="s">
        <v>272</v>
      </c>
      <c r="O108" s="128"/>
      <c r="P108" s="128"/>
    </row>
    <row r="110" spans="1:16" ht="13.2" customHeight="1" x14ac:dyDescent="0.2">
      <c r="A110" s="137" t="s">
        <v>300</v>
      </c>
      <c r="K110" s="120" t="s">
        <v>302</v>
      </c>
      <c r="L110" s="120"/>
      <c r="M110" s="120"/>
      <c r="N110" s="131"/>
      <c r="O110" s="131"/>
      <c r="P110" s="131"/>
    </row>
    <row r="111" spans="1:16" ht="22.2" customHeight="1" x14ac:dyDescent="0.2">
      <c r="A111" s="163" t="s">
        <v>301</v>
      </c>
      <c r="K111" s="359" t="s">
        <v>303</v>
      </c>
      <c r="L111" s="359"/>
      <c r="M111" s="359"/>
      <c r="N111" s="359"/>
      <c r="O111" s="359"/>
      <c r="P111" s="359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6" x14ac:dyDescent="0.2">
      <c r="B2" s="368" t="s">
        <v>295</v>
      </c>
      <c r="C2" s="368"/>
      <c r="D2" s="368"/>
      <c r="E2" s="368"/>
      <c r="F2" s="368"/>
      <c r="G2" s="368"/>
      <c r="H2" s="369" t="s">
        <v>273</v>
      </c>
      <c r="I2" s="369"/>
      <c r="J2" s="369"/>
      <c r="K2" s="369"/>
      <c r="L2" s="369"/>
      <c r="M2" s="369"/>
      <c r="N2" s="121"/>
      <c r="O2" s="121"/>
      <c r="P2" s="121"/>
    </row>
    <row r="3" spans="1:16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6" ht="10.8" thickBot="1" x14ac:dyDescent="0.25">
      <c r="A4" s="124" t="s">
        <v>170</v>
      </c>
      <c r="B4" s="132"/>
      <c r="C4" s="132"/>
      <c r="D4" s="132"/>
      <c r="E4" s="132"/>
      <c r="F4" s="132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60" t="s">
        <v>274</v>
      </c>
      <c r="B5" s="325" t="s">
        <v>296</v>
      </c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35" t="s">
        <v>172</v>
      </c>
      <c r="O5" s="318"/>
      <c r="P5" s="318"/>
    </row>
    <row r="6" spans="1:16" x14ac:dyDescent="0.2">
      <c r="A6" s="361"/>
      <c r="B6" s="331" t="s">
        <v>297</v>
      </c>
      <c r="C6" s="332"/>
      <c r="D6" s="332"/>
      <c r="E6" s="370"/>
      <c r="F6" s="331" t="s">
        <v>298</v>
      </c>
      <c r="G6" s="332"/>
      <c r="H6" s="332"/>
      <c r="I6" s="370"/>
      <c r="J6" s="331" t="s">
        <v>299</v>
      </c>
      <c r="K6" s="332"/>
      <c r="L6" s="332"/>
      <c r="M6" s="332"/>
      <c r="N6" s="336"/>
      <c r="O6" s="319"/>
      <c r="P6" s="319"/>
    </row>
    <row r="7" spans="1:16" ht="14.4" x14ac:dyDescent="0.3">
      <c r="A7" s="361"/>
      <c r="B7" s="329" t="s">
        <v>275</v>
      </c>
      <c r="C7" s="331" t="s">
        <v>276</v>
      </c>
      <c r="D7" s="249"/>
      <c r="E7" s="250"/>
      <c r="F7" s="333" t="s">
        <v>275</v>
      </c>
      <c r="G7" s="331" t="s">
        <v>276</v>
      </c>
      <c r="H7" s="249"/>
      <c r="I7" s="250"/>
      <c r="J7" s="333" t="s">
        <v>275</v>
      </c>
      <c r="K7" s="331" t="s">
        <v>276</v>
      </c>
      <c r="L7" s="249"/>
      <c r="M7" s="249"/>
      <c r="N7" s="336"/>
      <c r="O7" s="319"/>
      <c r="P7" s="319"/>
    </row>
    <row r="8" spans="1:16" ht="52.2" x14ac:dyDescent="0.2">
      <c r="A8" s="362"/>
      <c r="B8" s="371"/>
      <c r="C8" s="138" t="s">
        <v>277</v>
      </c>
      <c r="D8" s="139" t="s">
        <v>285</v>
      </c>
      <c r="E8" s="138" t="s">
        <v>279</v>
      </c>
      <c r="F8" s="363"/>
      <c r="G8" s="138" t="s">
        <v>277</v>
      </c>
      <c r="H8" s="139" t="s">
        <v>285</v>
      </c>
      <c r="I8" s="138" t="s">
        <v>279</v>
      </c>
      <c r="J8" s="363"/>
      <c r="K8" s="138" t="s">
        <v>277</v>
      </c>
      <c r="L8" s="139" t="s">
        <v>285</v>
      </c>
      <c r="M8" s="164" t="s">
        <v>279</v>
      </c>
      <c r="N8" s="337"/>
      <c r="O8" s="320"/>
      <c r="P8" s="320"/>
    </row>
    <row r="9" spans="1:16" x14ac:dyDescent="0.2">
      <c r="A9" s="350" t="s">
        <v>173</v>
      </c>
      <c r="B9" s="355">
        <f t="shared" ref="B9:G9" si="0">SUM(B11,B19,B32,B38,B45,B52,B59,B64,B71,B81,B88,B103)</f>
        <v>181334</v>
      </c>
      <c r="C9" s="353">
        <f t="shared" si="0"/>
        <v>1179.0999999999999</v>
      </c>
      <c r="D9" s="342">
        <f t="shared" si="0"/>
        <v>46.375</v>
      </c>
      <c r="E9" s="342">
        <f t="shared" si="0"/>
        <v>39941.547999999995</v>
      </c>
      <c r="F9" s="342">
        <f t="shared" si="0"/>
        <v>199941</v>
      </c>
      <c r="G9" s="342">
        <f t="shared" si="0"/>
        <v>27762.2</v>
      </c>
      <c r="H9" s="342">
        <f t="shared" ref="H9:M9" si="1">SUM(H11,H19,H32,H38,H45,H52,H59,H64,H71,H81,H88,H103)</f>
        <v>90840.569999999992</v>
      </c>
      <c r="I9" s="342">
        <f t="shared" si="1"/>
        <v>13103.725</v>
      </c>
      <c r="J9" s="342">
        <f t="shared" si="1"/>
        <v>843</v>
      </c>
      <c r="K9" s="342">
        <f t="shared" si="1"/>
        <v>236.79999999999998</v>
      </c>
      <c r="L9" s="342">
        <f t="shared" si="1"/>
        <v>38.519999999999996</v>
      </c>
      <c r="M9" s="342">
        <f t="shared" si="1"/>
        <v>96.072000000000003</v>
      </c>
      <c r="N9" s="372" t="s">
        <v>174</v>
      </c>
      <c r="O9" s="317"/>
      <c r="P9" s="317"/>
    </row>
    <row r="10" spans="1:16" x14ac:dyDescent="0.2">
      <c r="A10" s="351"/>
      <c r="B10" s="356"/>
      <c r="C10" s="354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72"/>
      <c r="O10" s="317"/>
      <c r="P10" s="317"/>
    </row>
    <row r="11" spans="1:16" x14ac:dyDescent="0.2">
      <c r="A11" s="364" t="s">
        <v>175</v>
      </c>
      <c r="B11" s="357">
        <f t="shared" ref="B11:L11" si="2">SUM(B13:B18)</f>
        <v>0</v>
      </c>
      <c r="C11" s="358">
        <f t="shared" si="2"/>
        <v>0</v>
      </c>
      <c r="D11" s="358">
        <f t="shared" si="2"/>
        <v>0</v>
      </c>
      <c r="E11" s="358">
        <f t="shared" si="2"/>
        <v>0</v>
      </c>
      <c r="F11" s="358">
        <f t="shared" si="2"/>
        <v>0</v>
      </c>
      <c r="G11" s="358">
        <f t="shared" si="2"/>
        <v>0</v>
      </c>
      <c r="H11" s="358">
        <f t="shared" si="2"/>
        <v>0</v>
      </c>
      <c r="I11" s="358">
        <f t="shared" si="2"/>
        <v>0</v>
      </c>
      <c r="J11" s="358">
        <f t="shared" si="2"/>
        <v>0</v>
      </c>
      <c r="K11" s="358">
        <f t="shared" si="2"/>
        <v>0</v>
      </c>
      <c r="L11" s="358">
        <f t="shared" si="2"/>
        <v>0</v>
      </c>
      <c r="M11" s="358">
        <f>SUM(M13:M18)</f>
        <v>0</v>
      </c>
      <c r="N11" s="340" t="s">
        <v>176</v>
      </c>
      <c r="O11" s="341"/>
      <c r="P11" s="341"/>
    </row>
    <row r="12" spans="1:16" x14ac:dyDescent="0.2">
      <c r="A12" s="364"/>
      <c r="B12" s="357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40"/>
      <c r="O12" s="341"/>
      <c r="P12" s="341"/>
    </row>
    <row r="13" spans="1:16" x14ac:dyDescent="0.2">
      <c r="A13" s="126" t="s">
        <v>1</v>
      </c>
      <c r="B13" s="165" t="s">
        <v>304</v>
      </c>
      <c r="C13" s="145" t="s">
        <v>304</v>
      </c>
      <c r="D13" s="144" t="s">
        <v>304</v>
      </c>
      <c r="E13" s="144" t="s">
        <v>304</v>
      </c>
      <c r="F13" s="145" t="s">
        <v>304</v>
      </c>
      <c r="G13" s="144" t="s">
        <v>304</v>
      </c>
      <c r="H13" s="144" t="s">
        <v>304</v>
      </c>
      <c r="I13" s="144" t="s">
        <v>304</v>
      </c>
      <c r="J13" s="145" t="s">
        <v>304</v>
      </c>
      <c r="K13" s="144" t="s">
        <v>304</v>
      </c>
      <c r="L13" s="144" t="s">
        <v>304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">
        <v>4</v>
      </c>
      <c r="B14" s="166" t="s">
        <v>304</v>
      </c>
      <c r="C14" s="145" t="s">
        <v>304</v>
      </c>
      <c r="D14" s="144" t="s">
        <v>304</v>
      </c>
      <c r="E14" s="144" t="s">
        <v>304</v>
      </c>
      <c r="F14" s="145" t="s">
        <v>304</v>
      </c>
      <c r="G14" s="144" t="s">
        <v>304</v>
      </c>
      <c r="H14" s="144" t="s">
        <v>304</v>
      </c>
      <c r="I14" s="144" t="s">
        <v>304</v>
      </c>
      <c r="J14" s="145" t="s">
        <v>304</v>
      </c>
      <c r="K14" s="144" t="s">
        <v>304</v>
      </c>
      <c r="L14" s="144" t="s">
        <v>304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">
        <v>6</v>
      </c>
      <c r="B15" s="166" t="s">
        <v>304</v>
      </c>
      <c r="C15" s="145" t="s">
        <v>304</v>
      </c>
      <c r="D15" s="144" t="s">
        <v>304</v>
      </c>
      <c r="E15" s="144" t="s">
        <v>304</v>
      </c>
      <c r="F15" s="145" t="s">
        <v>304</v>
      </c>
      <c r="G15" s="144" t="s">
        <v>304</v>
      </c>
      <c r="H15" s="144" t="s">
        <v>304</v>
      </c>
      <c r="I15" s="144" t="s">
        <v>304</v>
      </c>
      <c r="J15" s="145" t="s">
        <v>304</v>
      </c>
      <c r="K15" s="144" t="s">
        <v>304</v>
      </c>
      <c r="L15" s="144" t="s">
        <v>304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">
        <v>9</v>
      </c>
      <c r="B16" s="166" t="s">
        <v>304</v>
      </c>
      <c r="C16" s="145" t="s">
        <v>304</v>
      </c>
      <c r="D16" s="144" t="s">
        <v>304</v>
      </c>
      <c r="E16" s="144" t="s">
        <v>304</v>
      </c>
      <c r="F16" s="145" t="s">
        <v>304</v>
      </c>
      <c r="G16" s="144" t="s">
        <v>304</v>
      </c>
      <c r="H16" s="144" t="s">
        <v>304</v>
      </c>
      <c r="I16" s="144" t="s">
        <v>304</v>
      </c>
      <c r="J16" s="145" t="s">
        <v>304</v>
      </c>
      <c r="K16" s="144" t="s">
        <v>304</v>
      </c>
      <c r="L16" s="144" t="s">
        <v>304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">
        <v>12</v>
      </c>
      <c r="B17" s="166" t="s">
        <v>304</v>
      </c>
      <c r="C17" s="145" t="s">
        <v>304</v>
      </c>
      <c r="D17" s="144" t="s">
        <v>304</v>
      </c>
      <c r="E17" s="144" t="s">
        <v>304</v>
      </c>
      <c r="F17" s="145" t="s">
        <v>304</v>
      </c>
      <c r="G17" s="144" t="s">
        <v>304</v>
      </c>
      <c r="H17" s="144" t="s">
        <v>304</v>
      </c>
      <c r="I17" s="144" t="s">
        <v>304</v>
      </c>
      <c r="J17" s="145" t="s">
        <v>304</v>
      </c>
      <c r="K17" s="144" t="s">
        <v>304</v>
      </c>
      <c r="L17" s="144" t="s">
        <v>304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">
        <v>14</v>
      </c>
      <c r="B18" s="166" t="s">
        <v>304</v>
      </c>
      <c r="C18" s="145" t="s">
        <v>304</v>
      </c>
      <c r="D18" s="144" t="s">
        <v>304</v>
      </c>
      <c r="E18" s="144" t="s">
        <v>304</v>
      </c>
      <c r="F18" s="145" t="s">
        <v>304</v>
      </c>
      <c r="G18" s="144" t="s">
        <v>304</v>
      </c>
      <c r="H18" s="144" t="s">
        <v>304</v>
      </c>
      <c r="I18" s="144" t="s">
        <v>304</v>
      </c>
      <c r="J18" s="145" t="s">
        <v>304</v>
      </c>
      <c r="K18" s="144" t="s">
        <v>304</v>
      </c>
      <c r="L18" s="144" t="s">
        <v>304</v>
      </c>
      <c r="M18" s="144" t="s">
        <v>304</v>
      </c>
      <c r="N18" s="129" t="s">
        <v>182</v>
      </c>
      <c r="O18" s="133"/>
      <c r="P18" s="133"/>
    </row>
    <row r="19" spans="1:16" x14ac:dyDescent="0.2">
      <c r="A19" s="349" t="s">
        <v>183</v>
      </c>
      <c r="B19" s="365">
        <f>SUM(B21:B31)</f>
        <v>0</v>
      </c>
      <c r="C19" s="366">
        <f>SUM(C21:C31)</f>
        <v>0</v>
      </c>
      <c r="D19" s="367">
        <f t="shared" ref="D19:K19" si="3">SUM(D21:D31)</f>
        <v>0</v>
      </c>
      <c r="E19" s="367">
        <f t="shared" si="3"/>
        <v>0</v>
      </c>
      <c r="F19" s="366">
        <f t="shared" si="3"/>
        <v>0</v>
      </c>
      <c r="G19" s="367">
        <f t="shared" si="3"/>
        <v>0</v>
      </c>
      <c r="H19" s="367">
        <f t="shared" si="3"/>
        <v>0</v>
      </c>
      <c r="I19" s="367">
        <f t="shared" si="3"/>
        <v>0</v>
      </c>
      <c r="J19" s="367">
        <f t="shared" si="3"/>
        <v>0</v>
      </c>
      <c r="K19" s="366">
        <f t="shared" si="3"/>
        <v>0</v>
      </c>
      <c r="L19" s="366">
        <f>SUM(L21:L31)</f>
        <v>0</v>
      </c>
      <c r="M19" s="366">
        <f>SUM(M21:M31)</f>
        <v>0</v>
      </c>
      <c r="N19" s="346" t="s">
        <v>184</v>
      </c>
      <c r="O19" s="347"/>
      <c r="P19" s="347"/>
    </row>
    <row r="20" spans="1:16" x14ac:dyDescent="0.2">
      <c r="A20" s="349"/>
      <c r="B20" s="365"/>
      <c r="C20" s="366"/>
      <c r="D20" s="367"/>
      <c r="E20" s="367"/>
      <c r="F20" s="366"/>
      <c r="G20" s="367"/>
      <c r="H20" s="367"/>
      <c r="I20" s="367"/>
      <c r="J20" s="367"/>
      <c r="K20" s="366"/>
      <c r="L20" s="366"/>
      <c r="M20" s="366"/>
      <c r="N20" s="346"/>
      <c r="O20" s="347"/>
      <c r="P20" s="347"/>
    </row>
    <row r="21" spans="1:16" x14ac:dyDescent="0.2">
      <c r="A21" s="126" t="s">
        <v>16</v>
      </c>
      <c r="B21" s="166" t="s">
        <v>304</v>
      </c>
      <c r="C21" s="145" t="s">
        <v>304</v>
      </c>
      <c r="D21" s="144" t="s">
        <v>304</v>
      </c>
      <c r="E21" s="144" t="s">
        <v>304</v>
      </c>
      <c r="F21" s="145" t="s">
        <v>304</v>
      </c>
      <c r="G21" s="144" t="s">
        <v>304</v>
      </c>
      <c r="H21" s="144" t="s">
        <v>304</v>
      </c>
      <c r="I21" s="144" t="s">
        <v>304</v>
      </c>
      <c r="J21" s="145" t="s">
        <v>304</v>
      </c>
      <c r="K21" s="144" t="s">
        <v>304</v>
      </c>
      <c r="L21" s="144" t="s">
        <v>304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">
        <v>18</v>
      </c>
      <c r="B22" s="166" t="s">
        <v>304</v>
      </c>
      <c r="C22" s="145" t="s">
        <v>304</v>
      </c>
      <c r="D22" s="144" t="s">
        <v>304</v>
      </c>
      <c r="E22" s="144" t="s">
        <v>304</v>
      </c>
      <c r="F22" s="145" t="s">
        <v>304</v>
      </c>
      <c r="G22" s="144" t="s">
        <v>304</v>
      </c>
      <c r="H22" s="144" t="s">
        <v>304</v>
      </c>
      <c r="I22" s="144" t="s">
        <v>304</v>
      </c>
      <c r="J22" s="145" t="s">
        <v>304</v>
      </c>
      <c r="K22" s="144" t="s">
        <v>304</v>
      </c>
      <c r="L22" s="144" t="s">
        <v>304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">
        <v>20</v>
      </c>
      <c r="B23" s="166" t="s">
        <v>304</v>
      </c>
      <c r="C23" s="145" t="s">
        <v>304</v>
      </c>
      <c r="D23" s="144" t="s">
        <v>304</v>
      </c>
      <c r="E23" s="144" t="s">
        <v>304</v>
      </c>
      <c r="F23" s="145" t="s">
        <v>304</v>
      </c>
      <c r="G23" s="144" t="s">
        <v>304</v>
      </c>
      <c r="H23" s="144" t="s">
        <v>304</v>
      </c>
      <c r="I23" s="144" t="s">
        <v>304</v>
      </c>
      <c r="J23" s="145" t="s">
        <v>304</v>
      </c>
      <c r="K23" s="144" t="s">
        <v>304</v>
      </c>
      <c r="L23" s="144" t="s">
        <v>304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">
        <v>22</v>
      </c>
      <c r="B24" s="166" t="s">
        <v>304</v>
      </c>
      <c r="C24" s="145" t="s">
        <v>304</v>
      </c>
      <c r="D24" s="144" t="s">
        <v>304</v>
      </c>
      <c r="E24" s="144" t="s">
        <v>304</v>
      </c>
      <c r="F24" s="145" t="s">
        <v>304</v>
      </c>
      <c r="G24" s="144" t="s">
        <v>304</v>
      </c>
      <c r="H24" s="144" t="s">
        <v>304</v>
      </c>
      <c r="I24" s="144" t="s">
        <v>304</v>
      </c>
      <c r="J24" s="145" t="s">
        <v>304</v>
      </c>
      <c r="K24" s="144" t="s">
        <v>304</v>
      </c>
      <c r="L24" s="144" t="s">
        <v>304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">
        <v>24</v>
      </c>
      <c r="B25" s="166" t="s">
        <v>304</v>
      </c>
      <c r="C25" s="145" t="s">
        <v>304</v>
      </c>
      <c r="D25" s="144" t="s">
        <v>304</v>
      </c>
      <c r="E25" s="144" t="s">
        <v>304</v>
      </c>
      <c r="F25" s="145" t="s">
        <v>304</v>
      </c>
      <c r="G25" s="144" t="s">
        <v>304</v>
      </c>
      <c r="H25" s="144" t="s">
        <v>304</v>
      </c>
      <c r="I25" s="144" t="s">
        <v>304</v>
      </c>
      <c r="J25" s="145" t="s">
        <v>304</v>
      </c>
      <c r="K25" s="144" t="s">
        <v>304</v>
      </c>
      <c r="L25" s="144" t="s">
        <v>304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">
        <v>27</v>
      </c>
      <c r="B26" s="166" t="s">
        <v>304</v>
      </c>
      <c r="C26" s="145" t="s">
        <v>304</v>
      </c>
      <c r="D26" s="144" t="s">
        <v>304</v>
      </c>
      <c r="E26" s="144" t="s">
        <v>304</v>
      </c>
      <c r="F26" s="145" t="s">
        <v>304</v>
      </c>
      <c r="G26" s="144" t="s">
        <v>304</v>
      </c>
      <c r="H26" s="144" t="s">
        <v>304</v>
      </c>
      <c r="I26" s="144" t="s">
        <v>304</v>
      </c>
      <c r="J26" s="145" t="s">
        <v>304</v>
      </c>
      <c r="K26" s="144" t="s">
        <v>304</v>
      </c>
      <c r="L26" s="144" t="s">
        <v>304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">
        <v>29</v>
      </c>
      <c r="B27" s="166" t="s">
        <v>304</v>
      </c>
      <c r="C27" s="145" t="s">
        <v>304</v>
      </c>
      <c r="D27" s="144" t="s">
        <v>304</v>
      </c>
      <c r="E27" s="144" t="s">
        <v>304</v>
      </c>
      <c r="F27" s="145" t="s">
        <v>304</v>
      </c>
      <c r="G27" s="144" t="s">
        <v>304</v>
      </c>
      <c r="H27" s="144" t="s">
        <v>304</v>
      </c>
      <c r="I27" s="144" t="s">
        <v>304</v>
      </c>
      <c r="J27" s="145" t="s">
        <v>304</v>
      </c>
      <c r="K27" s="144" t="s">
        <v>304</v>
      </c>
      <c r="L27" s="144" t="s">
        <v>304</v>
      </c>
      <c r="M27" s="144" t="s">
        <v>304</v>
      </c>
      <c r="N27" s="129" t="s">
        <v>191</v>
      </c>
      <c r="O27" s="133"/>
      <c r="P27" s="133"/>
    </row>
    <row r="28" spans="1:16" x14ac:dyDescent="0.2">
      <c r="A28" s="126" t="s">
        <v>31</v>
      </c>
      <c r="B28" s="166" t="s">
        <v>304</v>
      </c>
      <c r="C28" s="145" t="s">
        <v>304</v>
      </c>
      <c r="D28" s="144" t="s">
        <v>304</v>
      </c>
      <c r="E28" s="144" t="s">
        <v>304</v>
      </c>
      <c r="F28" s="145" t="s">
        <v>304</v>
      </c>
      <c r="G28" s="144" t="s">
        <v>304</v>
      </c>
      <c r="H28" s="144" t="s">
        <v>304</v>
      </c>
      <c r="I28" s="144" t="s">
        <v>304</v>
      </c>
      <c r="J28" s="145" t="s">
        <v>304</v>
      </c>
      <c r="K28" s="144" t="s">
        <v>304</v>
      </c>
      <c r="L28" s="144" t="s">
        <v>304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">
        <v>33</v>
      </c>
      <c r="B29" s="166" t="s">
        <v>304</v>
      </c>
      <c r="C29" s="145" t="s">
        <v>304</v>
      </c>
      <c r="D29" s="144" t="s">
        <v>304</v>
      </c>
      <c r="E29" s="144" t="s">
        <v>304</v>
      </c>
      <c r="F29" s="145" t="s">
        <v>304</v>
      </c>
      <c r="G29" s="144" t="s">
        <v>304</v>
      </c>
      <c r="H29" s="144" t="s">
        <v>304</v>
      </c>
      <c r="I29" s="144" t="s">
        <v>304</v>
      </c>
      <c r="J29" s="145" t="s">
        <v>304</v>
      </c>
      <c r="K29" s="144" t="s">
        <v>304</v>
      </c>
      <c r="L29" s="144" t="s">
        <v>304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">
        <v>35</v>
      </c>
      <c r="B30" s="166" t="s">
        <v>304</v>
      </c>
      <c r="C30" s="145" t="s">
        <v>304</v>
      </c>
      <c r="D30" s="144" t="s">
        <v>304</v>
      </c>
      <c r="E30" s="144" t="s">
        <v>304</v>
      </c>
      <c r="F30" s="145" t="s">
        <v>304</v>
      </c>
      <c r="G30" s="144" t="s">
        <v>304</v>
      </c>
      <c r="H30" s="144" t="s">
        <v>304</v>
      </c>
      <c r="I30" s="144" t="s">
        <v>304</v>
      </c>
      <c r="J30" s="145" t="s">
        <v>304</v>
      </c>
      <c r="K30" s="144" t="s">
        <v>304</v>
      </c>
      <c r="L30" s="144" t="s">
        <v>304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">
        <v>37</v>
      </c>
      <c r="B31" s="166" t="s">
        <v>304</v>
      </c>
      <c r="C31" s="145" t="s">
        <v>304</v>
      </c>
      <c r="D31" s="144" t="s">
        <v>304</v>
      </c>
      <c r="E31" s="144" t="s">
        <v>304</v>
      </c>
      <c r="F31" s="145" t="s">
        <v>304</v>
      </c>
      <c r="G31" s="144" t="s">
        <v>304</v>
      </c>
      <c r="H31" s="144" t="s">
        <v>304</v>
      </c>
      <c r="I31" s="144" t="s">
        <v>304</v>
      </c>
      <c r="J31" s="145" t="s">
        <v>304</v>
      </c>
      <c r="K31" s="144" t="s">
        <v>304</v>
      </c>
      <c r="L31" s="144" t="s">
        <v>304</v>
      </c>
      <c r="M31" s="144" t="s">
        <v>304</v>
      </c>
      <c r="N31" s="129" t="s">
        <v>195</v>
      </c>
      <c r="O31" s="133"/>
      <c r="P31" s="133"/>
    </row>
    <row r="32" spans="1:16" x14ac:dyDescent="0.2">
      <c r="A32" s="349" t="s">
        <v>196</v>
      </c>
      <c r="B32" s="365">
        <f>SUM(B34:B37)</f>
        <v>0</v>
      </c>
      <c r="C32" s="366">
        <f>SUM(C34:C37)</f>
        <v>0</v>
      </c>
      <c r="D32" s="367">
        <f t="shared" ref="D32:K32" si="4">SUM(D34:D37)</f>
        <v>0</v>
      </c>
      <c r="E32" s="367">
        <f t="shared" si="4"/>
        <v>0</v>
      </c>
      <c r="F32" s="366">
        <f t="shared" si="4"/>
        <v>0</v>
      </c>
      <c r="G32" s="367">
        <f t="shared" si="4"/>
        <v>0</v>
      </c>
      <c r="H32" s="367">
        <f t="shared" si="4"/>
        <v>0</v>
      </c>
      <c r="I32" s="367">
        <f t="shared" si="4"/>
        <v>0</v>
      </c>
      <c r="J32" s="367">
        <f t="shared" si="4"/>
        <v>0</v>
      </c>
      <c r="K32" s="366">
        <f t="shared" si="4"/>
        <v>0</v>
      </c>
      <c r="L32" s="366">
        <f>SUM(L34:L37)</f>
        <v>0</v>
      </c>
      <c r="M32" s="366">
        <f>SUM(M34:M37)</f>
        <v>0</v>
      </c>
      <c r="N32" s="344" t="s">
        <v>197</v>
      </c>
      <c r="O32" s="345"/>
      <c r="P32" s="345"/>
    </row>
    <row r="33" spans="1:16" x14ac:dyDescent="0.2">
      <c r="A33" s="349"/>
      <c r="B33" s="365"/>
      <c r="C33" s="366"/>
      <c r="D33" s="367"/>
      <c r="E33" s="367"/>
      <c r="F33" s="366"/>
      <c r="G33" s="367"/>
      <c r="H33" s="367"/>
      <c r="I33" s="367"/>
      <c r="J33" s="367"/>
      <c r="K33" s="366"/>
      <c r="L33" s="366"/>
      <c r="M33" s="366"/>
      <c r="N33" s="344"/>
      <c r="O33" s="345"/>
      <c r="P33" s="345"/>
    </row>
    <row r="34" spans="1:16" x14ac:dyDescent="0.2">
      <c r="A34" s="126" t="s">
        <v>39</v>
      </c>
      <c r="B34" s="166" t="s">
        <v>304</v>
      </c>
      <c r="C34" s="145" t="s">
        <v>304</v>
      </c>
      <c r="D34" s="144" t="s">
        <v>304</v>
      </c>
      <c r="E34" s="144" t="s">
        <v>304</v>
      </c>
      <c r="F34" s="145" t="s">
        <v>304</v>
      </c>
      <c r="G34" s="144" t="s">
        <v>304</v>
      </c>
      <c r="H34" s="144" t="s">
        <v>304</v>
      </c>
      <c r="I34" s="144" t="s">
        <v>304</v>
      </c>
      <c r="J34" s="145" t="s">
        <v>304</v>
      </c>
      <c r="K34" s="144" t="s">
        <v>304</v>
      </c>
      <c r="L34" s="144" t="s">
        <v>304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">
        <v>41</v>
      </c>
      <c r="B35" s="166" t="s">
        <v>304</v>
      </c>
      <c r="C35" s="145" t="s">
        <v>304</v>
      </c>
      <c r="D35" s="144" t="s">
        <v>304</v>
      </c>
      <c r="E35" s="144" t="s">
        <v>304</v>
      </c>
      <c r="F35" s="145" t="s">
        <v>304</v>
      </c>
      <c r="G35" s="144" t="s">
        <v>304</v>
      </c>
      <c r="H35" s="144" t="s">
        <v>304</v>
      </c>
      <c r="I35" s="144" t="s">
        <v>304</v>
      </c>
      <c r="J35" s="145" t="s">
        <v>304</v>
      </c>
      <c r="K35" s="144" t="s">
        <v>304</v>
      </c>
      <c r="L35" s="144" t="s">
        <v>304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">
        <v>43</v>
      </c>
      <c r="B36" s="166" t="s">
        <v>304</v>
      </c>
      <c r="C36" s="145" t="s">
        <v>304</v>
      </c>
      <c r="D36" s="144" t="s">
        <v>304</v>
      </c>
      <c r="E36" s="144" t="s">
        <v>304</v>
      </c>
      <c r="F36" s="145" t="s">
        <v>304</v>
      </c>
      <c r="G36" s="144" t="s">
        <v>304</v>
      </c>
      <c r="H36" s="144" t="s">
        <v>304</v>
      </c>
      <c r="I36" s="144" t="s">
        <v>304</v>
      </c>
      <c r="J36" s="145" t="s">
        <v>304</v>
      </c>
      <c r="K36" s="144" t="s">
        <v>304</v>
      </c>
      <c r="L36" s="144" t="s">
        <v>304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">
        <v>46</v>
      </c>
      <c r="B37" s="166" t="s">
        <v>304</v>
      </c>
      <c r="C37" s="145" t="s">
        <v>304</v>
      </c>
      <c r="D37" s="144" t="s">
        <v>304</v>
      </c>
      <c r="E37" s="144" t="s">
        <v>304</v>
      </c>
      <c r="F37" s="145" t="s">
        <v>304</v>
      </c>
      <c r="G37" s="144" t="s">
        <v>304</v>
      </c>
      <c r="H37" s="144" t="s">
        <v>304</v>
      </c>
      <c r="I37" s="144" t="s">
        <v>304</v>
      </c>
      <c r="J37" s="145" t="s">
        <v>304</v>
      </c>
      <c r="K37" s="144" t="s">
        <v>304</v>
      </c>
      <c r="L37" s="144" t="s">
        <v>304</v>
      </c>
      <c r="M37" s="144" t="s">
        <v>304</v>
      </c>
      <c r="N37" s="129" t="s">
        <v>201</v>
      </c>
      <c r="O37" s="133"/>
      <c r="P37" s="133"/>
    </row>
    <row r="38" spans="1:16" x14ac:dyDescent="0.2">
      <c r="A38" s="349" t="s">
        <v>202</v>
      </c>
      <c r="B38" s="365">
        <f>SUM(B40:B44)</f>
        <v>7</v>
      </c>
      <c r="C38" s="366">
        <f>SUM(C40:C44)</f>
        <v>0</v>
      </c>
      <c r="D38" s="367">
        <f t="shared" ref="D38:K38" si="5">SUM(D40:D44)</f>
        <v>11</v>
      </c>
      <c r="E38" s="367">
        <f t="shared" si="5"/>
        <v>1.0029999999999999</v>
      </c>
      <c r="F38" s="366">
        <f t="shared" si="5"/>
        <v>27</v>
      </c>
      <c r="G38" s="367">
        <f t="shared" si="5"/>
        <v>0</v>
      </c>
      <c r="H38" s="367">
        <f t="shared" si="5"/>
        <v>59</v>
      </c>
      <c r="I38" s="367">
        <f t="shared" si="5"/>
        <v>3.2</v>
      </c>
      <c r="J38" s="367">
        <f t="shared" si="5"/>
        <v>0</v>
      </c>
      <c r="K38" s="366">
        <f t="shared" si="5"/>
        <v>0</v>
      </c>
      <c r="L38" s="366">
        <f>SUM(L40:L44)</f>
        <v>0</v>
      </c>
      <c r="M38" s="366">
        <f>SUM(M40:M44)</f>
        <v>0</v>
      </c>
      <c r="N38" s="344" t="s">
        <v>203</v>
      </c>
      <c r="O38" s="345"/>
      <c r="P38" s="345"/>
    </row>
    <row r="39" spans="1:16" x14ac:dyDescent="0.2">
      <c r="A39" s="349"/>
      <c r="B39" s="365"/>
      <c r="C39" s="366"/>
      <c r="D39" s="367"/>
      <c r="E39" s="367"/>
      <c r="F39" s="366"/>
      <c r="G39" s="367"/>
      <c r="H39" s="367"/>
      <c r="I39" s="367"/>
      <c r="J39" s="367"/>
      <c r="K39" s="366"/>
      <c r="L39" s="366"/>
      <c r="M39" s="366"/>
      <c r="N39" s="344"/>
      <c r="O39" s="345"/>
      <c r="P39" s="345"/>
    </row>
    <row r="40" spans="1:16" x14ac:dyDescent="0.2">
      <c r="A40" s="126" t="s">
        <v>48</v>
      </c>
      <c r="B40" s="167">
        <v>4</v>
      </c>
      <c r="C40" s="145" t="s">
        <v>304</v>
      </c>
      <c r="D40" s="143">
        <v>8</v>
      </c>
      <c r="E40" s="143">
        <v>1</v>
      </c>
      <c r="F40" s="142">
        <v>17</v>
      </c>
      <c r="G40" s="144" t="s">
        <v>304</v>
      </c>
      <c r="H40" s="143">
        <v>39</v>
      </c>
      <c r="I40" s="143">
        <v>3</v>
      </c>
      <c r="J40" s="145" t="s">
        <v>304</v>
      </c>
      <c r="K40" s="144" t="s">
        <v>304</v>
      </c>
      <c r="L40" s="144" t="s">
        <v>304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">
        <v>51</v>
      </c>
      <c r="B41" s="166" t="s">
        <v>304</v>
      </c>
      <c r="C41" s="145" t="s">
        <v>304</v>
      </c>
      <c r="D41" s="144" t="s">
        <v>304</v>
      </c>
      <c r="E41" s="144" t="s">
        <v>304</v>
      </c>
      <c r="F41" s="145" t="s">
        <v>304</v>
      </c>
      <c r="G41" s="144" t="s">
        <v>304</v>
      </c>
      <c r="H41" s="144" t="s">
        <v>304</v>
      </c>
      <c r="I41" s="144" t="s">
        <v>304</v>
      </c>
      <c r="J41" s="145" t="s">
        <v>304</v>
      </c>
      <c r="K41" s="144" t="s">
        <v>304</v>
      </c>
      <c r="L41" s="144" t="s">
        <v>304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">
        <v>53</v>
      </c>
      <c r="B42" s="167">
        <v>3</v>
      </c>
      <c r="C42" s="145" t="s">
        <v>304</v>
      </c>
      <c r="D42" s="143">
        <v>3</v>
      </c>
      <c r="E42" s="143">
        <v>3.0000000000000001E-3</v>
      </c>
      <c r="F42" s="142">
        <v>10</v>
      </c>
      <c r="G42" s="144" t="s">
        <v>304</v>
      </c>
      <c r="H42" s="143">
        <v>20</v>
      </c>
      <c r="I42" s="143">
        <v>0.2</v>
      </c>
      <c r="J42" s="145" t="s">
        <v>304</v>
      </c>
      <c r="K42" s="144" t="s">
        <v>304</v>
      </c>
      <c r="L42" s="144" t="s">
        <v>304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">
        <v>56</v>
      </c>
      <c r="B43" s="166" t="s">
        <v>304</v>
      </c>
      <c r="C43" s="145" t="s">
        <v>304</v>
      </c>
      <c r="D43" s="144" t="s">
        <v>304</v>
      </c>
      <c r="E43" s="144" t="s">
        <v>304</v>
      </c>
      <c r="F43" s="145" t="s">
        <v>304</v>
      </c>
      <c r="G43" s="144" t="s">
        <v>304</v>
      </c>
      <c r="H43" s="144" t="s">
        <v>304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">
        <v>58</v>
      </c>
      <c r="B44" s="166" t="s">
        <v>304</v>
      </c>
      <c r="C44" s="145" t="s">
        <v>304</v>
      </c>
      <c r="D44" s="144" t="s">
        <v>304</v>
      </c>
      <c r="E44" s="144" t="s">
        <v>304</v>
      </c>
      <c r="F44" s="145" t="s">
        <v>304</v>
      </c>
      <c r="G44" s="144" t="s">
        <v>304</v>
      </c>
      <c r="H44" s="144" t="s">
        <v>304</v>
      </c>
      <c r="I44" s="144" t="s">
        <v>304</v>
      </c>
      <c r="J44" s="145" t="s">
        <v>304</v>
      </c>
      <c r="K44" s="144" t="s">
        <v>304</v>
      </c>
      <c r="L44" s="144" t="s">
        <v>304</v>
      </c>
      <c r="M44" s="144" t="s">
        <v>304</v>
      </c>
      <c r="N44" s="129" t="s">
        <v>208</v>
      </c>
      <c r="O44" s="133"/>
      <c r="P44" s="133"/>
    </row>
    <row r="45" spans="1:16" x14ac:dyDescent="0.2">
      <c r="A45" s="349" t="s">
        <v>209</v>
      </c>
      <c r="B45" s="365">
        <f>SUM(B47:B51)</f>
        <v>0</v>
      </c>
      <c r="C45" s="366">
        <f>SUM(C47:C51)</f>
        <v>0</v>
      </c>
      <c r="D45" s="367">
        <f t="shared" ref="D45:K45" si="6">SUM(D47:D51)</f>
        <v>0</v>
      </c>
      <c r="E45" s="367">
        <f t="shared" si="6"/>
        <v>0</v>
      </c>
      <c r="F45" s="366">
        <f t="shared" si="6"/>
        <v>40</v>
      </c>
      <c r="G45" s="367">
        <f t="shared" si="6"/>
        <v>0</v>
      </c>
      <c r="H45" s="367">
        <f t="shared" si="6"/>
        <v>79</v>
      </c>
      <c r="I45" s="367">
        <f t="shared" si="6"/>
        <v>1</v>
      </c>
      <c r="J45" s="367">
        <f t="shared" si="6"/>
        <v>0</v>
      </c>
      <c r="K45" s="366">
        <f t="shared" si="6"/>
        <v>0</v>
      </c>
      <c r="L45" s="366">
        <f>SUM(L47:L51)</f>
        <v>0</v>
      </c>
      <c r="M45" s="366">
        <f>SUM(M47:M51)</f>
        <v>0</v>
      </c>
      <c r="N45" s="344" t="s">
        <v>210</v>
      </c>
      <c r="O45" s="345"/>
      <c r="P45" s="345"/>
    </row>
    <row r="46" spans="1:16" x14ac:dyDescent="0.2">
      <c r="A46" s="349"/>
      <c r="B46" s="365"/>
      <c r="C46" s="366"/>
      <c r="D46" s="367"/>
      <c r="E46" s="367"/>
      <c r="F46" s="366"/>
      <c r="G46" s="367"/>
      <c r="H46" s="367"/>
      <c r="I46" s="367"/>
      <c r="J46" s="367"/>
      <c r="K46" s="366"/>
      <c r="L46" s="366"/>
      <c r="M46" s="366"/>
      <c r="N46" s="344"/>
      <c r="O46" s="345"/>
      <c r="P46" s="345"/>
    </row>
    <row r="47" spans="1:16" x14ac:dyDescent="0.2">
      <c r="A47" s="126" t="s">
        <v>60</v>
      </c>
      <c r="B47" s="166" t="s">
        <v>304</v>
      </c>
      <c r="C47" s="145" t="s">
        <v>304</v>
      </c>
      <c r="D47" s="144" t="s">
        <v>304</v>
      </c>
      <c r="E47" s="144" t="s">
        <v>304</v>
      </c>
      <c r="F47" s="145" t="s">
        <v>304</v>
      </c>
      <c r="G47" s="144" t="s">
        <v>304</v>
      </c>
      <c r="H47" s="144" t="s">
        <v>304</v>
      </c>
      <c r="I47" s="144" t="s">
        <v>304</v>
      </c>
      <c r="J47" s="145" t="s">
        <v>304</v>
      </c>
      <c r="K47" s="144" t="s">
        <v>304</v>
      </c>
      <c r="L47" s="144" t="s">
        <v>304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">
        <v>62</v>
      </c>
      <c r="B48" s="166" t="s">
        <v>304</v>
      </c>
      <c r="C48" s="145" t="s">
        <v>304</v>
      </c>
      <c r="D48" s="144" t="s">
        <v>304</v>
      </c>
      <c r="E48" s="144" t="s">
        <v>304</v>
      </c>
      <c r="F48" s="145" t="s">
        <v>304</v>
      </c>
      <c r="G48" s="144" t="s">
        <v>304</v>
      </c>
      <c r="H48" s="144" t="s">
        <v>304</v>
      </c>
      <c r="I48" s="144" t="s">
        <v>304</v>
      </c>
      <c r="J48" s="145" t="s">
        <v>304</v>
      </c>
      <c r="K48" s="144" t="s">
        <v>304</v>
      </c>
      <c r="L48" s="144" t="s">
        <v>304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">
        <v>64</v>
      </c>
      <c r="B49" s="166" t="s">
        <v>304</v>
      </c>
      <c r="C49" s="145" t="s">
        <v>304</v>
      </c>
      <c r="D49" s="144" t="s">
        <v>304</v>
      </c>
      <c r="E49" s="144" t="s">
        <v>304</v>
      </c>
      <c r="F49" s="142">
        <v>40</v>
      </c>
      <c r="G49" s="144" t="s">
        <v>304</v>
      </c>
      <c r="H49" s="143">
        <v>79</v>
      </c>
      <c r="I49" s="143">
        <v>1</v>
      </c>
      <c r="J49" s="145" t="s">
        <v>304</v>
      </c>
      <c r="K49" s="144" t="s">
        <v>304</v>
      </c>
      <c r="L49" s="144" t="s">
        <v>304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">
        <v>67</v>
      </c>
      <c r="B50" s="166" t="s">
        <v>304</v>
      </c>
      <c r="C50" s="145" t="s">
        <v>304</v>
      </c>
      <c r="D50" s="144" t="s">
        <v>304</v>
      </c>
      <c r="E50" s="144" t="s">
        <v>304</v>
      </c>
      <c r="F50" s="145" t="s">
        <v>304</v>
      </c>
      <c r="G50" s="144" t="s">
        <v>304</v>
      </c>
      <c r="H50" s="144" t="s">
        <v>304</v>
      </c>
      <c r="I50" s="144" t="s">
        <v>304</v>
      </c>
      <c r="J50" s="145" t="s">
        <v>304</v>
      </c>
      <c r="K50" s="144" t="s">
        <v>304</v>
      </c>
      <c r="L50" s="144" t="s">
        <v>304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">
        <v>69</v>
      </c>
      <c r="B51" s="166" t="s">
        <v>304</v>
      </c>
      <c r="C51" s="145" t="s">
        <v>304</v>
      </c>
      <c r="D51" s="144" t="s">
        <v>304</v>
      </c>
      <c r="E51" s="144" t="s">
        <v>304</v>
      </c>
      <c r="F51" s="145" t="s">
        <v>304</v>
      </c>
      <c r="G51" s="144" t="s">
        <v>304</v>
      </c>
      <c r="H51" s="144" t="s">
        <v>304</v>
      </c>
      <c r="I51" s="144" t="s">
        <v>304</v>
      </c>
      <c r="J51" s="145" t="s">
        <v>304</v>
      </c>
      <c r="K51" s="144" t="s">
        <v>304</v>
      </c>
      <c r="L51" s="144" t="s">
        <v>304</v>
      </c>
      <c r="M51" s="144" t="s">
        <v>304</v>
      </c>
      <c r="N51" s="129" t="s">
        <v>215</v>
      </c>
      <c r="O51" s="133"/>
      <c r="P51" s="133"/>
    </row>
    <row r="52" spans="1:16" x14ac:dyDescent="0.2">
      <c r="A52" s="349" t="s">
        <v>216</v>
      </c>
      <c r="B52" s="365">
        <f>SUM(B54:B58)</f>
        <v>19553</v>
      </c>
      <c r="C52" s="366">
        <f>SUM(C54:C58)</f>
        <v>0</v>
      </c>
      <c r="D52" s="367">
        <f t="shared" ref="D52:K52" si="7">SUM(D54:D58)</f>
        <v>6.1000000000000005</v>
      </c>
      <c r="E52" s="367">
        <f t="shared" si="7"/>
        <v>4339.74</v>
      </c>
      <c r="F52" s="366">
        <f t="shared" si="7"/>
        <v>32</v>
      </c>
      <c r="G52" s="367">
        <f t="shared" si="7"/>
        <v>0</v>
      </c>
      <c r="H52" s="367">
        <f t="shared" si="7"/>
        <v>3.2</v>
      </c>
      <c r="I52" s="367">
        <f t="shared" si="7"/>
        <v>9.86</v>
      </c>
      <c r="J52" s="367">
        <f t="shared" si="7"/>
        <v>2</v>
      </c>
      <c r="K52" s="366">
        <f t="shared" si="7"/>
        <v>0</v>
      </c>
      <c r="L52" s="366">
        <f>SUM(L54:L58)</f>
        <v>1</v>
      </c>
      <c r="M52" s="366">
        <f>SUM(M54:M58)</f>
        <v>2E-3</v>
      </c>
      <c r="N52" s="344" t="s">
        <v>217</v>
      </c>
      <c r="O52" s="345"/>
      <c r="P52" s="345"/>
    </row>
    <row r="53" spans="1:16" x14ac:dyDescent="0.2">
      <c r="A53" s="349"/>
      <c r="B53" s="365"/>
      <c r="C53" s="366"/>
      <c r="D53" s="367"/>
      <c r="E53" s="367"/>
      <c r="F53" s="366"/>
      <c r="G53" s="367"/>
      <c r="H53" s="367"/>
      <c r="I53" s="367"/>
      <c r="J53" s="367"/>
      <c r="K53" s="366"/>
      <c r="L53" s="366"/>
      <c r="M53" s="366"/>
      <c r="N53" s="344"/>
      <c r="O53" s="345"/>
      <c r="P53" s="345"/>
    </row>
    <row r="54" spans="1:16" x14ac:dyDescent="0.2">
      <c r="A54" s="126" t="s">
        <v>71</v>
      </c>
      <c r="B54" s="167">
        <v>2</v>
      </c>
      <c r="C54" s="145" t="s">
        <v>304</v>
      </c>
      <c r="D54" s="143">
        <v>0.2</v>
      </c>
      <c r="E54" s="143">
        <v>0.2</v>
      </c>
      <c r="F54" s="142">
        <v>1</v>
      </c>
      <c r="G54" s="144" t="s">
        <v>304</v>
      </c>
      <c r="H54" s="143">
        <v>0.25</v>
      </c>
      <c r="I54" s="143">
        <v>0.25</v>
      </c>
      <c r="J54" s="142">
        <v>2</v>
      </c>
      <c r="K54" s="144" t="s">
        <v>304</v>
      </c>
      <c r="L54" s="143">
        <v>1</v>
      </c>
      <c r="M54" s="143">
        <v>2E-3</v>
      </c>
      <c r="N54" s="129" t="s">
        <v>218</v>
      </c>
      <c r="O54" s="133"/>
      <c r="P54" s="133"/>
    </row>
    <row r="55" spans="1:16" x14ac:dyDescent="0.2">
      <c r="A55" s="126" t="s">
        <v>74</v>
      </c>
      <c r="B55" s="167">
        <v>19474</v>
      </c>
      <c r="C55" s="145" t="s">
        <v>304</v>
      </c>
      <c r="D55" s="143">
        <v>5.9</v>
      </c>
      <c r="E55" s="143">
        <v>4308.67</v>
      </c>
      <c r="F55" s="142">
        <v>2</v>
      </c>
      <c r="G55" s="144" t="s">
        <v>304</v>
      </c>
      <c r="H55" s="144" t="s">
        <v>304</v>
      </c>
      <c r="I55" s="143">
        <v>1.75</v>
      </c>
      <c r="J55" s="145" t="s">
        <v>304</v>
      </c>
      <c r="K55" s="144" t="s">
        <v>304</v>
      </c>
      <c r="L55" s="144" t="s">
        <v>304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">
        <v>76</v>
      </c>
      <c r="B56" s="166" t="s">
        <v>304</v>
      </c>
      <c r="C56" s="145" t="s">
        <v>304</v>
      </c>
      <c r="D56" s="144" t="s">
        <v>304</v>
      </c>
      <c r="E56" s="144" t="s">
        <v>304</v>
      </c>
      <c r="F56" s="145" t="s">
        <v>304</v>
      </c>
      <c r="G56" s="144" t="s">
        <v>304</v>
      </c>
      <c r="H56" s="144" t="s">
        <v>304</v>
      </c>
      <c r="I56" s="144" t="s">
        <v>304</v>
      </c>
      <c r="J56" s="145" t="s">
        <v>304</v>
      </c>
      <c r="K56" s="144" t="s">
        <v>304</v>
      </c>
      <c r="L56" s="144" t="s">
        <v>304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">
        <v>79</v>
      </c>
      <c r="B57" s="167">
        <v>77</v>
      </c>
      <c r="C57" s="145" t="s">
        <v>304</v>
      </c>
      <c r="D57" s="144" t="s">
        <v>304</v>
      </c>
      <c r="E57" s="143">
        <v>30.87</v>
      </c>
      <c r="F57" s="142">
        <v>29</v>
      </c>
      <c r="G57" s="144" t="s">
        <v>304</v>
      </c>
      <c r="H57" s="143">
        <v>2.95</v>
      </c>
      <c r="I57" s="143">
        <v>7.86</v>
      </c>
      <c r="J57" s="145" t="s">
        <v>304</v>
      </c>
      <c r="K57" s="144" t="s">
        <v>304</v>
      </c>
      <c r="L57" s="144" t="s">
        <v>304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">
        <v>81</v>
      </c>
      <c r="B58" s="166" t="s">
        <v>304</v>
      </c>
      <c r="C58" s="145" t="s">
        <v>304</v>
      </c>
      <c r="D58" s="144" t="s">
        <v>304</v>
      </c>
      <c r="E58" s="144" t="s">
        <v>304</v>
      </c>
      <c r="F58" s="145" t="s">
        <v>304</v>
      </c>
      <c r="G58" s="144" t="s">
        <v>304</v>
      </c>
      <c r="H58" s="144" t="s">
        <v>304</v>
      </c>
      <c r="I58" s="144" t="s">
        <v>304</v>
      </c>
      <c r="J58" s="145" t="s">
        <v>304</v>
      </c>
      <c r="K58" s="144" t="s">
        <v>304</v>
      </c>
      <c r="L58" s="144" t="s">
        <v>304</v>
      </c>
      <c r="M58" s="144" t="s">
        <v>304</v>
      </c>
      <c r="N58" s="129" t="s">
        <v>222</v>
      </c>
      <c r="O58" s="133"/>
      <c r="P58" s="133"/>
    </row>
    <row r="59" spans="1:16" x14ac:dyDescent="0.2">
      <c r="A59" s="349" t="s">
        <v>223</v>
      </c>
      <c r="B59" s="365">
        <f>SUM(B61:B63)</f>
        <v>88035</v>
      </c>
      <c r="C59" s="366">
        <f>SUM(C61:C63)</f>
        <v>1179.0999999999999</v>
      </c>
      <c r="D59" s="367">
        <f t="shared" ref="D59:K59" si="8">SUM(D61:D63)</f>
        <v>27.7</v>
      </c>
      <c r="E59" s="367">
        <f t="shared" si="8"/>
        <v>22252.239999999998</v>
      </c>
      <c r="F59" s="366">
        <f t="shared" si="8"/>
        <v>210</v>
      </c>
      <c r="G59" s="367">
        <f t="shared" si="8"/>
        <v>3</v>
      </c>
      <c r="H59" s="367">
        <f t="shared" si="8"/>
        <v>23.2</v>
      </c>
      <c r="I59" s="367">
        <f t="shared" si="8"/>
        <v>39.519999999999996</v>
      </c>
      <c r="J59" s="367">
        <f t="shared" si="8"/>
        <v>272</v>
      </c>
      <c r="K59" s="366">
        <f t="shared" si="8"/>
        <v>75</v>
      </c>
      <c r="L59" s="366">
        <f>SUM(L61:L63)</f>
        <v>25</v>
      </c>
      <c r="M59" s="366">
        <f>SUM(M61:M63)</f>
        <v>62.2</v>
      </c>
      <c r="N59" s="344" t="s">
        <v>224</v>
      </c>
      <c r="O59" s="345"/>
      <c r="P59" s="345"/>
    </row>
    <row r="60" spans="1:16" x14ac:dyDescent="0.2">
      <c r="A60" s="349"/>
      <c r="B60" s="365"/>
      <c r="C60" s="366"/>
      <c r="D60" s="367"/>
      <c r="E60" s="367"/>
      <c r="F60" s="366"/>
      <c r="G60" s="367"/>
      <c r="H60" s="367"/>
      <c r="I60" s="367"/>
      <c r="J60" s="367"/>
      <c r="K60" s="366"/>
      <c r="L60" s="366"/>
      <c r="M60" s="366"/>
      <c r="N60" s="344"/>
      <c r="O60" s="345"/>
      <c r="P60" s="345"/>
    </row>
    <row r="61" spans="1:16" x14ac:dyDescent="0.2">
      <c r="A61" s="126" t="s">
        <v>83</v>
      </c>
      <c r="B61" s="167">
        <v>50162</v>
      </c>
      <c r="C61" s="142">
        <v>1170.0999999999999</v>
      </c>
      <c r="D61" s="143">
        <v>27.5</v>
      </c>
      <c r="E61" s="143">
        <v>11174.05</v>
      </c>
      <c r="F61" s="142">
        <v>37</v>
      </c>
      <c r="G61" s="144" t="s">
        <v>304</v>
      </c>
      <c r="H61" s="143">
        <v>22.8</v>
      </c>
      <c r="I61" s="143">
        <v>8.5</v>
      </c>
      <c r="J61" s="142">
        <v>270</v>
      </c>
      <c r="K61" s="143">
        <v>75</v>
      </c>
      <c r="L61" s="143">
        <v>25</v>
      </c>
      <c r="M61" s="143">
        <v>62</v>
      </c>
      <c r="N61" s="129" t="s">
        <v>225</v>
      </c>
      <c r="O61" s="133"/>
      <c r="P61" s="133"/>
    </row>
    <row r="62" spans="1:16" x14ac:dyDescent="0.2">
      <c r="A62" s="126" t="s">
        <v>85</v>
      </c>
      <c r="B62" s="166" t="s">
        <v>304</v>
      </c>
      <c r="C62" s="145" t="s">
        <v>304</v>
      </c>
      <c r="D62" s="144" t="s">
        <v>304</v>
      </c>
      <c r="E62" s="144" t="s">
        <v>304</v>
      </c>
      <c r="F62" s="145" t="s">
        <v>304</v>
      </c>
      <c r="G62" s="144" t="s">
        <v>304</v>
      </c>
      <c r="H62" s="144" t="s">
        <v>304</v>
      </c>
      <c r="I62" s="144" t="s">
        <v>304</v>
      </c>
      <c r="J62" s="145" t="s">
        <v>304</v>
      </c>
      <c r="K62" s="144" t="s">
        <v>304</v>
      </c>
      <c r="L62" s="144" t="s">
        <v>304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">
        <v>88</v>
      </c>
      <c r="B63" s="167">
        <v>37873</v>
      </c>
      <c r="C63" s="142">
        <v>9</v>
      </c>
      <c r="D63" s="143">
        <v>0.2</v>
      </c>
      <c r="E63" s="143">
        <v>11078.19</v>
      </c>
      <c r="F63" s="142">
        <v>173</v>
      </c>
      <c r="G63" s="143">
        <v>3</v>
      </c>
      <c r="H63" s="143">
        <v>0.4</v>
      </c>
      <c r="I63" s="143">
        <v>31.02</v>
      </c>
      <c r="J63" s="142">
        <v>2</v>
      </c>
      <c r="K63" s="144" t="s">
        <v>304</v>
      </c>
      <c r="L63" s="144" t="s">
        <v>304</v>
      </c>
      <c r="M63" s="143">
        <v>0.2</v>
      </c>
      <c r="N63" s="129" t="s">
        <v>227</v>
      </c>
      <c r="O63" s="133"/>
      <c r="P63" s="133"/>
    </row>
    <row r="64" spans="1:16" x14ac:dyDescent="0.2">
      <c r="A64" s="349" t="s">
        <v>228</v>
      </c>
      <c r="B64" s="365">
        <f>SUM(B66:B70)</f>
        <v>73739</v>
      </c>
      <c r="C64" s="366">
        <f>SUM(C66:C70)</f>
        <v>0</v>
      </c>
      <c r="D64" s="367">
        <f t="shared" ref="D64:K64" si="9">SUM(D66:D70)</f>
        <v>1.575</v>
      </c>
      <c r="E64" s="367">
        <f t="shared" si="9"/>
        <v>13348.565000000001</v>
      </c>
      <c r="F64" s="366">
        <f t="shared" si="9"/>
        <v>69061</v>
      </c>
      <c r="G64" s="367">
        <f t="shared" si="9"/>
        <v>9039.9500000000007</v>
      </c>
      <c r="H64" s="367">
        <f t="shared" si="9"/>
        <v>85277</v>
      </c>
      <c r="I64" s="367">
        <f t="shared" si="9"/>
        <v>610.67999999999995</v>
      </c>
      <c r="J64" s="367">
        <f t="shared" si="9"/>
        <v>1</v>
      </c>
      <c r="K64" s="366">
        <f t="shared" si="9"/>
        <v>0</v>
      </c>
      <c r="L64" s="366">
        <f>SUM(L66:L70)</f>
        <v>0.5</v>
      </c>
      <c r="M64" s="366">
        <f>SUM(M66:M70)</f>
        <v>0.1</v>
      </c>
      <c r="N64" s="344" t="s">
        <v>229</v>
      </c>
      <c r="O64" s="345"/>
      <c r="P64" s="345"/>
    </row>
    <row r="65" spans="1:16" x14ac:dyDescent="0.2">
      <c r="A65" s="349"/>
      <c r="B65" s="365"/>
      <c r="C65" s="366"/>
      <c r="D65" s="367"/>
      <c r="E65" s="367"/>
      <c r="F65" s="366"/>
      <c r="G65" s="367"/>
      <c r="H65" s="367"/>
      <c r="I65" s="367"/>
      <c r="J65" s="367"/>
      <c r="K65" s="366"/>
      <c r="L65" s="366"/>
      <c r="M65" s="366"/>
      <c r="N65" s="344"/>
      <c r="O65" s="345"/>
      <c r="P65" s="345"/>
    </row>
    <row r="66" spans="1:16" x14ac:dyDescent="0.2">
      <c r="A66" s="126" t="s">
        <v>90</v>
      </c>
      <c r="B66" s="166" t="s">
        <v>304</v>
      </c>
      <c r="C66" s="145" t="s">
        <v>304</v>
      </c>
      <c r="D66" s="144" t="s">
        <v>304</v>
      </c>
      <c r="E66" s="144" t="s">
        <v>304</v>
      </c>
      <c r="F66" s="145" t="s">
        <v>304</v>
      </c>
      <c r="G66" s="144" t="s">
        <v>304</v>
      </c>
      <c r="H66" s="144" t="s">
        <v>304</v>
      </c>
      <c r="I66" s="144" t="s">
        <v>304</v>
      </c>
      <c r="J66" s="142">
        <v>1</v>
      </c>
      <c r="K66" s="144" t="s">
        <v>304</v>
      </c>
      <c r="L66" s="143">
        <v>0.5</v>
      </c>
      <c r="M66" s="143">
        <v>0.1</v>
      </c>
      <c r="N66" s="129" t="s">
        <v>230</v>
      </c>
      <c r="O66" s="133"/>
      <c r="P66" s="133"/>
    </row>
    <row r="67" spans="1:16" x14ac:dyDescent="0.2">
      <c r="A67" s="126" t="s">
        <v>92</v>
      </c>
      <c r="B67" s="167">
        <v>70</v>
      </c>
      <c r="C67" s="145" t="s">
        <v>304</v>
      </c>
      <c r="D67" s="144" t="s">
        <v>304</v>
      </c>
      <c r="E67" s="143">
        <v>14.1</v>
      </c>
      <c r="F67" s="142">
        <v>302</v>
      </c>
      <c r="G67" s="143">
        <v>1</v>
      </c>
      <c r="H67" s="143">
        <v>97.3</v>
      </c>
      <c r="I67" s="143">
        <v>1.97</v>
      </c>
      <c r="J67" s="145" t="s">
        <v>304</v>
      </c>
      <c r="K67" s="144" t="s">
        <v>304</v>
      </c>
      <c r="L67" s="144" t="s">
        <v>304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">
        <v>94</v>
      </c>
      <c r="B68" s="167">
        <v>39578</v>
      </c>
      <c r="C68" s="145" t="s">
        <v>304</v>
      </c>
      <c r="D68" s="144" t="s">
        <v>304</v>
      </c>
      <c r="E68" s="143">
        <v>5900.55</v>
      </c>
      <c r="F68" s="142">
        <v>68637</v>
      </c>
      <c r="G68" s="143">
        <v>9038.9500000000007</v>
      </c>
      <c r="H68" s="143">
        <v>85179.7</v>
      </c>
      <c r="I68" s="143">
        <v>570.42999999999995</v>
      </c>
      <c r="J68" s="145" t="s">
        <v>304</v>
      </c>
      <c r="K68" s="144" t="s">
        <v>304</v>
      </c>
      <c r="L68" s="144" t="s">
        <v>304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">
        <v>97</v>
      </c>
      <c r="B69" s="166" t="s">
        <v>304</v>
      </c>
      <c r="C69" s="145" t="s">
        <v>304</v>
      </c>
      <c r="D69" s="144" t="s">
        <v>304</v>
      </c>
      <c r="E69" s="144" t="s">
        <v>304</v>
      </c>
      <c r="F69" s="145" t="s">
        <v>304</v>
      </c>
      <c r="G69" s="144" t="s">
        <v>304</v>
      </c>
      <c r="H69" s="144" t="s">
        <v>304</v>
      </c>
      <c r="I69" s="144" t="s">
        <v>304</v>
      </c>
      <c r="J69" s="145" t="s">
        <v>304</v>
      </c>
      <c r="K69" s="144" t="s">
        <v>304</v>
      </c>
      <c r="L69" s="144" t="s">
        <v>304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">
        <v>99</v>
      </c>
      <c r="B70" s="167">
        <v>34091</v>
      </c>
      <c r="C70" s="145" t="s">
        <v>304</v>
      </c>
      <c r="D70" s="143">
        <v>1.575</v>
      </c>
      <c r="E70" s="143">
        <v>7433.915</v>
      </c>
      <c r="F70" s="142">
        <v>122</v>
      </c>
      <c r="G70" s="144" t="s">
        <v>304</v>
      </c>
      <c r="H70" s="144" t="s">
        <v>304</v>
      </c>
      <c r="I70" s="143">
        <v>38.28</v>
      </c>
      <c r="J70" s="145" t="s">
        <v>304</v>
      </c>
      <c r="K70" s="144" t="s">
        <v>304</v>
      </c>
      <c r="L70" s="144" t="s">
        <v>304</v>
      </c>
      <c r="M70" s="144" t="s">
        <v>304</v>
      </c>
      <c r="N70" s="129" t="s">
        <v>234</v>
      </c>
      <c r="O70" s="133"/>
      <c r="P70" s="133"/>
    </row>
    <row r="71" spans="1:16" x14ac:dyDescent="0.2">
      <c r="A71" s="349" t="s">
        <v>235</v>
      </c>
      <c r="B71" s="365">
        <f>SUM(B73:B80)</f>
        <v>0</v>
      </c>
      <c r="C71" s="366">
        <f>SUM(C73:C80)</f>
        <v>0</v>
      </c>
      <c r="D71" s="367">
        <f t="shared" ref="D71:K71" si="10">SUM(D73:D80)</f>
        <v>0</v>
      </c>
      <c r="E71" s="367">
        <f t="shared" si="10"/>
        <v>0</v>
      </c>
      <c r="F71" s="366">
        <f t="shared" si="10"/>
        <v>4</v>
      </c>
      <c r="G71" s="367">
        <f t="shared" si="10"/>
        <v>0</v>
      </c>
      <c r="H71" s="367">
        <f t="shared" si="10"/>
        <v>6</v>
      </c>
      <c r="I71" s="367">
        <f t="shared" si="10"/>
        <v>3</v>
      </c>
      <c r="J71" s="367">
        <f t="shared" si="10"/>
        <v>0</v>
      </c>
      <c r="K71" s="366">
        <f t="shared" si="10"/>
        <v>0</v>
      </c>
      <c r="L71" s="366">
        <f>SUM(L73:L80)</f>
        <v>0</v>
      </c>
      <c r="M71" s="366">
        <f>SUM(M73:M80)</f>
        <v>0</v>
      </c>
      <c r="N71" s="344" t="s">
        <v>236</v>
      </c>
      <c r="O71" s="345"/>
      <c r="P71" s="345"/>
    </row>
    <row r="72" spans="1:16" x14ac:dyDescent="0.2">
      <c r="A72" s="349"/>
      <c r="B72" s="365"/>
      <c r="C72" s="366"/>
      <c r="D72" s="367"/>
      <c r="E72" s="367"/>
      <c r="F72" s="366"/>
      <c r="G72" s="367"/>
      <c r="H72" s="367"/>
      <c r="I72" s="367"/>
      <c r="J72" s="367"/>
      <c r="K72" s="366"/>
      <c r="L72" s="366"/>
      <c r="M72" s="366"/>
      <c r="N72" s="344"/>
      <c r="O72" s="345"/>
      <c r="P72" s="345"/>
    </row>
    <row r="73" spans="1:16" x14ac:dyDescent="0.2">
      <c r="A73" s="141" t="s">
        <v>287</v>
      </c>
      <c r="B73" s="166" t="s">
        <v>304</v>
      </c>
      <c r="C73" s="145" t="s">
        <v>304</v>
      </c>
      <c r="D73" s="144" t="s">
        <v>304</v>
      </c>
      <c r="E73" s="144" t="s">
        <v>304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66" t="s">
        <v>304</v>
      </c>
      <c r="C74" s="145" t="s">
        <v>304</v>
      </c>
      <c r="D74" s="144" t="s">
        <v>304</v>
      </c>
      <c r="E74" s="144" t="s">
        <v>304</v>
      </c>
      <c r="F74" s="145" t="s">
        <v>304</v>
      </c>
      <c r="G74" s="144" t="s">
        <v>304</v>
      </c>
      <c r="H74" s="144" t="s">
        <v>304</v>
      </c>
      <c r="I74" s="144" t="s">
        <v>304</v>
      </c>
      <c r="J74" s="145" t="s">
        <v>304</v>
      </c>
      <c r="K74" s="144" t="s">
        <v>304</v>
      </c>
      <c r="L74" s="144" t="s">
        <v>304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66" t="s">
        <v>304</v>
      </c>
      <c r="C75" s="145" t="s">
        <v>304</v>
      </c>
      <c r="D75" s="144" t="s">
        <v>304</v>
      </c>
      <c r="E75" s="144" t="s">
        <v>304</v>
      </c>
      <c r="F75" s="145" t="s">
        <v>304</v>
      </c>
      <c r="G75" s="144" t="s">
        <v>304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66" t="s">
        <v>304</v>
      </c>
      <c r="C76" s="145" t="s">
        <v>304</v>
      </c>
      <c r="D76" s="144" t="s">
        <v>304</v>
      </c>
      <c r="E76" s="144" t="s">
        <v>304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66" t="s">
        <v>304</v>
      </c>
      <c r="C77" s="145" t="s">
        <v>304</v>
      </c>
      <c r="D77" s="144" t="s">
        <v>304</v>
      </c>
      <c r="E77" s="144" t="s">
        <v>304</v>
      </c>
      <c r="F77" s="142">
        <v>4</v>
      </c>
      <c r="G77" s="144" t="s">
        <v>304</v>
      </c>
      <c r="H77" s="143">
        <v>6</v>
      </c>
      <c r="I77" s="143">
        <v>3</v>
      </c>
      <c r="J77" s="145" t="s">
        <v>304</v>
      </c>
      <c r="K77" s="144" t="s">
        <v>304</v>
      </c>
      <c r="L77" s="144" t="s">
        <v>304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66" t="s">
        <v>304</v>
      </c>
      <c r="C78" s="145" t="s">
        <v>304</v>
      </c>
      <c r="D78" s="144" t="s">
        <v>304</v>
      </c>
      <c r="E78" s="144" t="s">
        <v>304</v>
      </c>
      <c r="F78" s="145" t="s">
        <v>304</v>
      </c>
      <c r="G78" s="144" t="s">
        <v>304</v>
      </c>
      <c r="H78" s="144" t="s">
        <v>304</v>
      </c>
      <c r="I78" s="144" t="s">
        <v>304</v>
      </c>
      <c r="J78" s="145" t="s">
        <v>304</v>
      </c>
      <c r="K78" s="144" t="s">
        <v>304</v>
      </c>
      <c r="L78" s="144" t="s">
        <v>304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66" t="s">
        <v>304</v>
      </c>
      <c r="C79" s="145" t="s">
        <v>304</v>
      </c>
      <c r="D79" s="144" t="s">
        <v>304</v>
      </c>
      <c r="E79" s="144" t="s">
        <v>304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66" t="s">
        <v>304</v>
      </c>
      <c r="C80" s="145" t="s">
        <v>304</v>
      </c>
      <c r="D80" s="144" t="s">
        <v>304</v>
      </c>
      <c r="E80" s="144" t="s">
        <v>304</v>
      </c>
      <c r="F80" s="145" t="s">
        <v>304</v>
      </c>
      <c r="G80" s="144" t="s">
        <v>304</v>
      </c>
      <c r="H80" s="144" t="s">
        <v>304</v>
      </c>
      <c r="I80" s="144" t="s">
        <v>304</v>
      </c>
      <c r="J80" s="145" t="s">
        <v>304</v>
      </c>
      <c r="K80" s="144" t="s">
        <v>304</v>
      </c>
      <c r="L80" s="144" t="s">
        <v>304</v>
      </c>
      <c r="M80" s="144" t="s">
        <v>304</v>
      </c>
      <c r="N80" s="129" t="s">
        <v>244</v>
      </c>
      <c r="O80" s="133"/>
      <c r="P80" s="133"/>
    </row>
    <row r="81" spans="1:16" x14ac:dyDescent="0.2">
      <c r="A81" s="349" t="s">
        <v>245</v>
      </c>
      <c r="B81" s="365">
        <f>SUM(B83:B87)</f>
        <v>0</v>
      </c>
      <c r="C81" s="366">
        <f>SUM(C83:C87)</f>
        <v>0</v>
      </c>
      <c r="D81" s="367">
        <f t="shared" ref="D81:K81" si="11">SUM(D83:D87)</f>
        <v>0</v>
      </c>
      <c r="E81" s="367">
        <f t="shared" si="11"/>
        <v>0</v>
      </c>
      <c r="F81" s="366">
        <f t="shared" si="11"/>
        <v>0</v>
      </c>
      <c r="G81" s="367">
        <f t="shared" si="11"/>
        <v>0</v>
      </c>
      <c r="H81" s="367">
        <f t="shared" si="11"/>
        <v>0</v>
      </c>
      <c r="I81" s="367">
        <f t="shared" si="11"/>
        <v>0</v>
      </c>
      <c r="J81" s="367">
        <f t="shared" si="11"/>
        <v>7</v>
      </c>
      <c r="K81" s="366">
        <f t="shared" si="11"/>
        <v>0</v>
      </c>
      <c r="L81" s="366">
        <f>SUM(L83:L87)</f>
        <v>0</v>
      </c>
      <c r="M81" s="366">
        <f>SUM(M83:M87)</f>
        <v>0.25</v>
      </c>
      <c r="N81" s="344" t="s">
        <v>246</v>
      </c>
      <c r="O81" s="345"/>
      <c r="P81" s="345"/>
    </row>
    <row r="82" spans="1:16" x14ac:dyDescent="0.2">
      <c r="A82" s="349"/>
      <c r="B82" s="365"/>
      <c r="C82" s="366"/>
      <c r="D82" s="367"/>
      <c r="E82" s="367"/>
      <c r="F82" s="366"/>
      <c r="G82" s="367"/>
      <c r="H82" s="367"/>
      <c r="I82" s="367"/>
      <c r="J82" s="367"/>
      <c r="K82" s="366"/>
      <c r="L82" s="366"/>
      <c r="M82" s="366"/>
      <c r="N82" s="344"/>
      <c r="O82" s="345"/>
      <c r="P82" s="345"/>
    </row>
    <row r="83" spans="1:16" x14ac:dyDescent="0.2">
      <c r="A83" s="126" t="s">
        <v>119</v>
      </c>
      <c r="B83" s="166" t="s">
        <v>304</v>
      </c>
      <c r="C83" s="145" t="s">
        <v>304</v>
      </c>
      <c r="D83" s="144" t="s">
        <v>304</v>
      </c>
      <c r="E83" s="144" t="s">
        <v>304</v>
      </c>
      <c r="F83" s="145" t="s">
        <v>304</v>
      </c>
      <c r="G83" s="144" t="s">
        <v>304</v>
      </c>
      <c r="H83" s="144" t="s">
        <v>304</v>
      </c>
      <c r="I83" s="144" t="s">
        <v>304</v>
      </c>
      <c r="J83" s="145" t="s">
        <v>304</v>
      </c>
      <c r="K83" s="144" t="s">
        <v>304</v>
      </c>
      <c r="L83" s="144" t="s">
        <v>304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">
        <v>122</v>
      </c>
      <c r="B84" s="166" t="s">
        <v>304</v>
      </c>
      <c r="C84" s="145" t="s">
        <v>304</v>
      </c>
      <c r="D84" s="144" t="s">
        <v>304</v>
      </c>
      <c r="E84" s="144" t="s">
        <v>304</v>
      </c>
      <c r="F84" s="145" t="s">
        <v>304</v>
      </c>
      <c r="G84" s="144" t="s">
        <v>304</v>
      </c>
      <c r="H84" s="144" t="s">
        <v>304</v>
      </c>
      <c r="I84" s="144" t="s">
        <v>304</v>
      </c>
      <c r="J84" s="145" t="s">
        <v>304</v>
      </c>
      <c r="K84" s="144" t="s">
        <v>304</v>
      </c>
      <c r="L84" s="144" t="s">
        <v>304</v>
      </c>
      <c r="M84" s="144" t="s">
        <v>304</v>
      </c>
      <c r="N84" s="129" t="s">
        <v>248</v>
      </c>
      <c r="O84" s="133"/>
      <c r="P84" s="133"/>
    </row>
    <row r="85" spans="1:16" x14ac:dyDescent="0.2">
      <c r="A85" s="126" t="s">
        <v>124</v>
      </c>
      <c r="B85" s="166" t="s">
        <v>304</v>
      </c>
      <c r="C85" s="145" t="s">
        <v>304</v>
      </c>
      <c r="D85" s="144" t="s">
        <v>304</v>
      </c>
      <c r="E85" s="144" t="s">
        <v>304</v>
      </c>
      <c r="F85" s="145" t="s">
        <v>304</v>
      </c>
      <c r="G85" s="144" t="s">
        <v>304</v>
      </c>
      <c r="H85" s="144" t="s">
        <v>304</v>
      </c>
      <c r="I85" s="144" t="s">
        <v>304</v>
      </c>
      <c r="J85" s="145" t="s">
        <v>304</v>
      </c>
      <c r="K85" s="144" t="s">
        <v>304</v>
      </c>
      <c r="L85" s="144" t="s">
        <v>304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">
        <v>127</v>
      </c>
      <c r="B86" s="166" t="s">
        <v>304</v>
      </c>
      <c r="C86" s="145" t="s">
        <v>304</v>
      </c>
      <c r="D86" s="144" t="s">
        <v>304</v>
      </c>
      <c r="E86" s="144" t="s">
        <v>304</v>
      </c>
      <c r="F86" s="145" t="s">
        <v>304</v>
      </c>
      <c r="G86" s="144" t="s">
        <v>304</v>
      </c>
      <c r="H86" s="144" t="s">
        <v>304</v>
      </c>
      <c r="I86" s="144" t="s">
        <v>304</v>
      </c>
      <c r="J86" s="142">
        <v>7</v>
      </c>
      <c r="K86" s="144" t="s">
        <v>304</v>
      </c>
      <c r="L86" s="144" t="s">
        <v>304</v>
      </c>
      <c r="M86" s="143">
        <v>0.25</v>
      </c>
      <c r="N86" s="129" t="s">
        <v>250</v>
      </c>
      <c r="O86" s="133"/>
      <c r="P86" s="133"/>
    </row>
    <row r="87" spans="1:16" x14ac:dyDescent="0.2">
      <c r="A87" s="126" t="s">
        <v>129</v>
      </c>
      <c r="B87" s="166" t="s">
        <v>304</v>
      </c>
      <c r="C87" s="145" t="s">
        <v>304</v>
      </c>
      <c r="D87" s="144" t="s">
        <v>304</v>
      </c>
      <c r="E87" s="144" t="s">
        <v>304</v>
      </c>
      <c r="F87" s="145" t="s">
        <v>304</v>
      </c>
      <c r="G87" s="144" t="s">
        <v>304</v>
      </c>
      <c r="H87" s="144" t="s">
        <v>304</v>
      </c>
      <c r="I87" s="144" t="s">
        <v>304</v>
      </c>
      <c r="J87" s="145" t="s">
        <v>304</v>
      </c>
      <c r="K87" s="144" t="s">
        <v>304</v>
      </c>
      <c r="L87" s="144" t="s">
        <v>304</v>
      </c>
      <c r="M87" s="144" t="s">
        <v>304</v>
      </c>
      <c r="N87" s="129" t="s">
        <v>251</v>
      </c>
      <c r="O87" s="133"/>
      <c r="P87" s="133"/>
    </row>
    <row r="88" spans="1:16" x14ac:dyDescent="0.2">
      <c r="A88" s="349" t="s">
        <v>252</v>
      </c>
      <c r="B88" s="365">
        <f>SUM(B90:B102)</f>
        <v>0</v>
      </c>
      <c r="C88" s="366">
        <f>SUM(C90:C102)</f>
        <v>0</v>
      </c>
      <c r="D88" s="367">
        <f t="shared" ref="D88:K88" si="12">SUM(D90:D102)</f>
        <v>0</v>
      </c>
      <c r="E88" s="367">
        <f t="shared" si="12"/>
        <v>0</v>
      </c>
      <c r="F88" s="366">
        <f t="shared" si="12"/>
        <v>1</v>
      </c>
      <c r="G88" s="367">
        <f t="shared" si="12"/>
        <v>0</v>
      </c>
      <c r="H88" s="367">
        <f t="shared" si="12"/>
        <v>2.5</v>
      </c>
      <c r="I88" s="367">
        <f t="shared" si="12"/>
        <v>0.1</v>
      </c>
      <c r="J88" s="367">
        <f t="shared" si="12"/>
        <v>1</v>
      </c>
      <c r="K88" s="366">
        <f t="shared" si="12"/>
        <v>0</v>
      </c>
      <c r="L88" s="366">
        <f>SUM(L90:L102)</f>
        <v>0</v>
      </c>
      <c r="M88" s="366">
        <f>SUM(M90:M102)</f>
        <v>0.2</v>
      </c>
      <c r="N88" s="344" t="s">
        <v>253</v>
      </c>
      <c r="O88" s="345"/>
      <c r="P88" s="345"/>
    </row>
    <row r="89" spans="1:16" x14ac:dyDescent="0.2">
      <c r="A89" s="349"/>
      <c r="B89" s="365"/>
      <c r="C89" s="366"/>
      <c r="D89" s="367"/>
      <c r="E89" s="367"/>
      <c r="F89" s="366"/>
      <c r="G89" s="367"/>
      <c r="H89" s="367"/>
      <c r="I89" s="367"/>
      <c r="J89" s="367"/>
      <c r="K89" s="366"/>
      <c r="L89" s="366"/>
      <c r="M89" s="366"/>
      <c r="N89" s="344"/>
      <c r="O89" s="345"/>
      <c r="P89" s="345"/>
    </row>
    <row r="90" spans="1:16" x14ac:dyDescent="0.2">
      <c r="A90" s="126" t="s">
        <v>131</v>
      </c>
      <c r="B90" s="166" t="s">
        <v>304</v>
      </c>
      <c r="C90" s="145" t="s">
        <v>304</v>
      </c>
      <c r="D90" s="144" t="s">
        <v>304</v>
      </c>
      <c r="E90" s="144" t="s">
        <v>304</v>
      </c>
      <c r="F90" s="145" t="s">
        <v>304</v>
      </c>
      <c r="G90" s="144" t="s">
        <v>304</v>
      </c>
      <c r="H90" s="144" t="s">
        <v>304</v>
      </c>
      <c r="I90" s="144" t="s">
        <v>304</v>
      </c>
      <c r="J90" s="145" t="s">
        <v>304</v>
      </c>
      <c r="K90" s="144" t="s">
        <v>304</v>
      </c>
      <c r="L90" s="144" t="s">
        <v>304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">
        <v>133</v>
      </c>
      <c r="B91" s="166" t="s">
        <v>304</v>
      </c>
      <c r="C91" s="145" t="s">
        <v>304</v>
      </c>
      <c r="D91" s="144" t="s">
        <v>304</v>
      </c>
      <c r="E91" s="144" t="s">
        <v>304</v>
      </c>
      <c r="F91" s="145" t="s">
        <v>304</v>
      </c>
      <c r="G91" s="144" t="s">
        <v>304</v>
      </c>
      <c r="H91" s="144" t="s">
        <v>304</v>
      </c>
      <c r="I91" s="144" t="s">
        <v>304</v>
      </c>
      <c r="J91" s="145" t="s">
        <v>304</v>
      </c>
      <c r="K91" s="144" t="s">
        <v>304</v>
      </c>
      <c r="L91" s="144" t="s">
        <v>304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">
        <v>135</v>
      </c>
      <c r="B92" s="166" t="s">
        <v>304</v>
      </c>
      <c r="C92" s="145" t="s">
        <v>304</v>
      </c>
      <c r="D92" s="144" t="s">
        <v>304</v>
      </c>
      <c r="E92" s="144" t="s">
        <v>304</v>
      </c>
      <c r="F92" s="145" t="s">
        <v>304</v>
      </c>
      <c r="G92" s="144" t="s">
        <v>304</v>
      </c>
      <c r="H92" s="144" t="s">
        <v>304</v>
      </c>
      <c r="I92" s="144" t="s">
        <v>304</v>
      </c>
      <c r="J92" s="145" t="s">
        <v>304</v>
      </c>
      <c r="K92" s="144" t="s">
        <v>304</v>
      </c>
      <c r="L92" s="144" t="s">
        <v>304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">
        <v>137</v>
      </c>
      <c r="B93" s="166" t="s">
        <v>304</v>
      </c>
      <c r="C93" s="145" t="s">
        <v>304</v>
      </c>
      <c r="D93" s="144" t="s">
        <v>304</v>
      </c>
      <c r="E93" s="144" t="s">
        <v>304</v>
      </c>
      <c r="F93" s="145" t="s">
        <v>304</v>
      </c>
      <c r="G93" s="144" t="s">
        <v>304</v>
      </c>
      <c r="H93" s="144" t="s">
        <v>304</v>
      </c>
      <c r="I93" s="144" t="s">
        <v>304</v>
      </c>
      <c r="J93" s="145" t="s">
        <v>304</v>
      </c>
      <c r="K93" s="144" t="s">
        <v>304</v>
      </c>
      <c r="L93" s="144" t="s">
        <v>304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">
        <v>139</v>
      </c>
      <c r="B94" s="166" t="s">
        <v>304</v>
      </c>
      <c r="C94" s="145" t="s">
        <v>304</v>
      </c>
      <c r="D94" s="144" t="s">
        <v>304</v>
      </c>
      <c r="E94" s="144" t="s">
        <v>304</v>
      </c>
      <c r="F94" s="145" t="s">
        <v>304</v>
      </c>
      <c r="G94" s="144" t="s">
        <v>304</v>
      </c>
      <c r="H94" s="144" t="s">
        <v>304</v>
      </c>
      <c r="I94" s="144" t="s">
        <v>304</v>
      </c>
      <c r="J94" s="142">
        <v>1</v>
      </c>
      <c r="K94" s="144" t="s">
        <v>304</v>
      </c>
      <c r="L94" s="144" t="s">
        <v>304</v>
      </c>
      <c r="M94" s="143">
        <v>0.2</v>
      </c>
      <c r="N94" s="129" t="s">
        <v>258</v>
      </c>
      <c r="O94" s="133"/>
      <c r="P94" s="133"/>
    </row>
    <row r="95" spans="1:16" x14ac:dyDescent="0.2">
      <c r="A95" s="126" t="s">
        <v>141</v>
      </c>
      <c r="B95" s="166" t="s">
        <v>304</v>
      </c>
      <c r="C95" s="145" t="s">
        <v>304</v>
      </c>
      <c r="D95" s="144" t="s">
        <v>304</v>
      </c>
      <c r="E95" s="144" t="s">
        <v>304</v>
      </c>
      <c r="F95" s="145" t="s">
        <v>304</v>
      </c>
      <c r="G95" s="144" t="s">
        <v>304</v>
      </c>
      <c r="H95" s="144" t="s">
        <v>304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">
        <v>144</v>
      </c>
      <c r="B96" s="166" t="s">
        <v>304</v>
      </c>
      <c r="C96" s="145" t="s">
        <v>304</v>
      </c>
      <c r="D96" s="144" t="s">
        <v>304</v>
      </c>
      <c r="E96" s="144" t="s">
        <v>304</v>
      </c>
      <c r="F96" s="145" t="s">
        <v>304</v>
      </c>
      <c r="G96" s="144" t="s">
        <v>304</v>
      </c>
      <c r="H96" s="144" t="s">
        <v>304</v>
      </c>
      <c r="I96" s="144" t="s">
        <v>304</v>
      </c>
      <c r="J96" s="145" t="s">
        <v>304</v>
      </c>
      <c r="K96" s="144" t="s">
        <v>304</v>
      </c>
      <c r="L96" s="144" t="s">
        <v>304</v>
      </c>
      <c r="M96" s="144" t="s">
        <v>304</v>
      </c>
      <c r="N96" s="129" t="s">
        <v>260</v>
      </c>
      <c r="O96" s="133"/>
      <c r="P96" s="133"/>
    </row>
    <row r="97" spans="1:16" x14ac:dyDescent="0.2">
      <c r="A97" s="126" t="s">
        <v>146</v>
      </c>
      <c r="B97" s="166" t="s">
        <v>304</v>
      </c>
      <c r="C97" s="145" t="s">
        <v>304</v>
      </c>
      <c r="D97" s="144" t="s">
        <v>304</v>
      </c>
      <c r="E97" s="144" t="s">
        <v>304</v>
      </c>
      <c r="F97" s="145" t="s">
        <v>304</v>
      </c>
      <c r="G97" s="144" t="s">
        <v>304</v>
      </c>
      <c r="H97" s="144" t="s">
        <v>304</v>
      </c>
      <c r="I97" s="144" t="s">
        <v>304</v>
      </c>
      <c r="J97" s="145" t="s">
        <v>304</v>
      </c>
      <c r="K97" s="144" t="s">
        <v>304</v>
      </c>
      <c r="L97" s="144" t="s">
        <v>304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">
        <v>148</v>
      </c>
      <c r="B98" s="166" t="s">
        <v>304</v>
      </c>
      <c r="C98" s="145" t="s">
        <v>304</v>
      </c>
      <c r="D98" s="144" t="s">
        <v>304</v>
      </c>
      <c r="E98" s="144" t="s">
        <v>304</v>
      </c>
      <c r="F98" s="145" t="s">
        <v>304</v>
      </c>
      <c r="G98" s="144" t="s">
        <v>304</v>
      </c>
      <c r="H98" s="144" t="s">
        <v>304</v>
      </c>
      <c r="I98" s="144" t="s">
        <v>304</v>
      </c>
      <c r="J98" s="145" t="s">
        <v>304</v>
      </c>
      <c r="K98" s="144" t="s">
        <v>304</v>
      </c>
      <c r="L98" s="144" t="s">
        <v>304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">
        <v>150</v>
      </c>
      <c r="B99" s="166" t="s">
        <v>304</v>
      </c>
      <c r="C99" s="145" t="s">
        <v>304</v>
      </c>
      <c r="D99" s="144" t="s">
        <v>304</v>
      </c>
      <c r="E99" s="144" t="s">
        <v>304</v>
      </c>
      <c r="F99" s="145" t="s">
        <v>304</v>
      </c>
      <c r="G99" s="144" t="s">
        <v>304</v>
      </c>
      <c r="H99" s="144" t="s">
        <v>304</v>
      </c>
      <c r="I99" s="144" t="s">
        <v>304</v>
      </c>
      <c r="J99" s="145" t="s">
        <v>304</v>
      </c>
      <c r="K99" s="144" t="s">
        <v>304</v>
      </c>
      <c r="L99" s="144" t="s">
        <v>304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">
        <v>152</v>
      </c>
      <c r="B100" s="166" t="s">
        <v>304</v>
      </c>
      <c r="C100" s="145" t="s">
        <v>304</v>
      </c>
      <c r="D100" s="144" t="s">
        <v>304</v>
      </c>
      <c r="E100" s="144" t="s">
        <v>304</v>
      </c>
      <c r="F100" s="145" t="s">
        <v>304</v>
      </c>
      <c r="G100" s="144" t="s">
        <v>304</v>
      </c>
      <c r="H100" s="144" t="s">
        <v>304</v>
      </c>
      <c r="I100" s="144" t="s">
        <v>304</v>
      </c>
      <c r="J100" s="145" t="s">
        <v>304</v>
      </c>
      <c r="K100" s="144" t="s">
        <v>304</v>
      </c>
      <c r="L100" s="144" t="s">
        <v>304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">
        <v>154</v>
      </c>
      <c r="B101" s="166" t="s">
        <v>304</v>
      </c>
      <c r="C101" s="145" t="s">
        <v>304</v>
      </c>
      <c r="D101" s="144" t="s">
        <v>304</v>
      </c>
      <c r="E101" s="144" t="s">
        <v>304</v>
      </c>
      <c r="F101" s="142">
        <v>1</v>
      </c>
      <c r="G101" s="144" t="s">
        <v>304</v>
      </c>
      <c r="H101" s="143">
        <v>2.5</v>
      </c>
      <c r="I101" s="143">
        <v>0.1</v>
      </c>
      <c r="J101" s="145" t="s">
        <v>304</v>
      </c>
      <c r="K101" s="144" t="s">
        <v>304</v>
      </c>
      <c r="L101" s="144" t="s">
        <v>304</v>
      </c>
      <c r="M101" s="144" t="s">
        <v>304</v>
      </c>
      <c r="N101" s="129" t="s">
        <v>265</v>
      </c>
      <c r="O101" s="133"/>
      <c r="P101" s="133"/>
    </row>
    <row r="102" spans="1:16" x14ac:dyDescent="0.2">
      <c r="A102" s="126" t="s">
        <v>156</v>
      </c>
      <c r="B102" s="166" t="s">
        <v>304</v>
      </c>
      <c r="C102" s="145" t="s">
        <v>304</v>
      </c>
      <c r="D102" s="144" t="s">
        <v>304</v>
      </c>
      <c r="E102" s="144" t="s">
        <v>304</v>
      </c>
      <c r="F102" s="145" t="s">
        <v>304</v>
      </c>
      <c r="G102" s="144" t="s">
        <v>304</v>
      </c>
      <c r="H102" s="144" t="s">
        <v>304</v>
      </c>
      <c r="I102" s="144" t="s">
        <v>304</v>
      </c>
      <c r="J102" s="145" t="s">
        <v>304</v>
      </c>
      <c r="K102" s="144" t="s">
        <v>304</v>
      </c>
      <c r="L102" s="144" t="s">
        <v>304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49" t="s">
        <v>267</v>
      </c>
      <c r="B103" s="365">
        <f>SUM(B105:B108)</f>
        <v>0</v>
      </c>
      <c r="C103" s="366">
        <f>SUM(C105:C108)</f>
        <v>0</v>
      </c>
      <c r="D103" s="367">
        <f t="shared" ref="D103:K103" si="13">SUM(D105:D108)</f>
        <v>0</v>
      </c>
      <c r="E103" s="367">
        <f t="shared" si="13"/>
        <v>0</v>
      </c>
      <c r="F103" s="366">
        <f t="shared" si="13"/>
        <v>130566</v>
      </c>
      <c r="G103" s="367">
        <f t="shared" si="13"/>
        <v>18719.25</v>
      </c>
      <c r="H103" s="367">
        <f t="shared" si="13"/>
        <v>5390.67</v>
      </c>
      <c r="I103" s="367">
        <f t="shared" si="13"/>
        <v>12436.365</v>
      </c>
      <c r="J103" s="367">
        <f t="shared" si="13"/>
        <v>560</v>
      </c>
      <c r="K103" s="366">
        <f t="shared" si="13"/>
        <v>161.79999999999998</v>
      </c>
      <c r="L103" s="366">
        <f>SUM(L105:L108)</f>
        <v>12.02</v>
      </c>
      <c r="M103" s="366">
        <f>SUM(M105:M108)</f>
        <v>33.32</v>
      </c>
      <c r="N103" s="344" t="s">
        <v>268</v>
      </c>
      <c r="O103" s="345"/>
      <c r="P103" s="345"/>
    </row>
    <row r="104" spans="1:16" x14ac:dyDescent="0.2">
      <c r="A104" s="349"/>
      <c r="B104" s="365"/>
      <c r="C104" s="366"/>
      <c r="D104" s="367"/>
      <c r="E104" s="367"/>
      <c r="F104" s="366"/>
      <c r="G104" s="367"/>
      <c r="H104" s="367"/>
      <c r="I104" s="367"/>
      <c r="J104" s="367"/>
      <c r="K104" s="366"/>
      <c r="L104" s="366"/>
      <c r="M104" s="366"/>
      <c r="N104" s="344"/>
      <c r="O104" s="345"/>
      <c r="P104" s="345"/>
    </row>
    <row r="105" spans="1:16" x14ac:dyDescent="0.2">
      <c r="A105" s="126" t="s">
        <v>158</v>
      </c>
      <c r="B105" s="166" t="s">
        <v>304</v>
      </c>
      <c r="C105" s="145" t="s">
        <v>304</v>
      </c>
      <c r="D105" s="144" t="s">
        <v>304</v>
      </c>
      <c r="E105" s="144" t="s">
        <v>304</v>
      </c>
      <c r="F105" s="142">
        <v>120962</v>
      </c>
      <c r="G105" s="143">
        <v>18394.7</v>
      </c>
      <c r="H105" s="143">
        <v>5235</v>
      </c>
      <c r="I105" s="143">
        <v>11969.91</v>
      </c>
      <c r="J105" s="142">
        <v>408</v>
      </c>
      <c r="K105" s="143">
        <v>160.5</v>
      </c>
      <c r="L105" s="143">
        <v>1.5</v>
      </c>
      <c r="M105" s="146">
        <v>26.62</v>
      </c>
      <c r="N105" s="129" t="s">
        <v>269</v>
      </c>
      <c r="O105" s="133"/>
      <c r="P105" s="133"/>
    </row>
    <row r="106" spans="1:16" x14ac:dyDescent="0.2">
      <c r="A106" s="126" t="s">
        <v>160</v>
      </c>
      <c r="B106" s="166" t="s">
        <v>304</v>
      </c>
      <c r="C106" s="145" t="s">
        <v>304</v>
      </c>
      <c r="D106" s="144" t="s">
        <v>304</v>
      </c>
      <c r="E106" s="144" t="s">
        <v>304</v>
      </c>
      <c r="F106" s="142">
        <v>6365</v>
      </c>
      <c r="G106" s="143">
        <v>201</v>
      </c>
      <c r="H106" s="143">
        <v>28.65</v>
      </c>
      <c r="I106" s="143">
        <v>322.06</v>
      </c>
      <c r="J106" s="142">
        <v>22</v>
      </c>
      <c r="K106" s="143">
        <v>1.2</v>
      </c>
      <c r="L106" s="143">
        <v>0.4</v>
      </c>
      <c r="M106" s="146">
        <v>2.9</v>
      </c>
      <c r="N106" s="129" t="s">
        <v>270</v>
      </c>
      <c r="O106" s="133"/>
      <c r="P106" s="133"/>
    </row>
    <row r="107" spans="1:16" ht="13.2" x14ac:dyDescent="0.25">
      <c r="A107" s="126" t="s">
        <v>163</v>
      </c>
      <c r="B107" s="168" t="s">
        <v>304</v>
      </c>
      <c r="C107" s="147" t="s">
        <v>304</v>
      </c>
      <c r="D107" s="148" t="s">
        <v>304</v>
      </c>
      <c r="E107" s="148" t="s">
        <v>304</v>
      </c>
      <c r="F107" s="149">
        <v>3027</v>
      </c>
      <c r="G107" s="143">
        <v>103.25</v>
      </c>
      <c r="H107" s="143">
        <v>60.5</v>
      </c>
      <c r="I107" s="143">
        <v>100.285</v>
      </c>
      <c r="J107" s="142">
        <v>127</v>
      </c>
      <c r="K107" s="143">
        <v>0.1</v>
      </c>
      <c r="L107" s="143">
        <v>10.02</v>
      </c>
      <c r="M107" s="146">
        <v>2.2999999999999998</v>
      </c>
      <c r="N107" s="129" t="s">
        <v>271</v>
      </c>
      <c r="O107" s="133"/>
      <c r="P107" s="133"/>
    </row>
    <row r="108" spans="1:16" ht="13.8" thickBot="1" x14ac:dyDescent="0.3">
      <c r="A108" s="127" t="s">
        <v>166</v>
      </c>
      <c r="B108" s="169" t="s">
        <v>304</v>
      </c>
      <c r="C108" s="153" t="s">
        <v>304</v>
      </c>
      <c r="D108" s="154" t="s">
        <v>304</v>
      </c>
      <c r="E108" s="154" t="s">
        <v>304</v>
      </c>
      <c r="F108" s="155">
        <v>212</v>
      </c>
      <c r="G108" s="151">
        <v>20.3</v>
      </c>
      <c r="H108" s="151">
        <v>66.52</v>
      </c>
      <c r="I108" s="151">
        <v>44.11</v>
      </c>
      <c r="J108" s="150">
        <v>3</v>
      </c>
      <c r="K108" s="152" t="s">
        <v>304</v>
      </c>
      <c r="L108" s="151">
        <v>0.1</v>
      </c>
      <c r="M108" s="156">
        <v>1.5</v>
      </c>
      <c r="N108" s="130" t="s">
        <v>272</v>
      </c>
      <c r="O108" s="128"/>
      <c r="P108" s="128"/>
    </row>
    <row r="110" spans="1:16" x14ac:dyDescent="0.2">
      <c r="A110" s="137" t="s">
        <v>300</v>
      </c>
      <c r="K110" s="120" t="s">
        <v>302</v>
      </c>
      <c r="N110" s="131"/>
      <c r="O110" s="131"/>
      <c r="P110" s="131"/>
    </row>
    <row r="111" spans="1:16" ht="21" customHeight="1" x14ac:dyDescent="0.2">
      <c r="A111" s="163" t="s">
        <v>301</v>
      </c>
      <c r="K111" s="359" t="s">
        <v>303</v>
      </c>
      <c r="L111" s="359"/>
      <c r="M111" s="359"/>
      <c r="N111" s="359"/>
      <c r="O111" s="359"/>
      <c r="P111" s="359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2015-05-13T12:31:37Z</cp:lastPrinted>
  <dcterms:created xsi:type="dcterms:W3CDTF">2015-05-04T11:17:29Z</dcterms:created>
  <dcterms:modified xsi:type="dcterms:W3CDTF">2026-06-23T07:15:15Z</dcterms:modified>
</cp:coreProperties>
</file>