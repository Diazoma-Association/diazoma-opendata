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F70A944E-0C13-4968-8A4C-C6FB7304B0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1" i="1" l="1"/>
  <c r="K71" i="1"/>
  <c r="G27" i="1"/>
  <c r="G103" i="1"/>
  <c r="G88" i="1"/>
  <c r="G81" i="1"/>
  <c r="G71" i="1"/>
  <c r="F71" i="1"/>
  <c r="E71" i="1"/>
  <c r="G64" i="1"/>
  <c r="G59" i="1"/>
  <c r="G52" i="1"/>
  <c r="G45" i="1"/>
  <c r="G38" i="1"/>
  <c r="G32" i="1"/>
  <c r="G18" i="1"/>
  <c r="G10" i="1"/>
  <c r="G8" i="1" l="1"/>
  <c r="Q103" i="1"/>
  <c r="R103" i="1"/>
  <c r="S103" i="1"/>
  <c r="T103" i="1"/>
  <c r="U103" i="1"/>
  <c r="V103" i="1"/>
  <c r="Q88" i="1"/>
  <c r="R88" i="1"/>
  <c r="S88" i="1"/>
  <c r="T88" i="1"/>
  <c r="U88" i="1"/>
  <c r="V88" i="1"/>
  <c r="Q81" i="1"/>
  <c r="R81" i="1"/>
  <c r="S81" i="1"/>
  <c r="T81" i="1"/>
  <c r="U81" i="1"/>
  <c r="V81" i="1"/>
  <c r="Q71" i="1"/>
  <c r="R71" i="1"/>
  <c r="S71" i="1"/>
  <c r="T71" i="1"/>
  <c r="U71" i="1"/>
  <c r="V71" i="1"/>
  <c r="Q64" i="1"/>
  <c r="R64" i="1"/>
  <c r="S64" i="1"/>
  <c r="T64" i="1"/>
  <c r="U64" i="1"/>
  <c r="V64" i="1"/>
  <c r="Q59" i="1"/>
  <c r="R59" i="1"/>
  <c r="S59" i="1"/>
  <c r="T59" i="1"/>
  <c r="U59" i="1"/>
  <c r="V59" i="1"/>
  <c r="Q52" i="1"/>
  <c r="R52" i="1"/>
  <c r="S52" i="1"/>
  <c r="T52" i="1"/>
  <c r="U52" i="1"/>
  <c r="V52" i="1"/>
  <c r="Q45" i="1"/>
  <c r="R45" i="1"/>
  <c r="S45" i="1"/>
  <c r="T45" i="1"/>
  <c r="U45" i="1"/>
  <c r="V45" i="1"/>
  <c r="Q38" i="1"/>
  <c r="R38" i="1"/>
  <c r="S38" i="1"/>
  <c r="T38" i="1"/>
  <c r="U38" i="1"/>
  <c r="V38" i="1"/>
  <c r="Q32" i="1"/>
  <c r="R32" i="1"/>
  <c r="S32" i="1"/>
  <c r="T32" i="1"/>
  <c r="U32" i="1"/>
  <c r="V32" i="1"/>
  <c r="Q27" i="1"/>
  <c r="R27" i="1"/>
  <c r="S27" i="1"/>
  <c r="T27" i="1"/>
  <c r="U27" i="1"/>
  <c r="V27" i="1"/>
  <c r="Q18" i="1"/>
  <c r="R18" i="1"/>
  <c r="S18" i="1"/>
  <c r="T18" i="1"/>
  <c r="U18" i="1"/>
  <c r="V18" i="1"/>
  <c r="Q10" i="1"/>
  <c r="R10" i="1"/>
  <c r="S10" i="1"/>
  <c r="T10" i="1"/>
  <c r="U10" i="1"/>
  <c r="V10" i="1"/>
  <c r="D10" i="1"/>
  <c r="S8" i="1" l="1"/>
  <c r="Q8" i="1"/>
  <c r="U8" i="1"/>
  <c r="R8" i="1"/>
  <c r="V8" i="1"/>
  <c r="T8" i="1"/>
  <c r="H10" i="1"/>
  <c r="I10" i="1"/>
  <c r="J10" i="1"/>
  <c r="K10" i="1"/>
  <c r="F10" i="1"/>
  <c r="E10" i="1"/>
  <c r="B10" i="1"/>
  <c r="M10" i="1"/>
  <c r="L10" i="1"/>
  <c r="F27" i="1"/>
  <c r="E27" i="1"/>
  <c r="N32" i="1"/>
  <c r="C27" i="1"/>
  <c r="D27" i="1"/>
  <c r="H27" i="1"/>
  <c r="I27" i="1"/>
  <c r="J27" i="1"/>
  <c r="K27" i="1"/>
  <c r="L27" i="1"/>
  <c r="M27" i="1"/>
  <c r="N27" i="1"/>
  <c r="O27" i="1"/>
  <c r="P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27" i="1"/>
  <c r="C18" i="1"/>
  <c r="D18" i="1"/>
  <c r="E18" i="1"/>
  <c r="F18" i="1"/>
  <c r="H18" i="1"/>
  <c r="I18" i="1"/>
  <c r="J18" i="1"/>
  <c r="K18" i="1"/>
  <c r="L18" i="1"/>
  <c r="M18" i="1"/>
  <c r="N18" i="1"/>
  <c r="O18" i="1"/>
  <c r="P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18" i="1"/>
  <c r="Z52" i="1"/>
  <c r="X52" i="1"/>
  <c r="Y52" i="1"/>
  <c r="X38" i="1"/>
  <c r="K103" i="1"/>
  <c r="L103" i="1"/>
  <c r="M103" i="1"/>
  <c r="L88" i="1"/>
  <c r="M88" i="1"/>
  <c r="K88" i="1"/>
  <c r="L81" i="1"/>
  <c r="M81" i="1"/>
  <c r="K81" i="1"/>
  <c r="L71" i="1"/>
  <c r="M71" i="1"/>
  <c r="L64" i="1"/>
  <c r="M64" i="1"/>
  <c r="K64" i="1"/>
  <c r="L59" i="1"/>
  <c r="M59" i="1"/>
  <c r="K59" i="1"/>
  <c r="L52" i="1"/>
  <c r="M52" i="1"/>
  <c r="K52" i="1"/>
  <c r="L45" i="1"/>
  <c r="M45" i="1"/>
  <c r="K45" i="1"/>
  <c r="L38" i="1"/>
  <c r="M38" i="1"/>
  <c r="K38" i="1"/>
  <c r="L32" i="1"/>
  <c r="M32" i="1"/>
  <c r="K32" i="1"/>
  <c r="H103" i="1"/>
  <c r="I103" i="1"/>
  <c r="J103" i="1"/>
  <c r="H88" i="1"/>
  <c r="I88" i="1"/>
  <c r="J88" i="1"/>
  <c r="H81" i="1"/>
  <c r="I81" i="1"/>
  <c r="J81" i="1"/>
  <c r="H71" i="1"/>
  <c r="I71" i="1"/>
  <c r="H64" i="1"/>
  <c r="I64" i="1"/>
  <c r="J64" i="1"/>
  <c r="H59" i="1"/>
  <c r="I59" i="1"/>
  <c r="J59" i="1"/>
  <c r="H52" i="1"/>
  <c r="I52" i="1"/>
  <c r="J52" i="1"/>
  <c r="H45" i="1"/>
  <c r="I45" i="1"/>
  <c r="J45" i="1"/>
  <c r="H38" i="1"/>
  <c r="I38" i="1"/>
  <c r="J38" i="1"/>
  <c r="H32" i="1"/>
  <c r="I32" i="1"/>
  <c r="J32" i="1"/>
  <c r="E103" i="1"/>
  <c r="F103" i="1"/>
  <c r="E81" i="1"/>
  <c r="F81" i="1"/>
  <c r="E88" i="1"/>
  <c r="F88" i="1"/>
  <c r="E64" i="1"/>
  <c r="F64" i="1"/>
  <c r="E59" i="1"/>
  <c r="F59" i="1"/>
  <c r="E52" i="1"/>
  <c r="F52" i="1"/>
  <c r="E45" i="1"/>
  <c r="F45" i="1"/>
  <c r="E38" i="1"/>
  <c r="F38" i="1"/>
  <c r="E32" i="1"/>
  <c r="F32" i="1"/>
  <c r="C103" i="1"/>
  <c r="D103" i="1"/>
  <c r="C88" i="1"/>
  <c r="D88" i="1"/>
  <c r="C81" i="1"/>
  <c r="D81" i="1"/>
  <c r="C71" i="1"/>
  <c r="D71" i="1"/>
  <c r="C64" i="1"/>
  <c r="D64" i="1"/>
  <c r="C59" i="1"/>
  <c r="D59" i="1"/>
  <c r="C52" i="1"/>
  <c r="D52" i="1"/>
  <c r="C45" i="1"/>
  <c r="D45" i="1"/>
  <c r="C38" i="1"/>
  <c r="D38" i="1"/>
  <c r="C32" i="1"/>
  <c r="D32" i="1"/>
  <c r="C10" i="1"/>
  <c r="B32" i="1"/>
  <c r="B38" i="1"/>
  <c r="B45" i="1"/>
  <c r="B52" i="1"/>
  <c r="B59" i="1"/>
  <c r="B64" i="1"/>
  <c r="B71" i="1"/>
  <c r="B81" i="1"/>
  <c r="B88" i="1"/>
  <c r="B103" i="1"/>
  <c r="BA103" i="1"/>
  <c r="AZ103" i="1"/>
  <c r="AY103" i="1"/>
  <c r="AX103" i="1"/>
  <c r="AW103" i="1"/>
  <c r="AV103" i="1"/>
  <c r="AU103" i="1"/>
  <c r="AT103" i="1"/>
  <c r="AS103" i="1"/>
  <c r="AR103" i="1"/>
  <c r="BA88" i="1"/>
  <c r="AZ88" i="1"/>
  <c r="AY88" i="1"/>
  <c r="AX88" i="1"/>
  <c r="AW88" i="1"/>
  <c r="AV88" i="1"/>
  <c r="AU88" i="1"/>
  <c r="AT88" i="1"/>
  <c r="AS88" i="1"/>
  <c r="AR88" i="1"/>
  <c r="BA81" i="1"/>
  <c r="AZ81" i="1"/>
  <c r="AY81" i="1"/>
  <c r="AX81" i="1"/>
  <c r="AW81" i="1"/>
  <c r="AV81" i="1"/>
  <c r="AU81" i="1"/>
  <c r="AT81" i="1"/>
  <c r="AS81" i="1"/>
  <c r="AR81" i="1"/>
  <c r="BA71" i="1"/>
  <c r="AZ71" i="1"/>
  <c r="AY71" i="1"/>
  <c r="AX71" i="1"/>
  <c r="AW71" i="1"/>
  <c r="AV71" i="1"/>
  <c r="AU71" i="1"/>
  <c r="AT71" i="1"/>
  <c r="AS71" i="1"/>
  <c r="AR71" i="1"/>
  <c r="BA64" i="1"/>
  <c r="AZ64" i="1"/>
  <c r="AY64" i="1"/>
  <c r="AX64" i="1"/>
  <c r="AW64" i="1"/>
  <c r="AV64" i="1"/>
  <c r="AU64" i="1"/>
  <c r="AT64" i="1"/>
  <c r="AS64" i="1"/>
  <c r="AR64" i="1"/>
  <c r="BA59" i="1"/>
  <c r="AZ59" i="1"/>
  <c r="AY59" i="1"/>
  <c r="AX59" i="1"/>
  <c r="AW59" i="1"/>
  <c r="AV59" i="1"/>
  <c r="AU59" i="1"/>
  <c r="AT59" i="1"/>
  <c r="AS59" i="1"/>
  <c r="AR59" i="1"/>
  <c r="BA52" i="1"/>
  <c r="AZ52" i="1"/>
  <c r="AY52" i="1"/>
  <c r="AX52" i="1"/>
  <c r="AW52" i="1"/>
  <c r="AV52" i="1"/>
  <c r="AU52" i="1"/>
  <c r="AT52" i="1"/>
  <c r="AS52" i="1"/>
  <c r="AR52" i="1"/>
  <c r="BA45" i="1"/>
  <c r="AZ45" i="1"/>
  <c r="AY45" i="1"/>
  <c r="AX45" i="1"/>
  <c r="AW45" i="1"/>
  <c r="AV45" i="1"/>
  <c r="AU45" i="1"/>
  <c r="AT45" i="1"/>
  <c r="AS45" i="1"/>
  <c r="AR45" i="1"/>
  <c r="BA38" i="1"/>
  <c r="AZ38" i="1"/>
  <c r="AY38" i="1"/>
  <c r="AX38" i="1"/>
  <c r="AW38" i="1"/>
  <c r="AV38" i="1"/>
  <c r="AU38" i="1"/>
  <c r="AT38" i="1"/>
  <c r="AS38" i="1"/>
  <c r="AR38" i="1"/>
  <c r="BA32" i="1"/>
  <c r="AZ32" i="1"/>
  <c r="AY32" i="1"/>
  <c r="AX32" i="1"/>
  <c r="AW32" i="1"/>
  <c r="AV32" i="1"/>
  <c r="AU32" i="1"/>
  <c r="AT32" i="1"/>
  <c r="AS32" i="1"/>
  <c r="AR32" i="1"/>
  <c r="BA10" i="1"/>
  <c r="AZ10" i="1"/>
  <c r="AY10" i="1"/>
  <c r="AX10" i="1"/>
  <c r="AW10" i="1"/>
  <c r="AV10" i="1"/>
  <c r="AU10" i="1"/>
  <c r="AT10" i="1"/>
  <c r="AS10" i="1"/>
  <c r="AR10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3" i="1"/>
  <c r="AD103" i="1"/>
  <c r="AC103" i="1"/>
  <c r="AB103" i="1"/>
  <c r="AA103" i="1"/>
  <c r="Z103" i="1"/>
  <c r="Y103" i="1"/>
  <c r="X103" i="1"/>
  <c r="W103" i="1"/>
  <c r="P103" i="1"/>
  <c r="O103" i="1"/>
  <c r="N103" i="1"/>
  <c r="AE88" i="1"/>
  <c r="AD88" i="1"/>
  <c r="AC88" i="1"/>
  <c r="AB88" i="1"/>
  <c r="AA88" i="1"/>
  <c r="Z88" i="1"/>
  <c r="Y88" i="1"/>
  <c r="X88" i="1"/>
  <c r="W88" i="1"/>
  <c r="P88" i="1"/>
  <c r="O88" i="1"/>
  <c r="N88" i="1"/>
  <c r="AE81" i="1"/>
  <c r="AD81" i="1"/>
  <c r="AC81" i="1"/>
  <c r="AB81" i="1"/>
  <c r="AA81" i="1"/>
  <c r="Z81" i="1"/>
  <c r="Y81" i="1"/>
  <c r="X81" i="1"/>
  <c r="W81" i="1"/>
  <c r="P81" i="1"/>
  <c r="O81" i="1"/>
  <c r="N81" i="1"/>
  <c r="AE71" i="1"/>
  <c r="AD71" i="1"/>
  <c r="AC71" i="1"/>
  <c r="AB71" i="1"/>
  <c r="AA71" i="1"/>
  <c r="Z71" i="1"/>
  <c r="Y71" i="1"/>
  <c r="X71" i="1"/>
  <c r="W71" i="1"/>
  <c r="P71" i="1"/>
  <c r="O71" i="1"/>
  <c r="N71" i="1"/>
  <c r="AE64" i="1"/>
  <c r="AD64" i="1"/>
  <c r="AC64" i="1"/>
  <c r="AB64" i="1"/>
  <c r="AA64" i="1"/>
  <c r="Z64" i="1"/>
  <c r="Y64" i="1"/>
  <c r="X64" i="1"/>
  <c r="W64" i="1"/>
  <c r="P64" i="1"/>
  <c r="O64" i="1"/>
  <c r="N64" i="1"/>
  <c r="AE59" i="1"/>
  <c r="AD59" i="1"/>
  <c r="AC59" i="1"/>
  <c r="AB59" i="1"/>
  <c r="AA59" i="1"/>
  <c r="Z59" i="1"/>
  <c r="Y59" i="1"/>
  <c r="X59" i="1"/>
  <c r="W59" i="1"/>
  <c r="P59" i="1"/>
  <c r="O59" i="1"/>
  <c r="N59" i="1"/>
  <c r="AE52" i="1"/>
  <c r="AD52" i="1"/>
  <c r="AC52" i="1"/>
  <c r="AB52" i="1"/>
  <c r="AA52" i="1"/>
  <c r="W52" i="1"/>
  <c r="P52" i="1"/>
  <c r="O52" i="1"/>
  <c r="N52" i="1"/>
  <c r="AE45" i="1"/>
  <c r="AD45" i="1"/>
  <c r="AC45" i="1"/>
  <c r="AB45" i="1"/>
  <c r="AA45" i="1"/>
  <c r="Z45" i="1"/>
  <c r="Y45" i="1"/>
  <c r="X45" i="1"/>
  <c r="W45" i="1"/>
  <c r="P45" i="1"/>
  <c r="O45" i="1"/>
  <c r="N45" i="1"/>
  <c r="AE38" i="1"/>
  <c r="AD38" i="1"/>
  <c r="AC38" i="1"/>
  <c r="AB38" i="1"/>
  <c r="AA38" i="1"/>
  <c r="Z38" i="1"/>
  <c r="Y38" i="1"/>
  <c r="W38" i="1"/>
  <c r="P38" i="1"/>
  <c r="O38" i="1"/>
  <c r="N38" i="1"/>
  <c r="AE32" i="1"/>
  <c r="AD32" i="1"/>
  <c r="AC32" i="1"/>
  <c r="AB32" i="1"/>
  <c r="AA32" i="1"/>
  <c r="Z32" i="1"/>
  <c r="Y32" i="1"/>
  <c r="X32" i="1"/>
  <c r="W32" i="1"/>
  <c r="P32" i="1"/>
  <c r="O32" i="1"/>
  <c r="AE10" i="1"/>
  <c r="AD10" i="1"/>
  <c r="AC10" i="1"/>
  <c r="AB10" i="1"/>
  <c r="AA10" i="1"/>
  <c r="Z10" i="1"/>
  <c r="Y10" i="1"/>
  <c r="X10" i="1"/>
  <c r="W10" i="1"/>
  <c r="P10" i="1"/>
  <c r="O10" i="1"/>
  <c r="N10" i="1"/>
  <c r="AX8" i="1" l="1"/>
  <c r="E8" i="1"/>
  <c r="AW8" i="1"/>
  <c r="AF8" i="1"/>
  <c r="AH8" i="1"/>
  <c r="AJ8" i="1"/>
  <c r="AL8" i="1"/>
  <c r="AP8" i="1"/>
  <c r="AT8" i="1"/>
  <c r="AV8" i="1"/>
  <c r="AZ8" i="1"/>
  <c r="D8" i="1"/>
  <c r="J8" i="1"/>
  <c r="H8" i="1"/>
  <c r="M8" i="1"/>
  <c r="I8" i="1"/>
  <c r="AR8" i="1"/>
  <c r="AN8" i="1"/>
  <c r="AG8" i="1"/>
  <c r="AI8" i="1"/>
  <c r="AK8" i="1"/>
  <c r="AM8" i="1"/>
  <c r="AO8" i="1"/>
  <c r="AQ8" i="1"/>
  <c r="AS8" i="1"/>
  <c r="AU8" i="1"/>
  <c r="AY8" i="1"/>
  <c r="BA8" i="1"/>
  <c r="C8" i="1"/>
  <c r="N8" i="1"/>
  <c r="P8" i="1"/>
  <c r="X8" i="1"/>
  <c r="Z8" i="1"/>
  <c r="AB8" i="1"/>
  <c r="AD8" i="1"/>
  <c r="O8" i="1"/>
  <c r="F8" i="1"/>
  <c r="W8" i="1"/>
  <c r="Y8" i="1"/>
  <c r="AA8" i="1"/>
  <c r="AC8" i="1"/>
  <c r="AE8" i="1"/>
  <c r="L8" i="1"/>
  <c r="K8" i="1"/>
  <c r="B8" i="1"/>
</calcChain>
</file>

<file path=xl/sharedStrings.xml><?xml version="1.0" encoding="utf-8"?>
<sst xmlns="http://schemas.openxmlformats.org/spreadsheetml/2006/main" count="1059" uniqueCount="225">
  <si>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</si>
  <si>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</si>
  <si>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</si>
  <si>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</si>
  <si>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</si>
  <si>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</si>
  <si>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</si>
  <si>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</si>
  <si>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</si>
  <si>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</si>
  <si>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</si>
  <si>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</si>
  <si>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</si>
  <si>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</si>
  <si>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</si>
  <si>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</si>
  <si>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</si>
  <si>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</si>
  <si>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</si>
  <si>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</si>
  <si>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</si>
  <si>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</si>
  <si>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</si>
  <si>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</si>
  <si>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</si>
  <si>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</si>
  <si>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</si>
  <si>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</si>
  <si>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</si>
  <si>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</si>
  <si>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</si>
  <si>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</si>
  <si>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</si>
  <si>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</si>
  <si>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</si>
  <si>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</si>
  <si>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</si>
  <si>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</si>
  <si>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</si>
  <si>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</si>
  <si>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</si>
  <si>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</si>
  <si>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</si>
  <si>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</si>
  <si>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</si>
  <si>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</si>
  <si>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</si>
  <si>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</si>
  <si>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</si>
  <si>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</si>
  <si>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</si>
  <si>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</si>
  <si>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</si>
  <si>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</si>
  <si>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</si>
  <si>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</si>
  <si>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</si>
  <si>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</si>
  <si>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</si>
  <si>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</si>
  <si>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</si>
  <si>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</si>
  <si>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</si>
  <si>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</si>
  <si>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</si>
  <si>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</si>
  <si>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</si>
  <si>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</si>
  <si>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</si>
  <si>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</si>
  <si>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</si>
  <si>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</si>
  <si>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</si>
  <si>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</si>
  <si>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</si>
  <si>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</si>
  <si>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</si>
  <si>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</si>
  <si>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</si>
  <si>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</si>
  <si>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</si>
  <si>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</si>
  <si>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</si>
  <si>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</si>
  <si>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</si>
  <si>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</si>
  <si>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</si>
  <si>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</si>
  <si>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</si>
  <si>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</si>
  <si>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</si>
  <si>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</si>
  <si>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</si>
  <si>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</si>
  <si>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</si>
  <si>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</si>
  <si>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</si>
  <si>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</si>
  <si>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</si>
  <si>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</si>
  <si>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</si>
  <si>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</si>
  <si>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</si>
  <si>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</si>
  <si>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</si>
  <si>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</si>
  <si>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</si>
  <si>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</si>
  <si>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</si>
  <si>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</si>
  <si>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3=συνολικός αριθμός δένδρων</t>
  </si>
  <si>
    <t>3=total number of trees</t>
  </si>
  <si>
    <t>4=δένδρα κανονικών δενδρώνων</t>
  </si>
  <si>
    <t>4=trees in compact plantations</t>
  </si>
  <si>
    <t>5α - 5a</t>
  </si>
  <si>
    <t>5β - 5b</t>
  </si>
  <si>
    <t>5=παραγωγή όλων των δένδρων (5α βρώσιμων ελιών, 5β για ελαιοποίηση)</t>
  </si>
  <si>
    <t>5=production of all trees (5a edible olives, 5b for olive oil)</t>
  </si>
  <si>
    <t>Παραγωγή σε τόνους</t>
  </si>
  <si>
    <t>Region of Western Macedonia</t>
  </si>
  <si>
    <t>Περιφέρεια Δυτικής Μακεδονίας</t>
  </si>
  <si>
    <t>Areas in stremmas (1 stremma = 0.1 ha)</t>
  </si>
  <si>
    <t>—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</si>
  <si>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</si>
  <si>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</si>
  <si>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</si>
  <si>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</si>
  <si>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</si>
  <si>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</si>
  <si>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</si>
  <si>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</si>
  <si>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</si>
  <si>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</si>
  <si>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</si>
  <si>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</si>
  <si>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</si>
  <si>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</si>
  <si>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</si>
  <si>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</si>
  <si>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</si>
  <si>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</si>
  <si>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</si>
  <si>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</si>
  <si>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</si>
  <si>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</si>
  <si>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</si>
  <si>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</si>
  <si>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</si>
  <si>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</si>
  <si>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</si>
  <si>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</si>
  <si>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</si>
  <si>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</si>
  <si>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</si>
  <si>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</si>
  <si>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</si>
  <si>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</si>
  <si>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</si>
  <si>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</si>
  <si>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</si>
  <si>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</si>
  <si>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</si>
  <si>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</si>
  <si>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</si>
  <si>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</si>
  <si>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</si>
  <si>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</si>
  <si>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</si>
  <si>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</si>
  <si>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</si>
  <si>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</si>
  <si>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</si>
  <si>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</si>
  <si>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</si>
  <si>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</si>
  <si>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</si>
  <si>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</si>
  <si>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</si>
  <si>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</si>
  <si>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</si>
  <si>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</si>
  <si>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</si>
  <si>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</si>
  <si>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</si>
  <si>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</si>
  <si>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</si>
  <si>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</si>
  <si>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</si>
  <si>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</si>
  <si>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Λεμονιές</t>
  </si>
  <si>
    <t>Lemon trees</t>
  </si>
  <si>
    <t>Orange trees</t>
  </si>
  <si>
    <t>Πορτοκαλιές</t>
  </si>
  <si>
    <t>Μανταρινιές</t>
  </si>
  <si>
    <t>Mandarin trees</t>
  </si>
  <si>
    <t>Αχλαδιές</t>
  </si>
  <si>
    <t>Pear trees</t>
  </si>
  <si>
    <t>Μηλιές</t>
  </si>
  <si>
    <t>Apple trees</t>
  </si>
  <si>
    <t>Ακτινίδια</t>
  </si>
  <si>
    <t>Kiwi trees</t>
  </si>
  <si>
    <t>Ροδιές</t>
  </si>
  <si>
    <t>Pomegranate trees</t>
  </si>
  <si>
    <t>Ροδακινιές - Νεκταρινιές</t>
  </si>
  <si>
    <t>Peach - Nectarine trees</t>
  </si>
  <si>
    <t>Βερικοκιές</t>
  </si>
  <si>
    <t>Apricot trees</t>
  </si>
  <si>
    <t>Κερασιές</t>
  </si>
  <si>
    <t>Cherry trees</t>
  </si>
  <si>
    <t>Συκιές για νωπά σύκα</t>
  </si>
  <si>
    <t>Fig trees, fresh</t>
  </si>
  <si>
    <t>Συκιές για ξηρά σύκα</t>
  </si>
  <si>
    <t>Fig trees, dry</t>
  </si>
  <si>
    <t>Αμυγδαλιές</t>
  </si>
  <si>
    <t>Almond trees</t>
  </si>
  <si>
    <t>Καρυδιές</t>
  </si>
  <si>
    <t>Walnut trees</t>
  </si>
  <si>
    <t>Καστανιές</t>
  </si>
  <si>
    <t>Chestnut trees</t>
  </si>
  <si>
    <t>Φιστικιές</t>
  </si>
  <si>
    <t>Pistachio trees</t>
  </si>
  <si>
    <t>Ελιές</t>
  </si>
  <si>
    <t>Olive trees</t>
  </si>
  <si>
    <t>Table 5b. Tree crops. Number of trees and tree production, by Region and Regional Unities, 2024</t>
  </si>
  <si>
    <t>Πίνακας 5β. Δενδρώδεις Καλλιέργειες. Αριθμός δένδρων και παραγωγή δενδρωδών καλλιεργειών, κατά Περιφέρεια και Περιφερειακή Ενότητα,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</si>
</sst>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  <font>
      <b/>
      <sz val="7"/>
      <name val="Arial"/>
      <family val="2"/>
      <charset val="161"/>
    </font>
    <font>
      <sz val="9"/>
      <color theme="1"/>
      <name val="Arial"/>
      <family val="2"/>
      <charset val="161"/>
    </font>
    <font>
      <b/>
      <sz val="9"/>
      <name val="Arial"/>
      <family val="2"/>
      <charset val="161"/>
    </font>
    <font>
      <sz val="10"/>
      <color theme="1"/>
      <name val="Arial"/>
      <family val="2"/>
      <charset val="161"/>
    </font>
    <font>
      <b/>
      <sz val="10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/>
    <xf numFmtId="0" fontId="2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/>
    </xf>
    <xf numFmtId="3" fontId="6" fillId="2" borderId="7" xfId="0" applyNumberFormat="1" applyFont="1" applyFill="1" applyBorder="1" applyAlignment="1">
      <alignment horizontal="right" vertical="center"/>
    </xf>
    <xf numFmtId="0" fontId="2" fillId="0" borderId="1" xfId="0" applyFont="1" applyBorder="1"/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3" fontId="6" fillId="2" borderId="26" xfId="0" applyNumberFormat="1" applyFont="1" applyFill="1" applyBorder="1" applyAlignment="1">
      <alignment horizontal="right" vertical="center"/>
    </xf>
    <xf numFmtId="3" fontId="6" fillId="2" borderId="27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3" fillId="0" borderId="7" xfId="0" applyFont="1" applyBorder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3" fontId="3" fillId="0" borderId="0" xfId="0" applyNumberFormat="1" applyFont="1" applyAlignment="1">
      <alignment horizontal="right" vertical="top" wrapText="1"/>
    </xf>
    <xf numFmtId="3" fontId="3" fillId="0" borderId="7" xfId="0" applyNumberFormat="1" applyFont="1" applyBorder="1" applyAlignment="1">
      <alignment horizontal="right" vertical="top" wrapText="1"/>
    </xf>
    <xf numFmtId="0" fontId="3" fillId="0" borderId="26" xfId="0" applyFont="1" applyBorder="1" applyAlignment="1">
      <alignment horizontal="right" vertical="top" wrapText="1"/>
    </xf>
    <xf numFmtId="3" fontId="3" fillId="0" borderId="22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3" fontId="3" fillId="0" borderId="26" xfId="0" applyNumberFormat="1" applyFont="1" applyBorder="1" applyAlignment="1">
      <alignment horizontal="right" vertical="top" wrapText="1"/>
    </xf>
    <xf numFmtId="3" fontId="3" fillId="0" borderId="28" xfId="0" applyNumberFormat="1" applyFont="1" applyBorder="1" applyAlignment="1">
      <alignment horizontal="right" vertical="top" wrapText="1"/>
    </xf>
    <xf numFmtId="3" fontId="3" fillId="0" borderId="1" xfId="0" applyNumberFormat="1" applyFont="1" applyBorder="1" applyAlignment="1">
      <alignment horizontal="right" vertical="top" wrapText="1"/>
    </xf>
    <xf numFmtId="3" fontId="3" fillId="0" borderId="29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29" xfId="0" applyFont="1" applyBorder="1" applyAlignment="1">
      <alignment horizontal="right" vertical="top" wrapText="1"/>
    </xf>
    <xf numFmtId="3" fontId="3" fillId="0" borderId="30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left" wrapText="1" indent="1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>
      <alignment horizontal="left" wrapText="1" indent="1"/>
    </xf>
    <xf numFmtId="0" fontId="3" fillId="0" borderId="0" xfId="0" applyFont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12" fillId="0" borderId="0" xfId="0" applyFont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1" xfId="0" applyFont="1" applyBorder="1"/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/>
    </xf>
    <xf numFmtId="49" fontId="12" fillId="0" borderId="0" xfId="0" applyNumberFormat="1" applyFont="1" applyAlignment="1">
      <alignment vertical="center" wrapText="1"/>
    </xf>
    <xf numFmtId="49" fontId="14" fillId="0" borderId="0" xfId="0" applyNumberFormat="1" applyFont="1" applyAlignment="1" applyProtection="1">
      <alignment horizontal="left" vertical="center" wrapText="1" indent="1"/>
      <protection locked="0"/>
    </xf>
    <xf numFmtId="49" fontId="13" fillId="0" borderId="1" xfId="0" applyNumberFormat="1" applyFont="1" applyBorder="1" applyAlignment="1">
      <alignment horizontal="left" wrapText="1" indent="1"/>
    </xf>
    <xf numFmtId="49" fontId="13" fillId="0" borderId="0" xfId="0" applyNumberFormat="1" applyFont="1" applyAlignment="1">
      <alignment vertical="center"/>
    </xf>
    <xf numFmtId="49" fontId="13" fillId="0" borderId="0" xfId="0" applyNumberFormat="1" applyFont="1"/>
    <xf numFmtId="3" fontId="15" fillId="0" borderId="7" xfId="0" applyNumberFormat="1" applyFont="1" applyBorder="1" applyAlignment="1">
      <alignment horizontal="right" vertical="top"/>
    </xf>
    <xf numFmtId="3" fontId="15" fillId="0" borderId="0" xfId="0" applyNumberFormat="1" applyFont="1" applyAlignment="1">
      <alignment horizontal="right" vertical="top"/>
    </xf>
    <xf numFmtId="3" fontId="15" fillId="0" borderId="26" xfId="0" applyNumberFormat="1" applyFont="1" applyBorder="1" applyAlignment="1">
      <alignment horizontal="right" vertical="top"/>
    </xf>
    <xf numFmtId="3" fontId="15" fillId="0" borderId="28" xfId="0" applyNumberFormat="1" applyFont="1" applyBorder="1" applyAlignment="1">
      <alignment horizontal="right" vertical="top"/>
    </xf>
    <xf numFmtId="3" fontId="15" fillId="0" borderId="1" xfId="0" applyNumberFormat="1" applyFont="1" applyBorder="1" applyAlignment="1">
      <alignment horizontal="right" vertical="top"/>
    </xf>
    <xf numFmtId="3" fontId="15" fillId="0" borderId="29" xfId="0" applyNumberFormat="1" applyFont="1" applyBorder="1" applyAlignment="1">
      <alignment horizontal="right" vertical="top"/>
    </xf>
    <xf numFmtId="0" fontId="16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0" fillId="0" borderId="17" xfId="0" applyBorder="1" applyAlignment="1">
      <alignment horizontal="left" indent="1"/>
    </xf>
    <xf numFmtId="0" fontId="11" fillId="0" borderId="17" xfId="0" applyFont="1" applyBorder="1" applyAlignment="1">
      <alignment vertical="center"/>
    </xf>
    <xf numFmtId="0" fontId="0" fillId="0" borderId="32" xfId="0" applyBorder="1" applyAlignment="1">
      <alignment horizontal="left" indent="1"/>
    </xf>
    <xf numFmtId="0" fontId="0" fillId="0" borderId="1" xfId="0" applyBorder="1" applyAlignment="1">
      <alignment horizontal="left"/>
    </xf>
    <xf numFmtId="3" fontId="15" fillId="0" borderId="22" xfId="0" applyNumberFormat="1" applyFont="1" applyBorder="1" applyAlignment="1">
      <alignment horizontal="right" vertical="top"/>
    </xf>
    <xf numFmtId="3" fontId="15" fillId="0" borderId="30" xfId="0" applyNumberFormat="1" applyFont="1" applyBorder="1" applyAlignment="1">
      <alignment horizontal="right" vertical="top"/>
    </xf>
    <xf numFmtId="3" fontId="12" fillId="0" borderId="0" xfId="0" applyNumberFormat="1" applyFont="1" applyAlignment="1">
      <alignment vertical="center" wrapText="1"/>
    </xf>
    <xf numFmtId="3" fontId="12" fillId="4" borderId="26" xfId="0" applyNumberFormat="1" applyFont="1" applyFill="1" applyBorder="1" applyAlignment="1">
      <alignment horizontal="right" vertical="center"/>
    </xf>
    <xf numFmtId="3" fontId="12" fillId="4" borderId="7" xfId="0" applyNumberFormat="1" applyFont="1" applyFill="1" applyBorder="1" applyAlignment="1">
      <alignment horizontal="right" vertical="center"/>
    </xf>
    <xf numFmtId="3" fontId="12" fillId="4" borderId="27" xfId="0" applyNumberFormat="1" applyFont="1" applyFill="1" applyBorder="1" applyAlignment="1">
      <alignment horizontal="right" vertical="center"/>
    </xf>
    <xf numFmtId="3" fontId="12" fillId="3" borderId="7" xfId="0" applyNumberFormat="1" applyFont="1" applyFill="1" applyBorder="1" applyAlignment="1">
      <alignment horizontal="right" vertical="center"/>
    </xf>
    <xf numFmtId="3" fontId="12" fillId="3" borderId="27" xfId="0" applyNumberFormat="1" applyFont="1" applyFill="1" applyBorder="1" applyAlignment="1">
      <alignment horizontal="right" vertical="center"/>
    </xf>
    <xf numFmtId="3" fontId="12" fillId="3" borderId="7" xfId="0" quotePrefix="1" applyNumberFormat="1" applyFont="1" applyFill="1" applyBorder="1" applyAlignment="1">
      <alignment horizontal="right" vertical="center"/>
    </xf>
    <xf numFmtId="3" fontId="12" fillId="3" borderId="27" xfId="0" quotePrefix="1" applyNumberFormat="1" applyFont="1" applyFill="1" applyBorder="1" applyAlignment="1">
      <alignment horizontal="right" vertical="center"/>
    </xf>
    <xf numFmtId="3" fontId="12" fillId="3" borderId="25" xfId="0" applyNumberFormat="1" applyFont="1" applyFill="1" applyBorder="1" applyAlignment="1">
      <alignment horizontal="right" vertical="center"/>
    </xf>
    <xf numFmtId="3" fontId="12" fillId="3" borderId="13" xfId="0" applyNumberFormat="1" applyFont="1" applyFill="1" applyBorder="1" applyAlignment="1">
      <alignment horizontal="right" vertical="center"/>
    </xf>
    <xf numFmtId="3" fontId="12" fillId="3" borderId="8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/>
    </xf>
    <xf numFmtId="0" fontId="13" fillId="0" borderId="36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3" fontId="12" fillId="3" borderId="26" xfId="0" applyNumberFormat="1" applyFont="1" applyFill="1" applyBorder="1" applyAlignment="1">
      <alignment horizontal="right" vertical="center"/>
    </xf>
    <xf numFmtId="49" fontId="12" fillId="0" borderId="14" xfId="0" applyNumberFormat="1" applyFont="1" applyBorder="1" applyAlignment="1">
      <alignment horizontal="left" vertical="center" wrapText="1"/>
    </xf>
    <xf numFmtId="3" fontId="12" fillId="3" borderId="31" xfId="0" applyNumberFormat="1" applyFont="1" applyFill="1" applyBorder="1" applyAlignment="1">
      <alignment horizontal="right" vertical="center"/>
    </xf>
    <xf numFmtId="3" fontId="12" fillId="3" borderId="17" xfId="0" applyNumberFormat="1" applyFont="1" applyFill="1" applyBorder="1" applyAlignment="1">
      <alignment horizontal="right" vertical="center"/>
    </xf>
    <xf numFmtId="3" fontId="12" fillId="3" borderId="7" xfId="0" applyNumberFormat="1" applyFont="1" applyFill="1" applyBorder="1" applyAlignment="1">
      <alignment vertical="center"/>
    </xf>
    <xf numFmtId="0" fontId="11" fillId="0" borderId="17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1" fillId="0" borderId="7" xfId="0" applyNumberFormat="1" applyFont="1" applyBorder="1" applyAlignment="1">
      <alignment horizontal="right" vertical="center"/>
    </xf>
    <xf numFmtId="3" fontId="1" fillId="0" borderId="27" xfId="0" applyNumberFormat="1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left" vertical="center" wrapText="1"/>
    </xf>
    <xf numFmtId="3" fontId="1" fillId="0" borderId="26" xfId="0" applyNumberFormat="1" applyFont="1" applyBorder="1" applyAlignment="1">
      <alignment horizontal="right" vertical="center"/>
    </xf>
    <xf numFmtId="3" fontId="1" fillId="0" borderId="7" xfId="0" quotePrefix="1" applyNumberFormat="1" applyFont="1" applyBorder="1" applyAlignment="1">
      <alignment horizontal="right" vertical="center"/>
    </xf>
    <xf numFmtId="3" fontId="1" fillId="0" borderId="27" xfId="0" quotePrefix="1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1" fillId="0" borderId="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3" fontId="1" fillId="0" borderId="13" xfId="0" applyNumberFormat="1" applyFont="1" applyBorder="1" applyAlignment="1">
      <alignment horizontal="right" vertical="center"/>
    </xf>
    <xf numFmtId="3" fontId="1" fillId="0" borderId="25" xfId="0" applyNumberFormat="1" applyFont="1" applyBorder="1" applyAlignment="1">
      <alignment horizontal="right" vertical="center"/>
    </xf>
    <xf numFmtId="49" fontId="1" fillId="0" borderId="14" xfId="0" applyNumberFormat="1" applyFont="1" applyBorder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3" fontId="1" fillId="0" borderId="24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12"/>
  <sheetViews>
    <sheetView showGridLines="0" tabSelected="1" zoomScaleNormal="100" workbookViewId="0">
      <selection activeCell="O17" sqref="O17"/>
    </sheetView>
  </sheetViews>
  <sheetFormatPr defaultRowHeight="14.4" x14ac:dyDescent="0.3"/>
  <cols>
    <col min="1" max="1" width="33.33203125" customWidth="1"/>
    <col min="2" max="3" width="9.109375" bestFit="1" customWidth="1"/>
    <col min="4" max="4" width="6.5546875" bestFit="1" customWidth="1"/>
    <col min="5" max="6" width="10.109375" bestFit="1" customWidth="1"/>
    <col min="7" max="7" width="7.5546875" bestFit="1" customWidth="1"/>
    <col min="8" max="9" width="9.109375" bestFit="1" customWidth="1"/>
    <col min="10" max="10" width="7.5546875" bestFit="1" customWidth="1"/>
    <col min="11" max="12" width="9.109375" bestFit="1" customWidth="1"/>
    <col min="13" max="13" width="7.5546875" bestFit="1" customWidth="1"/>
    <col min="14" max="15" width="10.109375" bestFit="1" customWidth="1"/>
    <col min="16" max="16" width="7.5546875" bestFit="1" customWidth="1"/>
    <col min="17" max="18" width="9.109375" bestFit="1" customWidth="1"/>
    <col min="19" max="19" width="7.5546875" bestFit="1" customWidth="1"/>
    <col min="20" max="21" width="9.109375" bestFit="1" customWidth="1"/>
    <col min="22" max="22" width="6.5546875" bestFit="1" customWidth="1"/>
    <col min="23" max="24" width="10.109375" bestFit="1" customWidth="1"/>
    <col min="25" max="25" width="7.5546875" bestFit="1" customWidth="1"/>
    <col min="26" max="27" width="9.109375" bestFit="1" customWidth="1"/>
    <col min="28" max="28" width="7.5546875" bestFit="1" customWidth="1"/>
    <col min="29" max="30" width="9.109375" bestFit="1" customWidth="1"/>
    <col min="31" max="33" width="7.5546875" bestFit="1" customWidth="1"/>
    <col min="34" max="34" width="6.5546875" bestFit="1" customWidth="1"/>
    <col min="35" max="36" width="7.5546875" bestFit="1" customWidth="1"/>
    <col min="37" max="37" width="6.5546875" bestFit="1" customWidth="1"/>
    <col min="38" max="39" width="9.109375" bestFit="1" customWidth="1"/>
    <col min="40" max="40" width="6.5546875" bestFit="1" customWidth="1"/>
    <col min="41" max="42" width="9.109375" bestFit="1" customWidth="1"/>
    <col min="43" max="43" width="6.5546875" bestFit="1" customWidth="1"/>
    <col min="44" max="45" width="9.109375" bestFit="1" customWidth="1"/>
    <col min="46" max="46" width="6.5546875" bestFit="1" customWidth="1"/>
    <col min="47" max="48" width="9.109375" bestFit="1" customWidth="1"/>
    <col min="49" max="49" width="6.5546875" bestFit="1" customWidth="1"/>
    <col min="50" max="51" width="11.109375" bestFit="1" customWidth="1"/>
    <col min="52" max="52" width="8.33203125" customWidth="1"/>
    <col min="53" max="53" width="9.88671875" customWidth="1"/>
    <col min="54" max="54" width="26.77734375" bestFit="1" customWidth="1"/>
    <col min="55" max="55" width="15.109375" customWidth="1"/>
    <col min="56" max="56" width="34.33203125" bestFit="1" customWidth="1"/>
  </cols>
  <sheetData>
    <row r="1" spans="1:64" ht="6.3" customHeight="1" x14ac:dyDescent="0.3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</row>
    <row r="2" spans="1:64" ht="18" x14ac:dyDescent="0.3">
      <c r="A2" s="126" t="s">
        <v>224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3"/>
      <c r="BF2" s="53"/>
      <c r="BG2" s="53"/>
      <c r="BH2" s="53"/>
      <c r="BI2" s="53"/>
      <c r="BJ2" s="53"/>
      <c r="BK2" s="53"/>
      <c r="BL2" s="53"/>
    </row>
    <row r="3" spans="1:64" ht="18" x14ac:dyDescent="0.3">
      <c r="A3" s="126" t="s">
        <v>223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76"/>
      <c r="Y3" s="54"/>
      <c r="Z3" s="54"/>
      <c r="AA3" s="54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86"/>
      <c r="BC3" s="52"/>
      <c r="BD3" s="52"/>
      <c r="BE3" s="53"/>
      <c r="BF3" s="53"/>
      <c r="BG3" s="53"/>
      <c r="BH3" s="53"/>
      <c r="BI3" s="53"/>
      <c r="BJ3" s="53"/>
      <c r="BK3" s="53"/>
      <c r="BL3" s="53"/>
    </row>
    <row r="4" spans="1:64" ht="15" thickBot="1" x14ac:dyDescent="0.35">
      <c r="A4" s="77" t="s">
        <v>118</v>
      </c>
      <c r="B4" s="55"/>
      <c r="C4" s="55"/>
      <c r="D4" s="55"/>
      <c r="E4" s="55"/>
      <c r="F4" s="55"/>
      <c r="G4" s="97"/>
      <c r="H4" s="97"/>
      <c r="I4" s="97"/>
      <c r="J4" s="97"/>
      <c r="K4" s="97"/>
      <c r="L4" s="97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7"/>
      <c r="BC4" s="78"/>
      <c r="BD4" s="79" t="s">
        <v>121</v>
      </c>
      <c r="BF4" s="56"/>
      <c r="BG4" s="56"/>
      <c r="BH4" s="56"/>
      <c r="BI4" s="56"/>
      <c r="BJ4" s="56"/>
      <c r="BK4" s="56"/>
      <c r="BL4" s="56"/>
    </row>
    <row r="5" spans="1:64" ht="15" customHeight="1" x14ac:dyDescent="0.3">
      <c r="A5" s="104" t="s">
        <v>0</v>
      </c>
      <c r="B5" s="111" t="s">
        <v>189</v>
      </c>
      <c r="C5" s="99"/>
      <c r="D5" s="100"/>
      <c r="E5" s="98" t="s">
        <v>192</v>
      </c>
      <c r="F5" s="99"/>
      <c r="G5" s="100"/>
      <c r="H5" s="98" t="s">
        <v>193</v>
      </c>
      <c r="I5" s="99"/>
      <c r="J5" s="100"/>
      <c r="K5" s="98" t="s">
        <v>195</v>
      </c>
      <c r="L5" s="99"/>
      <c r="M5" s="100"/>
      <c r="N5" s="98" t="s">
        <v>197</v>
      </c>
      <c r="O5" s="99"/>
      <c r="P5" s="100"/>
      <c r="Q5" s="98" t="s">
        <v>199</v>
      </c>
      <c r="R5" s="99"/>
      <c r="S5" s="100"/>
      <c r="T5" s="98" t="s">
        <v>201</v>
      </c>
      <c r="U5" s="99"/>
      <c r="V5" s="100"/>
      <c r="W5" s="98" t="s">
        <v>203</v>
      </c>
      <c r="X5" s="99"/>
      <c r="Y5" s="100"/>
      <c r="Z5" s="98" t="s">
        <v>205</v>
      </c>
      <c r="AA5" s="99"/>
      <c r="AB5" s="100"/>
      <c r="AC5" s="98" t="s">
        <v>207</v>
      </c>
      <c r="AD5" s="99"/>
      <c r="AE5" s="100"/>
      <c r="AF5" s="98" t="s">
        <v>209</v>
      </c>
      <c r="AG5" s="99"/>
      <c r="AH5" s="100"/>
      <c r="AI5" s="98" t="s">
        <v>211</v>
      </c>
      <c r="AJ5" s="99"/>
      <c r="AK5" s="100"/>
      <c r="AL5" s="98" t="s">
        <v>213</v>
      </c>
      <c r="AM5" s="99"/>
      <c r="AN5" s="100"/>
      <c r="AO5" s="98" t="s">
        <v>215</v>
      </c>
      <c r="AP5" s="99"/>
      <c r="AQ5" s="100"/>
      <c r="AR5" s="98" t="s">
        <v>217</v>
      </c>
      <c r="AS5" s="99"/>
      <c r="AT5" s="100"/>
      <c r="AU5" s="98" t="s">
        <v>219</v>
      </c>
      <c r="AV5" s="99"/>
      <c r="AW5" s="100"/>
      <c r="AX5" s="98" t="s">
        <v>221</v>
      </c>
      <c r="AY5" s="99"/>
      <c r="AZ5" s="99"/>
      <c r="BA5" s="127"/>
      <c r="BB5" s="107" t="s">
        <v>1</v>
      </c>
      <c r="BC5" s="104"/>
      <c r="BD5" s="104"/>
    </row>
    <row r="6" spans="1:64" x14ac:dyDescent="0.3">
      <c r="A6" s="105"/>
      <c r="B6" s="110" t="s">
        <v>190</v>
      </c>
      <c r="C6" s="102"/>
      <c r="D6" s="103"/>
      <c r="E6" s="101" t="s">
        <v>191</v>
      </c>
      <c r="F6" s="102"/>
      <c r="G6" s="103"/>
      <c r="H6" s="101" t="s">
        <v>194</v>
      </c>
      <c r="I6" s="102"/>
      <c r="J6" s="103"/>
      <c r="K6" s="101" t="s">
        <v>196</v>
      </c>
      <c r="L6" s="102"/>
      <c r="M6" s="103"/>
      <c r="N6" s="101" t="s">
        <v>198</v>
      </c>
      <c r="O6" s="102"/>
      <c r="P6" s="103"/>
      <c r="Q6" s="101" t="s">
        <v>200</v>
      </c>
      <c r="R6" s="102"/>
      <c r="S6" s="103"/>
      <c r="T6" s="101" t="s">
        <v>202</v>
      </c>
      <c r="U6" s="102"/>
      <c r="V6" s="103"/>
      <c r="W6" s="101" t="s">
        <v>204</v>
      </c>
      <c r="X6" s="102"/>
      <c r="Y6" s="103"/>
      <c r="Z6" s="101" t="s">
        <v>206</v>
      </c>
      <c r="AA6" s="102"/>
      <c r="AB6" s="103"/>
      <c r="AC6" s="101" t="s">
        <v>208</v>
      </c>
      <c r="AD6" s="102"/>
      <c r="AE6" s="103"/>
      <c r="AF6" s="101" t="s">
        <v>210</v>
      </c>
      <c r="AG6" s="102"/>
      <c r="AH6" s="103"/>
      <c r="AI6" s="101" t="s">
        <v>212</v>
      </c>
      <c r="AJ6" s="102"/>
      <c r="AK6" s="103"/>
      <c r="AL6" s="101" t="s">
        <v>214</v>
      </c>
      <c r="AM6" s="102"/>
      <c r="AN6" s="103"/>
      <c r="AO6" s="101" t="s">
        <v>216</v>
      </c>
      <c r="AP6" s="102"/>
      <c r="AQ6" s="103"/>
      <c r="AR6" s="101" t="s">
        <v>218</v>
      </c>
      <c r="AS6" s="102"/>
      <c r="AT6" s="103"/>
      <c r="AU6" s="101" t="s">
        <v>220</v>
      </c>
      <c r="AV6" s="102"/>
      <c r="AW6" s="103"/>
      <c r="AX6" s="101" t="s">
        <v>222</v>
      </c>
      <c r="AY6" s="102"/>
      <c r="AZ6" s="102"/>
      <c r="BA6" s="128"/>
      <c r="BB6" s="108"/>
      <c r="BC6" s="105"/>
      <c r="BD6" s="105"/>
    </row>
    <row r="7" spans="1:64" x14ac:dyDescent="0.3">
      <c r="A7" s="106"/>
      <c r="B7" s="58">
        <v>3</v>
      </c>
      <c r="C7" s="59">
        <v>4</v>
      </c>
      <c r="D7" s="60">
        <v>5</v>
      </c>
      <c r="E7" s="61">
        <v>3</v>
      </c>
      <c r="F7" s="59">
        <v>4</v>
      </c>
      <c r="G7" s="59">
        <v>5</v>
      </c>
      <c r="H7" s="61">
        <v>3</v>
      </c>
      <c r="I7" s="59">
        <v>4</v>
      </c>
      <c r="J7" s="59">
        <v>5</v>
      </c>
      <c r="K7" s="61">
        <v>3</v>
      </c>
      <c r="L7" s="59">
        <v>4</v>
      </c>
      <c r="M7" s="59">
        <v>5</v>
      </c>
      <c r="N7" s="59">
        <v>3</v>
      </c>
      <c r="O7" s="59">
        <v>4</v>
      </c>
      <c r="P7" s="61">
        <v>5</v>
      </c>
      <c r="Q7" s="59">
        <v>3</v>
      </c>
      <c r="R7" s="59">
        <v>4</v>
      </c>
      <c r="S7" s="61">
        <v>5</v>
      </c>
      <c r="T7" s="59">
        <v>3</v>
      </c>
      <c r="U7" s="59">
        <v>4</v>
      </c>
      <c r="V7" s="60">
        <v>5</v>
      </c>
      <c r="W7" s="61">
        <v>3</v>
      </c>
      <c r="X7" s="59">
        <v>4</v>
      </c>
      <c r="Y7" s="59">
        <v>5</v>
      </c>
      <c r="Z7" s="61">
        <v>3</v>
      </c>
      <c r="AA7" s="59">
        <v>4</v>
      </c>
      <c r="AB7" s="59">
        <v>5</v>
      </c>
      <c r="AC7" s="61">
        <v>3</v>
      </c>
      <c r="AD7" s="59">
        <v>4</v>
      </c>
      <c r="AE7" s="59">
        <v>5</v>
      </c>
      <c r="AF7" s="59">
        <v>3</v>
      </c>
      <c r="AG7" s="59">
        <v>4</v>
      </c>
      <c r="AH7" s="60">
        <v>5</v>
      </c>
      <c r="AI7" s="61">
        <v>3</v>
      </c>
      <c r="AJ7" s="59">
        <v>4</v>
      </c>
      <c r="AK7" s="59">
        <v>5</v>
      </c>
      <c r="AL7" s="61">
        <v>3</v>
      </c>
      <c r="AM7" s="59">
        <v>4</v>
      </c>
      <c r="AN7" s="59">
        <v>5</v>
      </c>
      <c r="AO7" s="61">
        <v>3</v>
      </c>
      <c r="AP7" s="59">
        <v>4</v>
      </c>
      <c r="AQ7" s="59">
        <v>5</v>
      </c>
      <c r="AR7" s="59">
        <v>3</v>
      </c>
      <c r="AS7" s="59">
        <v>4</v>
      </c>
      <c r="AT7" s="59">
        <v>5</v>
      </c>
      <c r="AU7" s="61">
        <v>3</v>
      </c>
      <c r="AV7" s="59">
        <v>4</v>
      </c>
      <c r="AW7" s="59">
        <v>5</v>
      </c>
      <c r="AX7" s="61">
        <v>3</v>
      </c>
      <c r="AY7" s="59">
        <v>4</v>
      </c>
      <c r="AZ7" s="61" t="s">
        <v>114</v>
      </c>
      <c r="BA7" s="62" t="s">
        <v>115</v>
      </c>
      <c r="BB7" s="109"/>
      <c r="BC7" s="106"/>
      <c r="BD7" s="106"/>
    </row>
    <row r="8" spans="1:64" x14ac:dyDescent="0.3">
      <c r="A8" s="118" t="s">
        <v>2</v>
      </c>
      <c r="B8" s="119">
        <f>SUM(B10,B18,B27,B32,B38,B45,B52,B59,B64,B71,B81,B88,B103)</f>
        <v>1361848</v>
      </c>
      <c r="C8" s="95">
        <f>SUM(C10,C18,C27,C32,C38,C45,C52,C59,C64,C71,C81,C88,C103)</f>
        <v>1170234</v>
      </c>
      <c r="D8" s="95">
        <f t="shared" ref="D8:F8" si="0">SUM(D10,D18,D27,D32,D38,D45,D52,D59,D64,D71,D81,D88,D103)</f>
        <v>56219.807000000001</v>
      </c>
      <c r="E8" s="95">
        <f>SUM(E10,E18,E27,E32,E38,E45,E52,E59,E64,E71,E81,E88,E103)</f>
        <v>13363897</v>
      </c>
      <c r="F8" s="95">
        <f t="shared" si="0"/>
        <v>13150011</v>
      </c>
      <c r="G8" s="95">
        <f>SUM(G10,G18,G27,G32,G38,G45,G52,G59,G64,G71,G81,G88,G103)</f>
        <v>688476.25399999996</v>
      </c>
      <c r="H8" s="95">
        <f>SUM(H10,H18,H27,H32,H38,H45,H52,H59,H64,H71,H81,H88,H103)</f>
        <v>4831507</v>
      </c>
      <c r="I8" s="95">
        <f>SUM(I10,I18,I27,I32,I38,I45,I52,I59,I64,I71,I81,I88,I103)</f>
        <v>4704189</v>
      </c>
      <c r="J8" s="95">
        <f>SUM(J10,J18,J27,J32,J38,J45,J52,J59,J64,J71,J81,J88,J103)</f>
        <v>228027.58899999998</v>
      </c>
      <c r="K8" s="95">
        <f t="shared" ref="K8:O8" si="1">SUM(K10,K18,K27,K32,K38,K45,K52,K59,K64,K71,K81,K88,K103)</f>
        <v>3726994</v>
      </c>
      <c r="L8" s="95">
        <f>SUM(L10,L18,L27,L32,L38,L45,L52,L59,L64,L71,L81,L88,L103)</f>
        <v>3613025</v>
      </c>
      <c r="M8" s="95">
        <f>SUM(M10,M18,M27,M32,M38,M45,M52,M59,M64,M71,M81,M88,M103)</f>
        <v>105271.467</v>
      </c>
      <c r="N8" s="95">
        <f t="shared" si="1"/>
        <v>14458044</v>
      </c>
      <c r="O8" s="95">
        <f t="shared" si="1"/>
        <v>14379312</v>
      </c>
      <c r="P8" s="95">
        <f t="shared" ref="P8:BA8" si="2">SUM(P10,P18,P27,P32,P38,P45,P52,P59,P64,P71,P81,P88,P103)</f>
        <v>337940.56800000003</v>
      </c>
      <c r="Q8" s="95">
        <f>SUM(Q10,Q18,Q27,Q32,Q38,Q45,Q52,Q59,Q64,Q71,Q81,Q88,Q103)</f>
        <v>9349768</v>
      </c>
      <c r="R8" s="95">
        <f t="shared" ref="R8:V8" si="3">SUM(R10,R18,R27,R32,R38,R45,R52,R59,R64,R71,R81,R88,R103)</f>
        <v>9345132</v>
      </c>
      <c r="S8" s="95">
        <f t="shared" si="3"/>
        <v>408399.15300000005</v>
      </c>
      <c r="T8" s="95">
        <f t="shared" si="3"/>
        <v>1609068</v>
      </c>
      <c r="U8" s="95">
        <f t="shared" si="3"/>
        <v>1553405</v>
      </c>
      <c r="V8" s="95">
        <f t="shared" si="3"/>
        <v>47751.763000000006</v>
      </c>
      <c r="W8" s="95">
        <f t="shared" si="2"/>
        <v>18307708</v>
      </c>
      <c r="X8" s="95">
        <f t="shared" si="2"/>
        <v>18257631</v>
      </c>
      <c r="Y8" s="95">
        <f t="shared" si="2"/>
        <v>697777.29500000016</v>
      </c>
      <c r="Z8" s="95">
        <f t="shared" si="2"/>
        <v>5224526</v>
      </c>
      <c r="AA8" s="95">
        <f t="shared" si="2"/>
        <v>5177013</v>
      </c>
      <c r="AB8" s="95">
        <f t="shared" si="2"/>
        <v>152644.402</v>
      </c>
      <c r="AC8" s="95">
        <f t="shared" si="2"/>
        <v>8251627</v>
      </c>
      <c r="AD8" s="95">
        <f t="shared" si="2"/>
        <v>8205419</v>
      </c>
      <c r="AE8" s="95">
        <f t="shared" si="2"/>
        <v>136187.05600000007</v>
      </c>
      <c r="AF8" s="95">
        <f t="shared" si="2"/>
        <v>316398</v>
      </c>
      <c r="AG8" s="95">
        <f t="shared" si="2"/>
        <v>203023</v>
      </c>
      <c r="AH8" s="95">
        <f t="shared" si="2"/>
        <v>8669.7810000000009</v>
      </c>
      <c r="AI8" s="95">
        <f t="shared" si="2"/>
        <v>619480</v>
      </c>
      <c r="AJ8" s="95">
        <f t="shared" si="2"/>
        <v>599358</v>
      </c>
      <c r="AK8" s="95">
        <f t="shared" si="2"/>
        <v>19509.012000000002</v>
      </c>
      <c r="AL8" s="95">
        <f t="shared" si="2"/>
        <v>6158503</v>
      </c>
      <c r="AM8" s="95">
        <f t="shared" si="2"/>
        <v>6031558</v>
      </c>
      <c r="AN8" s="95">
        <f t="shared" si="2"/>
        <v>71577.65400000001</v>
      </c>
      <c r="AO8" s="95">
        <f t="shared" si="2"/>
        <v>3029690</v>
      </c>
      <c r="AP8" s="95">
        <f t="shared" si="2"/>
        <v>2845838</v>
      </c>
      <c r="AQ8" s="95">
        <f t="shared" si="2"/>
        <v>57612.402000000002</v>
      </c>
      <c r="AR8" s="95">
        <f t="shared" si="2"/>
        <v>1647593</v>
      </c>
      <c r="AS8" s="95">
        <f t="shared" si="2"/>
        <v>1591702</v>
      </c>
      <c r="AT8" s="95">
        <f t="shared" si="2"/>
        <v>40136.154999999999</v>
      </c>
      <c r="AU8" s="95">
        <f t="shared" si="2"/>
        <v>1563080</v>
      </c>
      <c r="AV8" s="95">
        <f t="shared" si="2"/>
        <v>1557451</v>
      </c>
      <c r="AW8" s="95">
        <f>SUM(AW10,AW18,AW27,AW32,AW38,AW45,AW52,AW59,AW64,AW71,AW81,AW88,AW103)</f>
        <v>21743.212</v>
      </c>
      <c r="AX8" s="95">
        <f>SUM(AX10,AX18,AX27,AX32,AX38,AX45,AX52,AX59,AX64,AX71,AX81,AX88,AX103)</f>
        <v>133994387</v>
      </c>
      <c r="AY8" s="95">
        <f t="shared" si="2"/>
        <v>130752088</v>
      </c>
      <c r="AZ8" s="95">
        <f t="shared" si="2"/>
        <v>428099.86500000005</v>
      </c>
      <c r="BA8" s="94">
        <f t="shared" si="2"/>
        <v>2353120.4979999997</v>
      </c>
      <c r="BB8" s="112" t="s">
        <v>3</v>
      </c>
      <c r="BC8" s="113"/>
      <c r="BD8" s="113"/>
    </row>
    <row r="9" spans="1:64" x14ac:dyDescent="0.3">
      <c r="A9" s="116"/>
      <c r="B9" s="12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1"/>
      <c r="BB9" s="114"/>
      <c r="BC9" s="115"/>
      <c r="BD9" s="115"/>
    </row>
    <row r="10" spans="1:64" x14ac:dyDescent="0.3">
      <c r="A10" s="116" t="s">
        <v>4</v>
      </c>
      <c r="B10" s="117">
        <f>SUM(B12:B17)</f>
        <v>66</v>
      </c>
      <c r="C10" s="90">
        <f t="shared" ref="C10" si="4">SUM(C12:C17)</f>
        <v>50</v>
      </c>
      <c r="D10" s="90">
        <f>SUM(D12:D17)</f>
        <v>0.95000000000000007</v>
      </c>
      <c r="E10" s="90">
        <f>SUM(E12:E17)</f>
        <v>535</v>
      </c>
      <c r="F10" s="90">
        <f>SUM(F12:F17)</f>
        <v>530</v>
      </c>
      <c r="G10" s="90">
        <f>SUM(G12:G17)</f>
        <v>9.6</v>
      </c>
      <c r="H10" s="90">
        <f t="shared" ref="H10:J10" si="5">SUM(H12:H17)</f>
        <v>245</v>
      </c>
      <c r="I10" s="90">
        <f t="shared" si="5"/>
        <v>230</v>
      </c>
      <c r="J10" s="90">
        <f t="shared" si="5"/>
        <v>2.98</v>
      </c>
      <c r="K10" s="121">
        <f>SUM(K12:K17)</f>
        <v>145137</v>
      </c>
      <c r="L10" s="121">
        <f>SUM(L12:L17)</f>
        <v>144278</v>
      </c>
      <c r="M10" s="121">
        <f>SUM(M12:M17)</f>
        <v>4405.0690000000004</v>
      </c>
      <c r="N10" s="90">
        <f>SUM(N12:N17)</f>
        <v>312031</v>
      </c>
      <c r="O10" s="90">
        <f t="shared" ref="O10:AE10" si="6">SUM(O12:O17)</f>
        <v>310791</v>
      </c>
      <c r="P10" s="90">
        <f t="shared" si="6"/>
        <v>7708.8260000000018</v>
      </c>
      <c r="Q10" s="90">
        <f>SUM(Q12:Q17)</f>
        <v>2143401</v>
      </c>
      <c r="R10" s="90">
        <f t="shared" ref="R10:V10" si="7">SUM(R12:R17)</f>
        <v>2143401</v>
      </c>
      <c r="S10" s="90">
        <f t="shared" si="7"/>
        <v>86585.070999999996</v>
      </c>
      <c r="T10" s="90">
        <f t="shared" si="7"/>
        <v>245473</v>
      </c>
      <c r="U10" s="90">
        <f t="shared" si="7"/>
        <v>244897</v>
      </c>
      <c r="V10" s="90">
        <f t="shared" si="7"/>
        <v>7923.5060000000003</v>
      </c>
      <c r="W10" s="90">
        <f t="shared" si="6"/>
        <v>106249</v>
      </c>
      <c r="X10" s="90">
        <f t="shared" si="6"/>
        <v>105189</v>
      </c>
      <c r="Y10" s="90">
        <f t="shared" si="6"/>
        <v>2646.8810000000003</v>
      </c>
      <c r="Z10" s="96">
        <f t="shared" si="6"/>
        <v>55385</v>
      </c>
      <c r="AA10" s="90">
        <f t="shared" si="6"/>
        <v>54908</v>
      </c>
      <c r="AB10" s="90">
        <f t="shared" si="6"/>
        <v>1432.877</v>
      </c>
      <c r="AC10" s="90">
        <f t="shared" si="6"/>
        <v>284212</v>
      </c>
      <c r="AD10" s="90">
        <f t="shared" si="6"/>
        <v>280379</v>
      </c>
      <c r="AE10" s="90">
        <f t="shared" si="6"/>
        <v>3909.9760000000001</v>
      </c>
      <c r="AF10" s="90">
        <f>SUM(AF12:AF17)</f>
        <v>8522</v>
      </c>
      <c r="AG10" s="90">
        <f t="shared" ref="AG10:AQ10" si="8">SUM(AG12:AG17)</f>
        <v>8391</v>
      </c>
      <c r="AH10" s="90">
        <f t="shared" si="8"/>
        <v>261.24</v>
      </c>
      <c r="AI10" s="90">
        <f t="shared" si="8"/>
        <v>390</v>
      </c>
      <c r="AJ10" s="90">
        <f t="shared" si="8"/>
        <v>390</v>
      </c>
      <c r="AK10" s="90">
        <f t="shared" si="8"/>
        <v>21.176000000000002</v>
      </c>
      <c r="AL10" s="90">
        <f t="shared" si="8"/>
        <v>425739</v>
      </c>
      <c r="AM10" s="90">
        <f t="shared" si="8"/>
        <v>424914</v>
      </c>
      <c r="AN10" s="90">
        <f t="shared" si="8"/>
        <v>6292.0529999999999</v>
      </c>
      <c r="AO10" s="90">
        <f t="shared" si="8"/>
        <v>318694</v>
      </c>
      <c r="AP10" s="90">
        <f t="shared" si="8"/>
        <v>317280</v>
      </c>
      <c r="AQ10" s="90">
        <f t="shared" si="8"/>
        <v>6131.8189999999995</v>
      </c>
      <c r="AR10" s="90">
        <f>SUM(AR12:AR17)</f>
        <v>13337</v>
      </c>
      <c r="AS10" s="90">
        <f t="shared" ref="AS10:BA10" si="9">SUM(AS12:AS17)</f>
        <v>13207</v>
      </c>
      <c r="AT10" s="90">
        <f t="shared" si="9"/>
        <v>293.226</v>
      </c>
      <c r="AU10" s="90">
        <f t="shared" si="9"/>
        <v>1735</v>
      </c>
      <c r="AV10" s="90">
        <f t="shared" si="9"/>
        <v>1733</v>
      </c>
      <c r="AW10" s="90">
        <f t="shared" si="9"/>
        <v>11.787000000000001</v>
      </c>
      <c r="AX10" s="90">
        <f t="shared" si="9"/>
        <v>3280673</v>
      </c>
      <c r="AY10" s="90">
        <f t="shared" si="9"/>
        <v>3273354</v>
      </c>
      <c r="AZ10" s="90">
        <f t="shared" si="9"/>
        <v>26818.109999999997</v>
      </c>
      <c r="BA10" s="91">
        <f t="shared" si="9"/>
        <v>60114.929999999993</v>
      </c>
      <c r="BB10" s="114" t="s">
        <v>5</v>
      </c>
      <c r="BC10" s="115"/>
      <c r="BD10" s="115"/>
    </row>
    <row r="11" spans="1:64" x14ac:dyDescent="0.3">
      <c r="A11" s="116"/>
      <c r="B11" s="117"/>
      <c r="C11" s="90"/>
      <c r="D11" s="90"/>
      <c r="E11" s="90"/>
      <c r="F11" s="90"/>
      <c r="G11" s="90"/>
      <c r="H11" s="90"/>
      <c r="I11" s="90"/>
      <c r="J11" s="90"/>
      <c r="K11" s="121"/>
      <c r="L11" s="121"/>
      <c r="M11" s="121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6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1"/>
      <c r="BB11" s="114"/>
      <c r="BC11" s="115"/>
      <c r="BD11" s="115"/>
    </row>
    <row r="12" spans="1:64" x14ac:dyDescent="0.3">
      <c r="A12" s="63" t="s">
        <v>123</v>
      </c>
      <c r="B12" s="72" t="s">
        <v>122</v>
      </c>
      <c r="C12" s="71" t="s">
        <v>122</v>
      </c>
      <c r="D12" s="70" t="s">
        <v>122</v>
      </c>
      <c r="E12" s="71" t="s">
        <v>122</v>
      </c>
      <c r="F12" s="70" t="s">
        <v>122</v>
      </c>
      <c r="G12" s="71" t="s">
        <v>122</v>
      </c>
      <c r="H12" s="70" t="s">
        <v>122</v>
      </c>
      <c r="I12" s="71" t="s">
        <v>122</v>
      </c>
      <c r="J12" s="70" t="s">
        <v>122</v>
      </c>
      <c r="K12" s="71">
        <v>20283</v>
      </c>
      <c r="L12" s="70">
        <v>20188</v>
      </c>
      <c r="M12" s="71">
        <v>460.65699999999998</v>
      </c>
      <c r="N12" s="70">
        <v>33773</v>
      </c>
      <c r="O12" s="71">
        <v>33708</v>
      </c>
      <c r="P12" s="70">
        <v>848.26199999999994</v>
      </c>
      <c r="Q12" s="71">
        <v>87360</v>
      </c>
      <c r="R12" s="70">
        <v>87360</v>
      </c>
      <c r="S12" s="71">
        <v>2723.91</v>
      </c>
      <c r="T12" s="70">
        <v>47107</v>
      </c>
      <c r="U12" s="71">
        <v>47097</v>
      </c>
      <c r="V12" s="70">
        <v>2019.19</v>
      </c>
      <c r="W12" s="71">
        <v>8023</v>
      </c>
      <c r="X12" s="70">
        <v>7968</v>
      </c>
      <c r="Y12" s="71">
        <v>184.08199999999999</v>
      </c>
      <c r="Z12" s="70">
        <v>6780</v>
      </c>
      <c r="AA12" s="71">
        <v>6770</v>
      </c>
      <c r="AB12" s="70">
        <v>101.235</v>
      </c>
      <c r="AC12" s="71">
        <v>215983</v>
      </c>
      <c r="AD12" s="70">
        <v>212788</v>
      </c>
      <c r="AE12" s="71">
        <v>2491.96</v>
      </c>
      <c r="AF12" s="70">
        <v>800</v>
      </c>
      <c r="AG12" s="71">
        <v>792</v>
      </c>
      <c r="AH12" s="70">
        <v>18.72</v>
      </c>
      <c r="AI12" s="71" t="s">
        <v>122</v>
      </c>
      <c r="AJ12" s="70" t="s">
        <v>122</v>
      </c>
      <c r="AK12" s="71" t="s">
        <v>122</v>
      </c>
      <c r="AL12" s="70">
        <v>46284</v>
      </c>
      <c r="AM12" s="71">
        <v>46089</v>
      </c>
      <c r="AN12" s="70">
        <v>596.12099999999998</v>
      </c>
      <c r="AO12" s="71">
        <v>59516</v>
      </c>
      <c r="AP12" s="70">
        <v>59254</v>
      </c>
      <c r="AQ12" s="71">
        <v>1178.623</v>
      </c>
      <c r="AR12" s="70">
        <v>1570</v>
      </c>
      <c r="AS12" s="71">
        <v>1550</v>
      </c>
      <c r="AT12" s="70">
        <v>39.414999999999999</v>
      </c>
      <c r="AU12" s="71">
        <v>1190</v>
      </c>
      <c r="AV12" s="70">
        <v>1190</v>
      </c>
      <c r="AW12" s="71">
        <v>8.48</v>
      </c>
      <c r="AX12" s="70">
        <v>710254</v>
      </c>
      <c r="AY12" s="71">
        <v>708011</v>
      </c>
      <c r="AZ12" s="70">
        <v>588.79600000000005</v>
      </c>
      <c r="BA12" s="84">
        <v>7079.4549999999999</v>
      </c>
      <c r="BB12" s="80" t="s">
        <v>6</v>
      </c>
      <c r="BC12" s="64"/>
      <c r="BD12" s="64"/>
    </row>
    <row r="13" spans="1:64" x14ac:dyDescent="0.3">
      <c r="A13" s="63" t="s">
        <v>124</v>
      </c>
      <c r="B13" s="72">
        <v>50</v>
      </c>
      <c r="C13" s="71">
        <v>50</v>
      </c>
      <c r="D13" s="70">
        <v>0.6</v>
      </c>
      <c r="E13" s="71">
        <v>500</v>
      </c>
      <c r="F13" s="70">
        <v>500</v>
      </c>
      <c r="G13" s="71">
        <v>7.5</v>
      </c>
      <c r="H13" s="70">
        <v>230</v>
      </c>
      <c r="I13" s="71">
        <v>230</v>
      </c>
      <c r="J13" s="70">
        <v>2.76</v>
      </c>
      <c r="K13" s="71">
        <v>9645</v>
      </c>
      <c r="L13" s="70">
        <v>9484</v>
      </c>
      <c r="M13" s="71">
        <v>227.98</v>
      </c>
      <c r="N13" s="70">
        <v>36639</v>
      </c>
      <c r="O13" s="71">
        <v>36200</v>
      </c>
      <c r="P13" s="70">
        <v>1261.5530000000001</v>
      </c>
      <c r="Q13" s="71">
        <v>15520</v>
      </c>
      <c r="R13" s="70">
        <v>15520</v>
      </c>
      <c r="S13" s="71">
        <v>718.15</v>
      </c>
      <c r="T13" s="70">
        <v>72498</v>
      </c>
      <c r="U13" s="71">
        <v>72010</v>
      </c>
      <c r="V13" s="70">
        <v>2510.4470000000001</v>
      </c>
      <c r="W13" s="71">
        <v>8951</v>
      </c>
      <c r="X13" s="70">
        <v>8685</v>
      </c>
      <c r="Y13" s="71">
        <v>260.52999999999997</v>
      </c>
      <c r="Z13" s="70">
        <v>1597</v>
      </c>
      <c r="AA13" s="71">
        <v>1495</v>
      </c>
      <c r="AB13" s="70">
        <v>36.134999999999998</v>
      </c>
      <c r="AC13" s="71">
        <v>7115</v>
      </c>
      <c r="AD13" s="70">
        <v>6982</v>
      </c>
      <c r="AE13" s="71">
        <v>235.82</v>
      </c>
      <c r="AF13" s="70">
        <v>1093</v>
      </c>
      <c r="AG13" s="71">
        <v>1092</v>
      </c>
      <c r="AH13" s="70">
        <v>45.23</v>
      </c>
      <c r="AI13" s="71">
        <v>5</v>
      </c>
      <c r="AJ13" s="70">
        <v>5</v>
      </c>
      <c r="AK13" s="71">
        <v>1E-3</v>
      </c>
      <c r="AL13" s="70">
        <v>20387</v>
      </c>
      <c r="AM13" s="71">
        <v>20319</v>
      </c>
      <c r="AN13" s="70">
        <v>192.74</v>
      </c>
      <c r="AO13" s="71">
        <v>36077</v>
      </c>
      <c r="AP13" s="70">
        <v>35755</v>
      </c>
      <c r="AQ13" s="71">
        <v>743.803</v>
      </c>
      <c r="AR13" s="70">
        <v>1277</v>
      </c>
      <c r="AS13" s="71">
        <v>1221</v>
      </c>
      <c r="AT13" s="70">
        <v>24.24</v>
      </c>
      <c r="AU13" s="71">
        <v>152</v>
      </c>
      <c r="AV13" s="70">
        <v>150</v>
      </c>
      <c r="AW13" s="71">
        <v>1.365</v>
      </c>
      <c r="AX13" s="70">
        <v>193619</v>
      </c>
      <c r="AY13" s="71">
        <v>190011</v>
      </c>
      <c r="AZ13" s="70">
        <v>873.23299999999995</v>
      </c>
      <c r="BA13" s="84">
        <v>2772.9989999999998</v>
      </c>
      <c r="BB13" s="80" t="s">
        <v>7</v>
      </c>
      <c r="BC13" s="64"/>
      <c r="BD13" s="64"/>
    </row>
    <row r="14" spans="1:64" x14ac:dyDescent="0.3">
      <c r="A14" s="63" t="s">
        <v>125</v>
      </c>
      <c r="B14" s="72">
        <v>10</v>
      </c>
      <c r="C14" s="71" t="s">
        <v>122</v>
      </c>
      <c r="D14" s="70">
        <v>0.2</v>
      </c>
      <c r="E14" s="71" t="s">
        <v>122</v>
      </c>
      <c r="F14" s="70" t="s">
        <v>122</v>
      </c>
      <c r="G14" s="71" t="s">
        <v>122</v>
      </c>
      <c r="H14" s="70">
        <v>12</v>
      </c>
      <c r="I14" s="71" t="s">
        <v>122</v>
      </c>
      <c r="J14" s="70">
        <v>0.12</v>
      </c>
      <c r="K14" s="71">
        <v>12392</v>
      </c>
      <c r="L14" s="70">
        <v>11917</v>
      </c>
      <c r="M14" s="71">
        <v>209.10900000000001</v>
      </c>
      <c r="N14" s="70">
        <v>130362</v>
      </c>
      <c r="O14" s="71">
        <v>129753</v>
      </c>
      <c r="P14" s="70">
        <v>2546.8850000000002</v>
      </c>
      <c r="Q14" s="71">
        <v>2525</v>
      </c>
      <c r="R14" s="70">
        <v>2525</v>
      </c>
      <c r="S14" s="71">
        <v>20.58</v>
      </c>
      <c r="T14" s="70">
        <v>8906</v>
      </c>
      <c r="U14" s="71">
        <v>8837</v>
      </c>
      <c r="V14" s="70">
        <v>201.08099999999999</v>
      </c>
      <c r="W14" s="71">
        <v>48154</v>
      </c>
      <c r="X14" s="70">
        <v>47604</v>
      </c>
      <c r="Y14" s="71">
        <v>1087.1289999999999</v>
      </c>
      <c r="Z14" s="70">
        <v>6198</v>
      </c>
      <c r="AA14" s="71">
        <v>5874</v>
      </c>
      <c r="AB14" s="70">
        <v>91.525999999999996</v>
      </c>
      <c r="AC14" s="71">
        <v>28054</v>
      </c>
      <c r="AD14" s="70">
        <v>27671</v>
      </c>
      <c r="AE14" s="71">
        <v>354.06099999999998</v>
      </c>
      <c r="AF14" s="70">
        <v>1395</v>
      </c>
      <c r="AG14" s="71">
        <v>1322</v>
      </c>
      <c r="AH14" s="70">
        <v>22.475000000000001</v>
      </c>
      <c r="AI14" s="71" t="s">
        <v>122</v>
      </c>
      <c r="AJ14" s="70" t="s">
        <v>122</v>
      </c>
      <c r="AK14" s="71" t="s">
        <v>122</v>
      </c>
      <c r="AL14" s="70">
        <v>57960</v>
      </c>
      <c r="AM14" s="71">
        <v>57443</v>
      </c>
      <c r="AN14" s="70">
        <v>537.11699999999996</v>
      </c>
      <c r="AO14" s="71">
        <v>108417</v>
      </c>
      <c r="AP14" s="70">
        <v>107862</v>
      </c>
      <c r="AQ14" s="71">
        <v>1624.84</v>
      </c>
      <c r="AR14" s="70">
        <v>462</v>
      </c>
      <c r="AS14" s="71">
        <v>452</v>
      </c>
      <c r="AT14" s="70">
        <v>2.6139999999999999</v>
      </c>
      <c r="AU14" s="71">
        <v>60</v>
      </c>
      <c r="AV14" s="70">
        <v>60</v>
      </c>
      <c r="AW14" s="71">
        <v>0.65</v>
      </c>
      <c r="AX14" s="70">
        <v>411230</v>
      </c>
      <c r="AY14" s="71">
        <v>410668</v>
      </c>
      <c r="AZ14" s="70">
        <v>332.11</v>
      </c>
      <c r="BA14" s="84">
        <v>3186.7820000000002</v>
      </c>
      <c r="BB14" s="80" t="s">
        <v>8</v>
      </c>
      <c r="BC14" s="64"/>
      <c r="BD14" s="64"/>
    </row>
    <row r="15" spans="1:64" x14ac:dyDescent="0.3">
      <c r="A15" s="63" t="s">
        <v>126</v>
      </c>
      <c r="B15" s="72" t="s">
        <v>122</v>
      </c>
      <c r="C15" s="71" t="s">
        <v>122</v>
      </c>
      <c r="D15" s="70" t="s">
        <v>122</v>
      </c>
      <c r="E15" s="71" t="s">
        <v>122</v>
      </c>
      <c r="F15" s="70" t="s">
        <v>122</v>
      </c>
      <c r="G15" s="71" t="s">
        <v>122</v>
      </c>
      <c r="H15" s="70" t="s">
        <v>122</v>
      </c>
      <c r="I15" s="71" t="s">
        <v>122</v>
      </c>
      <c r="J15" s="70" t="s">
        <v>122</v>
      </c>
      <c r="K15" s="71" t="s">
        <v>122</v>
      </c>
      <c r="L15" s="70" t="s">
        <v>122</v>
      </c>
      <c r="M15" s="71" t="s">
        <v>122</v>
      </c>
      <c r="N15" s="70">
        <v>13</v>
      </c>
      <c r="O15" s="71">
        <v>13</v>
      </c>
      <c r="P15" s="70">
        <v>0.02</v>
      </c>
      <c r="Q15" s="71" t="s">
        <v>122</v>
      </c>
      <c r="R15" s="70" t="s">
        <v>122</v>
      </c>
      <c r="S15" s="71" t="s">
        <v>122</v>
      </c>
      <c r="T15" s="70" t="s">
        <v>122</v>
      </c>
      <c r="U15" s="71" t="s">
        <v>122</v>
      </c>
      <c r="V15" s="70" t="s">
        <v>122</v>
      </c>
      <c r="W15" s="71">
        <v>109</v>
      </c>
      <c r="X15" s="70">
        <v>107</v>
      </c>
      <c r="Y15" s="71">
        <v>3.9899999999999998</v>
      </c>
      <c r="Z15" s="70">
        <v>8</v>
      </c>
      <c r="AA15" s="71">
        <v>4</v>
      </c>
      <c r="AB15" s="70">
        <v>0.01</v>
      </c>
      <c r="AC15" s="71">
        <v>36</v>
      </c>
      <c r="AD15" s="70">
        <v>33</v>
      </c>
      <c r="AE15" s="71">
        <v>0.99</v>
      </c>
      <c r="AF15" s="70">
        <v>8</v>
      </c>
      <c r="AG15" s="71">
        <v>4</v>
      </c>
      <c r="AH15" s="70">
        <v>0.28000000000000003</v>
      </c>
      <c r="AI15" s="71" t="s">
        <v>122</v>
      </c>
      <c r="AJ15" s="70" t="s">
        <v>122</v>
      </c>
      <c r="AK15" s="71" t="s">
        <v>122</v>
      </c>
      <c r="AL15" s="70">
        <v>40</v>
      </c>
      <c r="AM15" s="71">
        <v>40</v>
      </c>
      <c r="AN15" s="70">
        <v>0.6</v>
      </c>
      <c r="AO15" s="71">
        <v>16</v>
      </c>
      <c r="AP15" s="70">
        <v>16</v>
      </c>
      <c r="AQ15" s="71">
        <v>0.19800000000000001</v>
      </c>
      <c r="AR15" s="70">
        <v>30</v>
      </c>
      <c r="AS15" s="71">
        <v>30</v>
      </c>
      <c r="AT15" s="70">
        <v>0.97</v>
      </c>
      <c r="AU15" s="71" t="s">
        <v>122</v>
      </c>
      <c r="AV15" s="70" t="s">
        <v>122</v>
      </c>
      <c r="AW15" s="71" t="s">
        <v>122</v>
      </c>
      <c r="AX15" s="70">
        <v>580481</v>
      </c>
      <c r="AY15" s="71">
        <v>579603</v>
      </c>
      <c r="AZ15" s="70">
        <v>1719.66</v>
      </c>
      <c r="BA15" s="84">
        <v>26679.46</v>
      </c>
      <c r="BB15" s="80" t="s">
        <v>9</v>
      </c>
      <c r="BC15" s="64"/>
      <c r="BD15" s="64"/>
    </row>
    <row r="16" spans="1:64" x14ac:dyDescent="0.3">
      <c r="A16" s="63" t="s">
        <v>127</v>
      </c>
      <c r="B16" s="72">
        <v>6</v>
      </c>
      <c r="C16" s="71" t="s">
        <v>122</v>
      </c>
      <c r="D16" s="70">
        <v>0.15</v>
      </c>
      <c r="E16" s="71">
        <v>35</v>
      </c>
      <c r="F16" s="70">
        <v>30</v>
      </c>
      <c r="G16" s="71">
        <v>2.1</v>
      </c>
      <c r="H16" s="70">
        <v>3</v>
      </c>
      <c r="I16" s="71" t="s">
        <v>122</v>
      </c>
      <c r="J16" s="70">
        <v>0.1</v>
      </c>
      <c r="K16" s="71">
        <v>72509</v>
      </c>
      <c r="L16" s="70">
        <v>72401</v>
      </c>
      <c r="M16" s="71">
        <v>2380.5430000000001</v>
      </c>
      <c r="N16" s="70">
        <v>64198</v>
      </c>
      <c r="O16" s="71">
        <v>64071</v>
      </c>
      <c r="P16" s="70">
        <v>2404.279</v>
      </c>
      <c r="Q16" s="71">
        <v>1527222</v>
      </c>
      <c r="R16" s="70">
        <v>1527222</v>
      </c>
      <c r="S16" s="71">
        <v>77357.3</v>
      </c>
      <c r="T16" s="70">
        <v>14512</v>
      </c>
      <c r="U16" s="71">
        <v>14503</v>
      </c>
      <c r="V16" s="70">
        <v>728.95399999999995</v>
      </c>
      <c r="W16" s="71">
        <v>22390</v>
      </c>
      <c r="X16" s="70">
        <v>22203</v>
      </c>
      <c r="Y16" s="71">
        <v>894.85500000000002</v>
      </c>
      <c r="Z16" s="70">
        <v>29951</v>
      </c>
      <c r="AA16" s="71">
        <v>29914</v>
      </c>
      <c r="AB16" s="70">
        <v>1109.568</v>
      </c>
      <c r="AC16" s="71">
        <v>24365</v>
      </c>
      <c r="AD16" s="70">
        <v>24246</v>
      </c>
      <c r="AE16" s="71">
        <v>730.6</v>
      </c>
      <c r="AF16" s="70">
        <v>3439</v>
      </c>
      <c r="AG16" s="71">
        <v>3394</v>
      </c>
      <c r="AH16" s="70">
        <v>159.9</v>
      </c>
      <c r="AI16" s="71">
        <v>385</v>
      </c>
      <c r="AJ16" s="70">
        <v>385</v>
      </c>
      <c r="AK16" s="71">
        <v>21.175000000000001</v>
      </c>
      <c r="AL16" s="70">
        <v>237815</v>
      </c>
      <c r="AM16" s="71">
        <v>237770</v>
      </c>
      <c r="AN16" s="70">
        <v>4024.444</v>
      </c>
      <c r="AO16" s="71">
        <v>41872</v>
      </c>
      <c r="AP16" s="70">
        <v>41597</v>
      </c>
      <c r="AQ16" s="71">
        <v>1352.933</v>
      </c>
      <c r="AR16" s="70">
        <v>7186</v>
      </c>
      <c r="AS16" s="71">
        <v>7142</v>
      </c>
      <c r="AT16" s="70">
        <v>198.233</v>
      </c>
      <c r="AU16" s="71">
        <v>170</v>
      </c>
      <c r="AV16" s="70">
        <v>170</v>
      </c>
      <c r="AW16" s="71">
        <v>1.29</v>
      </c>
      <c r="AX16" s="70">
        <v>1192461</v>
      </c>
      <c r="AY16" s="71">
        <v>1192433</v>
      </c>
      <c r="AZ16" s="70">
        <v>22330.118999999999</v>
      </c>
      <c r="BA16" s="84">
        <v>14896.109</v>
      </c>
      <c r="BB16" s="80" t="s">
        <v>10</v>
      </c>
      <c r="BC16" s="64"/>
      <c r="BD16" s="64"/>
    </row>
    <row r="17" spans="1:56" x14ac:dyDescent="0.3">
      <c r="A17" s="63" t="s">
        <v>128</v>
      </c>
      <c r="B17" s="72" t="s">
        <v>122</v>
      </c>
      <c r="C17" s="71" t="s">
        <v>122</v>
      </c>
      <c r="D17" s="70" t="s">
        <v>122</v>
      </c>
      <c r="E17" s="71" t="s">
        <v>122</v>
      </c>
      <c r="F17" s="70" t="s">
        <v>122</v>
      </c>
      <c r="G17" s="71" t="s">
        <v>122</v>
      </c>
      <c r="H17" s="70" t="s">
        <v>122</v>
      </c>
      <c r="I17" s="71" t="s">
        <v>122</v>
      </c>
      <c r="J17" s="70" t="s">
        <v>122</v>
      </c>
      <c r="K17" s="71">
        <v>30308</v>
      </c>
      <c r="L17" s="70">
        <v>30288</v>
      </c>
      <c r="M17" s="71">
        <v>1126.78</v>
      </c>
      <c r="N17" s="70">
        <v>47046</v>
      </c>
      <c r="O17" s="71">
        <v>47046</v>
      </c>
      <c r="P17" s="70">
        <v>647.827</v>
      </c>
      <c r="Q17" s="71">
        <v>510774</v>
      </c>
      <c r="R17" s="70">
        <v>510774</v>
      </c>
      <c r="S17" s="71">
        <v>5765.1310000000003</v>
      </c>
      <c r="T17" s="70">
        <v>102450</v>
      </c>
      <c r="U17" s="71">
        <v>102450</v>
      </c>
      <c r="V17" s="70">
        <v>2463.8339999999998</v>
      </c>
      <c r="W17" s="71">
        <v>18622</v>
      </c>
      <c r="X17" s="70">
        <v>18622</v>
      </c>
      <c r="Y17" s="71">
        <v>216.29500000000002</v>
      </c>
      <c r="Z17" s="70">
        <v>10851</v>
      </c>
      <c r="AA17" s="71">
        <v>10851</v>
      </c>
      <c r="AB17" s="70">
        <v>94.403000000000006</v>
      </c>
      <c r="AC17" s="71">
        <v>8659</v>
      </c>
      <c r="AD17" s="70">
        <v>8659</v>
      </c>
      <c r="AE17" s="71">
        <v>96.545000000000002</v>
      </c>
      <c r="AF17" s="70">
        <v>1787</v>
      </c>
      <c r="AG17" s="71">
        <v>1787</v>
      </c>
      <c r="AH17" s="70">
        <v>14.635</v>
      </c>
      <c r="AI17" s="71" t="s">
        <v>122</v>
      </c>
      <c r="AJ17" s="70" t="s">
        <v>122</v>
      </c>
      <c r="AK17" s="71" t="s">
        <v>122</v>
      </c>
      <c r="AL17" s="70">
        <v>63253</v>
      </c>
      <c r="AM17" s="71">
        <v>63253</v>
      </c>
      <c r="AN17" s="70">
        <v>941.03099999999995</v>
      </c>
      <c r="AO17" s="71">
        <v>72796</v>
      </c>
      <c r="AP17" s="70">
        <v>72796</v>
      </c>
      <c r="AQ17" s="71">
        <v>1231.422</v>
      </c>
      <c r="AR17" s="70">
        <v>2812</v>
      </c>
      <c r="AS17" s="71">
        <v>2812</v>
      </c>
      <c r="AT17" s="70">
        <v>27.754000000000001</v>
      </c>
      <c r="AU17" s="71">
        <v>163</v>
      </c>
      <c r="AV17" s="70">
        <v>163</v>
      </c>
      <c r="AW17" s="71">
        <v>2E-3</v>
      </c>
      <c r="AX17" s="70">
        <v>192628</v>
      </c>
      <c r="AY17" s="71">
        <v>192628</v>
      </c>
      <c r="AZ17" s="70">
        <v>974.19200000000001</v>
      </c>
      <c r="BA17" s="84">
        <v>5500.125</v>
      </c>
      <c r="BB17" s="80" t="s">
        <v>11</v>
      </c>
      <c r="BC17" s="64"/>
      <c r="BD17" s="64"/>
    </row>
    <row r="18" spans="1:56" x14ac:dyDescent="0.3">
      <c r="A18" s="116" t="s">
        <v>12</v>
      </c>
      <c r="B18" s="117">
        <f>SUM(B20:B26)</f>
        <v>349</v>
      </c>
      <c r="C18" s="90">
        <f t="shared" ref="C18:BA18" si="10">SUM(C20:C26)</f>
        <v>349</v>
      </c>
      <c r="D18" s="90">
        <f t="shared" si="10"/>
        <v>9.4749999999999996</v>
      </c>
      <c r="E18" s="90">
        <f t="shared" si="10"/>
        <v>686</v>
      </c>
      <c r="F18" s="90">
        <f t="shared" si="10"/>
        <v>686</v>
      </c>
      <c r="G18" s="90">
        <f>SUM(G20:G26)</f>
        <v>9.2149999999999999</v>
      </c>
      <c r="H18" s="90">
        <f t="shared" si="10"/>
        <v>524</v>
      </c>
      <c r="I18" s="90">
        <f t="shared" si="10"/>
        <v>524</v>
      </c>
      <c r="J18" s="90">
        <f t="shared" si="10"/>
        <v>7.9409999999999998</v>
      </c>
      <c r="K18" s="90">
        <f t="shared" si="10"/>
        <v>1034251</v>
      </c>
      <c r="L18" s="90">
        <f t="shared" si="10"/>
        <v>1033770</v>
      </c>
      <c r="M18" s="90">
        <f t="shared" si="10"/>
        <v>29609.390000000003</v>
      </c>
      <c r="N18" s="90">
        <f t="shared" si="10"/>
        <v>3152412</v>
      </c>
      <c r="O18" s="90">
        <f t="shared" si="10"/>
        <v>3151965</v>
      </c>
      <c r="P18" s="90">
        <f t="shared" si="10"/>
        <v>63146.375999999997</v>
      </c>
      <c r="Q18" s="90">
        <f t="shared" ref="Q18:V18" si="11">SUM(Q20:Q26)</f>
        <v>4550904</v>
      </c>
      <c r="R18" s="90">
        <f t="shared" si="11"/>
        <v>4550248</v>
      </c>
      <c r="S18" s="90">
        <f t="shared" si="11"/>
        <v>188907.774</v>
      </c>
      <c r="T18" s="90">
        <f t="shared" si="11"/>
        <v>409613</v>
      </c>
      <c r="U18" s="90">
        <f t="shared" si="11"/>
        <v>409286</v>
      </c>
      <c r="V18" s="90">
        <f t="shared" si="11"/>
        <v>7733.2529999999997</v>
      </c>
      <c r="W18" s="90">
        <f t="shared" si="10"/>
        <v>14884269</v>
      </c>
      <c r="X18" s="90">
        <f t="shared" si="10"/>
        <v>14883707</v>
      </c>
      <c r="Y18" s="90">
        <f t="shared" si="10"/>
        <v>584040.04</v>
      </c>
      <c r="Z18" s="90">
        <f t="shared" si="10"/>
        <v>3522995</v>
      </c>
      <c r="AA18" s="90">
        <f t="shared" si="10"/>
        <v>3522776</v>
      </c>
      <c r="AB18" s="90">
        <f t="shared" si="10"/>
        <v>84005.135000000009</v>
      </c>
      <c r="AC18" s="90">
        <f t="shared" si="10"/>
        <v>6087620</v>
      </c>
      <c r="AD18" s="90">
        <f t="shared" si="10"/>
        <v>6085416</v>
      </c>
      <c r="AE18" s="90">
        <f t="shared" si="10"/>
        <v>97560.561000000002</v>
      </c>
      <c r="AF18" s="90">
        <f t="shared" si="10"/>
        <v>89178</v>
      </c>
      <c r="AG18" s="90">
        <f t="shared" si="10"/>
        <v>88892</v>
      </c>
      <c r="AH18" s="90">
        <f t="shared" si="10"/>
        <v>2423.8019999999997</v>
      </c>
      <c r="AI18" s="90">
        <f t="shared" si="10"/>
        <v>2690</v>
      </c>
      <c r="AJ18" s="90">
        <f t="shared" si="10"/>
        <v>2690</v>
      </c>
      <c r="AK18" s="90">
        <f t="shared" si="10"/>
        <v>67.8</v>
      </c>
      <c r="AL18" s="90">
        <f t="shared" si="10"/>
        <v>1446039</v>
      </c>
      <c r="AM18" s="90">
        <f t="shared" si="10"/>
        <v>1445807</v>
      </c>
      <c r="AN18" s="90">
        <f t="shared" si="10"/>
        <v>12683.2</v>
      </c>
      <c r="AO18" s="90">
        <f t="shared" si="10"/>
        <v>549699</v>
      </c>
      <c r="AP18" s="90">
        <f t="shared" si="10"/>
        <v>548513</v>
      </c>
      <c r="AQ18" s="90">
        <f t="shared" si="10"/>
        <v>8980.4809999999998</v>
      </c>
      <c r="AR18" s="90">
        <f t="shared" si="10"/>
        <v>584472</v>
      </c>
      <c r="AS18" s="90">
        <f t="shared" si="10"/>
        <v>584301</v>
      </c>
      <c r="AT18" s="90">
        <f t="shared" si="10"/>
        <v>11207.921</v>
      </c>
      <c r="AU18" s="90">
        <f t="shared" si="10"/>
        <v>81843</v>
      </c>
      <c r="AV18" s="90">
        <f t="shared" si="10"/>
        <v>81833</v>
      </c>
      <c r="AW18" s="90">
        <f t="shared" si="10"/>
        <v>878.30600000000004</v>
      </c>
      <c r="AX18" s="90">
        <f t="shared" si="10"/>
        <v>9783548</v>
      </c>
      <c r="AY18" s="90">
        <f t="shared" si="10"/>
        <v>9782284</v>
      </c>
      <c r="AZ18" s="90">
        <f t="shared" si="10"/>
        <v>103168.428</v>
      </c>
      <c r="BA18" s="91">
        <f t="shared" si="10"/>
        <v>94892.222000000009</v>
      </c>
      <c r="BB18" s="122" t="s">
        <v>13</v>
      </c>
      <c r="BC18" s="123"/>
      <c r="BD18" s="123"/>
    </row>
    <row r="19" spans="1:56" x14ac:dyDescent="0.3">
      <c r="A19" s="116"/>
      <c r="B19" s="117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1"/>
      <c r="BB19" s="122"/>
      <c r="BC19" s="123"/>
      <c r="BD19" s="123"/>
    </row>
    <row r="20" spans="1:56" x14ac:dyDescent="0.3">
      <c r="A20" s="63" t="s">
        <v>129</v>
      </c>
      <c r="B20" s="72">
        <v>25</v>
      </c>
      <c r="C20" s="71">
        <v>25</v>
      </c>
      <c r="D20" s="70">
        <v>0.61499999999999999</v>
      </c>
      <c r="E20" s="71">
        <v>20</v>
      </c>
      <c r="F20" s="70">
        <v>20</v>
      </c>
      <c r="G20" s="71">
        <v>0.95</v>
      </c>
      <c r="H20" s="70">
        <v>32</v>
      </c>
      <c r="I20" s="71">
        <v>32</v>
      </c>
      <c r="J20" s="70">
        <v>1.1599999999999999</v>
      </c>
      <c r="K20" s="71">
        <v>25807</v>
      </c>
      <c r="L20" s="70">
        <v>25769</v>
      </c>
      <c r="M20" s="71">
        <v>1096.377</v>
      </c>
      <c r="N20" s="70">
        <v>33598</v>
      </c>
      <c r="O20" s="71">
        <v>33587</v>
      </c>
      <c r="P20" s="70">
        <v>1805.2919999999999</v>
      </c>
      <c r="Q20" s="71">
        <v>11942</v>
      </c>
      <c r="R20" s="70">
        <v>11927</v>
      </c>
      <c r="S20" s="71">
        <v>572.39400000000001</v>
      </c>
      <c r="T20" s="70">
        <v>50382</v>
      </c>
      <c r="U20" s="71">
        <v>50376</v>
      </c>
      <c r="V20" s="70">
        <v>1297.4190000000001</v>
      </c>
      <c r="W20" s="71">
        <v>16387</v>
      </c>
      <c r="X20" s="70">
        <v>16363</v>
      </c>
      <c r="Y20" s="71">
        <v>661.38099999999997</v>
      </c>
      <c r="Z20" s="70">
        <v>17388</v>
      </c>
      <c r="AA20" s="71">
        <v>17374</v>
      </c>
      <c r="AB20" s="70">
        <v>505.565</v>
      </c>
      <c r="AC20" s="71">
        <v>23216</v>
      </c>
      <c r="AD20" s="70">
        <v>23197</v>
      </c>
      <c r="AE20" s="71">
        <v>833.81200000000001</v>
      </c>
      <c r="AF20" s="70">
        <v>8504</v>
      </c>
      <c r="AG20" s="71">
        <v>8483</v>
      </c>
      <c r="AH20" s="70">
        <v>316.61</v>
      </c>
      <c r="AI20" s="71">
        <v>1396</v>
      </c>
      <c r="AJ20" s="70">
        <v>1396</v>
      </c>
      <c r="AK20" s="71">
        <v>37.979999999999997</v>
      </c>
      <c r="AL20" s="70">
        <v>103271</v>
      </c>
      <c r="AM20" s="71">
        <v>103271</v>
      </c>
      <c r="AN20" s="70">
        <v>1057.82</v>
      </c>
      <c r="AO20" s="71">
        <v>59033</v>
      </c>
      <c r="AP20" s="70">
        <v>59033</v>
      </c>
      <c r="AQ20" s="71">
        <v>890.524</v>
      </c>
      <c r="AR20" s="70">
        <v>6821</v>
      </c>
      <c r="AS20" s="71">
        <v>6821</v>
      </c>
      <c r="AT20" s="70">
        <v>269.66500000000002</v>
      </c>
      <c r="AU20" s="71">
        <v>3317</v>
      </c>
      <c r="AV20" s="70">
        <v>3317</v>
      </c>
      <c r="AW20" s="71">
        <v>43.889000000000003</v>
      </c>
      <c r="AX20" s="70">
        <v>605608</v>
      </c>
      <c r="AY20" s="71">
        <v>605608</v>
      </c>
      <c r="AZ20" s="70">
        <v>3324.2379999999998</v>
      </c>
      <c r="BA20" s="84">
        <v>11989.982</v>
      </c>
      <c r="BB20" s="80" t="s">
        <v>14</v>
      </c>
      <c r="BC20" s="64"/>
      <c r="BD20" s="64"/>
    </row>
    <row r="21" spans="1:56" x14ac:dyDescent="0.3">
      <c r="A21" s="63" t="s">
        <v>130</v>
      </c>
      <c r="B21" s="72">
        <v>120</v>
      </c>
      <c r="C21" s="71">
        <v>120</v>
      </c>
      <c r="D21" s="70">
        <v>2</v>
      </c>
      <c r="E21" s="71" t="s">
        <v>122</v>
      </c>
      <c r="F21" s="70" t="s">
        <v>122</v>
      </c>
      <c r="G21" s="71" t="s">
        <v>122</v>
      </c>
      <c r="H21" s="70" t="s">
        <v>122</v>
      </c>
      <c r="I21" s="71" t="s">
        <v>122</v>
      </c>
      <c r="J21" s="70" t="s">
        <v>122</v>
      </c>
      <c r="K21" s="71">
        <v>623655</v>
      </c>
      <c r="L21" s="70">
        <v>623482</v>
      </c>
      <c r="M21" s="71">
        <v>23526.7</v>
      </c>
      <c r="N21" s="70">
        <v>658050</v>
      </c>
      <c r="O21" s="71">
        <v>657834</v>
      </c>
      <c r="P21" s="70">
        <v>28758.31</v>
      </c>
      <c r="Q21" s="71">
        <v>1029319</v>
      </c>
      <c r="R21" s="70">
        <v>1029228</v>
      </c>
      <c r="S21" s="71">
        <v>52742.55</v>
      </c>
      <c r="T21" s="70">
        <v>18117</v>
      </c>
      <c r="U21" s="71">
        <v>17946</v>
      </c>
      <c r="V21" s="70">
        <v>630</v>
      </c>
      <c r="W21" s="71">
        <v>6428363</v>
      </c>
      <c r="X21" s="70">
        <v>6428075</v>
      </c>
      <c r="Y21" s="71">
        <v>222558.36499999999</v>
      </c>
      <c r="Z21" s="70">
        <v>551576</v>
      </c>
      <c r="AA21" s="71">
        <v>551451</v>
      </c>
      <c r="AB21" s="70">
        <v>15309.16</v>
      </c>
      <c r="AC21" s="71">
        <v>558286</v>
      </c>
      <c r="AD21" s="70">
        <v>558141</v>
      </c>
      <c r="AE21" s="71">
        <v>17153.724999999999</v>
      </c>
      <c r="AF21" s="70">
        <v>10456</v>
      </c>
      <c r="AG21" s="71">
        <v>10311</v>
      </c>
      <c r="AH21" s="70">
        <v>564.99900000000002</v>
      </c>
      <c r="AI21" s="71" t="s">
        <v>122</v>
      </c>
      <c r="AJ21" s="70" t="s">
        <v>122</v>
      </c>
      <c r="AK21" s="71" t="s">
        <v>122</v>
      </c>
      <c r="AL21" s="70">
        <v>142279</v>
      </c>
      <c r="AM21" s="71">
        <v>142147</v>
      </c>
      <c r="AN21" s="70">
        <v>1094.44</v>
      </c>
      <c r="AO21" s="71">
        <v>51136</v>
      </c>
      <c r="AP21" s="70">
        <v>50950</v>
      </c>
      <c r="AQ21" s="71">
        <v>1094.395</v>
      </c>
      <c r="AR21" s="70">
        <v>38931</v>
      </c>
      <c r="AS21" s="71">
        <v>38860</v>
      </c>
      <c r="AT21" s="70">
        <v>381.55500000000001</v>
      </c>
      <c r="AU21" s="71">
        <v>1531</v>
      </c>
      <c r="AV21" s="70">
        <v>1521</v>
      </c>
      <c r="AW21" s="71">
        <v>7.8</v>
      </c>
      <c r="AX21" s="70">
        <v>137588</v>
      </c>
      <c r="AY21" s="71">
        <v>137394</v>
      </c>
      <c r="AZ21" s="70">
        <v>160.18</v>
      </c>
      <c r="BA21" s="84">
        <v>2083.64</v>
      </c>
      <c r="BB21" s="80" t="s">
        <v>15</v>
      </c>
      <c r="BC21" s="64"/>
      <c r="BD21" s="64"/>
    </row>
    <row r="22" spans="1:56" x14ac:dyDescent="0.3">
      <c r="A22" s="63" t="s">
        <v>131</v>
      </c>
      <c r="B22" s="72" t="s">
        <v>122</v>
      </c>
      <c r="C22" s="71" t="s">
        <v>122</v>
      </c>
      <c r="D22" s="70" t="s">
        <v>122</v>
      </c>
      <c r="E22" s="71" t="s">
        <v>122</v>
      </c>
      <c r="F22" s="70" t="s">
        <v>122</v>
      </c>
      <c r="G22" s="71" t="s">
        <v>122</v>
      </c>
      <c r="H22" s="70" t="s">
        <v>122</v>
      </c>
      <c r="I22" s="71" t="s">
        <v>122</v>
      </c>
      <c r="J22" s="70" t="s">
        <v>122</v>
      </c>
      <c r="K22" s="71">
        <v>2769</v>
      </c>
      <c r="L22" s="70">
        <v>2769</v>
      </c>
      <c r="M22" s="71">
        <v>15.83</v>
      </c>
      <c r="N22" s="70">
        <v>10293</v>
      </c>
      <c r="O22" s="71">
        <v>10293</v>
      </c>
      <c r="P22" s="70">
        <v>94.206000000000003</v>
      </c>
      <c r="Q22" s="71">
        <v>7137</v>
      </c>
      <c r="R22" s="70">
        <v>7137</v>
      </c>
      <c r="S22" s="71">
        <v>47.238</v>
      </c>
      <c r="T22" s="70">
        <v>123564</v>
      </c>
      <c r="U22" s="71">
        <v>123564</v>
      </c>
      <c r="V22" s="70">
        <v>1388.973</v>
      </c>
      <c r="W22" s="71">
        <v>21373</v>
      </c>
      <c r="X22" s="70">
        <v>21373</v>
      </c>
      <c r="Y22" s="71">
        <v>465.22400000000005</v>
      </c>
      <c r="Z22" s="70">
        <v>7865</v>
      </c>
      <c r="AA22" s="71">
        <v>7865</v>
      </c>
      <c r="AB22" s="70">
        <v>163.785</v>
      </c>
      <c r="AC22" s="71">
        <v>65651</v>
      </c>
      <c r="AD22" s="70">
        <v>65651</v>
      </c>
      <c r="AE22" s="71">
        <v>758.77700000000004</v>
      </c>
      <c r="AF22" s="70">
        <v>32060</v>
      </c>
      <c r="AG22" s="71">
        <v>32060</v>
      </c>
      <c r="AH22" s="70">
        <v>595.798</v>
      </c>
      <c r="AI22" s="71">
        <v>40</v>
      </c>
      <c r="AJ22" s="70">
        <v>40</v>
      </c>
      <c r="AK22" s="71">
        <v>0.12</v>
      </c>
      <c r="AL22" s="70">
        <v>93669</v>
      </c>
      <c r="AM22" s="71">
        <v>93669</v>
      </c>
      <c r="AN22" s="70">
        <v>819.86300000000006</v>
      </c>
      <c r="AO22" s="71">
        <v>29391</v>
      </c>
      <c r="AP22" s="70">
        <v>29391</v>
      </c>
      <c r="AQ22" s="71">
        <v>361.24</v>
      </c>
      <c r="AR22" s="70">
        <v>118324</v>
      </c>
      <c r="AS22" s="71">
        <v>118324</v>
      </c>
      <c r="AT22" s="70">
        <v>1612.1379999999999</v>
      </c>
      <c r="AU22" s="71">
        <v>4716</v>
      </c>
      <c r="AV22" s="70">
        <v>4716</v>
      </c>
      <c r="AW22" s="71">
        <v>51.253</v>
      </c>
      <c r="AX22" s="70">
        <v>174765</v>
      </c>
      <c r="AY22" s="71">
        <v>174765</v>
      </c>
      <c r="AZ22" s="70">
        <v>393.63099999999997</v>
      </c>
      <c r="BA22" s="84">
        <v>1626.2439999999999</v>
      </c>
      <c r="BB22" s="80" t="s">
        <v>16</v>
      </c>
      <c r="BC22" s="64"/>
      <c r="BD22" s="64"/>
    </row>
    <row r="23" spans="1:56" x14ac:dyDescent="0.3">
      <c r="A23" s="63" t="s">
        <v>132</v>
      </c>
      <c r="B23" s="72" t="s">
        <v>122</v>
      </c>
      <c r="C23" s="71" t="s">
        <v>122</v>
      </c>
      <c r="D23" s="70" t="s">
        <v>122</v>
      </c>
      <c r="E23" s="71" t="s">
        <v>122</v>
      </c>
      <c r="F23" s="70" t="s">
        <v>122</v>
      </c>
      <c r="G23" s="71" t="s">
        <v>122</v>
      </c>
      <c r="H23" s="70" t="s">
        <v>122</v>
      </c>
      <c r="I23" s="71" t="s">
        <v>122</v>
      </c>
      <c r="J23" s="70" t="s">
        <v>122</v>
      </c>
      <c r="K23" s="71">
        <v>354156</v>
      </c>
      <c r="L23" s="70">
        <v>353886</v>
      </c>
      <c r="M23" s="71">
        <v>4194.51</v>
      </c>
      <c r="N23" s="70">
        <v>2284309</v>
      </c>
      <c r="O23" s="71">
        <v>2284089</v>
      </c>
      <c r="P23" s="70">
        <v>28576.691999999999</v>
      </c>
      <c r="Q23" s="71">
        <v>709632</v>
      </c>
      <c r="R23" s="70">
        <v>709632</v>
      </c>
      <c r="S23" s="71">
        <v>19746.241999999998</v>
      </c>
      <c r="T23" s="70">
        <v>79714</v>
      </c>
      <c r="U23" s="71">
        <v>79564</v>
      </c>
      <c r="V23" s="70">
        <v>1222.8499999999999</v>
      </c>
      <c r="W23" s="71">
        <v>8322050</v>
      </c>
      <c r="X23" s="70">
        <v>8321800</v>
      </c>
      <c r="Y23" s="71">
        <v>356850.30200000003</v>
      </c>
      <c r="Z23" s="70">
        <v>2087585</v>
      </c>
      <c r="AA23" s="71">
        <v>2087505</v>
      </c>
      <c r="AB23" s="70">
        <v>42822.158000000003</v>
      </c>
      <c r="AC23" s="71">
        <v>5115960</v>
      </c>
      <c r="AD23" s="70">
        <v>5113920</v>
      </c>
      <c r="AE23" s="71">
        <v>73776.274000000005</v>
      </c>
      <c r="AF23" s="70">
        <v>19224</v>
      </c>
      <c r="AG23" s="71">
        <v>19124</v>
      </c>
      <c r="AH23" s="70">
        <v>389.91500000000002</v>
      </c>
      <c r="AI23" s="71" t="s">
        <v>122</v>
      </c>
      <c r="AJ23" s="70" t="s">
        <v>122</v>
      </c>
      <c r="AK23" s="71" t="s">
        <v>122</v>
      </c>
      <c r="AL23" s="70">
        <v>199218</v>
      </c>
      <c r="AM23" s="71">
        <v>199118</v>
      </c>
      <c r="AN23" s="70">
        <v>1016.9059999999999</v>
      </c>
      <c r="AO23" s="71">
        <v>182166</v>
      </c>
      <c r="AP23" s="70">
        <v>181166</v>
      </c>
      <c r="AQ23" s="71">
        <v>1705.9090000000001</v>
      </c>
      <c r="AR23" s="70">
        <v>250586</v>
      </c>
      <c r="AS23" s="71">
        <v>250486</v>
      </c>
      <c r="AT23" s="70">
        <v>4457.6180000000004</v>
      </c>
      <c r="AU23" s="71">
        <v>3072</v>
      </c>
      <c r="AV23" s="70">
        <v>3072</v>
      </c>
      <c r="AW23" s="71">
        <v>7.9130000000000003</v>
      </c>
      <c r="AX23" s="70">
        <v>313082</v>
      </c>
      <c r="AY23" s="71">
        <v>312502</v>
      </c>
      <c r="AZ23" s="70">
        <v>498.74700000000001</v>
      </c>
      <c r="BA23" s="84">
        <v>1896.5540000000001</v>
      </c>
      <c r="BB23" s="80" t="s">
        <v>17</v>
      </c>
      <c r="BC23" s="64"/>
      <c r="BD23" s="64"/>
    </row>
    <row r="24" spans="1:56" x14ac:dyDescent="0.3">
      <c r="A24" s="63" t="s">
        <v>133</v>
      </c>
      <c r="B24" s="72">
        <v>39</v>
      </c>
      <c r="C24" s="71">
        <v>39</v>
      </c>
      <c r="D24" s="70">
        <v>0.6</v>
      </c>
      <c r="E24" s="71" t="s">
        <v>122</v>
      </c>
      <c r="F24" s="70" t="s">
        <v>122</v>
      </c>
      <c r="G24" s="71" t="s">
        <v>122</v>
      </c>
      <c r="H24" s="70" t="s">
        <v>122</v>
      </c>
      <c r="I24" s="71" t="s">
        <v>122</v>
      </c>
      <c r="J24" s="70" t="s">
        <v>122</v>
      </c>
      <c r="K24" s="71">
        <v>11676</v>
      </c>
      <c r="L24" s="70">
        <v>11676</v>
      </c>
      <c r="M24" s="71">
        <v>336.11</v>
      </c>
      <c r="N24" s="70">
        <v>101796</v>
      </c>
      <c r="O24" s="71">
        <v>101796</v>
      </c>
      <c r="P24" s="70">
        <v>2710.6849999999999</v>
      </c>
      <c r="Q24" s="71">
        <v>2734992</v>
      </c>
      <c r="R24" s="70">
        <v>2734992</v>
      </c>
      <c r="S24" s="71">
        <v>113082.39</v>
      </c>
      <c r="T24" s="70">
        <v>25507</v>
      </c>
      <c r="U24" s="71">
        <v>25507</v>
      </c>
      <c r="V24" s="70">
        <v>837.63499999999999</v>
      </c>
      <c r="W24" s="71">
        <v>69307</v>
      </c>
      <c r="X24" s="70">
        <v>69307</v>
      </c>
      <c r="Y24" s="71">
        <v>2792.93</v>
      </c>
      <c r="Z24" s="70">
        <v>240322</v>
      </c>
      <c r="AA24" s="71">
        <v>240322</v>
      </c>
      <c r="AB24" s="70">
        <v>5365.4650000000001</v>
      </c>
      <c r="AC24" s="71">
        <v>293763</v>
      </c>
      <c r="AD24" s="70">
        <v>293763</v>
      </c>
      <c r="AE24" s="71">
        <v>4485.6099999999997</v>
      </c>
      <c r="AF24" s="70">
        <v>4799</v>
      </c>
      <c r="AG24" s="71">
        <v>4779</v>
      </c>
      <c r="AH24" s="70">
        <v>226.41</v>
      </c>
      <c r="AI24" s="71" t="s">
        <v>122</v>
      </c>
      <c r="AJ24" s="70" t="s">
        <v>122</v>
      </c>
      <c r="AK24" s="71" t="s">
        <v>122</v>
      </c>
      <c r="AL24" s="70">
        <v>131327</v>
      </c>
      <c r="AM24" s="71">
        <v>131327</v>
      </c>
      <c r="AN24" s="70">
        <v>2037.9359999999999</v>
      </c>
      <c r="AO24" s="71">
        <v>110022</v>
      </c>
      <c r="AP24" s="70">
        <v>110022</v>
      </c>
      <c r="AQ24" s="71">
        <v>2354.4229999999998</v>
      </c>
      <c r="AR24" s="70">
        <v>146571</v>
      </c>
      <c r="AS24" s="71">
        <v>146571</v>
      </c>
      <c r="AT24" s="70">
        <v>4092.3049999999998</v>
      </c>
      <c r="AU24" s="71">
        <v>1612</v>
      </c>
      <c r="AV24" s="70">
        <v>1612</v>
      </c>
      <c r="AW24" s="71">
        <v>12.557</v>
      </c>
      <c r="AX24" s="70">
        <v>896382</v>
      </c>
      <c r="AY24" s="71">
        <v>895912</v>
      </c>
      <c r="AZ24" s="70">
        <v>536.12400000000002</v>
      </c>
      <c r="BA24" s="84">
        <v>14698.51</v>
      </c>
      <c r="BB24" s="80" t="s">
        <v>18</v>
      </c>
      <c r="BC24" s="64"/>
      <c r="BD24" s="64"/>
    </row>
    <row r="25" spans="1:56" x14ac:dyDescent="0.3">
      <c r="A25" s="63" t="s">
        <v>134</v>
      </c>
      <c r="B25" s="72" t="s">
        <v>122</v>
      </c>
      <c r="C25" s="71" t="s">
        <v>122</v>
      </c>
      <c r="D25" s="70" t="s">
        <v>122</v>
      </c>
      <c r="E25" s="71">
        <v>25</v>
      </c>
      <c r="F25" s="70">
        <v>25</v>
      </c>
      <c r="G25" s="71">
        <v>1</v>
      </c>
      <c r="H25" s="70" t="s">
        <v>122</v>
      </c>
      <c r="I25" s="71" t="s">
        <v>122</v>
      </c>
      <c r="J25" s="70" t="s">
        <v>122</v>
      </c>
      <c r="K25" s="71">
        <v>8110</v>
      </c>
      <c r="L25" s="70">
        <v>8110</v>
      </c>
      <c r="M25" s="71">
        <v>310.25299999999999</v>
      </c>
      <c r="N25" s="70">
        <v>51062</v>
      </c>
      <c r="O25" s="71">
        <v>51062</v>
      </c>
      <c r="P25" s="70">
        <v>984.13400000000001</v>
      </c>
      <c r="Q25" s="71">
        <v>56201</v>
      </c>
      <c r="R25" s="70">
        <v>55651</v>
      </c>
      <c r="S25" s="71">
        <v>2688.96</v>
      </c>
      <c r="T25" s="70">
        <v>89171</v>
      </c>
      <c r="U25" s="71">
        <v>89171</v>
      </c>
      <c r="V25" s="70">
        <v>1280.069</v>
      </c>
      <c r="W25" s="71">
        <v>18325</v>
      </c>
      <c r="X25" s="70">
        <v>18325</v>
      </c>
      <c r="Y25" s="71">
        <v>530.48</v>
      </c>
      <c r="Z25" s="70">
        <v>2359</v>
      </c>
      <c r="AA25" s="71">
        <v>2359</v>
      </c>
      <c r="AB25" s="70">
        <v>57.274999999999999</v>
      </c>
      <c r="AC25" s="71">
        <v>21196</v>
      </c>
      <c r="AD25" s="70">
        <v>21196</v>
      </c>
      <c r="AE25" s="71">
        <v>405.69299999999998</v>
      </c>
      <c r="AF25" s="70">
        <v>4302</v>
      </c>
      <c r="AG25" s="71">
        <v>4302</v>
      </c>
      <c r="AH25" s="70">
        <v>127.17100000000001</v>
      </c>
      <c r="AI25" s="71">
        <v>1254</v>
      </c>
      <c r="AJ25" s="70">
        <v>1254</v>
      </c>
      <c r="AK25" s="71">
        <v>29.7</v>
      </c>
      <c r="AL25" s="70">
        <v>711976</v>
      </c>
      <c r="AM25" s="71">
        <v>711976</v>
      </c>
      <c r="AN25" s="70">
        <v>5807.9920000000002</v>
      </c>
      <c r="AO25" s="71">
        <v>97147</v>
      </c>
      <c r="AP25" s="70">
        <v>97147</v>
      </c>
      <c r="AQ25" s="71">
        <v>2236.8919999999998</v>
      </c>
      <c r="AR25" s="70">
        <v>4913</v>
      </c>
      <c r="AS25" s="71">
        <v>4913</v>
      </c>
      <c r="AT25" s="70">
        <v>173.108</v>
      </c>
      <c r="AU25" s="71">
        <v>2486</v>
      </c>
      <c r="AV25" s="70">
        <v>2486</v>
      </c>
      <c r="AW25" s="71">
        <v>16.605</v>
      </c>
      <c r="AX25" s="70">
        <v>1709601</v>
      </c>
      <c r="AY25" s="71">
        <v>1709581</v>
      </c>
      <c r="AZ25" s="70">
        <v>4238.2960000000003</v>
      </c>
      <c r="BA25" s="84">
        <v>28449.628000000001</v>
      </c>
      <c r="BB25" s="80" t="s">
        <v>19</v>
      </c>
      <c r="BC25" s="64"/>
      <c r="BD25" s="64"/>
    </row>
    <row r="26" spans="1:56" x14ac:dyDescent="0.3">
      <c r="A26" s="63" t="s">
        <v>135</v>
      </c>
      <c r="B26" s="72">
        <v>165</v>
      </c>
      <c r="C26" s="71">
        <v>165</v>
      </c>
      <c r="D26" s="70">
        <v>6.26</v>
      </c>
      <c r="E26" s="71">
        <v>641</v>
      </c>
      <c r="F26" s="70">
        <v>641</v>
      </c>
      <c r="G26" s="71">
        <v>7.2649999999999997</v>
      </c>
      <c r="H26" s="70">
        <v>492</v>
      </c>
      <c r="I26" s="71">
        <v>492</v>
      </c>
      <c r="J26" s="70">
        <v>6.7809999999999997</v>
      </c>
      <c r="K26" s="71">
        <v>8078</v>
      </c>
      <c r="L26" s="70">
        <v>8078</v>
      </c>
      <c r="M26" s="71">
        <v>129.61000000000001</v>
      </c>
      <c r="N26" s="70">
        <v>13304</v>
      </c>
      <c r="O26" s="71">
        <v>13304</v>
      </c>
      <c r="P26" s="70">
        <v>217.05699999999999</v>
      </c>
      <c r="Q26" s="71">
        <v>1681</v>
      </c>
      <c r="R26" s="70">
        <v>1681</v>
      </c>
      <c r="S26" s="71">
        <v>28</v>
      </c>
      <c r="T26" s="70">
        <v>23158</v>
      </c>
      <c r="U26" s="71">
        <v>23158</v>
      </c>
      <c r="V26" s="70">
        <v>1076.307</v>
      </c>
      <c r="W26" s="71">
        <v>8464</v>
      </c>
      <c r="X26" s="70">
        <v>8464</v>
      </c>
      <c r="Y26" s="71">
        <v>181.358</v>
      </c>
      <c r="Z26" s="70">
        <v>615900</v>
      </c>
      <c r="AA26" s="71">
        <v>615900</v>
      </c>
      <c r="AB26" s="70">
        <v>19781.726999999999</v>
      </c>
      <c r="AC26" s="71">
        <v>9548</v>
      </c>
      <c r="AD26" s="70">
        <v>9548</v>
      </c>
      <c r="AE26" s="71">
        <v>146.66999999999999</v>
      </c>
      <c r="AF26" s="70">
        <v>9833</v>
      </c>
      <c r="AG26" s="71">
        <v>9833</v>
      </c>
      <c r="AH26" s="70">
        <v>202.899</v>
      </c>
      <c r="AI26" s="71" t="s">
        <v>122</v>
      </c>
      <c r="AJ26" s="70" t="s">
        <v>122</v>
      </c>
      <c r="AK26" s="71" t="s">
        <v>122</v>
      </c>
      <c r="AL26" s="70">
        <v>64299</v>
      </c>
      <c r="AM26" s="71">
        <v>64299</v>
      </c>
      <c r="AN26" s="70">
        <v>848.24300000000005</v>
      </c>
      <c r="AO26" s="71">
        <v>20804</v>
      </c>
      <c r="AP26" s="70">
        <v>20804</v>
      </c>
      <c r="AQ26" s="71">
        <v>337.09800000000001</v>
      </c>
      <c r="AR26" s="70">
        <v>18326</v>
      </c>
      <c r="AS26" s="71">
        <v>18326</v>
      </c>
      <c r="AT26" s="70">
        <v>221.53200000000001</v>
      </c>
      <c r="AU26" s="71">
        <v>65109</v>
      </c>
      <c r="AV26" s="70">
        <v>65109</v>
      </c>
      <c r="AW26" s="71">
        <v>738.28899999999999</v>
      </c>
      <c r="AX26" s="70">
        <v>5946522</v>
      </c>
      <c r="AY26" s="71">
        <v>5946522</v>
      </c>
      <c r="AZ26" s="70">
        <v>94017.212</v>
      </c>
      <c r="BA26" s="84">
        <v>34147.663999999997</v>
      </c>
      <c r="BB26" s="80" t="s">
        <v>20</v>
      </c>
      <c r="BC26" s="64"/>
      <c r="BD26" s="64"/>
    </row>
    <row r="27" spans="1:56" ht="22.2" customHeight="1" x14ac:dyDescent="0.3">
      <c r="A27" s="65" t="s">
        <v>120</v>
      </c>
      <c r="B27" s="87">
        <f>SUM(B28:B31)</f>
        <v>0</v>
      </c>
      <c r="C27" s="88">
        <f t="shared" ref="C27:BA27" si="12">SUM(C28:C31)</f>
        <v>0</v>
      </c>
      <c r="D27" s="88">
        <f t="shared" si="12"/>
        <v>0</v>
      </c>
      <c r="E27" s="88">
        <f>SUM(E28:E31)</f>
        <v>0</v>
      </c>
      <c r="F27" s="88">
        <f>SUM(F28:F31)</f>
        <v>0</v>
      </c>
      <c r="G27" s="88">
        <f>SUM(G28:G31)</f>
        <v>0</v>
      </c>
      <c r="H27" s="88">
        <f t="shared" si="12"/>
        <v>0</v>
      </c>
      <c r="I27" s="88">
        <f t="shared" si="12"/>
        <v>0</v>
      </c>
      <c r="J27" s="88">
        <f t="shared" si="12"/>
        <v>0</v>
      </c>
      <c r="K27" s="88">
        <f t="shared" si="12"/>
        <v>103784</v>
      </c>
      <c r="L27" s="88">
        <f t="shared" si="12"/>
        <v>102638</v>
      </c>
      <c r="M27" s="88">
        <f t="shared" si="12"/>
        <v>2363.0479999999998</v>
      </c>
      <c r="N27" s="88">
        <f t="shared" si="12"/>
        <v>6138779</v>
      </c>
      <c r="O27" s="88">
        <f t="shared" si="12"/>
        <v>6135009</v>
      </c>
      <c r="P27" s="88">
        <f t="shared" si="12"/>
        <v>121560.798</v>
      </c>
      <c r="Q27" s="88">
        <f t="shared" si="12"/>
        <v>479</v>
      </c>
      <c r="R27" s="88">
        <f t="shared" si="12"/>
        <v>479</v>
      </c>
      <c r="S27" s="88">
        <f t="shared" si="12"/>
        <v>20.309999999999999</v>
      </c>
      <c r="T27" s="88">
        <f t="shared" si="12"/>
        <v>6439</v>
      </c>
      <c r="U27" s="88">
        <f t="shared" si="12"/>
        <v>5415</v>
      </c>
      <c r="V27" s="88">
        <f t="shared" si="12"/>
        <v>211.11700000000002</v>
      </c>
      <c r="W27" s="88">
        <f t="shared" si="12"/>
        <v>1575802</v>
      </c>
      <c r="X27" s="88">
        <f t="shared" si="12"/>
        <v>1574226</v>
      </c>
      <c r="Y27" s="88">
        <f t="shared" si="12"/>
        <v>57947.025999999998</v>
      </c>
      <c r="Z27" s="88">
        <f t="shared" si="12"/>
        <v>23692</v>
      </c>
      <c r="AA27" s="88">
        <f t="shared" si="12"/>
        <v>23022</v>
      </c>
      <c r="AB27" s="88">
        <f t="shared" si="12"/>
        <v>702.6099999999999</v>
      </c>
      <c r="AC27" s="88">
        <f t="shared" si="12"/>
        <v>947312</v>
      </c>
      <c r="AD27" s="88">
        <f t="shared" si="12"/>
        <v>944548</v>
      </c>
      <c r="AE27" s="88">
        <f t="shared" si="12"/>
        <v>18722.555</v>
      </c>
      <c r="AF27" s="88">
        <f t="shared" si="12"/>
        <v>1997</v>
      </c>
      <c r="AG27" s="88">
        <f t="shared" si="12"/>
        <v>1632</v>
      </c>
      <c r="AH27" s="88">
        <f t="shared" si="12"/>
        <v>45.628</v>
      </c>
      <c r="AI27" s="88">
        <f t="shared" si="12"/>
        <v>0</v>
      </c>
      <c r="AJ27" s="88">
        <f t="shared" si="12"/>
        <v>0</v>
      </c>
      <c r="AK27" s="88">
        <f t="shared" si="12"/>
        <v>0</v>
      </c>
      <c r="AL27" s="88">
        <f t="shared" si="12"/>
        <v>448123</v>
      </c>
      <c r="AM27" s="88">
        <f t="shared" si="12"/>
        <v>444891</v>
      </c>
      <c r="AN27" s="88">
        <f t="shared" si="12"/>
        <v>7851.3680000000004</v>
      </c>
      <c r="AO27" s="88">
        <f t="shared" si="12"/>
        <v>391816</v>
      </c>
      <c r="AP27" s="88">
        <f t="shared" si="12"/>
        <v>386340</v>
      </c>
      <c r="AQ27" s="88">
        <f t="shared" si="12"/>
        <v>5035.5740000000005</v>
      </c>
      <c r="AR27" s="88">
        <f t="shared" si="12"/>
        <v>91596</v>
      </c>
      <c r="AS27" s="88">
        <f t="shared" si="12"/>
        <v>90382</v>
      </c>
      <c r="AT27" s="88">
        <f t="shared" si="12"/>
        <v>1866.548</v>
      </c>
      <c r="AU27" s="88">
        <f t="shared" si="12"/>
        <v>1790</v>
      </c>
      <c r="AV27" s="88">
        <f t="shared" si="12"/>
        <v>1790</v>
      </c>
      <c r="AW27" s="88">
        <f t="shared" si="12"/>
        <v>11.270000000000001</v>
      </c>
      <c r="AX27" s="88">
        <f t="shared" si="12"/>
        <v>116240</v>
      </c>
      <c r="AY27" s="88">
        <f t="shared" si="12"/>
        <v>116170</v>
      </c>
      <c r="AZ27" s="88">
        <f t="shared" si="12"/>
        <v>847.69200000000001</v>
      </c>
      <c r="BA27" s="89">
        <f t="shared" si="12"/>
        <v>2412.857</v>
      </c>
      <c r="BB27" s="81" t="s">
        <v>119</v>
      </c>
      <c r="BC27" s="64"/>
      <c r="BD27" s="64"/>
    </row>
    <row r="28" spans="1:56" x14ac:dyDescent="0.3">
      <c r="A28" s="63" t="s">
        <v>136</v>
      </c>
      <c r="B28" s="72" t="s">
        <v>122</v>
      </c>
      <c r="C28" s="71" t="s">
        <v>122</v>
      </c>
      <c r="D28" s="70" t="s">
        <v>122</v>
      </c>
      <c r="E28" s="71" t="s">
        <v>122</v>
      </c>
      <c r="F28" s="70" t="s">
        <v>122</v>
      </c>
      <c r="G28" s="71" t="s">
        <v>122</v>
      </c>
      <c r="H28" s="70" t="s">
        <v>122</v>
      </c>
      <c r="I28" s="71" t="s">
        <v>122</v>
      </c>
      <c r="J28" s="70" t="s">
        <v>122</v>
      </c>
      <c r="K28" s="71">
        <v>34930</v>
      </c>
      <c r="L28" s="70">
        <v>34206</v>
      </c>
      <c r="M28" s="71">
        <v>418.68200000000002</v>
      </c>
      <c r="N28" s="70">
        <v>3171970</v>
      </c>
      <c r="O28" s="71">
        <v>3169675</v>
      </c>
      <c r="P28" s="70">
        <v>63097.625999999997</v>
      </c>
      <c r="Q28" s="71">
        <v>434</v>
      </c>
      <c r="R28" s="70">
        <v>434</v>
      </c>
      <c r="S28" s="71">
        <v>18.059999999999999</v>
      </c>
      <c r="T28" s="70">
        <v>6044</v>
      </c>
      <c r="U28" s="71">
        <v>5036</v>
      </c>
      <c r="V28" s="70">
        <v>197.18299999999999</v>
      </c>
      <c r="W28" s="71">
        <v>614643</v>
      </c>
      <c r="X28" s="70">
        <v>613135</v>
      </c>
      <c r="Y28" s="71">
        <v>16760.717000000001</v>
      </c>
      <c r="Z28" s="70">
        <v>10462</v>
      </c>
      <c r="AA28" s="71">
        <v>9831</v>
      </c>
      <c r="AB28" s="70">
        <v>254.98</v>
      </c>
      <c r="AC28" s="71">
        <v>701486</v>
      </c>
      <c r="AD28" s="70">
        <v>699644</v>
      </c>
      <c r="AE28" s="71">
        <v>10046.663</v>
      </c>
      <c r="AF28" s="70">
        <v>859</v>
      </c>
      <c r="AG28" s="71">
        <v>592</v>
      </c>
      <c r="AH28" s="70">
        <v>18.988</v>
      </c>
      <c r="AI28" s="71" t="s">
        <v>122</v>
      </c>
      <c r="AJ28" s="70" t="s">
        <v>122</v>
      </c>
      <c r="AK28" s="71" t="s">
        <v>122</v>
      </c>
      <c r="AL28" s="70">
        <v>239969</v>
      </c>
      <c r="AM28" s="71">
        <v>237792</v>
      </c>
      <c r="AN28" s="70">
        <v>2225.5590000000002</v>
      </c>
      <c r="AO28" s="71">
        <v>175411</v>
      </c>
      <c r="AP28" s="70">
        <v>172846</v>
      </c>
      <c r="AQ28" s="71">
        <v>1774.2570000000001</v>
      </c>
      <c r="AR28" s="70">
        <v>22053</v>
      </c>
      <c r="AS28" s="71">
        <v>20942</v>
      </c>
      <c r="AT28" s="70">
        <v>418.67700000000002</v>
      </c>
      <c r="AU28" s="71">
        <v>1734</v>
      </c>
      <c r="AV28" s="70">
        <v>1734</v>
      </c>
      <c r="AW28" s="71">
        <v>10.39</v>
      </c>
      <c r="AX28" s="70">
        <v>115006</v>
      </c>
      <c r="AY28" s="71">
        <v>114936</v>
      </c>
      <c r="AZ28" s="70">
        <v>847.69200000000001</v>
      </c>
      <c r="BA28" s="84">
        <v>2410.25</v>
      </c>
      <c r="BB28" s="80" t="s">
        <v>21</v>
      </c>
      <c r="BC28" s="64"/>
      <c r="BD28" s="64"/>
    </row>
    <row r="29" spans="1:56" x14ac:dyDescent="0.3">
      <c r="A29" s="63" t="s">
        <v>137</v>
      </c>
      <c r="B29" s="72" t="s">
        <v>122</v>
      </c>
      <c r="C29" s="71" t="s">
        <v>122</v>
      </c>
      <c r="D29" s="70" t="s">
        <v>122</v>
      </c>
      <c r="E29" s="71" t="s">
        <v>122</v>
      </c>
      <c r="F29" s="70" t="s">
        <v>122</v>
      </c>
      <c r="G29" s="71" t="s">
        <v>122</v>
      </c>
      <c r="H29" s="70" t="s">
        <v>122</v>
      </c>
      <c r="I29" s="71" t="s">
        <v>122</v>
      </c>
      <c r="J29" s="70" t="s">
        <v>122</v>
      </c>
      <c r="K29" s="71">
        <v>3159</v>
      </c>
      <c r="L29" s="70">
        <v>2739</v>
      </c>
      <c r="M29" s="71">
        <v>58.973999999999997</v>
      </c>
      <c r="N29" s="70">
        <v>43509</v>
      </c>
      <c r="O29" s="71">
        <v>42121</v>
      </c>
      <c r="P29" s="70">
        <v>869.86199999999997</v>
      </c>
      <c r="Q29" s="71" t="s">
        <v>122</v>
      </c>
      <c r="R29" s="70" t="s">
        <v>122</v>
      </c>
      <c r="S29" s="71" t="s">
        <v>122</v>
      </c>
      <c r="T29" s="70">
        <v>61</v>
      </c>
      <c r="U29" s="71">
        <v>50</v>
      </c>
      <c r="V29" s="70">
        <v>0.89400000000000002</v>
      </c>
      <c r="W29" s="71">
        <v>1008</v>
      </c>
      <c r="X29" s="70">
        <v>945</v>
      </c>
      <c r="Y29" s="71">
        <v>17.079000000000001</v>
      </c>
      <c r="Z29" s="70">
        <v>371</v>
      </c>
      <c r="AA29" s="71">
        <v>332</v>
      </c>
      <c r="AB29" s="70">
        <v>5.0359999999999996</v>
      </c>
      <c r="AC29" s="71">
        <v>24409</v>
      </c>
      <c r="AD29" s="70">
        <v>23518</v>
      </c>
      <c r="AE29" s="71">
        <v>205.982</v>
      </c>
      <c r="AF29" s="70">
        <v>118</v>
      </c>
      <c r="AG29" s="71">
        <v>20</v>
      </c>
      <c r="AH29" s="70">
        <v>1.39</v>
      </c>
      <c r="AI29" s="71" t="s">
        <v>122</v>
      </c>
      <c r="AJ29" s="70" t="s">
        <v>122</v>
      </c>
      <c r="AK29" s="71" t="s">
        <v>122</v>
      </c>
      <c r="AL29" s="70">
        <v>43992</v>
      </c>
      <c r="AM29" s="71">
        <v>43205</v>
      </c>
      <c r="AN29" s="70">
        <v>443.35300000000001</v>
      </c>
      <c r="AO29" s="71">
        <v>85597</v>
      </c>
      <c r="AP29" s="70">
        <v>83718</v>
      </c>
      <c r="AQ29" s="71">
        <v>931.27099999999996</v>
      </c>
      <c r="AR29" s="70">
        <v>7784</v>
      </c>
      <c r="AS29" s="71">
        <v>7744</v>
      </c>
      <c r="AT29" s="70">
        <v>142.64099999999999</v>
      </c>
      <c r="AU29" s="71" t="s">
        <v>122</v>
      </c>
      <c r="AV29" s="70" t="s">
        <v>122</v>
      </c>
      <c r="AW29" s="71" t="s">
        <v>122</v>
      </c>
      <c r="AX29" s="70" t="s">
        <v>122</v>
      </c>
      <c r="AY29" s="71" t="s">
        <v>122</v>
      </c>
      <c r="AZ29" s="70" t="s">
        <v>122</v>
      </c>
      <c r="BA29" s="84" t="s">
        <v>122</v>
      </c>
      <c r="BB29" s="80" t="s">
        <v>22</v>
      </c>
      <c r="BC29" s="64"/>
      <c r="BD29" s="64"/>
    </row>
    <row r="30" spans="1:56" x14ac:dyDescent="0.3">
      <c r="A30" s="63" t="s">
        <v>138</v>
      </c>
      <c r="B30" s="72" t="s">
        <v>122</v>
      </c>
      <c r="C30" s="71" t="s">
        <v>122</v>
      </c>
      <c r="D30" s="70" t="s">
        <v>122</v>
      </c>
      <c r="E30" s="71" t="s">
        <v>122</v>
      </c>
      <c r="F30" s="70" t="s">
        <v>122</v>
      </c>
      <c r="G30" s="71" t="s">
        <v>122</v>
      </c>
      <c r="H30" s="70" t="s">
        <v>122</v>
      </c>
      <c r="I30" s="71" t="s">
        <v>122</v>
      </c>
      <c r="J30" s="70" t="s">
        <v>122</v>
      </c>
      <c r="K30" s="71">
        <v>10798</v>
      </c>
      <c r="L30" s="70">
        <v>10796</v>
      </c>
      <c r="M30" s="71">
        <v>247.227</v>
      </c>
      <c r="N30" s="70">
        <v>2537901</v>
      </c>
      <c r="O30" s="71">
        <v>2537814</v>
      </c>
      <c r="P30" s="70">
        <v>44701.544999999998</v>
      </c>
      <c r="Q30" s="71" t="s">
        <v>122</v>
      </c>
      <c r="R30" s="70" t="s">
        <v>122</v>
      </c>
      <c r="S30" s="71" t="s">
        <v>122</v>
      </c>
      <c r="T30" s="70">
        <v>20</v>
      </c>
      <c r="U30" s="71">
        <v>15</v>
      </c>
      <c r="V30" s="70">
        <v>0.08</v>
      </c>
      <c r="W30" s="71">
        <v>275</v>
      </c>
      <c r="X30" s="70">
        <v>270</v>
      </c>
      <c r="Y30" s="71">
        <v>12.95</v>
      </c>
      <c r="Z30" s="70">
        <v>211</v>
      </c>
      <c r="AA30" s="71">
        <v>211</v>
      </c>
      <c r="AB30" s="70">
        <v>4.9489999999999998</v>
      </c>
      <c r="AC30" s="71">
        <v>9248</v>
      </c>
      <c r="AD30" s="70">
        <v>9217</v>
      </c>
      <c r="AE30" s="71">
        <v>82.59</v>
      </c>
      <c r="AF30" s="70">
        <v>980</v>
      </c>
      <c r="AG30" s="71">
        <v>980</v>
      </c>
      <c r="AH30" s="70">
        <v>23.85</v>
      </c>
      <c r="AI30" s="71" t="s">
        <v>122</v>
      </c>
      <c r="AJ30" s="70" t="s">
        <v>122</v>
      </c>
      <c r="AK30" s="71" t="s">
        <v>122</v>
      </c>
      <c r="AL30" s="70">
        <v>28769</v>
      </c>
      <c r="AM30" s="71">
        <v>28501</v>
      </c>
      <c r="AN30" s="70">
        <v>218.65600000000001</v>
      </c>
      <c r="AO30" s="71">
        <v>54925</v>
      </c>
      <c r="AP30" s="70">
        <v>53893</v>
      </c>
      <c r="AQ30" s="71">
        <v>635.79</v>
      </c>
      <c r="AR30" s="70">
        <v>11779</v>
      </c>
      <c r="AS30" s="71">
        <v>11716</v>
      </c>
      <c r="AT30" s="70">
        <v>169.7</v>
      </c>
      <c r="AU30" s="71" t="s">
        <v>122</v>
      </c>
      <c r="AV30" s="70" t="s">
        <v>122</v>
      </c>
      <c r="AW30" s="71" t="s">
        <v>122</v>
      </c>
      <c r="AX30" s="70">
        <v>1234</v>
      </c>
      <c r="AY30" s="71">
        <v>1234</v>
      </c>
      <c r="AZ30" s="70" t="s">
        <v>122</v>
      </c>
      <c r="BA30" s="84">
        <v>2.6070000000000002</v>
      </c>
      <c r="BB30" s="80" t="s">
        <v>23</v>
      </c>
      <c r="BC30" s="64"/>
      <c r="BD30" s="64"/>
    </row>
    <row r="31" spans="1:56" x14ac:dyDescent="0.3">
      <c r="A31" s="63" t="s">
        <v>139</v>
      </c>
      <c r="B31" s="72" t="s">
        <v>122</v>
      </c>
      <c r="C31" s="71" t="s">
        <v>122</v>
      </c>
      <c r="D31" s="70" t="s">
        <v>122</v>
      </c>
      <c r="E31" s="71" t="s">
        <v>122</v>
      </c>
      <c r="F31" s="70" t="s">
        <v>122</v>
      </c>
      <c r="G31" s="71" t="s">
        <v>122</v>
      </c>
      <c r="H31" s="70" t="s">
        <v>122</v>
      </c>
      <c r="I31" s="71" t="s">
        <v>122</v>
      </c>
      <c r="J31" s="70" t="s">
        <v>122</v>
      </c>
      <c r="K31" s="71">
        <v>54897</v>
      </c>
      <c r="L31" s="70">
        <v>54897</v>
      </c>
      <c r="M31" s="71">
        <v>1638.165</v>
      </c>
      <c r="N31" s="70">
        <v>385399</v>
      </c>
      <c r="O31" s="71">
        <v>385399</v>
      </c>
      <c r="P31" s="70">
        <v>12891.764999999999</v>
      </c>
      <c r="Q31" s="71">
        <v>45</v>
      </c>
      <c r="R31" s="70">
        <v>45</v>
      </c>
      <c r="S31" s="71">
        <v>2.25</v>
      </c>
      <c r="T31" s="70">
        <v>314</v>
      </c>
      <c r="U31" s="71">
        <v>314</v>
      </c>
      <c r="V31" s="70">
        <v>12.96</v>
      </c>
      <c r="W31" s="71">
        <v>959876</v>
      </c>
      <c r="X31" s="70">
        <v>959876</v>
      </c>
      <c r="Y31" s="71">
        <v>41156.28</v>
      </c>
      <c r="Z31" s="70">
        <v>12648</v>
      </c>
      <c r="AA31" s="71">
        <v>12648</v>
      </c>
      <c r="AB31" s="70">
        <v>437.64499999999998</v>
      </c>
      <c r="AC31" s="71">
        <v>212169</v>
      </c>
      <c r="AD31" s="70">
        <v>212169</v>
      </c>
      <c r="AE31" s="71">
        <v>8387.32</v>
      </c>
      <c r="AF31" s="70">
        <v>40</v>
      </c>
      <c r="AG31" s="71">
        <v>40</v>
      </c>
      <c r="AH31" s="70">
        <v>1.4</v>
      </c>
      <c r="AI31" s="71" t="s">
        <v>122</v>
      </c>
      <c r="AJ31" s="70" t="s">
        <v>122</v>
      </c>
      <c r="AK31" s="71" t="s">
        <v>122</v>
      </c>
      <c r="AL31" s="70">
        <v>135393</v>
      </c>
      <c r="AM31" s="71">
        <v>135393</v>
      </c>
      <c r="AN31" s="70">
        <v>4963.8</v>
      </c>
      <c r="AO31" s="71">
        <v>75883</v>
      </c>
      <c r="AP31" s="70">
        <v>75883</v>
      </c>
      <c r="AQ31" s="71">
        <v>1694.2560000000001</v>
      </c>
      <c r="AR31" s="70">
        <v>49980</v>
      </c>
      <c r="AS31" s="71">
        <v>49980</v>
      </c>
      <c r="AT31" s="70">
        <v>1135.53</v>
      </c>
      <c r="AU31" s="71">
        <v>56</v>
      </c>
      <c r="AV31" s="70">
        <v>56</v>
      </c>
      <c r="AW31" s="71">
        <v>0.88</v>
      </c>
      <c r="AX31" s="70" t="s">
        <v>122</v>
      </c>
      <c r="AY31" s="71" t="s">
        <v>122</v>
      </c>
      <c r="AZ31" s="70" t="s">
        <v>122</v>
      </c>
      <c r="BA31" s="84" t="s">
        <v>122</v>
      </c>
      <c r="BB31" s="80" t="s">
        <v>24</v>
      </c>
      <c r="BC31" s="64"/>
      <c r="BD31" s="64"/>
    </row>
    <row r="32" spans="1:56" x14ac:dyDescent="0.3">
      <c r="A32" s="116" t="s">
        <v>25</v>
      </c>
      <c r="B32" s="117">
        <f t="shared" ref="B32:J32" si="13">SUM(B34:B37)</f>
        <v>79876</v>
      </c>
      <c r="C32" s="90">
        <f t="shared" si="13"/>
        <v>73376</v>
      </c>
      <c r="D32" s="90">
        <f t="shared" si="13"/>
        <v>2934.9059999999999</v>
      </c>
      <c r="E32" s="90">
        <f t="shared" si="13"/>
        <v>1314270</v>
      </c>
      <c r="F32" s="90">
        <f t="shared" si="13"/>
        <v>1305474</v>
      </c>
      <c r="G32" s="90">
        <f>SUM(G34:G37)</f>
        <v>56167.614000000009</v>
      </c>
      <c r="H32" s="90">
        <f t="shared" si="13"/>
        <v>1699500</v>
      </c>
      <c r="I32" s="90">
        <f t="shared" si="13"/>
        <v>1692820</v>
      </c>
      <c r="J32" s="90">
        <f t="shared" si="13"/>
        <v>87668.45199999999</v>
      </c>
      <c r="K32" s="90">
        <f>SUM(K34:K37)</f>
        <v>11089</v>
      </c>
      <c r="L32" s="90">
        <f>SUM(L34:L37)</f>
        <v>5760</v>
      </c>
      <c r="M32" s="90">
        <f>SUM(M34:M37)</f>
        <v>265.34199999999998</v>
      </c>
      <c r="N32" s="90">
        <f>SUM(N34:N37)</f>
        <v>10466</v>
      </c>
      <c r="O32" s="90">
        <f t="shared" ref="O32:AE32" si="14">SUM(O34:O37)</f>
        <v>6431</v>
      </c>
      <c r="P32" s="90">
        <f t="shared" si="14"/>
        <v>308.54699999999997</v>
      </c>
      <c r="Q32" s="90">
        <f t="shared" ref="Q32:V32" si="15">SUM(Q34:Q37)</f>
        <v>1614123</v>
      </c>
      <c r="R32" s="90">
        <f t="shared" si="15"/>
        <v>1613988</v>
      </c>
      <c r="S32" s="90">
        <f t="shared" si="15"/>
        <v>95753.042000000001</v>
      </c>
      <c r="T32" s="90">
        <f t="shared" si="15"/>
        <v>31918</v>
      </c>
      <c r="U32" s="90">
        <f t="shared" si="15"/>
        <v>27758</v>
      </c>
      <c r="V32" s="90">
        <f t="shared" si="15"/>
        <v>815.41699999999992</v>
      </c>
      <c r="W32" s="90">
        <f t="shared" si="14"/>
        <v>11837</v>
      </c>
      <c r="X32" s="90">
        <f t="shared" si="14"/>
        <v>9146</v>
      </c>
      <c r="Y32" s="90">
        <f t="shared" si="14"/>
        <v>368.26300000000003</v>
      </c>
      <c r="Z32" s="96">
        <f t="shared" si="14"/>
        <v>3562</v>
      </c>
      <c r="AA32" s="90">
        <f t="shared" si="14"/>
        <v>2679</v>
      </c>
      <c r="AB32" s="90">
        <f t="shared" si="14"/>
        <v>93.126000000000005</v>
      </c>
      <c r="AC32" s="90">
        <f t="shared" si="14"/>
        <v>9332</v>
      </c>
      <c r="AD32" s="90">
        <f t="shared" si="14"/>
        <v>4329</v>
      </c>
      <c r="AE32" s="90">
        <f t="shared" si="14"/>
        <v>215.14100000000002</v>
      </c>
      <c r="AF32" s="90">
        <f>SUM(AF34:AF37)</f>
        <v>13114</v>
      </c>
      <c r="AG32" s="90">
        <f t="shared" ref="AG32:AQ32" si="16">SUM(AG34:AG37)</f>
        <v>2652</v>
      </c>
      <c r="AH32" s="90">
        <f t="shared" si="16"/>
        <v>388.38100000000003</v>
      </c>
      <c r="AI32" s="90">
        <f t="shared" si="16"/>
        <v>72</v>
      </c>
      <c r="AJ32" s="90">
        <f t="shared" si="16"/>
        <v>5</v>
      </c>
      <c r="AK32" s="90">
        <f t="shared" si="16"/>
        <v>1.6400000000000001</v>
      </c>
      <c r="AL32" s="90">
        <f t="shared" si="16"/>
        <v>28246</v>
      </c>
      <c r="AM32" s="90">
        <f t="shared" si="16"/>
        <v>22779</v>
      </c>
      <c r="AN32" s="90">
        <f t="shared" si="16"/>
        <v>437.505</v>
      </c>
      <c r="AO32" s="90">
        <f t="shared" si="16"/>
        <v>53267</v>
      </c>
      <c r="AP32" s="90">
        <f t="shared" si="16"/>
        <v>42496</v>
      </c>
      <c r="AQ32" s="90">
        <f t="shared" si="16"/>
        <v>918.73599999999988</v>
      </c>
      <c r="AR32" s="90">
        <f>SUM(AR34:AR37)</f>
        <v>25151</v>
      </c>
      <c r="AS32" s="90">
        <f t="shared" ref="AS32:BA32" si="17">SUM(AS34:AS37)</f>
        <v>20977</v>
      </c>
      <c r="AT32" s="90">
        <f t="shared" si="17"/>
        <v>453.38600000000002</v>
      </c>
      <c r="AU32" s="90">
        <f t="shared" si="17"/>
        <v>0</v>
      </c>
      <c r="AV32" s="90">
        <f t="shared" si="17"/>
        <v>0</v>
      </c>
      <c r="AW32" s="90">
        <f t="shared" si="17"/>
        <v>0</v>
      </c>
      <c r="AX32" s="90">
        <f t="shared" si="17"/>
        <v>2420648</v>
      </c>
      <c r="AY32" s="90">
        <f t="shared" si="17"/>
        <v>2389341</v>
      </c>
      <c r="AZ32" s="90">
        <f t="shared" si="17"/>
        <v>24601.848999999998</v>
      </c>
      <c r="BA32" s="91">
        <f t="shared" si="17"/>
        <v>48467.104000000007</v>
      </c>
      <c r="BB32" s="124" t="s">
        <v>26</v>
      </c>
      <c r="BC32" s="125"/>
      <c r="BD32" s="125"/>
    </row>
    <row r="33" spans="1:56" x14ac:dyDescent="0.3">
      <c r="A33" s="116"/>
      <c r="B33" s="117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6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1"/>
      <c r="BB33" s="124"/>
      <c r="BC33" s="125"/>
      <c r="BD33" s="125"/>
    </row>
    <row r="34" spans="1:56" x14ac:dyDescent="0.3">
      <c r="A34" s="63" t="s">
        <v>140</v>
      </c>
      <c r="B34" s="72" t="s">
        <v>122</v>
      </c>
      <c r="C34" s="71" t="s">
        <v>122</v>
      </c>
      <c r="D34" s="70" t="s">
        <v>122</v>
      </c>
      <c r="E34" s="71" t="s">
        <v>122</v>
      </c>
      <c r="F34" s="70" t="s">
        <v>122</v>
      </c>
      <c r="G34" s="71" t="s">
        <v>122</v>
      </c>
      <c r="H34" s="70" t="s">
        <v>122</v>
      </c>
      <c r="I34" s="71" t="s">
        <v>122</v>
      </c>
      <c r="J34" s="70" t="s">
        <v>122</v>
      </c>
      <c r="K34" s="71">
        <v>680</v>
      </c>
      <c r="L34" s="70">
        <v>680</v>
      </c>
      <c r="M34" s="71">
        <v>12.298</v>
      </c>
      <c r="N34" s="70">
        <v>1659</v>
      </c>
      <c r="O34" s="71">
        <v>1609</v>
      </c>
      <c r="P34" s="70">
        <v>48.58</v>
      </c>
      <c r="Q34" s="71">
        <v>174</v>
      </c>
      <c r="R34" s="70">
        <v>174</v>
      </c>
      <c r="S34" s="71">
        <v>8.6</v>
      </c>
      <c r="T34" s="70">
        <v>110</v>
      </c>
      <c r="U34" s="71">
        <v>110</v>
      </c>
      <c r="V34" s="70">
        <v>5.65</v>
      </c>
      <c r="W34" s="71">
        <v>2370</v>
      </c>
      <c r="X34" s="70">
        <v>2370</v>
      </c>
      <c r="Y34" s="71">
        <v>109.4</v>
      </c>
      <c r="Z34" s="70">
        <v>45</v>
      </c>
      <c r="AA34" s="71">
        <v>45</v>
      </c>
      <c r="AB34" s="70">
        <v>1.85</v>
      </c>
      <c r="AC34" s="71">
        <v>921</v>
      </c>
      <c r="AD34" s="70">
        <v>819</v>
      </c>
      <c r="AE34" s="71">
        <v>28.905999999999999</v>
      </c>
      <c r="AF34" s="70">
        <v>30</v>
      </c>
      <c r="AG34" s="71">
        <v>27</v>
      </c>
      <c r="AH34" s="70">
        <v>0.56000000000000005</v>
      </c>
      <c r="AI34" s="71" t="s">
        <v>122</v>
      </c>
      <c r="AJ34" s="70" t="s">
        <v>122</v>
      </c>
      <c r="AK34" s="71" t="s">
        <v>122</v>
      </c>
      <c r="AL34" s="70">
        <v>2673</v>
      </c>
      <c r="AM34" s="71">
        <v>2573</v>
      </c>
      <c r="AN34" s="70">
        <v>40.130000000000003</v>
      </c>
      <c r="AO34" s="71">
        <v>18498</v>
      </c>
      <c r="AP34" s="70">
        <v>18335</v>
      </c>
      <c r="AQ34" s="71">
        <v>307.46699999999998</v>
      </c>
      <c r="AR34" s="70">
        <v>546</v>
      </c>
      <c r="AS34" s="71">
        <v>476</v>
      </c>
      <c r="AT34" s="70">
        <v>18.61</v>
      </c>
      <c r="AU34" s="71" t="s">
        <v>122</v>
      </c>
      <c r="AV34" s="70" t="s">
        <v>122</v>
      </c>
      <c r="AW34" s="71" t="s">
        <v>122</v>
      </c>
      <c r="AX34" s="70">
        <v>30886</v>
      </c>
      <c r="AY34" s="71">
        <v>30782</v>
      </c>
      <c r="AZ34" s="70">
        <v>13.07</v>
      </c>
      <c r="BA34" s="84">
        <v>835.64</v>
      </c>
      <c r="BB34" s="80" t="s">
        <v>27</v>
      </c>
      <c r="BC34" s="64"/>
      <c r="BD34" s="64"/>
    </row>
    <row r="35" spans="1:56" x14ac:dyDescent="0.3">
      <c r="A35" s="63" t="s">
        <v>141</v>
      </c>
      <c r="B35" s="72">
        <v>37896</v>
      </c>
      <c r="C35" s="71">
        <v>35104</v>
      </c>
      <c r="D35" s="70">
        <v>1386.992</v>
      </c>
      <c r="E35" s="71">
        <v>1094511</v>
      </c>
      <c r="F35" s="70">
        <v>1092371</v>
      </c>
      <c r="G35" s="71">
        <v>45487.16</v>
      </c>
      <c r="H35" s="70">
        <v>849008</v>
      </c>
      <c r="I35" s="71">
        <v>846403</v>
      </c>
      <c r="J35" s="70">
        <v>32821.163999999997</v>
      </c>
      <c r="K35" s="71">
        <v>5139</v>
      </c>
      <c r="L35" s="70">
        <v>1723</v>
      </c>
      <c r="M35" s="71">
        <v>134.864</v>
      </c>
      <c r="N35" s="70">
        <v>4421</v>
      </c>
      <c r="O35" s="71">
        <v>1707</v>
      </c>
      <c r="P35" s="70">
        <v>109.44499999999999</v>
      </c>
      <c r="Q35" s="71">
        <v>1412620</v>
      </c>
      <c r="R35" s="70">
        <v>1412620</v>
      </c>
      <c r="S35" s="71">
        <v>87833.104999999996</v>
      </c>
      <c r="T35" s="70">
        <v>8978</v>
      </c>
      <c r="U35" s="71">
        <v>6336</v>
      </c>
      <c r="V35" s="70">
        <v>255.40899999999999</v>
      </c>
      <c r="W35" s="71">
        <v>3566</v>
      </c>
      <c r="X35" s="70">
        <v>2175</v>
      </c>
      <c r="Y35" s="71">
        <v>112.18299999999999</v>
      </c>
      <c r="Z35" s="70">
        <v>2507</v>
      </c>
      <c r="AA35" s="71">
        <v>1968</v>
      </c>
      <c r="AB35" s="70">
        <v>68.176000000000002</v>
      </c>
      <c r="AC35" s="71">
        <v>5541</v>
      </c>
      <c r="AD35" s="70">
        <v>1699</v>
      </c>
      <c r="AE35" s="71">
        <v>129.72499999999999</v>
      </c>
      <c r="AF35" s="70">
        <v>7559</v>
      </c>
      <c r="AG35" s="71">
        <v>590</v>
      </c>
      <c r="AH35" s="70">
        <v>230.08199999999999</v>
      </c>
      <c r="AI35" s="71">
        <v>55</v>
      </c>
      <c r="AJ35" s="70">
        <v>5</v>
      </c>
      <c r="AK35" s="71">
        <v>1.54</v>
      </c>
      <c r="AL35" s="70">
        <v>5989</v>
      </c>
      <c r="AM35" s="71">
        <v>2936</v>
      </c>
      <c r="AN35" s="70">
        <v>117.06399999999999</v>
      </c>
      <c r="AO35" s="71">
        <v>17397</v>
      </c>
      <c r="AP35" s="70">
        <v>9266</v>
      </c>
      <c r="AQ35" s="71">
        <v>292.58300000000003</v>
      </c>
      <c r="AR35" s="70">
        <v>22132</v>
      </c>
      <c r="AS35" s="71">
        <v>18156</v>
      </c>
      <c r="AT35" s="70">
        <v>399.51600000000002</v>
      </c>
      <c r="AU35" s="71" t="s">
        <v>122</v>
      </c>
      <c r="AV35" s="70" t="s">
        <v>122</v>
      </c>
      <c r="AW35" s="71" t="s">
        <v>122</v>
      </c>
      <c r="AX35" s="70">
        <v>777545</v>
      </c>
      <c r="AY35" s="71">
        <v>776461</v>
      </c>
      <c r="AZ35" s="70">
        <v>22946.656999999999</v>
      </c>
      <c r="BA35" s="84">
        <v>6761.4679999999998</v>
      </c>
      <c r="BB35" s="80" t="s">
        <v>28</v>
      </c>
      <c r="BC35" s="64"/>
      <c r="BD35" s="64"/>
    </row>
    <row r="36" spans="1:56" x14ac:dyDescent="0.3">
      <c r="A36" s="63" t="s">
        <v>142</v>
      </c>
      <c r="B36" s="72">
        <v>13515</v>
      </c>
      <c r="C36" s="71">
        <v>11061</v>
      </c>
      <c r="D36" s="70">
        <v>480.82</v>
      </c>
      <c r="E36" s="71">
        <v>126278</v>
      </c>
      <c r="F36" s="70">
        <v>123984</v>
      </c>
      <c r="G36" s="71">
        <v>6961.6940000000004</v>
      </c>
      <c r="H36" s="70">
        <v>766840</v>
      </c>
      <c r="I36" s="71">
        <v>764735</v>
      </c>
      <c r="J36" s="70">
        <v>53066.998</v>
      </c>
      <c r="K36" s="71">
        <v>3411</v>
      </c>
      <c r="L36" s="70">
        <v>1715</v>
      </c>
      <c r="M36" s="71">
        <v>68.63</v>
      </c>
      <c r="N36" s="70">
        <v>3450</v>
      </c>
      <c r="O36" s="71">
        <v>2221</v>
      </c>
      <c r="P36" s="70">
        <v>115.33</v>
      </c>
      <c r="Q36" s="71">
        <v>104669</v>
      </c>
      <c r="R36" s="70">
        <v>104534</v>
      </c>
      <c r="S36" s="71">
        <v>3909.5259999999998</v>
      </c>
      <c r="T36" s="70">
        <v>14458</v>
      </c>
      <c r="U36" s="71">
        <v>13008</v>
      </c>
      <c r="V36" s="70">
        <v>408.29899999999998</v>
      </c>
      <c r="W36" s="71">
        <v>3457</v>
      </c>
      <c r="X36" s="70">
        <v>2220</v>
      </c>
      <c r="Y36" s="71">
        <v>80.954999999999998</v>
      </c>
      <c r="Z36" s="70">
        <v>774</v>
      </c>
      <c r="AA36" s="71">
        <v>480</v>
      </c>
      <c r="AB36" s="70">
        <v>15.62</v>
      </c>
      <c r="AC36" s="71">
        <v>2453</v>
      </c>
      <c r="AD36" s="70">
        <v>1435</v>
      </c>
      <c r="AE36" s="71">
        <v>48.46</v>
      </c>
      <c r="AF36" s="70">
        <v>3946</v>
      </c>
      <c r="AG36" s="71">
        <v>630</v>
      </c>
      <c r="AH36" s="70">
        <v>110.67</v>
      </c>
      <c r="AI36" s="71">
        <v>17</v>
      </c>
      <c r="AJ36" s="70" t="s">
        <v>122</v>
      </c>
      <c r="AK36" s="71">
        <v>0.1</v>
      </c>
      <c r="AL36" s="70">
        <v>11128</v>
      </c>
      <c r="AM36" s="71">
        <v>9091</v>
      </c>
      <c r="AN36" s="70">
        <v>115.56</v>
      </c>
      <c r="AO36" s="71">
        <v>8581</v>
      </c>
      <c r="AP36" s="70">
        <v>6448</v>
      </c>
      <c r="AQ36" s="71">
        <v>150.82</v>
      </c>
      <c r="AR36" s="70">
        <v>2473</v>
      </c>
      <c r="AS36" s="71">
        <v>2345</v>
      </c>
      <c r="AT36" s="70">
        <v>35.26</v>
      </c>
      <c r="AU36" s="71" t="s">
        <v>122</v>
      </c>
      <c r="AV36" s="70" t="s">
        <v>122</v>
      </c>
      <c r="AW36" s="71" t="s">
        <v>122</v>
      </c>
      <c r="AX36" s="70">
        <v>735758</v>
      </c>
      <c r="AY36" s="71">
        <v>730493</v>
      </c>
      <c r="AZ36" s="70">
        <v>468.91</v>
      </c>
      <c r="BA36" s="84">
        <v>21668.685000000001</v>
      </c>
      <c r="BB36" s="80" t="s">
        <v>29</v>
      </c>
      <c r="BC36" s="64"/>
      <c r="BD36" s="64"/>
    </row>
    <row r="37" spans="1:56" x14ac:dyDescent="0.3">
      <c r="A37" s="63" t="s">
        <v>143</v>
      </c>
      <c r="B37" s="72">
        <v>28465</v>
      </c>
      <c r="C37" s="71">
        <v>27211</v>
      </c>
      <c r="D37" s="70">
        <v>1067.0940000000001</v>
      </c>
      <c r="E37" s="71">
        <v>93481</v>
      </c>
      <c r="F37" s="70">
        <v>89119</v>
      </c>
      <c r="G37" s="71">
        <v>3718.76</v>
      </c>
      <c r="H37" s="70">
        <v>83652</v>
      </c>
      <c r="I37" s="71">
        <v>81682</v>
      </c>
      <c r="J37" s="70">
        <v>1780.29</v>
      </c>
      <c r="K37" s="71">
        <v>1859</v>
      </c>
      <c r="L37" s="70">
        <v>1642</v>
      </c>
      <c r="M37" s="71">
        <v>49.55</v>
      </c>
      <c r="N37" s="70">
        <v>936</v>
      </c>
      <c r="O37" s="71">
        <v>894</v>
      </c>
      <c r="P37" s="70">
        <v>35.192</v>
      </c>
      <c r="Q37" s="71">
        <v>96660</v>
      </c>
      <c r="R37" s="70">
        <v>96660</v>
      </c>
      <c r="S37" s="71">
        <v>4001.8110000000001</v>
      </c>
      <c r="T37" s="70">
        <v>8372</v>
      </c>
      <c r="U37" s="71">
        <v>8304</v>
      </c>
      <c r="V37" s="70">
        <v>146.059</v>
      </c>
      <c r="W37" s="71">
        <v>2444</v>
      </c>
      <c r="X37" s="70">
        <v>2381</v>
      </c>
      <c r="Y37" s="71">
        <v>65.724999999999994</v>
      </c>
      <c r="Z37" s="70">
        <v>236</v>
      </c>
      <c r="AA37" s="71">
        <v>186</v>
      </c>
      <c r="AB37" s="70">
        <v>7.48</v>
      </c>
      <c r="AC37" s="71">
        <v>417</v>
      </c>
      <c r="AD37" s="70">
        <v>376</v>
      </c>
      <c r="AE37" s="71">
        <v>8.0500000000000007</v>
      </c>
      <c r="AF37" s="70">
        <v>1579</v>
      </c>
      <c r="AG37" s="71">
        <v>1405</v>
      </c>
      <c r="AH37" s="70">
        <v>47.069000000000003</v>
      </c>
      <c r="AI37" s="71" t="s">
        <v>122</v>
      </c>
      <c r="AJ37" s="70" t="s">
        <v>122</v>
      </c>
      <c r="AK37" s="71" t="s">
        <v>122</v>
      </c>
      <c r="AL37" s="70">
        <v>8456</v>
      </c>
      <c r="AM37" s="71">
        <v>8179</v>
      </c>
      <c r="AN37" s="70">
        <v>164.751</v>
      </c>
      <c r="AO37" s="71">
        <v>8791</v>
      </c>
      <c r="AP37" s="70">
        <v>8447</v>
      </c>
      <c r="AQ37" s="71">
        <v>167.86600000000001</v>
      </c>
      <c r="AR37" s="70" t="s">
        <v>122</v>
      </c>
      <c r="AS37" s="71" t="s">
        <v>122</v>
      </c>
      <c r="AT37" s="70" t="s">
        <v>122</v>
      </c>
      <c r="AU37" s="71" t="s">
        <v>122</v>
      </c>
      <c r="AV37" s="70" t="s">
        <v>122</v>
      </c>
      <c r="AW37" s="71" t="s">
        <v>122</v>
      </c>
      <c r="AX37" s="70">
        <v>876459</v>
      </c>
      <c r="AY37" s="71">
        <v>851605</v>
      </c>
      <c r="AZ37" s="70">
        <v>1173.212</v>
      </c>
      <c r="BA37" s="84">
        <v>19201.311000000002</v>
      </c>
      <c r="BB37" s="80" t="s">
        <v>30</v>
      </c>
      <c r="BC37" s="64"/>
      <c r="BD37" s="64"/>
    </row>
    <row r="38" spans="1:56" x14ac:dyDescent="0.3">
      <c r="A38" s="116" t="s">
        <v>31</v>
      </c>
      <c r="B38" s="117">
        <f t="shared" ref="B38:J38" si="18">SUM(B40:B44)</f>
        <v>2550</v>
      </c>
      <c r="C38" s="90">
        <f t="shared" si="18"/>
        <v>2459</v>
      </c>
      <c r="D38" s="90">
        <f t="shared" si="18"/>
        <v>107.06699999999999</v>
      </c>
      <c r="E38" s="90">
        <f t="shared" si="18"/>
        <v>3618</v>
      </c>
      <c r="F38" s="90">
        <f t="shared" si="18"/>
        <v>3568</v>
      </c>
      <c r="G38" s="90">
        <f>SUM(G40:G44)</f>
        <v>178.11</v>
      </c>
      <c r="H38" s="90">
        <f t="shared" si="18"/>
        <v>2176</v>
      </c>
      <c r="I38" s="90">
        <f t="shared" si="18"/>
        <v>2102</v>
      </c>
      <c r="J38" s="90">
        <f t="shared" si="18"/>
        <v>85.26</v>
      </c>
      <c r="K38" s="90">
        <f>SUM(K40:K44)</f>
        <v>2030540</v>
      </c>
      <c r="L38" s="90">
        <f>SUM(L40:L44)</f>
        <v>2021592</v>
      </c>
      <c r="M38" s="90">
        <f>SUM(M40:M44)</f>
        <v>58137.090999999993</v>
      </c>
      <c r="N38" s="90">
        <f>SUM(N40:N44)</f>
        <v>3947326</v>
      </c>
      <c r="O38" s="90">
        <f t="shared" ref="O38:AE38" si="19">SUM(O40:O44)</f>
        <v>3940448</v>
      </c>
      <c r="P38" s="90">
        <f t="shared" si="19"/>
        <v>121025.65700000001</v>
      </c>
      <c r="Q38" s="90">
        <f t="shared" ref="Q38:V38" si="20">SUM(Q40:Q44)</f>
        <v>509687</v>
      </c>
      <c r="R38" s="90">
        <f t="shared" si="20"/>
        <v>509331</v>
      </c>
      <c r="S38" s="90">
        <f t="shared" si="20"/>
        <v>13169.752999999999</v>
      </c>
      <c r="T38" s="90">
        <f t="shared" si="20"/>
        <v>179145</v>
      </c>
      <c r="U38" s="90">
        <f t="shared" si="20"/>
        <v>175951</v>
      </c>
      <c r="V38" s="90">
        <f t="shared" si="20"/>
        <v>5865.4170000000004</v>
      </c>
      <c r="W38" s="90">
        <f t="shared" si="19"/>
        <v>1395762</v>
      </c>
      <c r="X38" s="90">
        <f t="shared" si="19"/>
        <v>1393748</v>
      </c>
      <c r="Y38" s="90">
        <f t="shared" si="19"/>
        <v>40142.966</v>
      </c>
      <c r="Z38" s="96">
        <f t="shared" si="19"/>
        <v>443445</v>
      </c>
      <c r="AA38" s="90">
        <f t="shared" si="19"/>
        <v>442615</v>
      </c>
      <c r="AB38" s="90">
        <f t="shared" si="19"/>
        <v>14287.1</v>
      </c>
      <c r="AC38" s="90">
        <f t="shared" si="19"/>
        <v>635336</v>
      </c>
      <c r="AD38" s="90">
        <f t="shared" si="19"/>
        <v>633380</v>
      </c>
      <c r="AE38" s="90">
        <f t="shared" si="19"/>
        <v>9033.5569999999989</v>
      </c>
      <c r="AF38" s="90">
        <f>SUM(AF40:AF44)</f>
        <v>15834</v>
      </c>
      <c r="AG38" s="90">
        <f t="shared" ref="AG38:AQ38" si="21">SUM(AG40:AG44)</f>
        <v>15374</v>
      </c>
      <c r="AH38" s="90">
        <f t="shared" si="21"/>
        <v>720.25500000000011</v>
      </c>
      <c r="AI38" s="90">
        <f t="shared" si="21"/>
        <v>3967</v>
      </c>
      <c r="AJ38" s="90">
        <f t="shared" si="21"/>
        <v>3794</v>
      </c>
      <c r="AK38" s="90">
        <f t="shared" si="21"/>
        <v>174.245</v>
      </c>
      <c r="AL38" s="90">
        <f t="shared" si="21"/>
        <v>3149912</v>
      </c>
      <c r="AM38" s="90">
        <f t="shared" si="21"/>
        <v>3143367</v>
      </c>
      <c r="AN38" s="90">
        <f t="shared" si="21"/>
        <v>36772.207000000002</v>
      </c>
      <c r="AO38" s="90">
        <f t="shared" si="21"/>
        <v>613570</v>
      </c>
      <c r="AP38" s="90">
        <f t="shared" si="21"/>
        <v>608867</v>
      </c>
      <c r="AQ38" s="90">
        <f t="shared" si="21"/>
        <v>16148.170999999998</v>
      </c>
      <c r="AR38" s="90">
        <f>SUM(AR40:AR44)</f>
        <v>596280</v>
      </c>
      <c r="AS38" s="90">
        <f t="shared" ref="AS38:BA38" si="22">SUM(AS40:AS44)</f>
        <v>593705</v>
      </c>
      <c r="AT38" s="90">
        <f t="shared" si="22"/>
        <v>19140.357</v>
      </c>
      <c r="AU38" s="90">
        <f t="shared" si="22"/>
        <v>483523</v>
      </c>
      <c r="AV38" s="90">
        <f t="shared" si="22"/>
        <v>483267</v>
      </c>
      <c r="AW38" s="90">
        <f t="shared" si="22"/>
        <v>4718.9579999999996</v>
      </c>
      <c r="AX38" s="90">
        <f t="shared" si="22"/>
        <v>6108758</v>
      </c>
      <c r="AY38" s="90">
        <f t="shared" si="22"/>
        <v>6082251</v>
      </c>
      <c r="AZ38" s="90">
        <f t="shared" si="22"/>
        <v>56435.526000000005</v>
      </c>
      <c r="BA38" s="91">
        <f t="shared" si="22"/>
        <v>110251.42700000003</v>
      </c>
      <c r="BB38" s="124" t="s">
        <v>32</v>
      </c>
      <c r="BC38" s="125"/>
      <c r="BD38" s="125"/>
    </row>
    <row r="39" spans="1:56" x14ac:dyDescent="0.3">
      <c r="A39" s="116"/>
      <c r="B39" s="117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6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1"/>
      <c r="BB39" s="124"/>
      <c r="BC39" s="125"/>
      <c r="BD39" s="125"/>
    </row>
    <row r="40" spans="1:56" x14ac:dyDescent="0.3">
      <c r="A40" s="63" t="s">
        <v>144</v>
      </c>
      <c r="B40" s="72">
        <v>70</v>
      </c>
      <c r="C40" s="71">
        <v>70</v>
      </c>
      <c r="D40" s="70">
        <v>0.5</v>
      </c>
      <c r="E40" s="71">
        <v>20</v>
      </c>
      <c r="F40" s="70">
        <v>20</v>
      </c>
      <c r="G40" s="71">
        <v>0.5</v>
      </c>
      <c r="H40" s="70" t="s">
        <v>122</v>
      </c>
      <c r="I40" s="71" t="s">
        <v>122</v>
      </c>
      <c r="J40" s="70" t="s">
        <v>122</v>
      </c>
      <c r="K40" s="71">
        <v>1925404</v>
      </c>
      <c r="L40" s="70">
        <v>1925312</v>
      </c>
      <c r="M40" s="71">
        <v>54681.368999999999</v>
      </c>
      <c r="N40" s="70">
        <v>2775747</v>
      </c>
      <c r="O40" s="71">
        <v>2775705</v>
      </c>
      <c r="P40" s="70">
        <v>50410.593000000001</v>
      </c>
      <c r="Q40" s="71">
        <v>477449</v>
      </c>
      <c r="R40" s="70">
        <v>477428</v>
      </c>
      <c r="S40" s="71">
        <v>12108.784</v>
      </c>
      <c r="T40" s="70">
        <v>101670</v>
      </c>
      <c r="U40" s="71">
        <v>101575</v>
      </c>
      <c r="V40" s="70">
        <v>2842.8820000000001</v>
      </c>
      <c r="W40" s="71">
        <v>1324565</v>
      </c>
      <c r="X40" s="70">
        <v>1324443</v>
      </c>
      <c r="Y40" s="71">
        <v>38305.218000000001</v>
      </c>
      <c r="Z40" s="70">
        <v>424608</v>
      </c>
      <c r="AA40" s="71">
        <v>424472</v>
      </c>
      <c r="AB40" s="70">
        <v>13862.655000000001</v>
      </c>
      <c r="AC40" s="71">
        <v>568700</v>
      </c>
      <c r="AD40" s="70">
        <v>568627</v>
      </c>
      <c r="AE40" s="71">
        <v>7755.0569999999998</v>
      </c>
      <c r="AF40" s="70">
        <v>8471</v>
      </c>
      <c r="AG40" s="71">
        <v>8440</v>
      </c>
      <c r="AH40" s="70">
        <v>303.83600000000001</v>
      </c>
      <c r="AI40" s="71">
        <v>355</v>
      </c>
      <c r="AJ40" s="70">
        <v>355</v>
      </c>
      <c r="AK40" s="71">
        <v>5.915</v>
      </c>
      <c r="AL40" s="70">
        <v>2373597</v>
      </c>
      <c r="AM40" s="71">
        <v>2373383</v>
      </c>
      <c r="AN40" s="70">
        <v>29005.109</v>
      </c>
      <c r="AO40" s="71">
        <v>410639</v>
      </c>
      <c r="AP40" s="70">
        <v>410410</v>
      </c>
      <c r="AQ40" s="71">
        <v>11656.397999999999</v>
      </c>
      <c r="AR40" s="70">
        <v>463316</v>
      </c>
      <c r="AS40" s="71">
        <v>463279</v>
      </c>
      <c r="AT40" s="70">
        <v>15816.819</v>
      </c>
      <c r="AU40" s="71">
        <v>370606</v>
      </c>
      <c r="AV40" s="70">
        <v>370550</v>
      </c>
      <c r="AW40" s="71">
        <v>3641.5259999999998</v>
      </c>
      <c r="AX40" s="70">
        <v>1835910</v>
      </c>
      <c r="AY40" s="71">
        <v>1835257</v>
      </c>
      <c r="AZ40" s="70">
        <v>20677.981</v>
      </c>
      <c r="BA40" s="84">
        <v>30429.019</v>
      </c>
      <c r="BB40" s="80" t="s">
        <v>33</v>
      </c>
      <c r="BC40" s="64"/>
      <c r="BD40" s="64"/>
    </row>
    <row r="41" spans="1:56" x14ac:dyDescent="0.3">
      <c r="A41" s="63" t="s">
        <v>145</v>
      </c>
      <c r="B41" s="72" t="s">
        <v>122</v>
      </c>
      <c r="C41" s="71" t="s">
        <v>122</v>
      </c>
      <c r="D41" s="70" t="s">
        <v>122</v>
      </c>
      <c r="E41" s="71" t="s">
        <v>122</v>
      </c>
      <c r="F41" s="70" t="s">
        <v>122</v>
      </c>
      <c r="G41" s="71" t="s">
        <v>122</v>
      </c>
      <c r="H41" s="70" t="s">
        <v>122</v>
      </c>
      <c r="I41" s="71" t="s">
        <v>122</v>
      </c>
      <c r="J41" s="70" t="s">
        <v>122</v>
      </c>
      <c r="K41" s="71">
        <v>13704</v>
      </c>
      <c r="L41" s="70">
        <v>6237</v>
      </c>
      <c r="M41" s="71">
        <v>516.23800000000006</v>
      </c>
      <c r="N41" s="70">
        <v>9861</v>
      </c>
      <c r="O41" s="71">
        <v>5225</v>
      </c>
      <c r="P41" s="70">
        <v>236.761</v>
      </c>
      <c r="Q41" s="71">
        <v>3330</v>
      </c>
      <c r="R41" s="70">
        <v>3031</v>
      </c>
      <c r="S41" s="71">
        <v>178.31700000000001</v>
      </c>
      <c r="T41" s="70">
        <v>22208</v>
      </c>
      <c r="U41" s="71">
        <v>19420</v>
      </c>
      <c r="V41" s="70">
        <v>904.029</v>
      </c>
      <c r="W41" s="71">
        <v>3814</v>
      </c>
      <c r="X41" s="70">
        <v>3191</v>
      </c>
      <c r="Y41" s="71">
        <v>83.116</v>
      </c>
      <c r="Z41" s="70">
        <v>521</v>
      </c>
      <c r="AA41" s="71">
        <v>501</v>
      </c>
      <c r="AB41" s="70">
        <v>8.4250000000000007</v>
      </c>
      <c r="AC41" s="71">
        <v>1760</v>
      </c>
      <c r="AD41" s="70">
        <v>1495</v>
      </c>
      <c r="AE41" s="71">
        <v>19.132000000000001</v>
      </c>
      <c r="AF41" s="70">
        <v>1674</v>
      </c>
      <c r="AG41" s="71">
        <v>1660</v>
      </c>
      <c r="AH41" s="70">
        <v>87.274000000000001</v>
      </c>
      <c r="AI41" s="71">
        <v>970</v>
      </c>
      <c r="AJ41" s="70">
        <v>810</v>
      </c>
      <c r="AK41" s="71">
        <v>22.9</v>
      </c>
      <c r="AL41" s="70">
        <v>53446</v>
      </c>
      <c r="AM41" s="71">
        <v>48563</v>
      </c>
      <c r="AN41" s="70">
        <v>576.58600000000001</v>
      </c>
      <c r="AO41" s="71">
        <v>45173</v>
      </c>
      <c r="AP41" s="70">
        <v>44702</v>
      </c>
      <c r="AQ41" s="71">
        <v>732.60299999999995</v>
      </c>
      <c r="AR41" s="70">
        <v>10533</v>
      </c>
      <c r="AS41" s="71">
        <v>10170</v>
      </c>
      <c r="AT41" s="70">
        <v>195.24600000000001</v>
      </c>
      <c r="AU41" s="71">
        <v>14194</v>
      </c>
      <c r="AV41" s="70">
        <v>14054</v>
      </c>
      <c r="AW41" s="71">
        <v>59.636000000000003</v>
      </c>
      <c r="AX41" s="70">
        <v>58412</v>
      </c>
      <c r="AY41" s="71">
        <v>38723</v>
      </c>
      <c r="AZ41" s="70">
        <v>108.465</v>
      </c>
      <c r="BA41" s="84">
        <v>906.21799999999996</v>
      </c>
      <c r="BB41" s="80" t="s">
        <v>34</v>
      </c>
      <c r="BC41" s="64"/>
      <c r="BD41" s="64"/>
    </row>
    <row r="42" spans="1:56" x14ac:dyDescent="0.3">
      <c r="A42" s="63" t="s">
        <v>146</v>
      </c>
      <c r="B42" s="72">
        <v>2383</v>
      </c>
      <c r="C42" s="71">
        <v>2307</v>
      </c>
      <c r="D42" s="70">
        <v>101.717</v>
      </c>
      <c r="E42" s="71">
        <v>3412</v>
      </c>
      <c r="F42" s="70">
        <v>3371</v>
      </c>
      <c r="G42" s="71">
        <v>168.31</v>
      </c>
      <c r="H42" s="70">
        <v>2170</v>
      </c>
      <c r="I42" s="71">
        <v>2102</v>
      </c>
      <c r="J42" s="70">
        <v>85.08</v>
      </c>
      <c r="K42" s="71">
        <v>63369</v>
      </c>
      <c r="L42" s="70">
        <v>63179</v>
      </c>
      <c r="M42" s="71">
        <v>2273.89</v>
      </c>
      <c r="N42" s="70">
        <v>1095420</v>
      </c>
      <c r="O42" s="71">
        <v>1095333</v>
      </c>
      <c r="P42" s="70">
        <v>68473.444000000003</v>
      </c>
      <c r="Q42" s="71">
        <v>4182</v>
      </c>
      <c r="R42" s="70">
        <v>4156</v>
      </c>
      <c r="S42" s="71">
        <v>231.97</v>
      </c>
      <c r="T42" s="70">
        <v>22183</v>
      </c>
      <c r="U42" s="71">
        <v>22031</v>
      </c>
      <c r="V42" s="70">
        <v>871.64400000000001</v>
      </c>
      <c r="W42" s="71">
        <v>34858</v>
      </c>
      <c r="X42" s="70">
        <v>34638</v>
      </c>
      <c r="Y42" s="71">
        <v>981.59399999999994</v>
      </c>
      <c r="Z42" s="70">
        <v>8694</v>
      </c>
      <c r="AA42" s="71">
        <v>8552</v>
      </c>
      <c r="AB42" s="70">
        <v>255.887</v>
      </c>
      <c r="AC42" s="71">
        <v>48203</v>
      </c>
      <c r="AD42" s="70">
        <v>47951</v>
      </c>
      <c r="AE42" s="71">
        <v>1005.679</v>
      </c>
      <c r="AF42" s="70">
        <v>4883</v>
      </c>
      <c r="AG42" s="71">
        <v>4692</v>
      </c>
      <c r="AH42" s="70">
        <v>311.23200000000003</v>
      </c>
      <c r="AI42" s="71">
        <v>2439</v>
      </c>
      <c r="AJ42" s="70">
        <v>2429</v>
      </c>
      <c r="AK42" s="71">
        <v>141.65</v>
      </c>
      <c r="AL42" s="70">
        <v>623821</v>
      </c>
      <c r="AM42" s="71">
        <v>623621</v>
      </c>
      <c r="AN42" s="70">
        <v>6048.8680000000004</v>
      </c>
      <c r="AO42" s="71">
        <v>44677</v>
      </c>
      <c r="AP42" s="70">
        <v>44594</v>
      </c>
      <c r="AQ42" s="71">
        <v>1471.001</v>
      </c>
      <c r="AR42" s="70">
        <v>104753</v>
      </c>
      <c r="AS42" s="71">
        <v>104747</v>
      </c>
      <c r="AT42" s="70">
        <v>2829.5770000000002</v>
      </c>
      <c r="AU42" s="71">
        <v>95209</v>
      </c>
      <c r="AV42" s="70">
        <v>95149</v>
      </c>
      <c r="AW42" s="71">
        <v>1003.231</v>
      </c>
      <c r="AX42" s="70">
        <v>3625601</v>
      </c>
      <c r="AY42" s="71">
        <v>3622921</v>
      </c>
      <c r="AZ42" s="70">
        <v>34841.24</v>
      </c>
      <c r="BA42" s="84">
        <v>70364.892000000007</v>
      </c>
      <c r="BB42" s="80" t="s">
        <v>35</v>
      </c>
      <c r="BC42" s="64"/>
      <c r="BD42" s="64"/>
    </row>
    <row r="43" spans="1:56" x14ac:dyDescent="0.3">
      <c r="A43" s="63" t="s">
        <v>147</v>
      </c>
      <c r="B43" s="72">
        <v>97</v>
      </c>
      <c r="C43" s="71">
        <v>82</v>
      </c>
      <c r="D43" s="70">
        <v>4.8499999999999996</v>
      </c>
      <c r="E43" s="71">
        <v>186</v>
      </c>
      <c r="F43" s="70">
        <v>177</v>
      </c>
      <c r="G43" s="71">
        <v>9.3000000000000007</v>
      </c>
      <c r="H43" s="70">
        <v>6</v>
      </c>
      <c r="I43" s="71" t="s">
        <v>122</v>
      </c>
      <c r="J43" s="70">
        <v>0.18</v>
      </c>
      <c r="K43" s="71">
        <v>36</v>
      </c>
      <c r="L43" s="70">
        <v>36</v>
      </c>
      <c r="M43" s="71">
        <v>0.6</v>
      </c>
      <c r="N43" s="70">
        <v>24</v>
      </c>
      <c r="O43" s="71">
        <v>24</v>
      </c>
      <c r="P43" s="70">
        <v>1.2</v>
      </c>
      <c r="Q43" s="71" t="s">
        <v>122</v>
      </c>
      <c r="R43" s="70" t="s">
        <v>122</v>
      </c>
      <c r="S43" s="70" t="s">
        <v>122</v>
      </c>
      <c r="T43" s="70">
        <v>5</v>
      </c>
      <c r="U43" s="71" t="s">
        <v>122</v>
      </c>
      <c r="V43" s="70">
        <v>0.3</v>
      </c>
      <c r="W43" s="71">
        <v>21</v>
      </c>
      <c r="X43" s="70">
        <v>21</v>
      </c>
      <c r="Y43" s="71">
        <v>0.33</v>
      </c>
      <c r="Z43" s="70">
        <v>74</v>
      </c>
      <c r="AA43" s="71">
        <v>72</v>
      </c>
      <c r="AB43" s="70">
        <v>0.42</v>
      </c>
      <c r="AC43" s="71">
        <v>32</v>
      </c>
      <c r="AD43" s="70">
        <v>11</v>
      </c>
      <c r="AE43" s="71">
        <v>0.94</v>
      </c>
      <c r="AF43" s="70">
        <v>75</v>
      </c>
      <c r="AG43" s="71">
        <v>69</v>
      </c>
      <c r="AH43" s="70">
        <v>4.38</v>
      </c>
      <c r="AI43" s="71" t="s">
        <v>122</v>
      </c>
      <c r="AJ43" s="70" t="s">
        <v>122</v>
      </c>
      <c r="AK43" s="71" t="s">
        <v>122</v>
      </c>
      <c r="AL43" s="70">
        <v>1303</v>
      </c>
      <c r="AM43" s="71">
        <v>1303</v>
      </c>
      <c r="AN43" s="70">
        <v>26</v>
      </c>
      <c r="AO43" s="71">
        <v>40</v>
      </c>
      <c r="AP43" s="70">
        <v>40</v>
      </c>
      <c r="AQ43" s="71">
        <v>1.6</v>
      </c>
      <c r="AR43" s="70">
        <v>86</v>
      </c>
      <c r="AS43" s="71">
        <v>86</v>
      </c>
      <c r="AT43" s="70">
        <v>3</v>
      </c>
      <c r="AU43" s="71" t="s">
        <v>122</v>
      </c>
      <c r="AV43" s="70" t="s">
        <v>122</v>
      </c>
      <c r="AW43" s="71" t="s">
        <v>122</v>
      </c>
      <c r="AX43" s="70">
        <v>192280</v>
      </c>
      <c r="AY43" s="71">
        <v>192280</v>
      </c>
      <c r="AZ43" s="70">
        <v>609.9</v>
      </c>
      <c r="BA43" s="84">
        <v>5579.4970000000003</v>
      </c>
      <c r="BB43" s="80" t="s">
        <v>36</v>
      </c>
      <c r="BC43" s="64"/>
      <c r="BD43" s="64"/>
    </row>
    <row r="44" spans="1:56" x14ac:dyDescent="0.3">
      <c r="A44" s="63" t="s">
        <v>148</v>
      </c>
      <c r="B44" s="72" t="s">
        <v>122</v>
      </c>
      <c r="C44" s="71" t="s">
        <v>122</v>
      </c>
      <c r="D44" s="70" t="s">
        <v>122</v>
      </c>
      <c r="E44" s="71" t="s">
        <v>122</v>
      </c>
      <c r="F44" s="70" t="s">
        <v>122</v>
      </c>
      <c r="G44" s="71" t="s">
        <v>122</v>
      </c>
      <c r="H44" s="70" t="s">
        <v>122</v>
      </c>
      <c r="I44" s="71" t="s">
        <v>122</v>
      </c>
      <c r="J44" s="70" t="s">
        <v>122</v>
      </c>
      <c r="K44" s="71">
        <v>28027</v>
      </c>
      <c r="L44" s="70">
        <v>26828</v>
      </c>
      <c r="M44" s="71">
        <v>664.99400000000003</v>
      </c>
      <c r="N44" s="70">
        <v>66274</v>
      </c>
      <c r="O44" s="71">
        <v>64161</v>
      </c>
      <c r="P44" s="70">
        <v>1903.6590000000001</v>
      </c>
      <c r="Q44" s="71">
        <v>24726</v>
      </c>
      <c r="R44" s="70">
        <v>24716</v>
      </c>
      <c r="S44" s="71">
        <v>650.68200000000002</v>
      </c>
      <c r="T44" s="70">
        <v>33079</v>
      </c>
      <c r="U44" s="71">
        <v>32925</v>
      </c>
      <c r="V44" s="70">
        <v>1246.5619999999999</v>
      </c>
      <c r="W44" s="71">
        <v>32504</v>
      </c>
      <c r="X44" s="70">
        <v>31455</v>
      </c>
      <c r="Y44" s="71">
        <v>772.70799999999997</v>
      </c>
      <c r="Z44" s="70">
        <v>9548</v>
      </c>
      <c r="AA44" s="71">
        <v>9018</v>
      </c>
      <c r="AB44" s="70">
        <v>159.71299999999999</v>
      </c>
      <c r="AC44" s="71">
        <v>16641</v>
      </c>
      <c r="AD44" s="70">
        <v>15296</v>
      </c>
      <c r="AE44" s="71">
        <v>252.749</v>
      </c>
      <c r="AF44" s="70">
        <v>731</v>
      </c>
      <c r="AG44" s="71">
        <v>513</v>
      </c>
      <c r="AH44" s="70">
        <v>13.532999999999999</v>
      </c>
      <c r="AI44" s="71">
        <v>203</v>
      </c>
      <c r="AJ44" s="70">
        <v>200</v>
      </c>
      <c r="AK44" s="71">
        <v>3.78</v>
      </c>
      <c r="AL44" s="70">
        <v>97745</v>
      </c>
      <c r="AM44" s="71">
        <v>96497</v>
      </c>
      <c r="AN44" s="70">
        <v>1115.644</v>
      </c>
      <c r="AO44" s="71">
        <v>113041</v>
      </c>
      <c r="AP44" s="70">
        <v>109121</v>
      </c>
      <c r="AQ44" s="71">
        <v>2286.569</v>
      </c>
      <c r="AR44" s="70">
        <v>17592</v>
      </c>
      <c r="AS44" s="71">
        <v>15423</v>
      </c>
      <c r="AT44" s="70">
        <v>295.71499999999997</v>
      </c>
      <c r="AU44" s="71">
        <v>3514</v>
      </c>
      <c r="AV44" s="70">
        <v>3514</v>
      </c>
      <c r="AW44" s="71">
        <v>14.565</v>
      </c>
      <c r="AX44" s="70">
        <v>396555</v>
      </c>
      <c r="AY44" s="71">
        <v>393070</v>
      </c>
      <c r="AZ44" s="70">
        <v>197.94</v>
      </c>
      <c r="BA44" s="84">
        <v>2971.8009999999999</v>
      </c>
      <c r="BB44" s="80" t="s">
        <v>37</v>
      </c>
      <c r="BC44" s="64"/>
      <c r="BD44" s="64"/>
    </row>
    <row r="45" spans="1:56" x14ac:dyDescent="0.3">
      <c r="A45" s="116" t="s">
        <v>38</v>
      </c>
      <c r="B45" s="117">
        <f t="shared" ref="B45:J45" si="23">SUM(B47:B51)</f>
        <v>15261</v>
      </c>
      <c r="C45" s="90">
        <f t="shared" si="23"/>
        <v>10499</v>
      </c>
      <c r="D45" s="90">
        <f t="shared" si="23"/>
        <v>330.38299999999998</v>
      </c>
      <c r="E45" s="90">
        <f t="shared" si="23"/>
        <v>43292</v>
      </c>
      <c r="F45" s="90">
        <f t="shared" si="23"/>
        <v>36968</v>
      </c>
      <c r="G45" s="90">
        <f>SUM(G47:G51)</f>
        <v>1312.2640000000001</v>
      </c>
      <c r="H45" s="90">
        <f t="shared" si="23"/>
        <v>8133</v>
      </c>
      <c r="I45" s="90">
        <f t="shared" si="23"/>
        <v>5817</v>
      </c>
      <c r="J45" s="90">
        <f t="shared" si="23"/>
        <v>184.791</v>
      </c>
      <c r="K45" s="90">
        <f>SUM(K47:K51)</f>
        <v>48052</v>
      </c>
      <c r="L45" s="90">
        <f>SUM(L47:L51)</f>
        <v>42475</v>
      </c>
      <c r="M45" s="90">
        <f>SUM(M47:M51)</f>
        <v>799.81</v>
      </c>
      <c r="N45" s="90">
        <f>SUM(N47:N51)</f>
        <v>135959</v>
      </c>
      <c r="O45" s="90">
        <f t="shared" ref="O45:AE45" si="24">SUM(O47:O51)</f>
        <v>126956</v>
      </c>
      <c r="P45" s="90">
        <f t="shared" si="24"/>
        <v>1840.606</v>
      </c>
      <c r="Q45" s="90">
        <f t="shared" ref="Q45:V45" si="25">SUM(Q47:Q51)</f>
        <v>138221</v>
      </c>
      <c r="R45" s="90">
        <f t="shared" si="25"/>
        <v>138005</v>
      </c>
      <c r="S45" s="90">
        <f t="shared" si="25"/>
        <v>7488.5030000000006</v>
      </c>
      <c r="T45" s="90">
        <f t="shared" si="25"/>
        <v>262365</v>
      </c>
      <c r="U45" s="90">
        <f t="shared" si="25"/>
        <v>259462</v>
      </c>
      <c r="V45" s="90">
        <f t="shared" si="25"/>
        <v>7923.014000000001</v>
      </c>
      <c r="W45" s="90">
        <f t="shared" si="24"/>
        <v>41971</v>
      </c>
      <c r="X45" s="90">
        <f t="shared" si="24"/>
        <v>39776</v>
      </c>
      <c r="Y45" s="90">
        <f t="shared" si="24"/>
        <v>1190.2259999999999</v>
      </c>
      <c r="Z45" s="96">
        <f t="shared" si="24"/>
        <v>16932</v>
      </c>
      <c r="AA45" s="90">
        <f t="shared" si="24"/>
        <v>16123</v>
      </c>
      <c r="AB45" s="90">
        <f t="shared" si="24"/>
        <v>321.61899999999997</v>
      </c>
      <c r="AC45" s="90">
        <f t="shared" si="24"/>
        <v>118023</v>
      </c>
      <c r="AD45" s="90">
        <f t="shared" si="24"/>
        <v>109771</v>
      </c>
      <c r="AE45" s="90">
        <f t="shared" si="24"/>
        <v>2192.7709999999997</v>
      </c>
      <c r="AF45" s="90">
        <f>SUM(AF47:AF51)</f>
        <v>13813</v>
      </c>
      <c r="AG45" s="90">
        <f t="shared" ref="AG45:AQ45" si="26">SUM(AG47:AG51)</f>
        <v>7790</v>
      </c>
      <c r="AH45" s="90">
        <f t="shared" si="26"/>
        <v>378.45200000000006</v>
      </c>
      <c r="AI45" s="90">
        <f t="shared" si="26"/>
        <v>298362</v>
      </c>
      <c r="AJ45" s="90">
        <f t="shared" si="26"/>
        <v>296834</v>
      </c>
      <c r="AK45" s="90">
        <f t="shared" si="26"/>
        <v>11583.735000000001</v>
      </c>
      <c r="AL45" s="90">
        <f t="shared" si="26"/>
        <v>392944</v>
      </c>
      <c r="AM45" s="90">
        <f t="shared" si="26"/>
        <v>381981</v>
      </c>
      <c r="AN45" s="90">
        <f t="shared" si="26"/>
        <v>4219.2979999999998</v>
      </c>
      <c r="AO45" s="90">
        <f t="shared" si="26"/>
        <v>395013</v>
      </c>
      <c r="AP45" s="90">
        <f t="shared" si="26"/>
        <v>362944</v>
      </c>
      <c r="AQ45" s="90">
        <f t="shared" si="26"/>
        <v>7977.4769999999999</v>
      </c>
      <c r="AR45" s="90">
        <f>SUM(AR47:AR51)</f>
        <v>63707</v>
      </c>
      <c r="AS45" s="90">
        <f t="shared" ref="AS45:BA45" si="27">SUM(AS47:AS51)</f>
        <v>50585</v>
      </c>
      <c r="AT45" s="90">
        <f t="shared" si="27"/>
        <v>882.41799999999989</v>
      </c>
      <c r="AU45" s="90">
        <f t="shared" si="27"/>
        <v>666097</v>
      </c>
      <c r="AV45" s="90">
        <f t="shared" si="27"/>
        <v>664214</v>
      </c>
      <c r="AW45" s="90">
        <f t="shared" si="27"/>
        <v>10875.321000000002</v>
      </c>
      <c r="AX45" s="90">
        <f t="shared" si="27"/>
        <v>13220748</v>
      </c>
      <c r="AY45" s="90">
        <f t="shared" si="27"/>
        <v>13089262</v>
      </c>
      <c r="AZ45" s="90">
        <f t="shared" si="27"/>
        <v>51865.960000000006</v>
      </c>
      <c r="BA45" s="91">
        <f t="shared" si="27"/>
        <v>104481.323</v>
      </c>
      <c r="BB45" s="124" t="s">
        <v>39</v>
      </c>
      <c r="BC45" s="125"/>
      <c r="BD45" s="125"/>
    </row>
    <row r="46" spans="1:56" x14ac:dyDescent="0.3">
      <c r="A46" s="116"/>
      <c r="B46" s="117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6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1"/>
      <c r="BB46" s="124"/>
      <c r="BC46" s="125"/>
      <c r="BD46" s="125"/>
    </row>
    <row r="47" spans="1:56" x14ac:dyDescent="0.3">
      <c r="A47" s="63" t="s">
        <v>149</v>
      </c>
      <c r="B47" s="72">
        <v>1811</v>
      </c>
      <c r="C47" s="71">
        <v>1794</v>
      </c>
      <c r="D47" s="70">
        <v>61.43</v>
      </c>
      <c r="E47" s="71">
        <v>2971</v>
      </c>
      <c r="F47" s="70">
        <v>2844</v>
      </c>
      <c r="G47" s="71">
        <v>111.893</v>
      </c>
      <c r="H47" s="70">
        <v>1469</v>
      </c>
      <c r="I47" s="71">
        <v>1325</v>
      </c>
      <c r="J47" s="70">
        <v>35.927</v>
      </c>
      <c r="K47" s="71">
        <v>31490</v>
      </c>
      <c r="L47" s="70">
        <v>31179</v>
      </c>
      <c r="M47" s="71">
        <v>448.57799999999997</v>
      </c>
      <c r="N47" s="70">
        <v>112485</v>
      </c>
      <c r="O47" s="71">
        <v>111832</v>
      </c>
      <c r="P47" s="70">
        <v>1235.932</v>
      </c>
      <c r="Q47" s="71">
        <v>125405</v>
      </c>
      <c r="R47" s="70">
        <v>125405</v>
      </c>
      <c r="S47" s="71">
        <v>7167.2560000000003</v>
      </c>
      <c r="T47" s="70">
        <v>188721</v>
      </c>
      <c r="U47" s="71">
        <v>188522</v>
      </c>
      <c r="V47" s="70">
        <v>5145.6090000000004</v>
      </c>
      <c r="W47" s="71">
        <v>36900</v>
      </c>
      <c r="X47" s="70">
        <v>36321</v>
      </c>
      <c r="Y47" s="71">
        <v>1039.002</v>
      </c>
      <c r="Z47" s="70">
        <v>14355</v>
      </c>
      <c r="AA47" s="71">
        <v>14202</v>
      </c>
      <c r="AB47" s="70">
        <v>237.55500000000001</v>
      </c>
      <c r="AC47" s="71">
        <v>89216</v>
      </c>
      <c r="AD47" s="70">
        <v>88618</v>
      </c>
      <c r="AE47" s="71">
        <v>1331.625</v>
      </c>
      <c r="AF47" s="70">
        <v>794</v>
      </c>
      <c r="AG47" s="71">
        <v>703</v>
      </c>
      <c r="AH47" s="70">
        <v>24.507000000000001</v>
      </c>
      <c r="AI47" s="71">
        <v>637</v>
      </c>
      <c r="AJ47" s="70">
        <v>490</v>
      </c>
      <c r="AK47" s="71">
        <v>16.190000000000001</v>
      </c>
      <c r="AL47" s="70">
        <v>274374</v>
      </c>
      <c r="AM47" s="71">
        <v>273734</v>
      </c>
      <c r="AN47" s="70">
        <v>3216.971</v>
      </c>
      <c r="AO47" s="71">
        <v>282460</v>
      </c>
      <c r="AP47" s="70">
        <v>280809</v>
      </c>
      <c r="AQ47" s="71">
        <v>5690.9539999999997</v>
      </c>
      <c r="AR47" s="70">
        <v>25017</v>
      </c>
      <c r="AS47" s="71">
        <v>23864</v>
      </c>
      <c r="AT47" s="70">
        <v>470.02600000000001</v>
      </c>
      <c r="AU47" s="71">
        <v>533053</v>
      </c>
      <c r="AV47" s="70">
        <v>532331</v>
      </c>
      <c r="AW47" s="71">
        <v>8941.9930000000004</v>
      </c>
      <c r="AX47" s="70">
        <v>6573976</v>
      </c>
      <c r="AY47" s="71">
        <v>6565421</v>
      </c>
      <c r="AZ47" s="70">
        <v>39118.851000000002</v>
      </c>
      <c r="BA47" s="84">
        <v>36335.072999999997</v>
      </c>
      <c r="BB47" s="80" t="s">
        <v>40</v>
      </c>
      <c r="BC47" s="64"/>
      <c r="BD47" s="64"/>
    </row>
    <row r="48" spans="1:56" x14ac:dyDescent="0.3">
      <c r="A48" s="63" t="s">
        <v>150</v>
      </c>
      <c r="B48" s="72">
        <v>195</v>
      </c>
      <c r="C48" s="71">
        <v>195</v>
      </c>
      <c r="D48" s="70">
        <v>5.6</v>
      </c>
      <c r="E48" s="71">
        <v>87</v>
      </c>
      <c r="F48" s="70">
        <v>87</v>
      </c>
      <c r="G48" s="71">
        <v>2.96</v>
      </c>
      <c r="H48" s="70">
        <v>44</v>
      </c>
      <c r="I48" s="71">
        <v>44</v>
      </c>
      <c r="J48" s="70">
        <v>0.2</v>
      </c>
      <c r="K48" s="71">
        <v>6498</v>
      </c>
      <c r="L48" s="70">
        <v>6498</v>
      </c>
      <c r="M48" s="71">
        <v>138.536</v>
      </c>
      <c r="N48" s="70">
        <v>610</v>
      </c>
      <c r="O48" s="71">
        <v>610</v>
      </c>
      <c r="P48" s="70">
        <v>4.9000000000000004</v>
      </c>
      <c r="Q48" s="71">
        <v>9871</v>
      </c>
      <c r="R48" s="70">
        <v>9871</v>
      </c>
      <c r="S48" s="71">
        <v>247.2</v>
      </c>
      <c r="T48" s="70">
        <v>45768</v>
      </c>
      <c r="U48" s="71">
        <v>45728</v>
      </c>
      <c r="V48" s="70">
        <v>1445.7750000000001</v>
      </c>
      <c r="W48" s="71">
        <v>491</v>
      </c>
      <c r="X48" s="70">
        <v>477</v>
      </c>
      <c r="Y48" s="71">
        <v>12.356</v>
      </c>
      <c r="Z48" s="70">
        <v>745</v>
      </c>
      <c r="AA48" s="71">
        <v>739</v>
      </c>
      <c r="AB48" s="70">
        <v>25.83</v>
      </c>
      <c r="AC48" s="71">
        <v>3496</v>
      </c>
      <c r="AD48" s="70">
        <v>3496</v>
      </c>
      <c r="AE48" s="71">
        <v>66.668999999999997</v>
      </c>
      <c r="AF48" s="70">
        <v>4069</v>
      </c>
      <c r="AG48" s="71">
        <v>3969</v>
      </c>
      <c r="AH48" s="70">
        <v>154.80500000000001</v>
      </c>
      <c r="AI48" s="71">
        <v>492</v>
      </c>
      <c r="AJ48" s="70">
        <v>492</v>
      </c>
      <c r="AK48" s="71">
        <v>19.75</v>
      </c>
      <c r="AL48" s="70">
        <v>65936</v>
      </c>
      <c r="AM48" s="71">
        <v>65759</v>
      </c>
      <c r="AN48" s="70">
        <v>474.63400000000001</v>
      </c>
      <c r="AO48" s="71">
        <v>10015</v>
      </c>
      <c r="AP48" s="70">
        <v>10014</v>
      </c>
      <c r="AQ48" s="71">
        <v>257.95499999999998</v>
      </c>
      <c r="AR48" s="70">
        <v>110</v>
      </c>
      <c r="AS48" s="71">
        <v>110</v>
      </c>
      <c r="AT48" s="70">
        <v>2.5299999999999998</v>
      </c>
      <c r="AU48" s="71">
        <v>75699</v>
      </c>
      <c r="AV48" s="70">
        <v>75674</v>
      </c>
      <c r="AW48" s="71">
        <v>866.22199999999998</v>
      </c>
      <c r="AX48" s="70">
        <v>2226840</v>
      </c>
      <c r="AY48" s="71">
        <v>2224170</v>
      </c>
      <c r="AZ48" s="70">
        <v>81.361999999999995</v>
      </c>
      <c r="BA48" s="84">
        <v>13309.416999999999</v>
      </c>
      <c r="BB48" s="80" t="s">
        <v>41</v>
      </c>
      <c r="BC48" s="64"/>
      <c r="BD48" s="64"/>
    </row>
    <row r="49" spans="1:56" x14ac:dyDescent="0.3">
      <c r="A49" s="63" t="s">
        <v>151</v>
      </c>
      <c r="B49" s="72">
        <v>4595</v>
      </c>
      <c r="C49" s="71">
        <v>3260</v>
      </c>
      <c r="D49" s="70">
        <v>145.81100000000001</v>
      </c>
      <c r="E49" s="71">
        <v>24209</v>
      </c>
      <c r="F49" s="70">
        <v>20712</v>
      </c>
      <c r="G49" s="71">
        <v>929.46100000000001</v>
      </c>
      <c r="H49" s="70">
        <v>3720</v>
      </c>
      <c r="I49" s="71">
        <v>2614</v>
      </c>
      <c r="J49" s="70">
        <v>122.34399999999999</v>
      </c>
      <c r="K49" s="71">
        <v>4734</v>
      </c>
      <c r="L49" s="70">
        <v>4327</v>
      </c>
      <c r="M49" s="71">
        <v>175.47399999999999</v>
      </c>
      <c r="N49" s="70">
        <v>11085</v>
      </c>
      <c r="O49" s="71">
        <v>10326</v>
      </c>
      <c r="P49" s="70">
        <v>487.89600000000002</v>
      </c>
      <c r="Q49" s="71">
        <v>1945</v>
      </c>
      <c r="R49" s="70">
        <v>1805</v>
      </c>
      <c r="S49" s="71">
        <v>73.5</v>
      </c>
      <c r="T49" s="70">
        <v>25023</v>
      </c>
      <c r="U49" s="71">
        <v>23295</v>
      </c>
      <c r="V49" s="70">
        <v>1287.0150000000001</v>
      </c>
      <c r="W49" s="71">
        <v>3244</v>
      </c>
      <c r="X49" s="70">
        <v>2895</v>
      </c>
      <c r="Y49" s="71">
        <v>131.81100000000001</v>
      </c>
      <c r="Z49" s="70">
        <v>1309</v>
      </c>
      <c r="AA49" s="71">
        <v>1165</v>
      </c>
      <c r="AB49" s="70">
        <v>55.155999999999999</v>
      </c>
      <c r="AC49" s="71">
        <v>18064</v>
      </c>
      <c r="AD49" s="70">
        <v>17123</v>
      </c>
      <c r="AE49" s="71">
        <v>747.84400000000005</v>
      </c>
      <c r="AF49" s="70">
        <v>4021</v>
      </c>
      <c r="AG49" s="71">
        <v>3113</v>
      </c>
      <c r="AH49" s="70">
        <v>167.63800000000001</v>
      </c>
      <c r="AI49" s="71">
        <v>297208</v>
      </c>
      <c r="AJ49" s="70">
        <v>295852</v>
      </c>
      <c r="AK49" s="71">
        <v>11547.67</v>
      </c>
      <c r="AL49" s="70">
        <v>32347</v>
      </c>
      <c r="AM49" s="71">
        <v>31144</v>
      </c>
      <c r="AN49" s="70">
        <v>380.66500000000002</v>
      </c>
      <c r="AO49" s="71">
        <v>54533</v>
      </c>
      <c r="AP49" s="70">
        <v>50601</v>
      </c>
      <c r="AQ49" s="71">
        <v>1605.537</v>
      </c>
      <c r="AR49" s="70">
        <v>5848</v>
      </c>
      <c r="AS49" s="71">
        <v>5635</v>
      </c>
      <c r="AT49" s="70">
        <v>196.21</v>
      </c>
      <c r="AU49" s="71">
        <v>56266</v>
      </c>
      <c r="AV49" s="70">
        <v>55155</v>
      </c>
      <c r="AW49" s="71">
        <v>1055.7360000000001</v>
      </c>
      <c r="AX49" s="70">
        <v>3561094</v>
      </c>
      <c r="AY49" s="71">
        <v>3467208</v>
      </c>
      <c r="AZ49" s="70">
        <v>3943.2669999999998</v>
      </c>
      <c r="BA49" s="84">
        <v>50621.404000000002</v>
      </c>
      <c r="BB49" s="80" t="s">
        <v>42</v>
      </c>
      <c r="BC49" s="64"/>
      <c r="BD49" s="64"/>
    </row>
    <row r="50" spans="1:56" x14ac:dyDescent="0.3">
      <c r="A50" s="63" t="s">
        <v>152</v>
      </c>
      <c r="B50" s="72">
        <v>7</v>
      </c>
      <c r="C50" s="71" t="s">
        <v>122</v>
      </c>
      <c r="D50" s="70">
        <v>8.2000000000000003E-2</v>
      </c>
      <c r="E50" s="71">
        <v>17</v>
      </c>
      <c r="F50" s="70" t="s">
        <v>122</v>
      </c>
      <c r="G50" s="71">
        <v>0.24</v>
      </c>
      <c r="H50" s="70" t="s">
        <v>122</v>
      </c>
      <c r="I50" s="71" t="s">
        <v>122</v>
      </c>
      <c r="J50" s="70" t="s">
        <v>122</v>
      </c>
      <c r="K50" s="71">
        <v>3425</v>
      </c>
      <c r="L50" s="70">
        <v>165</v>
      </c>
      <c r="M50" s="71">
        <v>23.88</v>
      </c>
      <c r="N50" s="70">
        <v>7296</v>
      </c>
      <c r="O50" s="71">
        <v>1242</v>
      </c>
      <c r="P50" s="70">
        <v>64.665000000000006</v>
      </c>
      <c r="Q50" s="71">
        <v>994</v>
      </c>
      <c r="R50" s="70">
        <v>924</v>
      </c>
      <c r="S50" s="71">
        <v>0.505</v>
      </c>
      <c r="T50" s="70">
        <v>295</v>
      </c>
      <c r="U50" s="71" t="s">
        <v>122</v>
      </c>
      <c r="V50" s="70">
        <v>1.895</v>
      </c>
      <c r="W50" s="71">
        <v>985</v>
      </c>
      <c r="X50" s="70">
        <v>83</v>
      </c>
      <c r="Y50" s="71">
        <v>3.7800000000000002</v>
      </c>
      <c r="Z50" s="70">
        <v>105</v>
      </c>
      <c r="AA50" s="71" t="s">
        <v>122</v>
      </c>
      <c r="AB50" s="70">
        <v>0.42299999999999999</v>
      </c>
      <c r="AC50" s="71">
        <v>5047</v>
      </c>
      <c r="AD50" s="70">
        <v>94</v>
      </c>
      <c r="AE50" s="71">
        <v>31.053000000000001</v>
      </c>
      <c r="AF50" s="70">
        <v>2339</v>
      </c>
      <c r="AG50" s="71" t="s">
        <v>122</v>
      </c>
      <c r="AH50" s="70">
        <v>19.850000000000001</v>
      </c>
      <c r="AI50" s="71" t="s">
        <v>122</v>
      </c>
      <c r="AJ50" s="70" t="s">
        <v>122</v>
      </c>
      <c r="AK50" s="71" t="s">
        <v>122</v>
      </c>
      <c r="AL50" s="70">
        <v>750</v>
      </c>
      <c r="AM50" s="71">
        <v>340</v>
      </c>
      <c r="AN50" s="70">
        <v>1.62</v>
      </c>
      <c r="AO50" s="71">
        <v>30571</v>
      </c>
      <c r="AP50" s="70">
        <v>10189</v>
      </c>
      <c r="AQ50" s="71">
        <v>239.625</v>
      </c>
      <c r="AR50" s="70">
        <v>29886</v>
      </c>
      <c r="AS50" s="71">
        <v>19865</v>
      </c>
      <c r="AT50" s="70">
        <v>189.02699999999999</v>
      </c>
      <c r="AU50" s="71" t="s">
        <v>122</v>
      </c>
      <c r="AV50" s="70" t="s">
        <v>122</v>
      </c>
      <c r="AW50" s="71" t="s">
        <v>122</v>
      </c>
      <c r="AX50" s="70">
        <v>34382</v>
      </c>
      <c r="AY50" s="71">
        <v>31326</v>
      </c>
      <c r="AZ50" s="70">
        <v>17.262</v>
      </c>
      <c r="BA50" s="84">
        <v>154.511</v>
      </c>
      <c r="BB50" s="80" t="s">
        <v>43</v>
      </c>
      <c r="BC50" s="64"/>
      <c r="BD50" s="64"/>
    </row>
    <row r="51" spans="1:56" x14ac:dyDescent="0.3">
      <c r="A51" s="63" t="s">
        <v>153</v>
      </c>
      <c r="B51" s="72">
        <v>8653</v>
      </c>
      <c r="C51" s="71">
        <v>5250</v>
      </c>
      <c r="D51" s="70">
        <v>117.46</v>
      </c>
      <c r="E51" s="71">
        <v>16008</v>
      </c>
      <c r="F51" s="70">
        <v>13325</v>
      </c>
      <c r="G51" s="71">
        <v>267.70999999999998</v>
      </c>
      <c r="H51" s="70">
        <v>2900</v>
      </c>
      <c r="I51" s="71">
        <v>1834</v>
      </c>
      <c r="J51" s="70">
        <v>26.32</v>
      </c>
      <c r="K51" s="71">
        <v>1905</v>
      </c>
      <c r="L51" s="70">
        <v>306</v>
      </c>
      <c r="M51" s="71">
        <v>13.342000000000001</v>
      </c>
      <c r="N51" s="70">
        <v>4483</v>
      </c>
      <c r="O51" s="71">
        <v>2946</v>
      </c>
      <c r="P51" s="70">
        <v>47.213000000000001</v>
      </c>
      <c r="Q51" s="71">
        <v>6</v>
      </c>
      <c r="R51" s="70" t="s">
        <v>122</v>
      </c>
      <c r="S51" s="71">
        <v>4.2000000000000003E-2</v>
      </c>
      <c r="T51" s="70">
        <v>2558</v>
      </c>
      <c r="U51" s="71">
        <v>1917</v>
      </c>
      <c r="V51" s="70">
        <v>42.72</v>
      </c>
      <c r="W51" s="71">
        <v>351</v>
      </c>
      <c r="X51" s="70" t="s">
        <v>122</v>
      </c>
      <c r="Y51" s="71">
        <v>3.2770000000000001</v>
      </c>
      <c r="Z51" s="70">
        <v>418</v>
      </c>
      <c r="AA51" s="71">
        <v>17</v>
      </c>
      <c r="AB51" s="70">
        <v>2.6549999999999998</v>
      </c>
      <c r="AC51" s="71">
        <v>2200</v>
      </c>
      <c r="AD51" s="70">
        <v>440</v>
      </c>
      <c r="AE51" s="71">
        <v>15.58</v>
      </c>
      <c r="AF51" s="70">
        <v>2590</v>
      </c>
      <c r="AG51" s="71">
        <v>5</v>
      </c>
      <c r="AH51" s="70">
        <v>11.651999999999999</v>
      </c>
      <c r="AI51" s="71">
        <v>25</v>
      </c>
      <c r="AJ51" s="70" t="s">
        <v>122</v>
      </c>
      <c r="AK51" s="71">
        <v>0.125</v>
      </c>
      <c r="AL51" s="70">
        <v>19537</v>
      </c>
      <c r="AM51" s="71">
        <v>11004</v>
      </c>
      <c r="AN51" s="70">
        <v>145.40799999999999</v>
      </c>
      <c r="AO51" s="71">
        <v>17434</v>
      </c>
      <c r="AP51" s="70">
        <v>11331</v>
      </c>
      <c r="AQ51" s="71">
        <v>183.40600000000001</v>
      </c>
      <c r="AR51" s="70">
        <v>2846</v>
      </c>
      <c r="AS51" s="71">
        <v>1111</v>
      </c>
      <c r="AT51" s="70">
        <v>24.625</v>
      </c>
      <c r="AU51" s="71">
        <v>1079</v>
      </c>
      <c r="AV51" s="70">
        <v>1054</v>
      </c>
      <c r="AW51" s="71">
        <v>11.37</v>
      </c>
      <c r="AX51" s="70">
        <v>824456</v>
      </c>
      <c r="AY51" s="71">
        <v>801137</v>
      </c>
      <c r="AZ51" s="70">
        <v>8705.2180000000008</v>
      </c>
      <c r="BA51" s="84">
        <v>4060.9180000000001</v>
      </c>
      <c r="BB51" s="80" t="s">
        <v>44</v>
      </c>
      <c r="BC51" s="64"/>
      <c r="BD51" s="64"/>
    </row>
    <row r="52" spans="1:56" x14ac:dyDescent="0.3">
      <c r="A52" s="116" t="s">
        <v>45</v>
      </c>
      <c r="B52" s="117">
        <f t="shared" ref="B52:J52" si="28">SUM(B54:B58)</f>
        <v>22153</v>
      </c>
      <c r="C52" s="90">
        <f t="shared" si="28"/>
        <v>10418</v>
      </c>
      <c r="D52" s="90">
        <f t="shared" si="28"/>
        <v>482.93200000000002</v>
      </c>
      <c r="E52" s="90">
        <f t="shared" si="28"/>
        <v>24384</v>
      </c>
      <c r="F52" s="90">
        <f t="shared" si="28"/>
        <v>16740</v>
      </c>
      <c r="G52" s="90">
        <f>SUM(G54:G58)</f>
        <v>610.94799999999998</v>
      </c>
      <c r="H52" s="90">
        <f t="shared" si="28"/>
        <v>5466</v>
      </c>
      <c r="I52" s="90">
        <f t="shared" si="28"/>
        <v>1928</v>
      </c>
      <c r="J52" s="90">
        <f t="shared" si="28"/>
        <v>136.43299999999999</v>
      </c>
      <c r="K52" s="90">
        <f>SUM(K54:K58)</f>
        <v>8073</v>
      </c>
      <c r="L52" s="90">
        <f>SUM(L54:L58)</f>
        <v>2645</v>
      </c>
      <c r="M52" s="90">
        <f>SUM(M54:M58)</f>
        <v>78.704999999999998</v>
      </c>
      <c r="N52" s="90">
        <f>SUM(N54:N58)</f>
        <v>1248</v>
      </c>
      <c r="O52" s="90">
        <f t="shared" ref="O52:AE52" si="29">SUM(O54:O58)</f>
        <v>295</v>
      </c>
      <c r="P52" s="90">
        <f t="shared" si="29"/>
        <v>19.134999999999998</v>
      </c>
      <c r="Q52" s="90">
        <f t="shared" ref="Q52:V52" si="30">SUM(Q54:Q58)</f>
        <v>0</v>
      </c>
      <c r="R52" s="90">
        <f t="shared" si="30"/>
        <v>0</v>
      </c>
      <c r="S52" s="90">
        <f t="shared" si="30"/>
        <v>0</v>
      </c>
      <c r="T52" s="90">
        <f t="shared" si="30"/>
        <v>4069</v>
      </c>
      <c r="U52" s="90">
        <f t="shared" si="30"/>
        <v>2801</v>
      </c>
      <c r="V52" s="90">
        <f t="shared" si="30"/>
        <v>96.02</v>
      </c>
      <c r="W52" s="90">
        <f t="shared" si="29"/>
        <v>731</v>
      </c>
      <c r="X52" s="90">
        <f t="shared" si="29"/>
        <v>256</v>
      </c>
      <c r="Y52" s="90">
        <f t="shared" si="29"/>
        <v>13.55</v>
      </c>
      <c r="Z52" s="96">
        <f t="shared" si="29"/>
        <v>2676</v>
      </c>
      <c r="AA52" s="90">
        <f t="shared" si="29"/>
        <v>412</v>
      </c>
      <c r="AB52" s="90">
        <f t="shared" si="29"/>
        <v>41.96</v>
      </c>
      <c r="AC52" s="90">
        <f t="shared" si="29"/>
        <v>455</v>
      </c>
      <c r="AD52" s="90">
        <f t="shared" si="29"/>
        <v>195</v>
      </c>
      <c r="AE52" s="90">
        <f t="shared" si="29"/>
        <v>8.6430000000000007</v>
      </c>
      <c r="AF52" s="90">
        <f>SUM(AF54:AF58)</f>
        <v>6368</v>
      </c>
      <c r="AG52" s="90">
        <f t="shared" ref="AG52:AQ52" si="31">SUM(AG54:AG58)</f>
        <v>975</v>
      </c>
      <c r="AH52" s="90">
        <f t="shared" si="31"/>
        <v>118.015</v>
      </c>
      <c r="AI52" s="90">
        <f t="shared" si="31"/>
        <v>181</v>
      </c>
      <c r="AJ52" s="90">
        <f t="shared" si="31"/>
        <v>31</v>
      </c>
      <c r="AK52" s="90">
        <f t="shared" si="31"/>
        <v>5.76</v>
      </c>
      <c r="AL52" s="90">
        <f t="shared" si="31"/>
        <v>16260</v>
      </c>
      <c r="AM52" s="90">
        <f t="shared" si="31"/>
        <v>4432</v>
      </c>
      <c r="AN52" s="90">
        <f t="shared" si="31"/>
        <v>143.05599999999998</v>
      </c>
      <c r="AO52" s="90">
        <f t="shared" si="31"/>
        <v>5085</v>
      </c>
      <c r="AP52" s="90">
        <f t="shared" si="31"/>
        <v>1000</v>
      </c>
      <c r="AQ52" s="90">
        <f t="shared" si="31"/>
        <v>66.73599999999999</v>
      </c>
      <c r="AR52" s="90">
        <f>SUM(AR54:AR58)</f>
        <v>0</v>
      </c>
      <c r="AS52" s="90">
        <f t="shared" ref="AS52:BA52" si="32">SUM(AS54:AS58)</f>
        <v>0</v>
      </c>
      <c r="AT52" s="90">
        <f t="shared" si="32"/>
        <v>0</v>
      </c>
      <c r="AU52" s="90">
        <f t="shared" si="32"/>
        <v>424</v>
      </c>
      <c r="AV52" s="90">
        <f t="shared" si="32"/>
        <v>424</v>
      </c>
      <c r="AW52" s="90">
        <f t="shared" si="32"/>
        <v>2.7849999999999997</v>
      </c>
      <c r="AX52" s="90">
        <f t="shared" si="32"/>
        <v>4672946</v>
      </c>
      <c r="AY52" s="90">
        <f t="shared" si="32"/>
        <v>4389412</v>
      </c>
      <c r="AZ52" s="90">
        <f t="shared" si="32"/>
        <v>257.74799999999999</v>
      </c>
      <c r="BA52" s="91">
        <f t="shared" si="32"/>
        <v>146376.014</v>
      </c>
      <c r="BB52" s="124" t="s">
        <v>46</v>
      </c>
      <c r="BC52" s="125"/>
      <c r="BD52" s="125"/>
    </row>
    <row r="53" spans="1:56" x14ac:dyDescent="0.3">
      <c r="A53" s="116"/>
      <c r="B53" s="117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6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1"/>
      <c r="BB53" s="124"/>
      <c r="BC53" s="125"/>
      <c r="BD53" s="125"/>
    </row>
    <row r="54" spans="1:56" x14ac:dyDescent="0.3">
      <c r="A54" s="63" t="s">
        <v>154</v>
      </c>
      <c r="B54" s="72">
        <v>584</v>
      </c>
      <c r="C54" s="71">
        <v>584</v>
      </c>
      <c r="D54" s="70">
        <v>9.298</v>
      </c>
      <c r="E54" s="71">
        <v>974</v>
      </c>
      <c r="F54" s="70">
        <v>974</v>
      </c>
      <c r="G54" s="71">
        <v>24.997</v>
      </c>
      <c r="H54" s="70">
        <v>82</v>
      </c>
      <c r="I54" s="71">
        <v>82</v>
      </c>
      <c r="J54" s="70">
        <v>1.01</v>
      </c>
      <c r="K54" s="71" t="s">
        <v>122</v>
      </c>
      <c r="L54" s="70" t="s">
        <v>122</v>
      </c>
      <c r="M54" s="71" t="s">
        <v>122</v>
      </c>
      <c r="N54" s="70">
        <v>131</v>
      </c>
      <c r="O54" s="71">
        <v>131</v>
      </c>
      <c r="P54" s="70">
        <v>3.98</v>
      </c>
      <c r="Q54" s="71" t="s">
        <v>122</v>
      </c>
      <c r="R54" s="70" t="s">
        <v>122</v>
      </c>
      <c r="S54" s="71" t="s">
        <v>122</v>
      </c>
      <c r="T54" s="70">
        <v>192</v>
      </c>
      <c r="U54" s="71">
        <v>192</v>
      </c>
      <c r="V54" s="70">
        <v>7.77</v>
      </c>
      <c r="W54" s="71">
        <v>60</v>
      </c>
      <c r="X54" s="70">
        <v>60</v>
      </c>
      <c r="Y54" s="71">
        <v>1.05</v>
      </c>
      <c r="Z54" s="70">
        <v>44</v>
      </c>
      <c r="AA54" s="71">
        <v>44</v>
      </c>
      <c r="AB54" s="70">
        <v>1.22</v>
      </c>
      <c r="AC54" s="71">
        <v>50</v>
      </c>
      <c r="AD54" s="70">
        <v>50</v>
      </c>
      <c r="AE54" s="71">
        <v>0.3</v>
      </c>
      <c r="AF54" s="70">
        <v>20</v>
      </c>
      <c r="AG54" s="71">
        <v>20</v>
      </c>
      <c r="AH54" s="70">
        <v>1.05</v>
      </c>
      <c r="AI54" s="71" t="s">
        <v>122</v>
      </c>
      <c r="AJ54" s="70" t="s">
        <v>122</v>
      </c>
      <c r="AK54" s="71" t="s">
        <v>122</v>
      </c>
      <c r="AL54" s="70">
        <v>732</v>
      </c>
      <c r="AM54" s="71">
        <v>732</v>
      </c>
      <c r="AN54" s="70">
        <v>6.3120000000000003</v>
      </c>
      <c r="AO54" s="71">
        <v>791</v>
      </c>
      <c r="AP54" s="70">
        <v>791</v>
      </c>
      <c r="AQ54" s="71">
        <v>15.34</v>
      </c>
      <c r="AR54" s="70" t="s">
        <v>122</v>
      </c>
      <c r="AS54" s="71" t="s">
        <v>122</v>
      </c>
      <c r="AT54" s="70" t="s">
        <v>122</v>
      </c>
      <c r="AU54" s="71">
        <v>399</v>
      </c>
      <c r="AV54" s="70">
        <v>399</v>
      </c>
      <c r="AW54" s="71">
        <v>2.3849999999999998</v>
      </c>
      <c r="AX54" s="70">
        <v>2013505</v>
      </c>
      <c r="AY54" s="71">
        <v>2013495</v>
      </c>
      <c r="AZ54" s="70">
        <v>19.71</v>
      </c>
      <c r="BA54" s="84">
        <v>64433.741999999998</v>
      </c>
      <c r="BB54" s="80" t="s">
        <v>47</v>
      </c>
      <c r="BC54" s="64"/>
      <c r="BD54" s="64"/>
    </row>
    <row r="55" spans="1:56" x14ac:dyDescent="0.3">
      <c r="A55" s="63" t="s">
        <v>155</v>
      </c>
      <c r="B55" s="72">
        <v>4986</v>
      </c>
      <c r="C55" s="71">
        <v>4986</v>
      </c>
      <c r="D55" s="70">
        <v>218.35</v>
      </c>
      <c r="E55" s="71">
        <v>5059</v>
      </c>
      <c r="F55" s="70">
        <v>5059</v>
      </c>
      <c r="G55" s="71">
        <v>223.99</v>
      </c>
      <c r="H55" s="70">
        <v>84</v>
      </c>
      <c r="I55" s="71">
        <v>84</v>
      </c>
      <c r="J55" s="70">
        <v>3.7</v>
      </c>
      <c r="K55" s="71">
        <v>95</v>
      </c>
      <c r="L55" s="70">
        <v>95</v>
      </c>
      <c r="M55" s="71">
        <v>1.6</v>
      </c>
      <c r="N55" s="70" t="s">
        <v>122</v>
      </c>
      <c r="O55" s="71" t="s">
        <v>122</v>
      </c>
      <c r="P55" s="70" t="s">
        <v>122</v>
      </c>
      <c r="Q55" s="71" t="s">
        <v>122</v>
      </c>
      <c r="R55" s="70" t="s">
        <v>122</v>
      </c>
      <c r="S55" s="71" t="s">
        <v>122</v>
      </c>
      <c r="T55" s="70">
        <v>1351</v>
      </c>
      <c r="U55" s="71">
        <v>1351</v>
      </c>
      <c r="V55" s="70">
        <v>51.7</v>
      </c>
      <c r="W55" s="71">
        <v>136</v>
      </c>
      <c r="X55" s="70">
        <v>136</v>
      </c>
      <c r="Y55" s="71">
        <v>7.1</v>
      </c>
      <c r="Z55" s="70">
        <v>35</v>
      </c>
      <c r="AA55" s="71">
        <v>35</v>
      </c>
      <c r="AB55" s="70">
        <v>0.82</v>
      </c>
      <c r="AC55" s="71">
        <v>15</v>
      </c>
      <c r="AD55" s="70">
        <v>15</v>
      </c>
      <c r="AE55" s="71">
        <v>0.153</v>
      </c>
      <c r="AF55" s="70">
        <v>20</v>
      </c>
      <c r="AG55" s="71">
        <v>20</v>
      </c>
      <c r="AH55" s="70">
        <v>1.05</v>
      </c>
      <c r="AI55" s="71" t="s">
        <v>122</v>
      </c>
      <c r="AJ55" s="70" t="s">
        <v>122</v>
      </c>
      <c r="AK55" s="71" t="s">
        <v>122</v>
      </c>
      <c r="AL55" s="70">
        <v>55</v>
      </c>
      <c r="AM55" s="71">
        <v>55</v>
      </c>
      <c r="AN55" s="70">
        <v>0.45</v>
      </c>
      <c r="AO55" s="71" t="s">
        <v>122</v>
      </c>
      <c r="AP55" s="70" t="s">
        <v>122</v>
      </c>
      <c r="AQ55" s="71" t="s">
        <v>122</v>
      </c>
      <c r="AR55" s="70" t="s">
        <v>122</v>
      </c>
      <c r="AS55" s="71" t="s">
        <v>122</v>
      </c>
      <c r="AT55" s="70" t="s">
        <v>122</v>
      </c>
      <c r="AU55" s="71" t="s">
        <v>122</v>
      </c>
      <c r="AV55" s="70" t="s">
        <v>122</v>
      </c>
      <c r="AW55" s="71" t="s">
        <v>122</v>
      </c>
      <c r="AX55" s="70">
        <v>1493425</v>
      </c>
      <c r="AY55" s="71">
        <v>1493425</v>
      </c>
      <c r="AZ55" s="70">
        <v>1.6</v>
      </c>
      <c r="BA55" s="84">
        <v>72229</v>
      </c>
      <c r="BB55" s="80" t="s">
        <v>48</v>
      </c>
      <c r="BC55" s="64"/>
      <c r="BD55" s="64"/>
    </row>
    <row r="56" spans="1:56" x14ac:dyDescent="0.3">
      <c r="A56" s="63" t="s">
        <v>156</v>
      </c>
      <c r="B56" s="72">
        <v>23</v>
      </c>
      <c r="C56" s="71">
        <v>17</v>
      </c>
      <c r="D56" s="70">
        <v>0.35</v>
      </c>
      <c r="E56" s="71">
        <v>86</v>
      </c>
      <c r="F56" s="70">
        <v>78</v>
      </c>
      <c r="G56" s="71">
        <v>1.4</v>
      </c>
      <c r="H56" s="70">
        <v>13</v>
      </c>
      <c r="I56" s="71">
        <v>10</v>
      </c>
      <c r="J56" s="70">
        <v>0.73</v>
      </c>
      <c r="K56" s="71">
        <v>21</v>
      </c>
      <c r="L56" s="70">
        <v>21</v>
      </c>
      <c r="M56" s="71">
        <v>0.17</v>
      </c>
      <c r="N56" s="70" t="s">
        <v>122</v>
      </c>
      <c r="O56" s="71" t="s">
        <v>122</v>
      </c>
      <c r="P56" s="70" t="s">
        <v>122</v>
      </c>
      <c r="Q56" s="71" t="s">
        <v>122</v>
      </c>
      <c r="R56" s="70" t="s">
        <v>122</v>
      </c>
      <c r="S56" s="71" t="s">
        <v>122</v>
      </c>
      <c r="T56" s="70">
        <v>21</v>
      </c>
      <c r="U56" s="71">
        <v>21</v>
      </c>
      <c r="V56" s="70">
        <v>1.26</v>
      </c>
      <c r="W56" s="71" t="s">
        <v>122</v>
      </c>
      <c r="X56" s="70" t="s">
        <v>122</v>
      </c>
      <c r="Y56" s="71" t="s">
        <v>122</v>
      </c>
      <c r="Z56" s="70" t="s">
        <v>122</v>
      </c>
      <c r="AA56" s="71" t="s">
        <v>122</v>
      </c>
      <c r="AB56" s="70" t="s">
        <v>122</v>
      </c>
      <c r="AC56" s="71" t="s">
        <v>122</v>
      </c>
      <c r="AD56" s="70" t="s">
        <v>122</v>
      </c>
      <c r="AE56" s="71" t="s">
        <v>122</v>
      </c>
      <c r="AF56" s="70" t="s">
        <v>122</v>
      </c>
      <c r="AG56" s="71" t="s">
        <v>122</v>
      </c>
      <c r="AH56" s="70" t="s">
        <v>122</v>
      </c>
      <c r="AI56" s="71" t="s">
        <v>122</v>
      </c>
      <c r="AJ56" s="70" t="s">
        <v>122</v>
      </c>
      <c r="AK56" s="71" t="s">
        <v>122</v>
      </c>
      <c r="AL56" s="70">
        <v>15</v>
      </c>
      <c r="AM56" s="71">
        <v>15</v>
      </c>
      <c r="AN56" s="70">
        <v>0.04</v>
      </c>
      <c r="AO56" s="71" t="s">
        <v>122</v>
      </c>
      <c r="AP56" s="70" t="s">
        <v>122</v>
      </c>
      <c r="AQ56" s="71" t="s">
        <v>122</v>
      </c>
      <c r="AR56" s="70" t="s">
        <v>122</v>
      </c>
      <c r="AS56" s="71" t="s">
        <v>122</v>
      </c>
      <c r="AT56" s="70" t="s">
        <v>122</v>
      </c>
      <c r="AU56" s="71" t="s">
        <v>122</v>
      </c>
      <c r="AV56" s="70" t="s">
        <v>122</v>
      </c>
      <c r="AW56" s="71" t="s">
        <v>122</v>
      </c>
      <c r="AX56" s="70">
        <v>52319</v>
      </c>
      <c r="AY56" s="71">
        <v>47829</v>
      </c>
      <c r="AZ56" s="70">
        <v>28.4</v>
      </c>
      <c r="BA56" s="84">
        <v>667.5</v>
      </c>
      <c r="BB56" s="80" t="s">
        <v>49</v>
      </c>
      <c r="BC56" s="64"/>
      <c r="BD56" s="64"/>
    </row>
    <row r="57" spans="1:56" x14ac:dyDescent="0.3">
      <c r="A57" s="63" t="s">
        <v>157</v>
      </c>
      <c r="B57" s="72">
        <v>6773</v>
      </c>
      <c r="C57" s="71">
        <v>2249</v>
      </c>
      <c r="D57" s="70">
        <v>155.434</v>
      </c>
      <c r="E57" s="71">
        <v>13050</v>
      </c>
      <c r="F57" s="70">
        <v>8439</v>
      </c>
      <c r="G57" s="71">
        <v>269.06099999999998</v>
      </c>
      <c r="H57" s="70">
        <v>3947</v>
      </c>
      <c r="I57" s="71">
        <v>1292</v>
      </c>
      <c r="J57" s="70">
        <v>105.04300000000001</v>
      </c>
      <c r="K57" s="71">
        <v>3016</v>
      </c>
      <c r="L57" s="70">
        <v>868</v>
      </c>
      <c r="M57" s="71">
        <v>29.535</v>
      </c>
      <c r="N57" s="70">
        <v>217</v>
      </c>
      <c r="O57" s="71">
        <v>144</v>
      </c>
      <c r="P57" s="70">
        <v>5.7850000000000001</v>
      </c>
      <c r="Q57" s="71" t="s">
        <v>122</v>
      </c>
      <c r="R57" s="70" t="s">
        <v>122</v>
      </c>
      <c r="S57" s="71" t="s">
        <v>122</v>
      </c>
      <c r="T57" s="70">
        <v>1618</v>
      </c>
      <c r="U57" s="71">
        <v>605</v>
      </c>
      <c r="V57" s="70">
        <v>21.94</v>
      </c>
      <c r="W57" s="71">
        <v>105</v>
      </c>
      <c r="X57" s="70">
        <v>20</v>
      </c>
      <c r="Y57" s="71">
        <v>1.4</v>
      </c>
      <c r="Z57" s="70">
        <v>2297</v>
      </c>
      <c r="AA57" s="71">
        <v>333</v>
      </c>
      <c r="AB57" s="70">
        <v>35.72</v>
      </c>
      <c r="AC57" s="71">
        <v>290</v>
      </c>
      <c r="AD57" s="70">
        <v>130</v>
      </c>
      <c r="AE57" s="71">
        <v>7.19</v>
      </c>
      <c r="AF57" s="70">
        <v>4598</v>
      </c>
      <c r="AG57" s="71">
        <v>865</v>
      </c>
      <c r="AH57" s="70">
        <v>98.215000000000003</v>
      </c>
      <c r="AI57" s="71">
        <v>181</v>
      </c>
      <c r="AJ57" s="70">
        <v>31</v>
      </c>
      <c r="AK57" s="71">
        <v>5.76</v>
      </c>
      <c r="AL57" s="70">
        <v>6005</v>
      </c>
      <c r="AM57" s="71">
        <v>1452</v>
      </c>
      <c r="AN57" s="70">
        <v>62.904000000000003</v>
      </c>
      <c r="AO57" s="71">
        <v>2896</v>
      </c>
      <c r="AP57" s="70">
        <v>141</v>
      </c>
      <c r="AQ57" s="71">
        <v>37.295999999999999</v>
      </c>
      <c r="AR57" s="70" t="s">
        <v>122</v>
      </c>
      <c r="AS57" s="71" t="s">
        <v>122</v>
      </c>
      <c r="AT57" s="70" t="s">
        <v>122</v>
      </c>
      <c r="AU57" s="71">
        <v>25</v>
      </c>
      <c r="AV57" s="70">
        <v>25</v>
      </c>
      <c r="AW57" s="71">
        <v>0.4</v>
      </c>
      <c r="AX57" s="70">
        <v>388242</v>
      </c>
      <c r="AY57" s="71">
        <v>338908</v>
      </c>
      <c r="AZ57" s="70">
        <v>193.18799999999999</v>
      </c>
      <c r="BA57" s="84">
        <v>7994.2340000000004</v>
      </c>
      <c r="BB57" s="80" t="s">
        <v>50</v>
      </c>
      <c r="BC57" s="64"/>
      <c r="BD57" s="64"/>
    </row>
    <row r="58" spans="1:56" x14ac:dyDescent="0.3">
      <c r="A58" s="63" t="s">
        <v>158</v>
      </c>
      <c r="B58" s="72">
        <v>9787</v>
      </c>
      <c r="C58" s="71">
        <v>2582</v>
      </c>
      <c r="D58" s="70">
        <v>99.5</v>
      </c>
      <c r="E58" s="71">
        <v>5215</v>
      </c>
      <c r="F58" s="70">
        <v>2190</v>
      </c>
      <c r="G58" s="71">
        <v>91.5</v>
      </c>
      <c r="H58" s="70">
        <v>1340</v>
      </c>
      <c r="I58" s="71">
        <v>460</v>
      </c>
      <c r="J58" s="70">
        <v>25.95</v>
      </c>
      <c r="K58" s="71">
        <v>4941</v>
      </c>
      <c r="L58" s="70">
        <v>1661</v>
      </c>
      <c r="M58" s="71">
        <v>47.4</v>
      </c>
      <c r="N58" s="70">
        <v>900</v>
      </c>
      <c r="O58" s="71">
        <v>20</v>
      </c>
      <c r="P58" s="70">
        <v>9.3699999999999992</v>
      </c>
      <c r="Q58" s="71" t="s">
        <v>122</v>
      </c>
      <c r="R58" s="70" t="s">
        <v>122</v>
      </c>
      <c r="S58" s="71" t="s">
        <v>122</v>
      </c>
      <c r="T58" s="70">
        <v>887</v>
      </c>
      <c r="U58" s="71">
        <v>632</v>
      </c>
      <c r="V58" s="70">
        <v>13.35</v>
      </c>
      <c r="W58" s="71">
        <v>430</v>
      </c>
      <c r="X58" s="70">
        <v>40</v>
      </c>
      <c r="Y58" s="71">
        <v>4</v>
      </c>
      <c r="Z58" s="70">
        <v>300</v>
      </c>
      <c r="AA58" s="71" t="s">
        <v>122</v>
      </c>
      <c r="AB58" s="70">
        <v>4.2</v>
      </c>
      <c r="AC58" s="71">
        <v>100</v>
      </c>
      <c r="AD58" s="70" t="s">
        <v>122</v>
      </c>
      <c r="AE58" s="71">
        <v>1</v>
      </c>
      <c r="AF58" s="70">
        <v>1730</v>
      </c>
      <c r="AG58" s="71">
        <v>70</v>
      </c>
      <c r="AH58" s="70">
        <v>17.7</v>
      </c>
      <c r="AI58" s="71" t="s">
        <v>122</v>
      </c>
      <c r="AJ58" s="70" t="s">
        <v>122</v>
      </c>
      <c r="AK58" s="71" t="s">
        <v>122</v>
      </c>
      <c r="AL58" s="70">
        <v>9453</v>
      </c>
      <c r="AM58" s="71">
        <v>2178</v>
      </c>
      <c r="AN58" s="70">
        <v>73.349999999999994</v>
      </c>
      <c r="AO58" s="71">
        <v>1398</v>
      </c>
      <c r="AP58" s="70">
        <v>68</v>
      </c>
      <c r="AQ58" s="71">
        <v>14.1</v>
      </c>
      <c r="AR58" s="70" t="s">
        <v>122</v>
      </c>
      <c r="AS58" s="71" t="s">
        <v>122</v>
      </c>
      <c r="AT58" s="70" t="s">
        <v>122</v>
      </c>
      <c r="AU58" s="71" t="s">
        <v>122</v>
      </c>
      <c r="AV58" s="70" t="s">
        <v>122</v>
      </c>
      <c r="AW58" s="71" t="s">
        <v>122</v>
      </c>
      <c r="AX58" s="70">
        <v>725455</v>
      </c>
      <c r="AY58" s="71">
        <v>495755</v>
      </c>
      <c r="AZ58" s="70">
        <v>14.85</v>
      </c>
      <c r="BA58" s="84">
        <v>1051.538</v>
      </c>
      <c r="BB58" s="80" t="s">
        <v>51</v>
      </c>
      <c r="BC58" s="64"/>
      <c r="BD58" s="64"/>
    </row>
    <row r="59" spans="1:56" x14ac:dyDescent="0.3">
      <c r="A59" s="116" t="s">
        <v>52</v>
      </c>
      <c r="B59" s="117">
        <f t="shared" ref="B59:J59" si="33">SUM(B61:B63)</f>
        <v>414522</v>
      </c>
      <c r="C59" s="90">
        <f t="shared" si="33"/>
        <v>362426</v>
      </c>
      <c r="D59" s="90">
        <f t="shared" si="33"/>
        <v>17894.098000000002</v>
      </c>
      <c r="E59" s="90">
        <f t="shared" si="33"/>
        <v>2991774</v>
      </c>
      <c r="F59" s="90">
        <f t="shared" si="33"/>
        <v>2945442</v>
      </c>
      <c r="G59" s="90">
        <f>SUM(G61:G63)</f>
        <v>136697.89600000001</v>
      </c>
      <c r="H59" s="90">
        <f t="shared" si="33"/>
        <v>884405</v>
      </c>
      <c r="I59" s="90">
        <f t="shared" si="33"/>
        <v>866501</v>
      </c>
      <c r="J59" s="90">
        <f t="shared" si="33"/>
        <v>38403.294000000002</v>
      </c>
      <c r="K59" s="90">
        <f>SUM(K61:K63)</f>
        <v>54788</v>
      </c>
      <c r="L59" s="90">
        <f>SUM(L61:L63)</f>
        <v>37860</v>
      </c>
      <c r="M59" s="90">
        <f>SUM(M61:M63)</f>
        <v>1723.0409999999999</v>
      </c>
      <c r="N59" s="90">
        <f>SUM(N61:N63)</f>
        <v>46926</v>
      </c>
      <c r="O59" s="90">
        <f t="shared" ref="O59:AE59" si="34">SUM(O61:O63)</f>
        <v>36855</v>
      </c>
      <c r="P59" s="90">
        <f t="shared" si="34"/>
        <v>1608.722</v>
      </c>
      <c r="Q59" s="90">
        <f t="shared" ref="Q59:V59" si="35">SUM(Q61:Q63)</f>
        <v>377502</v>
      </c>
      <c r="R59" s="90">
        <f t="shared" si="35"/>
        <v>376317</v>
      </c>
      <c r="S59" s="90">
        <f t="shared" si="35"/>
        <v>15952.114</v>
      </c>
      <c r="T59" s="90">
        <f t="shared" si="35"/>
        <v>131286</v>
      </c>
      <c r="U59" s="90">
        <f t="shared" si="35"/>
        <v>124257</v>
      </c>
      <c r="V59" s="90">
        <f t="shared" si="35"/>
        <v>4615.8869999999997</v>
      </c>
      <c r="W59" s="90">
        <f t="shared" si="34"/>
        <v>32193</v>
      </c>
      <c r="X59" s="90">
        <f t="shared" si="34"/>
        <v>22212</v>
      </c>
      <c r="Y59" s="90">
        <f t="shared" si="34"/>
        <v>1130.4960000000001</v>
      </c>
      <c r="Z59" s="96">
        <f t="shared" si="34"/>
        <v>13877</v>
      </c>
      <c r="AA59" s="90">
        <f t="shared" si="34"/>
        <v>8243</v>
      </c>
      <c r="AB59" s="90">
        <f t="shared" si="34"/>
        <v>537.69600000000003</v>
      </c>
      <c r="AC59" s="90">
        <f t="shared" si="34"/>
        <v>35257</v>
      </c>
      <c r="AD59" s="90">
        <f t="shared" si="34"/>
        <v>25212</v>
      </c>
      <c r="AE59" s="90">
        <f t="shared" si="34"/>
        <v>872.51599999999996</v>
      </c>
      <c r="AF59" s="90">
        <f>SUM(AF61:AF63)</f>
        <v>17845</v>
      </c>
      <c r="AG59" s="90">
        <f t="shared" ref="AG59:AQ59" si="36">SUM(AG61:AG63)</f>
        <v>2723</v>
      </c>
      <c r="AH59" s="90">
        <f t="shared" si="36"/>
        <v>632.73299999999995</v>
      </c>
      <c r="AI59" s="90">
        <f t="shared" si="36"/>
        <v>87</v>
      </c>
      <c r="AJ59" s="90">
        <f t="shared" si="36"/>
        <v>47</v>
      </c>
      <c r="AK59" s="90">
        <f t="shared" si="36"/>
        <v>3.82</v>
      </c>
      <c r="AL59" s="90">
        <f t="shared" si="36"/>
        <v>53318</v>
      </c>
      <c r="AM59" s="90">
        <f t="shared" si="36"/>
        <v>41461</v>
      </c>
      <c r="AN59" s="90">
        <f t="shared" si="36"/>
        <v>880.88400000000001</v>
      </c>
      <c r="AO59" s="90">
        <f t="shared" si="36"/>
        <v>229234</v>
      </c>
      <c r="AP59" s="90">
        <f t="shared" si="36"/>
        <v>187903</v>
      </c>
      <c r="AQ59" s="90">
        <f t="shared" si="36"/>
        <v>4624.085</v>
      </c>
      <c r="AR59" s="90">
        <f>SUM(AR61:AR63)</f>
        <v>59265</v>
      </c>
      <c r="AS59" s="90">
        <f t="shared" ref="AS59:BA59" si="37">SUM(AS61:AS63)</f>
        <v>54245</v>
      </c>
      <c r="AT59" s="90">
        <f t="shared" si="37"/>
        <v>1492.7439999999999</v>
      </c>
      <c r="AU59" s="90">
        <f t="shared" si="37"/>
        <v>695</v>
      </c>
      <c r="AV59" s="90">
        <f t="shared" si="37"/>
        <v>693</v>
      </c>
      <c r="AW59" s="90">
        <f t="shared" si="37"/>
        <v>26.135000000000002</v>
      </c>
      <c r="AX59" s="90">
        <f t="shared" si="37"/>
        <v>17196604</v>
      </c>
      <c r="AY59" s="90">
        <f t="shared" si="37"/>
        <v>15834632</v>
      </c>
      <c r="AZ59" s="90">
        <f t="shared" si="37"/>
        <v>64347.682999999997</v>
      </c>
      <c r="BA59" s="91">
        <f t="shared" si="37"/>
        <v>484079.364</v>
      </c>
      <c r="BB59" s="124" t="s">
        <v>53</v>
      </c>
      <c r="BC59" s="125"/>
      <c r="BD59" s="125"/>
    </row>
    <row r="60" spans="1:56" x14ac:dyDescent="0.3">
      <c r="A60" s="116"/>
      <c r="B60" s="117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6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1"/>
      <c r="BB60" s="124"/>
      <c r="BC60" s="125"/>
      <c r="BD60" s="125"/>
    </row>
    <row r="61" spans="1:56" x14ac:dyDescent="0.3">
      <c r="A61" s="63" t="s">
        <v>159</v>
      </c>
      <c r="B61" s="72">
        <v>266795</v>
      </c>
      <c r="C61" s="71">
        <v>233321</v>
      </c>
      <c r="D61" s="70">
        <v>11798.035</v>
      </c>
      <c r="E61" s="71">
        <v>62962</v>
      </c>
      <c r="F61" s="70">
        <v>53968</v>
      </c>
      <c r="G61" s="71">
        <v>3645.6729999999998</v>
      </c>
      <c r="H61" s="70">
        <v>9824</v>
      </c>
      <c r="I61" s="71">
        <v>8000</v>
      </c>
      <c r="J61" s="70">
        <v>419.255</v>
      </c>
      <c r="K61" s="71">
        <v>26866</v>
      </c>
      <c r="L61" s="70">
        <v>25047</v>
      </c>
      <c r="M61" s="71">
        <v>852.96</v>
      </c>
      <c r="N61" s="70">
        <v>27247</v>
      </c>
      <c r="O61" s="71">
        <v>25285</v>
      </c>
      <c r="P61" s="70">
        <v>968.86099999999999</v>
      </c>
      <c r="Q61" s="71">
        <v>460</v>
      </c>
      <c r="R61" s="70">
        <v>460</v>
      </c>
      <c r="S61" s="71">
        <v>32.9</v>
      </c>
      <c r="T61" s="70">
        <v>28997</v>
      </c>
      <c r="U61" s="71">
        <v>26761</v>
      </c>
      <c r="V61" s="70">
        <v>928.37599999999998</v>
      </c>
      <c r="W61" s="71">
        <v>7379</v>
      </c>
      <c r="X61" s="70">
        <v>5619</v>
      </c>
      <c r="Y61" s="71">
        <v>293.048</v>
      </c>
      <c r="Z61" s="70">
        <v>5358</v>
      </c>
      <c r="AA61" s="71">
        <v>4417</v>
      </c>
      <c r="AB61" s="70">
        <v>275.49</v>
      </c>
      <c r="AC61" s="71">
        <v>21234</v>
      </c>
      <c r="AD61" s="70">
        <v>18428</v>
      </c>
      <c r="AE61" s="71">
        <v>588.755</v>
      </c>
      <c r="AF61" s="70">
        <v>2969</v>
      </c>
      <c r="AG61" s="71">
        <v>615</v>
      </c>
      <c r="AH61" s="70">
        <v>106.599</v>
      </c>
      <c r="AI61" s="71" t="s">
        <v>122</v>
      </c>
      <c r="AJ61" s="70" t="s">
        <v>122</v>
      </c>
      <c r="AK61" s="71" t="s">
        <v>122</v>
      </c>
      <c r="AL61" s="70">
        <v>8412</v>
      </c>
      <c r="AM61" s="71">
        <v>6221</v>
      </c>
      <c r="AN61" s="70">
        <v>131.83699999999999</v>
      </c>
      <c r="AO61" s="71">
        <v>47108</v>
      </c>
      <c r="AP61" s="70">
        <v>39621</v>
      </c>
      <c r="AQ61" s="71">
        <v>807.01199999999994</v>
      </c>
      <c r="AR61" s="70">
        <v>2461</v>
      </c>
      <c r="AS61" s="71">
        <v>1994</v>
      </c>
      <c r="AT61" s="70">
        <v>67.799000000000007</v>
      </c>
      <c r="AU61" s="71">
        <v>27</v>
      </c>
      <c r="AV61" s="70">
        <v>25</v>
      </c>
      <c r="AW61" s="71">
        <v>0.42499999999999999</v>
      </c>
      <c r="AX61" s="70">
        <v>4005697</v>
      </c>
      <c r="AY61" s="71">
        <v>3468468</v>
      </c>
      <c r="AZ61" s="70">
        <v>2205.7930000000001</v>
      </c>
      <c r="BA61" s="84">
        <v>76720.255000000005</v>
      </c>
      <c r="BB61" s="80" t="s">
        <v>54</v>
      </c>
      <c r="BC61" s="64"/>
      <c r="BD61" s="64"/>
    </row>
    <row r="62" spans="1:56" x14ac:dyDescent="0.3">
      <c r="A62" s="63" t="s">
        <v>160</v>
      </c>
      <c r="B62" s="72">
        <v>79228</v>
      </c>
      <c r="C62" s="71">
        <v>71191</v>
      </c>
      <c r="D62" s="70">
        <v>2734.7530000000002</v>
      </c>
      <c r="E62" s="71">
        <v>1810083</v>
      </c>
      <c r="F62" s="70">
        <v>1790433</v>
      </c>
      <c r="G62" s="71">
        <v>66175.801000000007</v>
      </c>
      <c r="H62" s="70">
        <v>756177</v>
      </c>
      <c r="I62" s="71">
        <v>749874</v>
      </c>
      <c r="J62" s="70">
        <v>31378.258999999998</v>
      </c>
      <c r="K62" s="71">
        <v>21209</v>
      </c>
      <c r="L62" s="70">
        <v>9816</v>
      </c>
      <c r="M62" s="71">
        <v>591.32100000000003</v>
      </c>
      <c r="N62" s="70">
        <v>15078</v>
      </c>
      <c r="O62" s="71">
        <v>9310</v>
      </c>
      <c r="P62" s="70">
        <v>414.26100000000002</v>
      </c>
      <c r="Q62" s="71">
        <v>358628</v>
      </c>
      <c r="R62" s="70">
        <v>357518</v>
      </c>
      <c r="S62" s="71">
        <v>15066.388999999999</v>
      </c>
      <c r="T62" s="70">
        <v>52239</v>
      </c>
      <c r="U62" s="71">
        <v>50814</v>
      </c>
      <c r="V62" s="70">
        <v>1814.9069999999999</v>
      </c>
      <c r="W62" s="71">
        <v>13868</v>
      </c>
      <c r="X62" s="70">
        <v>9859</v>
      </c>
      <c r="Y62" s="71">
        <v>374.11799999999999</v>
      </c>
      <c r="Z62" s="70">
        <v>4734</v>
      </c>
      <c r="AA62" s="71">
        <v>3173</v>
      </c>
      <c r="AB62" s="70">
        <v>116.53100000000001</v>
      </c>
      <c r="AC62" s="71">
        <v>9288</v>
      </c>
      <c r="AD62" s="70">
        <v>4589</v>
      </c>
      <c r="AE62" s="71">
        <v>155.64599999999999</v>
      </c>
      <c r="AF62" s="70">
        <v>5799</v>
      </c>
      <c r="AG62" s="71">
        <v>833</v>
      </c>
      <c r="AH62" s="70">
        <v>144.44399999999999</v>
      </c>
      <c r="AI62" s="71" t="s">
        <v>122</v>
      </c>
      <c r="AJ62" s="70" t="s">
        <v>122</v>
      </c>
      <c r="AK62" s="71" t="s">
        <v>122</v>
      </c>
      <c r="AL62" s="70">
        <v>25256</v>
      </c>
      <c r="AM62" s="71">
        <v>19663</v>
      </c>
      <c r="AN62" s="70">
        <v>391.351</v>
      </c>
      <c r="AO62" s="71">
        <v>131318</v>
      </c>
      <c r="AP62" s="70">
        <v>103011</v>
      </c>
      <c r="AQ62" s="71">
        <v>1974.413</v>
      </c>
      <c r="AR62" s="70">
        <v>26644</v>
      </c>
      <c r="AS62" s="71">
        <v>22691</v>
      </c>
      <c r="AT62" s="70">
        <v>522.41999999999996</v>
      </c>
      <c r="AU62" s="71">
        <v>73</v>
      </c>
      <c r="AV62" s="70">
        <v>73</v>
      </c>
      <c r="AW62" s="71">
        <v>1.085</v>
      </c>
      <c r="AX62" s="70">
        <v>5830558</v>
      </c>
      <c r="AY62" s="71">
        <v>5048754</v>
      </c>
      <c r="AZ62" s="70">
        <v>59436.991000000002</v>
      </c>
      <c r="BA62" s="84">
        <v>47182.974000000002</v>
      </c>
      <c r="BB62" s="80" t="s">
        <v>55</v>
      </c>
      <c r="BC62" s="64"/>
      <c r="BD62" s="64"/>
    </row>
    <row r="63" spans="1:56" x14ac:dyDescent="0.3">
      <c r="A63" s="63" t="s">
        <v>161</v>
      </c>
      <c r="B63" s="72">
        <v>68499</v>
      </c>
      <c r="C63" s="71">
        <v>57914</v>
      </c>
      <c r="D63" s="70">
        <v>3361.31</v>
      </c>
      <c r="E63" s="71">
        <v>1118729</v>
      </c>
      <c r="F63" s="70">
        <v>1101041</v>
      </c>
      <c r="G63" s="71">
        <v>66876.422000000006</v>
      </c>
      <c r="H63" s="70">
        <v>118404</v>
      </c>
      <c r="I63" s="71">
        <v>108627</v>
      </c>
      <c r="J63" s="70">
        <v>6605.78</v>
      </c>
      <c r="K63" s="71">
        <v>6713</v>
      </c>
      <c r="L63" s="70">
        <v>2997</v>
      </c>
      <c r="M63" s="71">
        <v>278.76</v>
      </c>
      <c r="N63" s="70">
        <v>4601</v>
      </c>
      <c r="O63" s="71">
        <v>2260</v>
      </c>
      <c r="P63" s="70">
        <v>225.6</v>
      </c>
      <c r="Q63" s="71">
        <v>18414</v>
      </c>
      <c r="R63" s="70">
        <v>18339</v>
      </c>
      <c r="S63" s="71">
        <v>852.82500000000005</v>
      </c>
      <c r="T63" s="70">
        <v>50050</v>
      </c>
      <c r="U63" s="71">
        <v>46682</v>
      </c>
      <c r="V63" s="70">
        <v>1872.604</v>
      </c>
      <c r="W63" s="71">
        <v>10946</v>
      </c>
      <c r="X63" s="70">
        <v>6734</v>
      </c>
      <c r="Y63" s="71">
        <v>463.33000000000004</v>
      </c>
      <c r="Z63" s="70">
        <v>3785</v>
      </c>
      <c r="AA63" s="71">
        <v>653</v>
      </c>
      <c r="AB63" s="70">
        <v>145.67500000000001</v>
      </c>
      <c r="AC63" s="71">
        <v>4735</v>
      </c>
      <c r="AD63" s="70">
        <v>2195</v>
      </c>
      <c r="AE63" s="71">
        <v>128.11500000000001</v>
      </c>
      <c r="AF63" s="70">
        <v>9077</v>
      </c>
      <c r="AG63" s="71">
        <v>1275</v>
      </c>
      <c r="AH63" s="70">
        <v>381.69</v>
      </c>
      <c r="AI63" s="71">
        <v>87</v>
      </c>
      <c r="AJ63" s="70">
        <v>47</v>
      </c>
      <c r="AK63" s="71">
        <v>3.82</v>
      </c>
      <c r="AL63" s="70">
        <v>19650</v>
      </c>
      <c r="AM63" s="71">
        <v>15577</v>
      </c>
      <c r="AN63" s="70">
        <v>357.69600000000003</v>
      </c>
      <c r="AO63" s="71">
        <v>50808</v>
      </c>
      <c r="AP63" s="70">
        <v>45271</v>
      </c>
      <c r="AQ63" s="71">
        <v>1842.66</v>
      </c>
      <c r="AR63" s="70">
        <v>30160</v>
      </c>
      <c r="AS63" s="71">
        <v>29560</v>
      </c>
      <c r="AT63" s="70">
        <v>902.52499999999998</v>
      </c>
      <c r="AU63" s="71">
        <v>595</v>
      </c>
      <c r="AV63" s="70">
        <v>595</v>
      </c>
      <c r="AW63" s="71">
        <v>24.625</v>
      </c>
      <c r="AX63" s="70">
        <v>7360349</v>
      </c>
      <c r="AY63" s="71">
        <v>7317410</v>
      </c>
      <c r="AZ63" s="70">
        <v>2704.8989999999999</v>
      </c>
      <c r="BA63" s="84">
        <v>360176.13500000001</v>
      </c>
      <c r="BB63" s="80" t="s">
        <v>56</v>
      </c>
      <c r="BC63" s="64"/>
      <c r="BD63" s="64"/>
    </row>
    <row r="64" spans="1:56" x14ac:dyDescent="0.3">
      <c r="A64" s="116" t="s">
        <v>57</v>
      </c>
      <c r="B64" s="117">
        <f t="shared" ref="B64:J64" si="38">SUM(B66:B70)</f>
        <v>532419</v>
      </c>
      <c r="C64" s="90">
        <f t="shared" si="38"/>
        <v>519295</v>
      </c>
      <c r="D64" s="90">
        <f t="shared" si="38"/>
        <v>24459.805</v>
      </c>
      <c r="E64" s="90">
        <f t="shared" si="38"/>
        <v>7913993</v>
      </c>
      <c r="F64" s="90">
        <f t="shared" si="38"/>
        <v>7876967</v>
      </c>
      <c r="G64" s="90">
        <f>SUM(G66:G70)</f>
        <v>450130.52799999999</v>
      </c>
      <c r="H64" s="90">
        <f t="shared" si="38"/>
        <v>2002986</v>
      </c>
      <c r="I64" s="90">
        <f t="shared" si="38"/>
        <v>1982372</v>
      </c>
      <c r="J64" s="90">
        <f t="shared" si="38"/>
        <v>95654.444000000003</v>
      </c>
      <c r="K64" s="90">
        <f>SUM(K66:K70)</f>
        <v>187549</v>
      </c>
      <c r="L64" s="90">
        <f>SUM(L66:L70)</f>
        <v>180209</v>
      </c>
      <c r="M64" s="90">
        <f>SUM(M66:M70)</f>
        <v>5972.956000000001</v>
      </c>
      <c r="N64" s="90">
        <f>SUM(N66:N70)</f>
        <v>542789</v>
      </c>
      <c r="O64" s="90">
        <f t="shared" ref="O64:AE64" si="39">SUM(O66:O70)</f>
        <v>540197</v>
      </c>
      <c r="P64" s="90">
        <f t="shared" si="39"/>
        <v>15204.947999999999</v>
      </c>
      <c r="Q64" s="90">
        <f t="shared" ref="Q64:V64" si="40">SUM(Q66:Q70)</f>
        <v>1490</v>
      </c>
      <c r="R64" s="90">
        <f t="shared" si="40"/>
        <v>1490</v>
      </c>
      <c r="S64" s="90">
        <f t="shared" si="40"/>
        <v>39.653999999999996</v>
      </c>
      <c r="T64" s="90">
        <f t="shared" si="40"/>
        <v>232147</v>
      </c>
      <c r="U64" s="90">
        <f t="shared" si="40"/>
        <v>222976</v>
      </c>
      <c r="V64" s="90">
        <f t="shared" si="40"/>
        <v>9304.8959999999988</v>
      </c>
      <c r="W64" s="90">
        <f t="shared" si="39"/>
        <v>205400</v>
      </c>
      <c r="X64" s="90">
        <f t="shared" si="39"/>
        <v>201679</v>
      </c>
      <c r="Y64" s="90">
        <f t="shared" si="39"/>
        <v>8832.5749999999989</v>
      </c>
      <c r="Z64" s="96">
        <f t="shared" si="39"/>
        <v>1092317</v>
      </c>
      <c r="AA64" s="90">
        <f t="shared" si="39"/>
        <v>1087641</v>
      </c>
      <c r="AB64" s="90">
        <f t="shared" si="39"/>
        <v>50092.007999999994</v>
      </c>
      <c r="AC64" s="90">
        <f t="shared" si="39"/>
        <v>102216</v>
      </c>
      <c r="AD64" s="90">
        <f t="shared" si="39"/>
        <v>100553</v>
      </c>
      <c r="AE64" s="90">
        <f t="shared" si="39"/>
        <v>3203.6210000000001</v>
      </c>
      <c r="AF64" s="90">
        <f>SUM(AF66:AF70)</f>
        <v>36973</v>
      </c>
      <c r="AG64" s="90">
        <f t="shared" ref="AG64:AQ64" si="41">SUM(AG66:AG70)</f>
        <v>27231</v>
      </c>
      <c r="AH64" s="90">
        <f t="shared" si="41"/>
        <v>1009.309</v>
      </c>
      <c r="AI64" s="90">
        <f t="shared" si="41"/>
        <v>285193</v>
      </c>
      <c r="AJ64" s="90">
        <f t="shared" si="41"/>
        <v>283180</v>
      </c>
      <c r="AK64" s="90">
        <f t="shared" si="41"/>
        <v>7282.6310000000003</v>
      </c>
      <c r="AL64" s="90">
        <f t="shared" si="41"/>
        <v>100013</v>
      </c>
      <c r="AM64" s="90">
        <f t="shared" si="41"/>
        <v>93482</v>
      </c>
      <c r="AN64" s="90">
        <f t="shared" si="41"/>
        <v>1324.6220000000001</v>
      </c>
      <c r="AO64" s="90">
        <f t="shared" si="41"/>
        <v>380148</v>
      </c>
      <c r="AP64" s="90">
        <f t="shared" si="41"/>
        <v>345141</v>
      </c>
      <c r="AQ64" s="90">
        <f t="shared" si="41"/>
        <v>6065.0750000000007</v>
      </c>
      <c r="AR64" s="90">
        <f>SUM(AR66:AR70)</f>
        <v>141666</v>
      </c>
      <c r="AS64" s="90">
        <f t="shared" ref="AS64:BA64" si="42">SUM(AS66:AS70)</f>
        <v>137461</v>
      </c>
      <c r="AT64" s="90">
        <f t="shared" si="42"/>
        <v>2997.373</v>
      </c>
      <c r="AU64" s="90">
        <f t="shared" si="42"/>
        <v>11351</v>
      </c>
      <c r="AV64" s="90">
        <f t="shared" si="42"/>
        <v>11326</v>
      </c>
      <c r="AW64" s="90">
        <f t="shared" si="42"/>
        <v>189.66499999999999</v>
      </c>
      <c r="AX64" s="90">
        <f t="shared" si="42"/>
        <v>38507692</v>
      </c>
      <c r="AY64" s="90">
        <f t="shared" si="42"/>
        <v>38385054</v>
      </c>
      <c r="AZ64" s="90">
        <f t="shared" si="42"/>
        <v>93069.031000000003</v>
      </c>
      <c r="BA64" s="91">
        <f t="shared" si="42"/>
        <v>820961.61300000001</v>
      </c>
      <c r="BB64" s="124" t="s">
        <v>58</v>
      </c>
      <c r="BC64" s="125"/>
      <c r="BD64" s="125"/>
    </row>
    <row r="65" spans="1:56" x14ac:dyDescent="0.3">
      <c r="A65" s="116"/>
      <c r="B65" s="117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6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1"/>
      <c r="BB65" s="124"/>
      <c r="BC65" s="125"/>
      <c r="BD65" s="125"/>
    </row>
    <row r="66" spans="1:56" x14ac:dyDescent="0.3">
      <c r="A66" s="63" t="s">
        <v>162</v>
      </c>
      <c r="B66" s="72">
        <v>10262</v>
      </c>
      <c r="C66" s="71">
        <v>10008</v>
      </c>
      <c r="D66" s="70">
        <v>323.45800000000003</v>
      </c>
      <c r="E66" s="71">
        <v>20187</v>
      </c>
      <c r="F66" s="70">
        <v>19884</v>
      </c>
      <c r="G66" s="71">
        <v>1407.665</v>
      </c>
      <c r="H66" s="70">
        <v>19072</v>
      </c>
      <c r="I66" s="71">
        <v>18852</v>
      </c>
      <c r="J66" s="70">
        <v>1213.5</v>
      </c>
      <c r="K66" s="71">
        <v>59609</v>
      </c>
      <c r="L66" s="70">
        <v>57994</v>
      </c>
      <c r="M66" s="71">
        <v>1746.7429999999999</v>
      </c>
      <c r="N66" s="70">
        <v>373054</v>
      </c>
      <c r="O66" s="71">
        <v>371789</v>
      </c>
      <c r="P66" s="70">
        <v>7282.5720000000001</v>
      </c>
      <c r="Q66" s="71">
        <v>473</v>
      </c>
      <c r="R66" s="70">
        <v>473</v>
      </c>
      <c r="S66" s="71">
        <v>3.6</v>
      </c>
      <c r="T66" s="70">
        <v>9530</v>
      </c>
      <c r="U66" s="71">
        <v>9278</v>
      </c>
      <c r="V66" s="70">
        <v>270.77999999999997</v>
      </c>
      <c r="W66" s="71">
        <v>5544</v>
      </c>
      <c r="X66" s="70">
        <v>5385</v>
      </c>
      <c r="Y66" s="71">
        <v>249.77100000000002</v>
      </c>
      <c r="Z66" s="70">
        <v>80110</v>
      </c>
      <c r="AA66" s="71">
        <v>80043</v>
      </c>
      <c r="AB66" s="70">
        <v>2768.652</v>
      </c>
      <c r="AC66" s="71">
        <v>67874</v>
      </c>
      <c r="AD66" s="70">
        <v>67143</v>
      </c>
      <c r="AE66" s="71">
        <v>2020.345</v>
      </c>
      <c r="AF66" s="70">
        <v>1359</v>
      </c>
      <c r="AG66" s="71">
        <v>713</v>
      </c>
      <c r="AH66" s="70">
        <v>27.68</v>
      </c>
      <c r="AI66" s="71">
        <v>4221</v>
      </c>
      <c r="AJ66" s="70">
        <v>4211</v>
      </c>
      <c r="AK66" s="71">
        <v>45.8</v>
      </c>
      <c r="AL66" s="70">
        <v>42221</v>
      </c>
      <c r="AM66" s="71">
        <v>39366</v>
      </c>
      <c r="AN66" s="70">
        <v>456.31599999999997</v>
      </c>
      <c r="AO66" s="71">
        <v>195607</v>
      </c>
      <c r="AP66" s="70">
        <v>166499</v>
      </c>
      <c r="AQ66" s="71">
        <v>1903.396</v>
      </c>
      <c r="AR66" s="70">
        <v>110878</v>
      </c>
      <c r="AS66" s="71">
        <v>107008</v>
      </c>
      <c r="AT66" s="70">
        <v>1843.58</v>
      </c>
      <c r="AU66" s="71" t="s">
        <v>122</v>
      </c>
      <c r="AV66" s="70" t="s">
        <v>122</v>
      </c>
      <c r="AW66" s="71" t="s">
        <v>122</v>
      </c>
      <c r="AX66" s="70">
        <v>2349064</v>
      </c>
      <c r="AY66" s="71">
        <v>2306372</v>
      </c>
      <c r="AZ66" s="70">
        <v>2799.8409999999999</v>
      </c>
      <c r="BA66" s="84">
        <v>26294.617999999999</v>
      </c>
      <c r="BB66" s="80" t="s">
        <v>59</v>
      </c>
      <c r="BC66" s="64"/>
      <c r="BD66" s="64"/>
    </row>
    <row r="67" spans="1:56" x14ac:dyDescent="0.3">
      <c r="A67" s="63" t="s">
        <v>163</v>
      </c>
      <c r="B67" s="72">
        <v>99797</v>
      </c>
      <c r="C67" s="71">
        <v>99314</v>
      </c>
      <c r="D67" s="70">
        <v>5154.7960000000003</v>
      </c>
      <c r="E67" s="71">
        <v>4108277</v>
      </c>
      <c r="F67" s="70">
        <v>4087210</v>
      </c>
      <c r="G67" s="71">
        <v>239643.56899999999</v>
      </c>
      <c r="H67" s="70">
        <v>1401799</v>
      </c>
      <c r="I67" s="71">
        <v>1384465</v>
      </c>
      <c r="J67" s="70">
        <v>70285.744000000006</v>
      </c>
      <c r="K67" s="71">
        <v>33274</v>
      </c>
      <c r="L67" s="70">
        <v>32858</v>
      </c>
      <c r="M67" s="71">
        <v>1025.8330000000001</v>
      </c>
      <c r="N67" s="70">
        <v>10350</v>
      </c>
      <c r="O67" s="71">
        <v>10280</v>
      </c>
      <c r="P67" s="70">
        <v>400.15</v>
      </c>
      <c r="Q67" s="71" t="s">
        <v>122</v>
      </c>
      <c r="R67" s="70" t="s">
        <v>122</v>
      </c>
      <c r="S67" s="71" t="s">
        <v>122</v>
      </c>
      <c r="T67" s="70">
        <v>135130</v>
      </c>
      <c r="U67" s="71">
        <v>134052</v>
      </c>
      <c r="V67" s="70">
        <v>5256.4639999999999</v>
      </c>
      <c r="W67" s="71">
        <v>143784</v>
      </c>
      <c r="X67" s="70">
        <v>142480</v>
      </c>
      <c r="Y67" s="71">
        <v>6187.3799999999992</v>
      </c>
      <c r="Z67" s="70">
        <v>622786</v>
      </c>
      <c r="AA67" s="71">
        <v>620661</v>
      </c>
      <c r="AB67" s="70">
        <v>30004.37</v>
      </c>
      <c r="AC67" s="71">
        <v>607</v>
      </c>
      <c r="AD67" s="70">
        <v>572</v>
      </c>
      <c r="AE67" s="71">
        <v>12.3</v>
      </c>
      <c r="AF67" s="70">
        <v>3406</v>
      </c>
      <c r="AG67" s="71">
        <v>3367</v>
      </c>
      <c r="AH67" s="70">
        <v>100.072</v>
      </c>
      <c r="AI67" s="71" t="s">
        <v>122</v>
      </c>
      <c r="AJ67" s="70" t="s">
        <v>122</v>
      </c>
      <c r="AK67" s="71" t="s">
        <v>122</v>
      </c>
      <c r="AL67" s="70">
        <v>8492</v>
      </c>
      <c r="AM67" s="71">
        <v>8337</v>
      </c>
      <c r="AN67" s="70">
        <v>135.06</v>
      </c>
      <c r="AO67" s="71">
        <v>5485</v>
      </c>
      <c r="AP67" s="70">
        <v>5398</v>
      </c>
      <c r="AQ67" s="71">
        <v>51.655000000000001</v>
      </c>
      <c r="AR67" s="70">
        <v>870</v>
      </c>
      <c r="AS67" s="71">
        <v>860</v>
      </c>
      <c r="AT67" s="70">
        <v>26.19</v>
      </c>
      <c r="AU67" s="71">
        <v>7335</v>
      </c>
      <c r="AV67" s="70">
        <v>7325</v>
      </c>
      <c r="AW67" s="71">
        <v>129.065</v>
      </c>
      <c r="AX67" s="70">
        <v>3988657</v>
      </c>
      <c r="AY67" s="71">
        <v>3982939</v>
      </c>
      <c r="AZ67" s="70">
        <v>985.89</v>
      </c>
      <c r="BA67" s="84">
        <v>44928.072</v>
      </c>
      <c r="BB67" s="80" t="s">
        <v>60</v>
      </c>
      <c r="BC67" s="64"/>
      <c r="BD67" s="64"/>
    </row>
    <row r="68" spans="1:56" x14ac:dyDescent="0.3">
      <c r="A68" s="63" t="s">
        <v>164</v>
      </c>
      <c r="B68" s="72">
        <v>343183</v>
      </c>
      <c r="C68" s="71">
        <v>343183</v>
      </c>
      <c r="D68" s="70">
        <v>15402.55</v>
      </c>
      <c r="E68" s="71">
        <v>163122</v>
      </c>
      <c r="F68" s="70">
        <v>163114</v>
      </c>
      <c r="G68" s="71">
        <v>8494.15</v>
      </c>
      <c r="H68" s="70">
        <v>32055</v>
      </c>
      <c r="I68" s="71">
        <v>32040</v>
      </c>
      <c r="J68" s="70">
        <v>1147.3499999999999</v>
      </c>
      <c r="K68" s="71">
        <v>85661</v>
      </c>
      <c r="L68" s="70">
        <v>85661</v>
      </c>
      <c r="M68" s="71">
        <v>2961.6849999999999</v>
      </c>
      <c r="N68" s="70">
        <v>152927</v>
      </c>
      <c r="O68" s="71">
        <v>152927</v>
      </c>
      <c r="P68" s="70">
        <v>7282.95</v>
      </c>
      <c r="Q68" s="71">
        <v>240</v>
      </c>
      <c r="R68" s="70">
        <v>240</v>
      </c>
      <c r="S68" s="71">
        <v>9.6</v>
      </c>
      <c r="T68" s="70">
        <v>7364</v>
      </c>
      <c r="U68" s="71">
        <v>7364</v>
      </c>
      <c r="V68" s="70">
        <v>248.73500000000001</v>
      </c>
      <c r="W68" s="71">
        <v>39052</v>
      </c>
      <c r="X68" s="70">
        <v>39044</v>
      </c>
      <c r="Y68" s="71">
        <v>1805.1000000000001</v>
      </c>
      <c r="Z68" s="70">
        <v>378469</v>
      </c>
      <c r="AA68" s="71">
        <v>378469</v>
      </c>
      <c r="AB68" s="70">
        <v>16973.165000000001</v>
      </c>
      <c r="AC68" s="71">
        <v>29857</v>
      </c>
      <c r="AD68" s="70">
        <v>29857</v>
      </c>
      <c r="AE68" s="71">
        <v>1051.25</v>
      </c>
      <c r="AF68" s="70">
        <v>13787</v>
      </c>
      <c r="AG68" s="71">
        <v>13787</v>
      </c>
      <c r="AH68" s="70">
        <v>371.52499999999998</v>
      </c>
      <c r="AI68" s="71">
        <v>120</v>
      </c>
      <c r="AJ68" s="70">
        <v>120</v>
      </c>
      <c r="AK68" s="71">
        <v>1.61</v>
      </c>
      <c r="AL68" s="70">
        <v>20815</v>
      </c>
      <c r="AM68" s="71">
        <v>20809</v>
      </c>
      <c r="AN68" s="70">
        <v>327.29899999999998</v>
      </c>
      <c r="AO68" s="71">
        <v>109638</v>
      </c>
      <c r="AP68" s="70">
        <v>109638</v>
      </c>
      <c r="AQ68" s="71">
        <v>2455.4499999999998</v>
      </c>
      <c r="AR68" s="70">
        <v>4439</v>
      </c>
      <c r="AS68" s="71">
        <v>4439</v>
      </c>
      <c r="AT68" s="70">
        <v>101.075</v>
      </c>
      <c r="AU68" s="71">
        <v>3574</v>
      </c>
      <c r="AV68" s="70">
        <v>3574</v>
      </c>
      <c r="AW68" s="71">
        <v>53.505000000000003</v>
      </c>
      <c r="AX68" s="70">
        <v>3883932</v>
      </c>
      <c r="AY68" s="71">
        <v>3883932</v>
      </c>
      <c r="AZ68" s="70">
        <v>239.37</v>
      </c>
      <c r="BA68" s="84">
        <v>38829.036</v>
      </c>
      <c r="BB68" s="80" t="s">
        <v>61</v>
      </c>
      <c r="BC68" s="64"/>
      <c r="BD68" s="64"/>
    </row>
    <row r="69" spans="1:56" x14ac:dyDescent="0.3">
      <c r="A69" s="63" t="s">
        <v>165</v>
      </c>
      <c r="B69" s="72">
        <v>56962</v>
      </c>
      <c r="C69" s="71">
        <v>56283</v>
      </c>
      <c r="D69" s="70">
        <v>2791.1930000000002</v>
      </c>
      <c r="E69" s="71">
        <v>3553960</v>
      </c>
      <c r="F69" s="70">
        <v>3552432</v>
      </c>
      <c r="G69" s="71">
        <v>196986.62599999999</v>
      </c>
      <c r="H69" s="70">
        <v>539845</v>
      </c>
      <c r="I69" s="71">
        <v>539677</v>
      </c>
      <c r="J69" s="70">
        <v>22490.166000000001</v>
      </c>
      <c r="K69" s="71">
        <v>1469</v>
      </c>
      <c r="L69" s="70">
        <v>1379</v>
      </c>
      <c r="M69" s="71">
        <v>55.145000000000003</v>
      </c>
      <c r="N69" s="70">
        <v>2105</v>
      </c>
      <c r="O69" s="71">
        <v>1740</v>
      </c>
      <c r="P69" s="70">
        <v>60.21</v>
      </c>
      <c r="Q69" s="71" t="s">
        <v>122</v>
      </c>
      <c r="R69" s="70" t="s">
        <v>122</v>
      </c>
      <c r="S69" s="71" t="s">
        <v>122</v>
      </c>
      <c r="T69" s="70">
        <v>60546</v>
      </c>
      <c r="U69" s="71">
        <v>57605</v>
      </c>
      <c r="V69" s="70">
        <v>2977.33</v>
      </c>
      <c r="W69" s="71">
        <v>12144</v>
      </c>
      <c r="X69" s="70">
        <v>12112</v>
      </c>
      <c r="Y69" s="71">
        <v>470.42</v>
      </c>
      <c r="Z69" s="70">
        <v>7979</v>
      </c>
      <c r="AA69" s="71">
        <v>7886</v>
      </c>
      <c r="AB69" s="70">
        <v>270.36099999999999</v>
      </c>
      <c r="AC69" s="71">
        <v>1384</v>
      </c>
      <c r="AD69" s="70">
        <v>1280</v>
      </c>
      <c r="AE69" s="71">
        <v>39.734999999999999</v>
      </c>
      <c r="AF69" s="70">
        <v>6247</v>
      </c>
      <c r="AG69" s="71">
        <v>6185</v>
      </c>
      <c r="AH69" s="70">
        <v>212.00299999999999</v>
      </c>
      <c r="AI69" s="71">
        <v>62160</v>
      </c>
      <c r="AJ69" s="70">
        <v>61807</v>
      </c>
      <c r="AK69" s="71">
        <v>2487.951</v>
      </c>
      <c r="AL69" s="70">
        <v>20759</v>
      </c>
      <c r="AM69" s="71">
        <v>19919</v>
      </c>
      <c r="AN69" s="70">
        <v>285.12299999999999</v>
      </c>
      <c r="AO69" s="71">
        <v>42374</v>
      </c>
      <c r="AP69" s="70">
        <v>40223</v>
      </c>
      <c r="AQ69" s="71">
        <v>887.88099999999997</v>
      </c>
      <c r="AR69" s="70">
        <v>21936</v>
      </c>
      <c r="AS69" s="71">
        <v>21735</v>
      </c>
      <c r="AT69" s="70">
        <v>869.55499999999995</v>
      </c>
      <c r="AU69" s="71">
        <v>244</v>
      </c>
      <c r="AV69" s="70">
        <v>229</v>
      </c>
      <c r="AW69" s="71">
        <v>2.4750000000000001</v>
      </c>
      <c r="AX69" s="70">
        <v>13905187</v>
      </c>
      <c r="AY69" s="71">
        <v>13889978</v>
      </c>
      <c r="AZ69" s="70">
        <v>83008.898000000001</v>
      </c>
      <c r="BA69" s="84">
        <v>187616.34599999999</v>
      </c>
      <c r="BB69" s="80" t="s">
        <v>62</v>
      </c>
      <c r="BC69" s="64"/>
      <c r="BD69" s="64"/>
    </row>
    <row r="70" spans="1:56" x14ac:dyDescent="0.3">
      <c r="A70" s="63" t="s">
        <v>166</v>
      </c>
      <c r="B70" s="72">
        <v>22215</v>
      </c>
      <c r="C70" s="71">
        <v>10507</v>
      </c>
      <c r="D70" s="70">
        <v>787.80799999999999</v>
      </c>
      <c r="E70" s="71">
        <v>68447</v>
      </c>
      <c r="F70" s="70">
        <v>54327</v>
      </c>
      <c r="G70" s="71">
        <v>3598.518</v>
      </c>
      <c r="H70" s="70">
        <v>10215</v>
      </c>
      <c r="I70" s="71">
        <v>7338</v>
      </c>
      <c r="J70" s="70">
        <v>517.68399999999997</v>
      </c>
      <c r="K70" s="71">
        <v>7536</v>
      </c>
      <c r="L70" s="70">
        <v>2317</v>
      </c>
      <c r="M70" s="71">
        <v>183.55</v>
      </c>
      <c r="N70" s="70">
        <v>4353</v>
      </c>
      <c r="O70" s="71">
        <v>3461</v>
      </c>
      <c r="P70" s="70">
        <v>179.066</v>
      </c>
      <c r="Q70" s="71">
        <v>777</v>
      </c>
      <c r="R70" s="70">
        <v>777</v>
      </c>
      <c r="S70" s="71">
        <v>26.454000000000001</v>
      </c>
      <c r="T70" s="70">
        <v>19577</v>
      </c>
      <c r="U70" s="71">
        <v>14677</v>
      </c>
      <c r="V70" s="70">
        <v>551.58699999999999</v>
      </c>
      <c r="W70" s="71">
        <v>4876</v>
      </c>
      <c r="X70" s="70">
        <v>2658</v>
      </c>
      <c r="Y70" s="71">
        <v>119.904</v>
      </c>
      <c r="Z70" s="70">
        <v>2973</v>
      </c>
      <c r="AA70" s="71">
        <v>582</v>
      </c>
      <c r="AB70" s="70">
        <v>75.459999999999994</v>
      </c>
      <c r="AC70" s="71">
        <v>2494</v>
      </c>
      <c r="AD70" s="70">
        <v>1701</v>
      </c>
      <c r="AE70" s="71">
        <v>79.991</v>
      </c>
      <c r="AF70" s="70">
        <v>12174</v>
      </c>
      <c r="AG70" s="71">
        <v>3179</v>
      </c>
      <c r="AH70" s="70">
        <v>298.029</v>
      </c>
      <c r="AI70" s="71">
        <v>218692</v>
      </c>
      <c r="AJ70" s="70">
        <v>217042</v>
      </c>
      <c r="AK70" s="71">
        <v>4747.2700000000004</v>
      </c>
      <c r="AL70" s="70">
        <v>7726</v>
      </c>
      <c r="AM70" s="71">
        <v>5051</v>
      </c>
      <c r="AN70" s="70">
        <v>120.824</v>
      </c>
      <c r="AO70" s="71">
        <v>27044</v>
      </c>
      <c r="AP70" s="70">
        <v>23383</v>
      </c>
      <c r="AQ70" s="71">
        <v>766.69299999999998</v>
      </c>
      <c r="AR70" s="70">
        <v>3543</v>
      </c>
      <c r="AS70" s="71">
        <v>3419</v>
      </c>
      <c r="AT70" s="70">
        <v>156.97300000000001</v>
      </c>
      <c r="AU70" s="71">
        <v>198</v>
      </c>
      <c r="AV70" s="70">
        <v>198</v>
      </c>
      <c r="AW70" s="71">
        <v>4.62</v>
      </c>
      <c r="AX70" s="70">
        <v>14380852</v>
      </c>
      <c r="AY70" s="71">
        <v>14321833</v>
      </c>
      <c r="AZ70" s="70">
        <v>6035.0320000000002</v>
      </c>
      <c r="BA70" s="84">
        <v>523293.54100000003</v>
      </c>
      <c r="BB70" s="80" t="s">
        <v>63</v>
      </c>
      <c r="BC70" s="64"/>
      <c r="BD70" s="64"/>
    </row>
    <row r="71" spans="1:56" x14ac:dyDescent="0.3">
      <c r="A71" s="116" t="s">
        <v>64</v>
      </c>
      <c r="B71" s="117">
        <f t="shared" ref="B71:I71" si="43">SUM(B73:B80)</f>
        <v>42404</v>
      </c>
      <c r="C71" s="90">
        <f t="shared" si="43"/>
        <v>41397</v>
      </c>
      <c r="D71" s="90">
        <f t="shared" si="43"/>
        <v>1572.2549999999999</v>
      </c>
      <c r="E71" s="90">
        <f>SUM(E73:E80)</f>
        <v>39557</v>
      </c>
      <c r="F71" s="90">
        <f>SUM(F73:F80)</f>
        <v>39521</v>
      </c>
      <c r="G71" s="90">
        <f>SUM(G73:G80)</f>
        <v>2292.913</v>
      </c>
      <c r="H71" s="90">
        <f t="shared" si="43"/>
        <v>26996</v>
      </c>
      <c r="I71" s="90">
        <f t="shared" si="43"/>
        <v>26980</v>
      </c>
      <c r="J71" s="90">
        <f>SUM(J73:J80)</f>
        <v>671.14</v>
      </c>
      <c r="K71" s="90">
        <f>SUM(K73:K80)</f>
        <v>1965</v>
      </c>
      <c r="L71" s="90">
        <f>SUM(L73:L80)</f>
        <v>1946</v>
      </c>
      <c r="M71" s="90">
        <f>SUM(M73:M80)</f>
        <v>65.56</v>
      </c>
      <c r="N71" s="90">
        <f>SUM(N73:N80)</f>
        <v>6612</v>
      </c>
      <c r="O71" s="90">
        <f t="shared" ref="O71:AE71" si="44">SUM(O73:O80)</f>
        <v>6583</v>
      </c>
      <c r="P71" s="90">
        <f t="shared" si="44"/>
        <v>154.76599999999999</v>
      </c>
      <c r="Q71" s="90">
        <f t="shared" ref="Q71:V71" si="45">SUM(Q73:Q80)</f>
        <v>808</v>
      </c>
      <c r="R71" s="90">
        <f t="shared" si="45"/>
        <v>800</v>
      </c>
      <c r="S71" s="90">
        <f t="shared" si="45"/>
        <v>33.64</v>
      </c>
      <c r="T71" s="90">
        <f t="shared" si="45"/>
        <v>12300</v>
      </c>
      <c r="U71" s="90">
        <f t="shared" si="45"/>
        <v>12273</v>
      </c>
      <c r="V71" s="90">
        <f t="shared" si="45"/>
        <v>365.42100000000005</v>
      </c>
      <c r="W71" s="90">
        <f t="shared" si="44"/>
        <v>825</v>
      </c>
      <c r="X71" s="90">
        <f t="shared" si="44"/>
        <v>801</v>
      </c>
      <c r="Y71" s="90">
        <f t="shared" si="44"/>
        <v>30.606000000000002</v>
      </c>
      <c r="Z71" s="96">
        <f t="shared" si="44"/>
        <v>2088</v>
      </c>
      <c r="AA71" s="90">
        <f t="shared" si="44"/>
        <v>2059</v>
      </c>
      <c r="AB71" s="90">
        <f t="shared" si="44"/>
        <v>65.853999999999999</v>
      </c>
      <c r="AC71" s="90">
        <f t="shared" si="44"/>
        <v>2537</v>
      </c>
      <c r="AD71" s="90">
        <f t="shared" si="44"/>
        <v>2524</v>
      </c>
      <c r="AE71" s="90">
        <f t="shared" si="44"/>
        <v>56.949999999999996</v>
      </c>
      <c r="AF71" s="90">
        <f>SUM(AF73:AF80)</f>
        <v>16755</v>
      </c>
      <c r="AG71" s="90">
        <f t="shared" ref="AG71:AQ71" si="46">SUM(AG73:AG80)</f>
        <v>16736</v>
      </c>
      <c r="AH71" s="90">
        <f t="shared" si="46"/>
        <v>782.34699999999998</v>
      </c>
      <c r="AI71" s="90">
        <f t="shared" si="46"/>
        <v>360</v>
      </c>
      <c r="AJ71" s="90">
        <f t="shared" si="46"/>
        <v>360</v>
      </c>
      <c r="AK71" s="90">
        <f t="shared" si="46"/>
        <v>7.8900000000000006</v>
      </c>
      <c r="AL71" s="90">
        <f t="shared" si="46"/>
        <v>10598</v>
      </c>
      <c r="AM71" s="90">
        <f t="shared" si="46"/>
        <v>10594</v>
      </c>
      <c r="AN71" s="90">
        <f t="shared" si="46"/>
        <v>96.647999999999996</v>
      </c>
      <c r="AO71" s="90">
        <f t="shared" si="46"/>
        <v>1880</v>
      </c>
      <c r="AP71" s="90">
        <f t="shared" si="46"/>
        <v>1880</v>
      </c>
      <c r="AQ71" s="90">
        <f t="shared" si="46"/>
        <v>38.314999999999998</v>
      </c>
      <c r="AR71" s="92">
        <f>SUM(AR73:AR80)</f>
        <v>480</v>
      </c>
      <c r="AS71" s="92">
        <f t="shared" ref="AS71:BA71" si="47">SUM(AS73:AS80)</f>
        <v>480</v>
      </c>
      <c r="AT71" s="92">
        <f t="shared" si="47"/>
        <v>8.1</v>
      </c>
      <c r="AU71" s="92">
        <f t="shared" si="47"/>
        <v>301921</v>
      </c>
      <c r="AV71" s="92">
        <f t="shared" si="47"/>
        <v>301921</v>
      </c>
      <c r="AW71" s="92">
        <f t="shared" si="47"/>
        <v>4910.2579999999998</v>
      </c>
      <c r="AX71" s="92">
        <f t="shared" si="47"/>
        <v>1849323</v>
      </c>
      <c r="AY71" s="92">
        <f t="shared" si="47"/>
        <v>1772779</v>
      </c>
      <c r="AZ71" s="92">
        <f t="shared" si="47"/>
        <v>833.26799999999992</v>
      </c>
      <c r="BA71" s="93">
        <f t="shared" si="47"/>
        <v>57249.434999999998</v>
      </c>
      <c r="BB71" s="124" t="s">
        <v>65</v>
      </c>
      <c r="BC71" s="125"/>
      <c r="BD71" s="125"/>
    </row>
    <row r="72" spans="1:56" x14ac:dyDescent="0.3">
      <c r="A72" s="116"/>
      <c r="B72" s="117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6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1"/>
      <c r="BB72" s="124"/>
      <c r="BC72" s="125"/>
      <c r="BD72" s="125"/>
    </row>
    <row r="73" spans="1:56" x14ac:dyDescent="0.3">
      <c r="A73" s="66" t="s">
        <v>66</v>
      </c>
      <c r="B73" s="72" t="s">
        <v>122</v>
      </c>
      <c r="C73" s="71" t="s">
        <v>122</v>
      </c>
      <c r="D73" s="70" t="s">
        <v>122</v>
      </c>
      <c r="E73" s="71" t="s">
        <v>122</v>
      </c>
      <c r="F73" s="70" t="s">
        <v>122</v>
      </c>
      <c r="G73" s="71" t="s">
        <v>122</v>
      </c>
      <c r="H73" s="70" t="s">
        <v>122</v>
      </c>
      <c r="I73" s="71" t="s">
        <v>122</v>
      </c>
      <c r="J73" s="70" t="s">
        <v>122</v>
      </c>
      <c r="K73" s="71" t="s">
        <v>122</v>
      </c>
      <c r="L73" s="70" t="s">
        <v>122</v>
      </c>
      <c r="M73" s="71" t="s">
        <v>122</v>
      </c>
      <c r="N73" s="70" t="s">
        <v>122</v>
      </c>
      <c r="O73" s="71" t="s">
        <v>122</v>
      </c>
      <c r="P73" s="70" t="s">
        <v>122</v>
      </c>
      <c r="Q73" s="71" t="s">
        <v>122</v>
      </c>
      <c r="R73" s="70" t="s">
        <v>122</v>
      </c>
      <c r="S73" s="71" t="s">
        <v>122</v>
      </c>
      <c r="T73" s="70" t="s">
        <v>122</v>
      </c>
      <c r="U73" s="71" t="s">
        <v>122</v>
      </c>
      <c r="V73" s="70" t="s">
        <v>122</v>
      </c>
      <c r="W73" s="71" t="s">
        <v>122</v>
      </c>
      <c r="X73" s="70" t="s">
        <v>122</v>
      </c>
      <c r="Y73" s="71" t="s">
        <v>122</v>
      </c>
      <c r="Z73" s="70" t="s">
        <v>122</v>
      </c>
      <c r="AA73" s="71" t="s">
        <v>122</v>
      </c>
      <c r="AB73" s="70" t="s">
        <v>122</v>
      </c>
      <c r="AC73" s="71" t="s">
        <v>122</v>
      </c>
      <c r="AD73" s="70" t="s">
        <v>122</v>
      </c>
      <c r="AE73" s="71" t="s">
        <v>122</v>
      </c>
      <c r="AF73" s="70" t="s">
        <v>122</v>
      </c>
      <c r="AG73" s="71" t="s">
        <v>122</v>
      </c>
      <c r="AH73" s="70" t="s">
        <v>122</v>
      </c>
      <c r="AI73" s="71" t="s">
        <v>122</v>
      </c>
      <c r="AJ73" s="70" t="s">
        <v>122</v>
      </c>
      <c r="AK73" s="71" t="s">
        <v>122</v>
      </c>
      <c r="AL73" s="70" t="s">
        <v>122</v>
      </c>
      <c r="AM73" s="71" t="s">
        <v>122</v>
      </c>
      <c r="AN73" s="70" t="s">
        <v>122</v>
      </c>
      <c r="AO73" s="71" t="s">
        <v>122</v>
      </c>
      <c r="AP73" s="70" t="s">
        <v>122</v>
      </c>
      <c r="AQ73" s="71" t="s">
        <v>122</v>
      </c>
      <c r="AR73" s="70" t="s">
        <v>122</v>
      </c>
      <c r="AS73" s="71" t="s">
        <v>122</v>
      </c>
      <c r="AT73" s="70" t="s">
        <v>122</v>
      </c>
      <c r="AU73" s="71" t="s">
        <v>122</v>
      </c>
      <c r="AV73" s="70" t="s">
        <v>122</v>
      </c>
      <c r="AW73" s="71" t="s">
        <v>122</v>
      </c>
      <c r="AX73" s="70" t="s">
        <v>122</v>
      </c>
      <c r="AY73" s="71" t="s">
        <v>122</v>
      </c>
      <c r="AZ73" s="70" t="s">
        <v>122</v>
      </c>
      <c r="BA73" s="84" t="s">
        <v>122</v>
      </c>
      <c r="BB73" s="80" t="s">
        <v>67</v>
      </c>
      <c r="BC73" s="64"/>
      <c r="BD73" s="64"/>
    </row>
    <row r="74" spans="1:56" x14ac:dyDescent="0.3">
      <c r="A74" s="66" t="s">
        <v>68</v>
      </c>
      <c r="B74" s="72" t="s">
        <v>122</v>
      </c>
      <c r="C74" s="71" t="s">
        <v>122</v>
      </c>
      <c r="D74" s="70" t="s">
        <v>122</v>
      </c>
      <c r="E74" s="71" t="s">
        <v>122</v>
      </c>
      <c r="F74" s="70" t="s">
        <v>122</v>
      </c>
      <c r="G74" s="71" t="s">
        <v>122</v>
      </c>
      <c r="H74" s="70" t="s">
        <v>122</v>
      </c>
      <c r="I74" s="71" t="s">
        <v>122</v>
      </c>
      <c r="J74" s="70" t="s">
        <v>122</v>
      </c>
      <c r="K74" s="71">
        <v>180</v>
      </c>
      <c r="L74" s="70">
        <v>180</v>
      </c>
      <c r="M74" s="71">
        <v>5.4</v>
      </c>
      <c r="N74" s="70" t="s">
        <v>122</v>
      </c>
      <c r="O74" s="71" t="s">
        <v>122</v>
      </c>
      <c r="P74" s="70" t="s">
        <v>122</v>
      </c>
      <c r="Q74" s="71" t="s">
        <v>122</v>
      </c>
      <c r="R74" s="70" t="s">
        <v>122</v>
      </c>
      <c r="S74" s="71" t="s">
        <v>122</v>
      </c>
      <c r="T74" s="70" t="s">
        <v>122</v>
      </c>
      <c r="U74" s="71" t="s">
        <v>122</v>
      </c>
      <c r="V74" s="70" t="s">
        <v>122</v>
      </c>
      <c r="W74" s="71" t="s">
        <v>122</v>
      </c>
      <c r="X74" s="70" t="s">
        <v>122</v>
      </c>
      <c r="Y74" s="71" t="s">
        <v>122</v>
      </c>
      <c r="Z74" s="70" t="s">
        <v>122</v>
      </c>
      <c r="AA74" s="71" t="s">
        <v>122</v>
      </c>
      <c r="AB74" s="70" t="s">
        <v>122</v>
      </c>
      <c r="AC74" s="71" t="s">
        <v>122</v>
      </c>
      <c r="AD74" s="70" t="s">
        <v>122</v>
      </c>
      <c r="AE74" s="71" t="s">
        <v>122</v>
      </c>
      <c r="AF74" s="70">
        <v>14</v>
      </c>
      <c r="AG74" s="71">
        <v>14</v>
      </c>
      <c r="AH74" s="70">
        <v>1.1200000000000001</v>
      </c>
      <c r="AI74" s="71" t="s">
        <v>122</v>
      </c>
      <c r="AJ74" s="70" t="s">
        <v>122</v>
      </c>
      <c r="AK74" s="71" t="s">
        <v>122</v>
      </c>
      <c r="AL74" s="70">
        <v>14</v>
      </c>
      <c r="AM74" s="71">
        <v>14</v>
      </c>
      <c r="AN74" s="70">
        <v>9.8000000000000004E-2</v>
      </c>
      <c r="AO74" s="71">
        <v>24</v>
      </c>
      <c r="AP74" s="70">
        <v>24</v>
      </c>
      <c r="AQ74" s="71">
        <v>0.72</v>
      </c>
      <c r="AR74" s="70" t="s">
        <v>122</v>
      </c>
      <c r="AS74" s="71" t="s">
        <v>122</v>
      </c>
      <c r="AT74" s="70" t="s">
        <v>122</v>
      </c>
      <c r="AU74" s="71" t="s">
        <v>122</v>
      </c>
      <c r="AV74" s="70" t="s">
        <v>122</v>
      </c>
      <c r="AW74" s="71" t="s">
        <v>122</v>
      </c>
      <c r="AX74" s="70">
        <v>281</v>
      </c>
      <c r="AY74" s="71">
        <v>281</v>
      </c>
      <c r="AZ74" s="70" t="s">
        <v>122</v>
      </c>
      <c r="BA74" s="84">
        <v>3.42</v>
      </c>
      <c r="BB74" s="80" t="s">
        <v>69</v>
      </c>
      <c r="BC74" s="64"/>
      <c r="BD74" s="64"/>
    </row>
    <row r="75" spans="1:56" x14ac:dyDescent="0.3">
      <c r="A75" s="66" t="s">
        <v>70</v>
      </c>
      <c r="B75" s="72" t="s">
        <v>122</v>
      </c>
      <c r="C75" s="71" t="s">
        <v>122</v>
      </c>
      <c r="D75" s="70" t="s">
        <v>122</v>
      </c>
      <c r="E75" s="71">
        <v>40</v>
      </c>
      <c r="F75" s="70">
        <v>40</v>
      </c>
      <c r="G75" s="71">
        <v>2.4</v>
      </c>
      <c r="H75" s="70" t="s">
        <v>122</v>
      </c>
      <c r="I75" s="71" t="s">
        <v>122</v>
      </c>
      <c r="J75" s="70" t="s">
        <v>122</v>
      </c>
      <c r="K75" s="71" t="s">
        <v>122</v>
      </c>
      <c r="L75" s="70" t="s">
        <v>122</v>
      </c>
      <c r="M75" s="71" t="s">
        <v>122</v>
      </c>
      <c r="N75" s="70" t="s">
        <v>122</v>
      </c>
      <c r="O75" s="71" t="s">
        <v>122</v>
      </c>
      <c r="P75" s="70" t="s">
        <v>122</v>
      </c>
      <c r="Q75" s="71" t="s">
        <v>122</v>
      </c>
      <c r="R75" s="70" t="s">
        <v>122</v>
      </c>
      <c r="S75" s="71" t="s">
        <v>122</v>
      </c>
      <c r="T75" s="70" t="s">
        <v>122</v>
      </c>
      <c r="U75" s="71" t="s">
        <v>122</v>
      </c>
      <c r="V75" s="70" t="s">
        <v>122</v>
      </c>
      <c r="W75" s="71" t="s">
        <v>122</v>
      </c>
      <c r="X75" s="70" t="s">
        <v>122</v>
      </c>
      <c r="Y75" s="71" t="s">
        <v>122</v>
      </c>
      <c r="Z75" s="70" t="s">
        <v>122</v>
      </c>
      <c r="AA75" s="71" t="s">
        <v>122</v>
      </c>
      <c r="AB75" s="70" t="s">
        <v>122</v>
      </c>
      <c r="AC75" s="71" t="s">
        <v>122</v>
      </c>
      <c r="AD75" s="70" t="s">
        <v>122</v>
      </c>
      <c r="AE75" s="71" t="s">
        <v>122</v>
      </c>
      <c r="AF75" s="70" t="s">
        <v>122</v>
      </c>
      <c r="AG75" s="71" t="s">
        <v>122</v>
      </c>
      <c r="AH75" s="70" t="s">
        <v>122</v>
      </c>
      <c r="AI75" s="71" t="s">
        <v>122</v>
      </c>
      <c r="AJ75" s="70" t="s">
        <v>122</v>
      </c>
      <c r="AK75" s="71" t="s">
        <v>122</v>
      </c>
      <c r="AL75" s="70" t="s">
        <v>122</v>
      </c>
      <c r="AM75" s="71" t="s">
        <v>122</v>
      </c>
      <c r="AN75" s="70" t="s">
        <v>122</v>
      </c>
      <c r="AO75" s="71" t="s">
        <v>122</v>
      </c>
      <c r="AP75" s="70" t="s">
        <v>122</v>
      </c>
      <c r="AQ75" s="71" t="s">
        <v>122</v>
      </c>
      <c r="AR75" s="70" t="s">
        <v>122</v>
      </c>
      <c r="AS75" s="71" t="s">
        <v>122</v>
      </c>
      <c r="AT75" s="70" t="s">
        <v>122</v>
      </c>
      <c r="AU75" s="71" t="s">
        <v>122</v>
      </c>
      <c r="AV75" s="70" t="s">
        <v>122</v>
      </c>
      <c r="AW75" s="71" t="s">
        <v>122</v>
      </c>
      <c r="AX75" s="70">
        <v>410</v>
      </c>
      <c r="AY75" s="71">
        <v>410</v>
      </c>
      <c r="AZ75" s="70" t="s">
        <v>122</v>
      </c>
      <c r="BA75" s="84">
        <v>20.5</v>
      </c>
      <c r="BB75" s="80" t="s">
        <v>71</v>
      </c>
      <c r="BC75" s="64"/>
      <c r="BD75" s="64"/>
    </row>
    <row r="76" spans="1:56" x14ac:dyDescent="0.3">
      <c r="A76" s="66" t="s">
        <v>72</v>
      </c>
      <c r="B76" s="72" t="s">
        <v>122</v>
      </c>
      <c r="C76" s="71" t="s">
        <v>122</v>
      </c>
      <c r="D76" s="70" t="s">
        <v>122</v>
      </c>
      <c r="E76" s="71" t="s">
        <v>122</v>
      </c>
      <c r="F76" s="70" t="s">
        <v>122</v>
      </c>
      <c r="G76" s="71" t="s">
        <v>122</v>
      </c>
      <c r="H76" s="70" t="s">
        <v>122</v>
      </c>
      <c r="I76" s="71" t="s">
        <v>122</v>
      </c>
      <c r="J76" s="70" t="s">
        <v>122</v>
      </c>
      <c r="K76" s="71" t="s">
        <v>122</v>
      </c>
      <c r="L76" s="70" t="s">
        <v>122</v>
      </c>
      <c r="M76" s="71" t="s">
        <v>122</v>
      </c>
      <c r="N76" s="70" t="s">
        <v>122</v>
      </c>
      <c r="O76" s="71" t="s">
        <v>122</v>
      </c>
      <c r="P76" s="70" t="s">
        <v>122</v>
      </c>
      <c r="Q76" s="71" t="s">
        <v>122</v>
      </c>
      <c r="R76" s="70" t="s">
        <v>122</v>
      </c>
      <c r="S76" s="71" t="s">
        <v>122</v>
      </c>
      <c r="T76" s="70" t="s">
        <v>122</v>
      </c>
      <c r="U76" s="71" t="s">
        <v>122</v>
      </c>
      <c r="V76" s="70" t="s">
        <v>122</v>
      </c>
      <c r="W76" s="71" t="s">
        <v>122</v>
      </c>
      <c r="X76" s="70" t="s">
        <v>122</v>
      </c>
      <c r="Y76" s="71" t="s">
        <v>122</v>
      </c>
      <c r="Z76" s="70" t="s">
        <v>122</v>
      </c>
      <c r="AA76" s="71" t="s">
        <v>122</v>
      </c>
      <c r="AB76" s="70" t="s">
        <v>122</v>
      </c>
      <c r="AC76" s="71" t="s">
        <v>122</v>
      </c>
      <c r="AD76" s="70" t="s">
        <v>122</v>
      </c>
      <c r="AE76" s="71" t="s">
        <v>122</v>
      </c>
      <c r="AF76" s="70" t="s">
        <v>122</v>
      </c>
      <c r="AG76" s="71" t="s">
        <v>122</v>
      </c>
      <c r="AH76" s="70" t="s">
        <v>122</v>
      </c>
      <c r="AI76" s="71" t="s">
        <v>122</v>
      </c>
      <c r="AJ76" s="70" t="s">
        <v>122</v>
      </c>
      <c r="AK76" s="71" t="s">
        <v>122</v>
      </c>
      <c r="AL76" s="70" t="s">
        <v>122</v>
      </c>
      <c r="AM76" s="71" t="s">
        <v>122</v>
      </c>
      <c r="AN76" s="70" t="s">
        <v>122</v>
      </c>
      <c r="AO76" s="71" t="s">
        <v>122</v>
      </c>
      <c r="AP76" s="70" t="s">
        <v>122</v>
      </c>
      <c r="AQ76" s="71" t="s">
        <v>122</v>
      </c>
      <c r="AR76" s="70" t="s">
        <v>122</v>
      </c>
      <c r="AS76" s="71" t="s">
        <v>122</v>
      </c>
      <c r="AT76" s="70" t="s">
        <v>122</v>
      </c>
      <c r="AU76" s="71" t="s">
        <v>122</v>
      </c>
      <c r="AV76" s="70" t="s">
        <v>122</v>
      </c>
      <c r="AW76" s="71" t="s">
        <v>122</v>
      </c>
      <c r="AX76" s="70" t="s">
        <v>122</v>
      </c>
      <c r="AY76" s="71" t="s">
        <v>122</v>
      </c>
      <c r="AZ76" s="70" t="s">
        <v>122</v>
      </c>
      <c r="BA76" s="84" t="s">
        <v>122</v>
      </c>
      <c r="BB76" s="80" t="s">
        <v>73</v>
      </c>
      <c r="BC76" s="64"/>
      <c r="BD76" s="64"/>
    </row>
    <row r="77" spans="1:56" x14ac:dyDescent="0.3">
      <c r="A77" s="66" t="s">
        <v>74</v>
      </c>
      <c r="B77" s="72">
        <v>2241</v>
      </c>
      <c r="C77" s="71">
        <v>2221</v>
      </c>
      <c r="D77" s="70">
        <v>94.730999999999995</v>
      </c>
      <c r="E77" s="71">
        <v>1820</v>
      </c>
      <c r="F77" s="70">
        <v>1784</v>
      </c>
      <c r="G77" s="71">
        <v>80.772999999999996</v>
      </c>
      <c r="H77" s="70">
        <v>420</v>
      </c>
      <c r="I77" s="71">
        <v>404</v>
      </c>
      <c r="J77" s="70">
        <v>23.59</v>
      </c>
      <c r="K77" s="71">
        <v>1050</v>
      </c>
      <c r="L77" s="70">
        <v>1038</v>
      </c>
      <c r="M77" s="71">
        <v>56.41</v>
      </c>
      <c r="N77" s="70">
        <v>333</v>
      </c>
      <c r="O77" s="71">
        <v>304</v>
      </c>
      <c r="P77" s="70">
        <v>21.52</v>
      </c>
      <c r="Q77" s="71">
        <v>808</v>
      </c>
      <c r="R77" s="70">
        <v>800</v>
      </c>
      <c r="S77" s="71">
        <v>33.64</v>
      </c>
      <c r="T77" s="70">
        <v>6874</v>
      </c>
      <c r="U77" s="71">
        <v>6863</v>
      </c>
      <c r="V77" s="70">
        <v>268</v>
      </c>
      <c r="W77" s="71">
        <v>374</v>
      </c>
      <c r="X77" s="70">
        <v>351</v>
      </c>
      <c r="Y77" s="71">
        <v>18.065999999999999</v>
      </c>
      <c r="Z77" s="70">
        <v>436</v>
      </c>
      <c r="AA77" s="71">
        <v>424</v>
      </c>
      <c r="AB77" s="70">
        <v>24.082000000000001</v>
      </c>
      <c r="AC77" s="71">
        <v>2415</v>
      </c>
      <c r="AD77" s="70">
        <v>2404</v>
      </c>
      <c r="AE77" s="71">
        <v>53.9</v>
      </c>
      <c r="AF77" s="70">
        <v>16411</v>
      </c>
      <c r="AG77" s="71">
        <v>16392</v>
      </c>
      <c r="AH77" s="70">
        <v>773.66899999999998</v>
      </c>
      <c r="AI77" s="71">
        <v>210</v>
      </c>
      <c r="AJ77" s="70">
        <v>210</v>
      </c>
      <c r="AK77" s="71">
        <v>3.24</v>
      </c>
      <c r="AL77" s="70">
        <v>7306</v>
      </c>
      <c r="AM77" s="71">
        <v>7302</v>
      </c>
      <c r="AN77" s="70">
        <v>71.620999999999995</v>
      </c>
      <c r="AO77" s="71">
        <v>1000</v>
      </c>
      <c r="AP77" s="70">
        <v>1000</v>
      </c>
      <c r="AQ77" s="71">
        <v>19.295000000000002</v>
      </c>
      <c r="AR77" s="70">
        <v>80</v>
      </c>
      <c r="AS77" s="71">
        <v>80</v>
      </c>
      <c r="AT77" s="70">
        <v>3</v>
      </c>
      <c r="AU77" s="71">
        <v>100665</v>
      </c>
      <c r="AV77" s="70">
        <v>100665</v>
      </c>
      <c r="AW77" s="71">
        <v>1818.6</v>
      </c>
      <c r="AX77" s="70">
        <v>647814</v>
      </c>
      <c r="AY77" s="71">
        <v>645191</v>
      </c>
      <c r="AZ77" s="70">
        <v>782.72799999999995</v>
      </c>
      <c r="BA77" s="84">
        <v>24854.774000000001</v>
      </c>
      <c r="BB77" s="80" t="s">
        <v>75</v>
      </c>
      <c r="BC77" s="64"/>
      <c r="BD77" s="64"/>
    </row>
    <row r="78" spans="1:56" x14ac:dyDescent="0.3">
      <c r="A78" s="66" t="s">
        <v>76</v>
      </c>
      <c r="B78" s="72">
        <v>77</v>
      </c>
      <c r="C78" s="71">
        <v>77</v>
      </c>
      <c r="D78" s="70">
        <v>2.8</v>
      </c>
      <c r="E78" s="71">
        <v>22</v>
      </c>
      <c r="F78" s="70">
        <v>22</v>
      </c>
      <c r="G78" s="71">
        <v>1.32</v>
      </c>
      <c r="H78" s="70" t="s">
        <v>122</v>
      </c>
      <c r="I78" s="71" t="s">
        <v>122</v>
      </c>
      <c r="J78" s="70" t="s">
        <v>122</v>
      </c>
      <c r="K78" s="71">
        <v>37</v>
      </c>
      <c r="L78" s="70">
        <v>30</v>
      </c>
      <c r="M78" s="71">
        <v>1.85</v>
      </c>
      <c r="N78" s="70">
        <v>6199</v>
      </c>
      <c r="O78" s="71">
        <v>6199</v>
      </c>
      <c r="P78" s="70">
        <v>132.39599999999999</v>
      </c>
      <c r="Q78" s="71" t="s">
        <v>122</v>
      </c>
      <c r="R78" s="70" t="s">
        <v>122</v>
      </c>
      <c r="S78" s="71" t="s">
        <v>122</v>
      </c>
      <c r="T78" s="70">
        <v>1374</v>
      </c>
      <c r="U78" s="71">
        <v>1358</v>
      </c>
      <c r="V78" s="70">
        <v>28.771000000000001</v>
      </c>
      <c r="W78" s="71">
        <v>161</v>
      </c>
      <c r="X78" s="70">
        <v>160</v>
      </c>
      <c r="Y78" s="71">
        <v>6.44</v>
      </c>
      <c r="Z78" s="70">
        <v>227</v>
      </c>
      <c r="AA78" s="71">
        <v>210</v>
      </c>
      <c r="AB78" s="70">
        <v>6.4119999999999999</v>
      </c>
      <c r="AC78" s="71">
        <v>122</v>
      </c>
      <c r="AD78" s="70">
        <v>120</v>
      </c>
      <c r="AE78" s="71">
        <v>3.05</v>
      </c>
      <c r="AF78" s="70">
        <v>280</v>
      </c>
      <c r="AG78" s="71">
        <v>280</v>
      </c>
      <c r="AH78" s="70">
        <v>7.0579999999999998</v>
      </c>
      <c r="AI78" s="71">
        <v>150</v>
      </c>
      <c r="AJ78" s="70">
        <v>150</v>
      </c>
      <c r="AK78" s="71">
        <v>4.6500000000000004</v>
      </c>
      <c r="AL78" s="70">
        <v>2566</v>
      </c>
      <c r="AM78" s="71">
        <v>2566</v>
      </c>
      <c r="AN78" s="70">
        <v>20.029</v>
      </c>
      <c r="AO78" s="71">
        <v>441</v>
      </c>
      <c r="AP78" s="70">
        <v>441</v>
      </c>
      <c r="AQ78" s="71">
        <v>8.5</v>
      </c>
      <c r="AR78" s="70" t="s">
        <v>122</v>
      </c>
      <c r="AS78" s="71" t="s">
        <v>122</v>
      </c>
      <c r="AT78" s="70" t="s">
        <v>122</v>
      </c>
      <c r="AU78" s="71">
        <v>65503</v>
      </c>
      <c r="AV78" s="70">
        <v>65503</v>
      </c>
      <c r="AW78" s="71">
        <v>547.22400000000005</v>
      </c>
      <c r="AX78" s="70">
        <v>299924</v>
      </c>
      <c r="AY78" s="71">
        <v>298159</v>
      </c>
      <c r="AZ78" s="70">
        <v>50.54</v>
      </c>
      <c r="BA78" s="84">
        <v>4471.8990000000003</v>
      </c>
      <c r="BB78" s="80" t="s">
        <v>77</v>
      </c>
      <c r="BC78" s="64"/>
      <c r="BD78" s="64"/>
    </row>
    <row r="79" spans="1:56" x14ac:dyDescent="0.3">
      <c r="A79" s="66" t="s">
        <v>78</v>
      </c>
      <c r="B79" s="72" t="s">
        <v>122</v>
      </c>
      <c r="C79" s="71" t="s">
        <v>122</v>
      </c>
      <c r="D79" s="70" t="s">
        <v>122</v>
      </c>
      <c r="E79" s="71" t="s">
        <v>122</v>
      </c>
      <c r="F79" s="70" t="s">
        <v>122</v>
      </c>
      <c r="G79" s="71" t="s">
        <v>122</v>
      </c>
      <c r="H79" s="70" t="s">
        <v>122</v>
      </c>
      <c r="I79" s="71" t="s">
        <v>122</v>
      </c>
      <c r="J79" s="70" t="s">
        <v>122</v>
      </c>
      <c r="K79" s="71" t="s">
        <v>122</v>
      </c>
      <c r="L79" s="70" t="s">
        <v>122</v>
      </c>
      <c r="M79" s="71" t="s">
        <v>122</v>
      </c>
      <c r="N79" s="70" t="s">
        <v>122</v>
      </c>
      <c r="O79" s="71" t="s">
        <v>122</v>
      </c>
      <c r="P79" s="70" t="s">
        <v>122</v>
      </c>
      <c r="Q79" s="71" t="s">
        <v>122</v>
      </c>
      <c r="R79" s="70" t="s">
        <v>122</v>
      </c>
      <c r="S79" s="71" t="s">
        <v>122</v>
      </c>
      <c r="T79" s="70" t="s">
        <v>122</v>
      </c>
      <c r="U79" s="71" t="s">
        <v>122</v>
      </c>
      <c r="V79" s="70" t="s">
        <v>122</v>
      </c>
      <c r="W79" s="71" t="s">
        <v>122</v>
      </c>
      <c r="X79" s="70" t="s">
        <v>122</v>
      </c>
      <c r="Y79" s="71" t="s">
        <v>122</v>
      </c>
      <c r="Z79" s="70" t="s">
        <v>122</v>
      </c>
      <c r="AA79" s="71" t="s">
        <v>122</v>
      </c>
      <c r="AB79" s="70" t="s">
        <v>122</v>
      </c>
      <c r="AC79" s="71" t="s">
        <v>122</v>
      </c>
      <c r="AD79" s="70" t="s">
        <v>122</v>
      </c>
      <c r="AE79" s="71" t="s">
        <v>122</v>
      </c>
      <c r="AF79" s="70" t="s">
        <v>122</v>
      </c>
      <c r="AG79" s="71" t="s">
        <v>122</v>
      </c>
      <c r="AH79" s="70" t="s">
        <v>122</v>
      </c>
      <c r="AI79" s="71" t="s">
        <v>122</v>
      </c>
      <c r="AJ79" s="70" t="s">
        <v>122</v>
      </c>
      <c r="AK79" s="71" t="s">
        <v>122</v>
      </c>
      <c r="AL79" s="70" t="s">
        <v>122</v>
      </c>
      <c r="AM79" s="71" t="s">
        <v>122</v>
      </c>
      <c r="AN79" s="70" t="s">
        <v>122</v>
      </c>
      <c r="AO79" s="71" t="s">
        <v>122</v>
      </c>
      <c r="AP79" s="70" t="s">
        <v>122</v>
      </c>
      <c r="AQ79" s="71" t="s">
        <v>122</v>
      </c>
      <c r="AR79" s="70" t="s">
        <v>122</v>
      </c>
      <c r="AS79" s="71" t="s">
        <v>122</v>
      </c>
      <c r="AT79" s="70" t="s">
        <v>122</v>
      </c>
      <c r="AU79" s="71" t="s">
        <v>122</v>
      </c>
      <c r="AV79" s="70" t="s">
        <v>122</v>
      </c>
      <c r="AW79" s="71" t="s">
        <v>122</v>
      </c>
      <c r="AX79" s="70" t="s">
        <v>122</v>
      </c>
      <c r="AY79" s="71" t="s">
        <v>122</v>
      </c>
      <c r="AZ79" s="70" t="s">
        <v>122</v>
      </c>
      <c r="BA79" s="84" t="s">
        <v>122</v>
      </c>
      <c r="BB79" s="80" t="s">
        <v>79</v>
      </c>
      <c r="BC79" s="64"/>
      <c r="BD79" s="64"/>
    </row>
    <row r="80" spans="1:56" x14ac:dyDescent="0.3">
      <c r="A80" s="66" t="s">
        <v>80</v>
      </c>
      <c r="B80" s="72">
        <v>40086</v>
      </c>
      <c r="C80" s="71">
        <v>39099</v>
      </c>
      <c r="D80" s="70">
        <v>1474.7239999999999</v>
      </c>
      <c r="E80" s="71">
        <v>37675</v>
      </c>
      <c r="F80" s="70">
        <v>37675</v>
      </c>
      <c r="G80" s="71">
        <v>2208.42</v>
      </c>
      <c r="H80" s="70">
        <v>26576</v>
      </c>
      <c r="I80" s="71">
        <v>26576</v>
      </c>
      <c r="J80" s="70">
        <v>647.54999999999995</v>
      </c>
      <c r="K80" s="71">
        <v>698</v>
      </c>
      <c r="L80" s="70">
        <v>698</v>
      </c>
      <c r="M80" s="71">
        <v>1.9</v>
      </c>
      <c r="N80" s="70">
        <v>80</v>
      </c>
      <c r="O80" s="71">
        <v>80</v>
      </c>
      <c r="P80" s="70">
        <v>0.85</v>
      </c>
      <c r="Q80" s="71" t="s">
        <v>122</v>
      </c>
      <c r="R80" s="70" t="s">
        <v>122</v>
      </c>
      <c r="S80" s="71" t="s">
        <v>122</v>
      </c>
      <c r="T80" s="70">
        <v>4052</v>
      </c>
      <c r="U80" s="71">
        <v>4052</v>
      </c>
      <c r="V80" s="70">
        <v>68.650000000000006</v>
      </c>
      <c r="W80" s="71">
        <v>290</v>
      </c>
      <c r="X80" s="70">
        <v>290</v>
      </c>
      <c r="Y80" s="71">
        <v>6.1</v>
      </c>
      <c r="Z80" s="70">
        <v>1425</v>
      </c>
      <c r="AA80" s="71">
        <v>1425</v>
      </c>
      <c r="AB80" s="70">
        <v>35.36</v>
      </c>
      <c r="AC80" s="71" t="s">
        <v>122</v>
      </c>
      <c r="AD80" s="70" t="s">
        <v>122</v>
      </c>
      <c r="AE80" s="71" t="s">
        <v>122</v>
      </c>
      <c r="AF80" s="70">
        <v>50</v>
      </c>
      <c r="AG80" s="71">
        <v>50</v>
      </c>
      <c r="AH80" s="70">
        <v>0.5</v>
      </c>
      <c r="AI80" s="71" t="s">
        <v>122</v>
      </c>
      <c r="AJ80" s="70" t="s">
        <v>122</v>
      </c>
      <c r="AK80" s="71" t="s">
        <v>122</v>
      </c>
      <c r="AL80" s="70">
        <v>712</v>
      </c>
      <c r="AM80" s="71">
        <v>712</v>
      </c>
      <c r="AN80" s="70">
        <v>4.9000000000000004</v>
      </c>
      <c r="AO80" s="71">
        <v>415</v>
      </c>
      <c r="AP80" s="70">
        <v>415</v>
      </c>
      <c r="AQ80" s="71">
        <v>9.8000000000000007</v>
      </c>
      <c r="AR80" s="70">
        <v>400</v>
      </c>
      <c r="AS80" s="71">
        <v>400</v>
      </c>
      <c r="AT80" s="70">
        <v>5.0999999999999996</v>
      </c>
      <c r="AU80" s="71">
        <v>135753</v>
      </c>
      <c r="AV80" s="70">
        <v>135753</v>
      </c>
      <c r="AW80" s="71">
        <v>2544.4340000000002</v>
      </c>
      <c r="AX80" s="70">
        <v>900894</v>
      </c>
      <c r="AY80" s="71">
        <v>828738</v>
      </c>
      <c r="AZ80" s="70" t="s">
        <v>122</v>
      </c>
      <c r="BA80" s="84">
        <v>27898.842000000001</v>
      </c>
      <c r="BB80" s="80" t="s">
        <v>81</v>
      </c>
      <c r="BC80" s="64"/>
      <c r="BD80" s="64"/>
    </row>
    <row r="81" spans="1:56" x14ac:dyDescent="0.3">
      <c r="A81" s="116" t="s">
        <v>82</v>
      </c>
      <c r="B81" s="117">
        <f t="shared" ref="B81:J81" si="48">SUM(B83:B87)</f>
        <v>24381</v>
      </c>
      <c r="C81" s="90">
        <f t="shared" si="48"/>
        <v>7017</v>
      </c>
      <c r="D81" s="90">
        <f t="shared" si="48"/>
        <v>393.94000000000005</v>
      </c>
      <c r="E81" s="90">
        <f t="shared" si="48"/>
        <v>106245</v>
      </c>
      <c r="F81" s="90">
        <f t="shared" si="48"/>
        <v>88648</v>
      </c>
      <c r="G81" s="90">
        <f>SUM(G83:G87)</f>
        <v>2137.9160000000002</v>
      </c>
      <c r="H81" s="90">
        <f t="shared" si="48"/>
        <v>38771</v>
      </c>
      <c r="I81" s="90">
        <f t="shared" si="48"/>
        <v>24796</v>
      </c>
      <c r="J81" s="90">
        <f t="shared" si="48"/>
        <v>666.226</v>
      </c>
      <c r="K81" s="90">
        <f>SUM(K83:K87)</f>
        <v>22909</v>
      </c>
      <c r="L81" s="90">
        <f>SUM(L83:L87)</f>
        <v>3433</v>
      </c>
      <c r="M81" s="90">
        <f>SUM(M83:M87)</f>
        <v>211.18700000000001</v>
      </c>
      <c r="N81" s="90">
        <f>SUM(N83:N87)</f>
        <v>19085</v>
      </c>
      <c r="O81" s="90">
        <f t="shared" ref="O81:AE81" si="49">SUM(O83:O87)</f>
        <v>6461</v>
      </c>
      <c r="P81" s="90">
        <f t="shared" si="49"/>
        <v>312.78399999999999</v>
      </c>
      <c r="Q81" s="90">
        <f t="shared" ref="Q81:V81" si="50">SUM(Q83:Q87)</f>
        <v>309</v>
      </c>
      <c r="R81" s="90">
        <f t="shared" si="50"/>
        <v>195</v>
      </c>
      <c r="S81" s="90">
        <f t="shared" si="50"/>
        <v>15.684999999999999</v>
      </c>
      <c r="T81" s="90">
        <f t="shared" si="50"/>
        <v>10994</v>
      </c>
      <c r="U81" s="90">
        <f t="shared" si="50"/>
        <v>6342</v>
      </c>
      <c r="V81" s="90">
        <f t="shared" si="50"/>
        <v>213.45200000000003</v>
      </c>
      <c r="W81" s="90">
        <f t="shared" si="49"/>
        <v>8453</v>
      </c>
      <c r="X81" s="90">
        <f t="shared" si="49"/>
        <v>994</v>
      </c>
      <c r="Y81" s="90">
        <f t="shared" si="49"/>
        <v>103.86399999999999</v>
      </c>
      <c r="Z81" s="96">
        <f t="shared" si="49"/>
        <v>9180</v>
      </c>
      <c r="AA81" s="90">
        <f t="shared" si="49"/>
        <v>1079</v>
      </c>
      <c r="AB81" s="90">
        <f t="shared" si="49"/>
        <v>116.705</v>
      </c>
      <c r="AC81" s="90">
        <f t="shared" si="49"/>
        <v>7097</v>
      </c>
      <c r="AD81" s="90">
        <f t="shared" si="49"/>
        <v>3743</v>
      </c>
      <c r="AE81" s="90">
        <f t="shared" si="49"/>
        <v>74.153999999999996</v>
      </c>
      <c r="AF81" s="90">
        <f>SUM(AF83:AF87)</f>
        <v>39654</v>
      </c>
      <c r="AG81" s="90">
        <f t="shared" ref="AG81:AQ81" si="51">SUM(AG83:AG87)</f>
        <v>16560</v>
      </c>
      <c r="AH81" s="90">
        <f t="shared" si="51"/>
        <v>933.73899999999992</v>
      </c>
      <c r="AI81" s="90">
        <f t="shared" si="51"/>
        <v>12580</v>
      </c>
      <c r="AJ81" s="90">
        <f t="shared" si="51"/>
        <v>11524</v>
      </c>
      <c r="AK81" s="90">
        <f t="shared" si="51"/>
        <v>163.44999999999999</v>
      </c>
      <c r="AL81" s="90">
        <f t="shared" si="51"/>
        <v>23521</v>
      </c>
      <c r="AM81" s="90">
        <f t="shared" si="51"/>
        <v>4783</v>
      </c>
      <c r="AN81" s="90">
        <f t="shared" si="51"/>
        <v>169.209</v>
      </c>
      <c r="AO81" s="90">
        <f t="shared" si="51"/>
        <v>12283</v>
      </c>
      <c r="AP81" s="90">
        <f t="shared" si="51"/>
        <v>1091</v>
      </c>
      <c r="AQ81" s="90">
        <f t="shared" si="51"/>
        <v>98.391000000000005</v>
      </c>
      <c r="AR81" s="90">
        <f>SUM(AR83:AR87)</f>
        <v>17739</v>
      </c>
      <c r="AS81" s="90">
        <f t="shared" ref="AS81:BA81" si="52">SUM(AS83:AS87)</f>
        <v>11375</v>
      </c>
      <c r="AT81" s="90">
        <f t="shared" si="52"/>
        <v>187.52500000000001</v>
      </c>
      <c r="AU81" s="90">
        <f t="shared" si="52"/>
        <v>1011</v>
      </c>
      <c r="AV81" s="90">
        <f t="shared" si="52"/>
        <v>756</v>
      </c>
      <c r="AW81" s="90">
        <f t="shared" si="52"/>
        <v>9.0570000000000004</v>
      </c>
      <c r="AX81" s="90">
        <f t="shared" si="52"/>
        <v>8492605</v>
      </c>
      <c r="AY81" s="90">
        <f t="shared" si="52"/>
        <v>7910201</v>
      </c>
      <c r="AZ81" s="90">
        <f t="shared" si="52"/>
        <v>209.03100000000001</v>
      </c>
      <c r="BA81" s="91">
        <f t="shared" si="52"/>
        <v>30376.714000000007</v>
      </c>
      <c r="BB81" s="124" t="s">
        <v>83</v>
      </c>
      <c r="BC81" s="125"/>
      <c r="BD81" s="125"/>
    </row>
    <row r="82" spans="1:56" x14ac:dyDescent="0.3">
      <c r="A82" s="116"/>
      <c r="B82" s="117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6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1"/>
      <c r="BB82" s="124"/>
      <c r="BC82" s="125"/>
      <c r="BD82" s="125"/>
    </row>
    <row r="83" spans="1:56" x14ac:dyDescent="0.3">
      <c r="A83" s="63" t="s">
        <v>167</v>
      </c>
      <c r="B83" s="72">
        <v>6767</v>
      </c>
      <c r="C83" s="71">
        <v>632</v>
      </c>
      <c r="D83" s="70">
        <v>101.155</v>
      </c>
      <c r="E83" s="71">
        <v>9115</v>
      </c>
      <c r="F83" s="70">
        <v>2295</v>
      </c>
      <c r="G83" s="71">
        <v>232.97</v>
      </c>
      <c r="H83" s="70">
        <v>3354</v>
      </c>
      <c r="I83" s="71">
        <v>404</v>
      </c>
      <c r="J83" s="70">
        <v>57.521000000000001</v>
      </c>
      <c r="K83" s="71">
        <v>14772</v>
      </c>
      <c r="L83" s="70">
        <v>2716</v>
      </c>
      <c r="M83" s="71">
        <v>100.97</v>
      </c>
      <c r="N83" s="70">
        <v>11745</v>
      </c>
      <c r="O83" s="71">
        <v>4535</v>
      </c>
      <c r="P83" s="70">
        <v>129.85</v>
      </c>
      <c r="Q83" s="71">
        <v>205</v>
      </c>
      <c r="R83" s="70">
        <v>195</v>
      </c>
      <c r="S83" s="71">
        <v>14.35</v>
      </c>
      <c r="T83" s="70">
        <v>3967</v>
      </c>
      <c r="U83" s="71">
        <v>959</v>
      </c>
      <c r="V83" s="70">
        <v>49.914999999999999</v>
      </c>
      <c r="W83" s="71">
        <v>2558</v>
      </c>
      <c r="X83" s="70">
        <v>248</v>
      </c>
      <c r="Y83" s="71">
        <v>21.436</v>
      </c>
      <c r="Z83" s="70">
        <v>1903</v>
      </c>
      <c r="AA83" s="71">
        <v>189</v>
      </c>
      <c r="AB83" s="70">
        <v>17.940000000000001</v>
      </c>
      <c r="AC83" s="71">
        <v>4248</v>
      </c>
      <c r="AD83" s="70">
        <v>3266</v>
      </c>
      <c r="AE83" s="71">
        <v>35.874000000000002</v>
      </c>
      <c r="AF83" s="70">
        <v>9637</v>
      </c>
      <c r="AG83" s="71">
        <v>2755</v>
      </c>
      <c r="AH83" s="70">
        <v>70.3</v>
      </c>
      <c r="AI83" s="71">
        <v>965</v>
      </c>
      <c r="AJ83" s="70">
        <v>247</v>
      </c>
      <c r="AK83" s="71">
        <v>5.28</v>
      </c>
      <c r="AL83" s="70">
        <v>6920</v>
      </c>
      <c r="AM83" s="71">
        <v>1084</v>
      </c>
      <c r="AN83" s="70">
        <v>37.700000000000003</v>
      </c>
      <c r="AO83" s="71">
        <v>3160</v>
      </c>
      <c r="AP83" s="70">
        <v>475</v>
      </c>
      <c r="AQ83" s="71">
        <v>45.48</v>
      </c>
      <c r="AR83" s="70">
        <v>12195</v>
      </c>
      <c r="AS83" s="71">
        <v>10587</v>
      </c>
      <c r="AT83" s="70">
        <v>109.2</v>
      </c>
      <c r="AU83" s="71">
        <v>408</v>
      </c>
      <c r="AV83" s="70">
        <v>358</v>
      </c>
      <c r="AW83" s="71">
        <v>3.65</v>
      </c>
      <c r="AX83" s="70">
        <v>6576501</v>
      </c>
      <c r="AY83" s="71">
        <v>6542701</v>
      </c>
      <c r="AZ83" s="70">
        <v>191.94399999999999</v>
      </c>
      <c r="BA83" s="84">
        <v>26577.648000000001</v>
      </c>
      <c r="BB83" s="80" t="s">
        <v>84</v>
      </c>
      <c r="BC83" s="64"/>
      <c r="BD83" s="64"/>
    </row>
    <row r="84" spans="1:56" x14ac:dyDescent="0.3">
      <c r="A84" s="63" t="s">
        <v>168</v>
      </c>
      <c r="B84" s="72">
        <v>6161</v>
      </c>
      <c r="C84" s="71">
        <v>575</v>
      </c>
      <c r="D84" s="70">
        <v>121.88</v>
      </c>
      <c r="E84" s="71">
        <v>6347</v>
      </c>
      <c r="F84" s="70">
        <v>1120</v>
      </c>
      <c r="G84" s="71">
        <v>182.84</v>
      </c>
      <c r="H84" s="70">
        <v>2296</v>
      </c>
      <c r="I84" s="71">
        <v>580</v>
      </c>
      <c r="J84" s="70">
        <v>44.865000000000002</v>
      </c>
      <c r="K84" s="71">
        <v>4905</v>
      </c>
      <c r="L84" s="70">
        <v>475</v>
      </c>
      <c r="M84" s="71">
        <v>74.03</v>
      </c>
      <c r="N84" s="70">
        <v>3205</v>
      </c>
      <c r="O84" s="71">
        <v>625</v>
      </c>
      <c r="P84" s="70">
        <v>125.36</v>
      </c>
      <c r="Q84" s="71">
        <v>59</v>
      </c>
      <c r="R84" s="70" t="s">
        <v>122</v>
      </c>
      <c r="S84" s="71">
        <v>0.97499999999999998</v>
      </c>
      <c r="T84" s="70">
        <v>481</v>
      </c>
      <c r="U84" s="71" t="s">
        <v>122</v>
      </c>
      <c r="V84" s="70">
        <v>5.5449999999999999</v>
      </c>
      <c r="W84" s="71">
        <v>3083</v>
      </c>
      <c r="X84" s="70">
        <v>255</v>
      </c>
      <c r="Y84" s="71">
        <v>45.45</v>
      </c>
      <c r="Z84" s="70">
        <v>4996</v>
      </c>
      <c r="AA84" s="71">
        <v>610</v>
      </c>
      <c r="AB84" s="70">
        <v>74.34</v>
      </c>
      <c r="AC84" s="71">
        <v>721</v>
      </c>
      <c r="AD84" s="70">
        <v>80</v>
      </c>
      <c r="AE84" s="71">
        <v>13.26</v>
      </c>
      <c r="AF84" s="70">
        <v>11738</v>
      </c>
      <c r="AG84" s="71" t="s">
        <v>122</v>
      </c>
      <c r="AH84" s="70">
        <v>117.48</v>
      </c>
      <c r="AI84" s="71" t="s">
        <v>122</v>
      </c>
      <c r="AJ84" s="70" t="s">
        <v>122</v>
      </c>
      <c r="AK84" s="71" t="s">
        <v>122</v>
      </c>
      <c r="AL84" s="70">
        <v>10473</v>
      </c>
      <c r="AM84" s="71" t="s">
        <v>122</v>
      </c>
      <c r="AN84" s="70">
        <v>70.866</v>
      </c>
      <c r="AO84" s="71">
        <v>1830</v>
      </c>
      <c r="AP84" s="70" t="s">
        <v>122</v>
      </c>
      <c r="AQ84" s="71">
        <v>17.457999999999998</v>
      </c>
      <c r="AR84" s="70">
        <v>4454</v>
      </c>
      <c r="AS84" s="71">
        <v>595</v>
      </c>
      <c r="AT84" s="70">
        <v>66.584999999999994</v>
      </c>
      <c r="AU84" s="71" t="s">
        <v>122</v>
      </c>
      <c r="AV84" s="70" t="s">
        <v>122</v>
      </c>
      <c r="AW84" s="71" t="s">
        <v>122</v>
      </c>
      <c r="AX84" s="70">
        <v>137635</v>
      </c>
      <c r="AY84" s="71">
        <v>113415</v>
      </c>
      <c r="AZ84" s="70">
        <v>2.1800000000000002</v>
      </c>
      <c r="BA84" s="84">
        <v>241.41900000000001</v>
      </c>
      <c r="BB84" s="80" t="s">
        <v>85</v>
      </c>
      <c r="BC84" s="64"/>
      <c r="BD84" s="64"/>
    </row>
    <row r="85" spans="1:56" x14ac:dyDescent="0.3">
      <c r="A85" s="63" t="s">
        <v>169</v>
      </c>
      <c r="B85" s="72">
        <v>171</v>
      </c>
      <c r="C85" s="71">
        <v>171</v>
      </c>
      <c r="D85" s="70">
        <v>6.43</v>
      </c>
      <c r="E85" s="71">
        <v>71</v>
      </c>
      <c r="F85" s="70">
        <v>71</v>
      </c>
      <c r="G85" s="71">
        <v>3.2610000000000001</v>
      </c>
      <c r="H85" s="70">
        <v>30</v>
      </c>
      <c r="I85" s="71">
        <v>30</v>
      </c>
      <c r="J85" s="70">
        <v>1.1000000000000001</v>
      </c>
      <c r="K85" s="71">
        <v>2</v>
      </c>
      <c r="L85" s="70">
        <v>2</v>
      </c>
      <c r="M85" s="71">
        <v>2E-3</v>
      </c>
      <c r="N85" s="70">
        <v>50</v>
      </c>
      <c r="O85" s="71">
        <v>50</v>
      </c>
      <c r="P85" s="70">
        <v>1.43</v>
      </c>
      <c r="Q85" s="71" t="s">
        <v>122</v>
      </c>
      <c r="R85" s="70" t="s">
        <v>122</v>
      </c>
      <c r="S85" s="71" t="s">
        <v>122</v>
      </c>
      <c r="T85" s="70">
        <v>4999</v>
      </c>
      <c r="U85" s="71">
        <v>4999</v>
      </c>
      <c r="V85" s="70">
        <v>145.702</v>
      </c>
      <c r="W85" s="71">
        <v>388</v>
      </c>
      <c r="X85" s="70">
        <v>388</v>
      </c>
      <c r="Y85" s="71">
        <v>10.187000000000001</v>
      </c>
      <c r="Z85" s="70" t="s">
        <v>122</v>
      </c>
      <c r="AA85" s="71" t="s">
        <v>122</v>
      </c>
      <c r="AB85" s="70" t="s">
        <v>122</v>
      </c>
      <c r="AC85" s="71">
        <v>35</v>
      </c>
      <c r="AD85" s="70">
        <v>35</v>
      </c>
      <c r="AE85" s="71">
        <v>0.71499999999999997</v>
      </c>
      <c r="AF85" s="70">
        <v>12192</v>
      </c>
      <c r="AG85" s="71">
        <v>12192</v>
      </c>
      <c r="AH85" s="70">
        <v>680.47</v>
      </c>
      <c r="AI85" s="71">
        <v>11037</v>
      </c>
      <c r="AJ85" s="70">
        <v>11037</v>
      </c>
      <c r="AK85" s="71">
        <v>152.19999999999999</v>
      </c>
      <c r="AL85" s="70">
        <v>3093</v>
      </c>
      <c r="AM85" s="71">
        <v>3093</v>
      </c>
      <c r="AN85" s="70">
        <v>43.713999999999999</v>
      </c>
      <c r="AO85" s="71">
        <v>207</v>
      </c>
      <c r="AP85" s="70">
        <v>207</v>
      </c>
      <c r="AQ85" s="71">
        <v>2.101</v>
      </c>
      <c r="AR85" s="70" t="s">
        <v>122</v>
      </c>
      <c r="AS85" s="71" t="s">
        <v>122</v>
      </c>
      <c r="AT85" s="70" t="s">
        <v>122</v>
      </c>
      <c r="AU85" s="71">
        <v>398</v>
      </c>
      <c r="AV85" s="70">
        <v>398</v>
      </c>
      <c r="AW85" s="71">
        <v>5.2</v>
      </c>
      <c r="AX85" s="70">
        <v>41800</v>
      </c>
      <c r="AY85" s="71">
        <v>41800</v>
      </c>
      <c r="AZ85" s="70" t="s">
        <v>122</v>
      </c>
      <c r="BA85" s="84">
        <v>850.90200000000004</v>
      </c>
      <c r="BB85" s="80" t="s">
        <v>86</v>
      </c>
      <c r="BC85" s="64"/>
      <c r="BD85" s="64"/>
    </row>
    <row r="86" spans="1:56" x14ac:dyDescent="0.3">
      <c r="A86" s="63" t="s">
        <v>170</v>
      </c>
      <c r="B86" s="72">
        <v>4716</v>
      </c>
      <c r="C86" s="71">
        <v>2122</v>
      </c>
      <c r="D86" s="70">
        <v>68.575000000000003</v>
      </c>
      <c r="E86" s="71">
        <v>29542</v>
      </c>
      <c r="F86" s="70">
        <v>26882</v>
      </c>
      <c r="G86" s="71">
        <v>509.21499999999997</v>
      </c>
      <c r="H86" s="70">
        <v>2599</v>
      </c>
      <c r="I86" s="71">
        <v>939</v>
      </c>
      <c r="J86" s="70">
        <v>34.51</v>
      </c>
      <c r="K86" s="71">
        <v>3058</v>
      </c>
      <c r="L86" s="70">
        <v>240</v>
      </c>
      <c r="M86" s="71">
        <v>35.924999999999997</v>
      </c>
      <c r="N86" s="70">
        <v>4074</v>
      </c>
      <c r="O86" s="71">
        <v>1251</v>
      </c>
      <c r="P86" s="70">
        <v>56.115000000000002</v>
      </c>
      <c r="Q86" s="71">
        <v>45</v>
      </c>
      <c r="R86" s="70" t="s">
        <v>122</v>
      </c>
      <c r="S86" s="71">
        <v>0.36</v>
      </c>
      <c r="T86" s="70">
        <v>1057</v>
      </c>
      <c r="U86" s="71">
        <v>152</v>
      </c>
      <c r="V86" s="70">
        <v>11.3</v>
      </c>
      <c r="W86" s="71">
        <v>2421</v>
      </c>
      <c r="X86" s="70">
        <v>103</v>
      </c>
      <c r="Y86" s="71">
        <v>26.78</v>
      </c>
      <c r="Z86" s="70">
        <v>2262</v>
      </c>
      <c r="AA86" s="71">
        <v>280</v>
      </c>
      <c r="AB86" s="70">
        <v>24.25</v>
      </c>
      <c r="AC86" s="71">
        <v>1567</v>
      </c>
      <c r="AD86" s="70">
        <v>362</v>
      </c>
      <c r="AE86" s="71">
        <v>20.55</v>
      </c>
      <c r="AF86" s="70">
        <v>3902</v>
      </c>
      <c r="AG86" s="71">
        <v>1613</v>
      </c>
      <c r="AH86" s="70">
        <v>43.06</v>
      </c>
      <c r="AI86" s="71">
        <v>562</v>
      </c>
      <c r="AJ86" s="70">
        <v>240</v>
      </c>
      <c r="AK86" s="71">
        <v>5.81</v>
      </c>
      <c r="AL86" s="70">
        <v>1575</v>
      </c>
      <c r="AM86" s="71">
        <v>606</v>
      </c>
      <c r="AN86" s="70">
        <v>11.24</v>
      </c>
      <c r="AO86" s="71">
        <v>2479</v>
      </c>
      <c r="AP86" s="70">
        <v>409</v>
      </c>
      <c r="AQ86" s="71">
        <v>32.36</v>
      </c>
      <c r="AR86" s="70">
        <v>990</v>
      </c>
      <c r="AS86" s="71">
        <v>193</v>
      </c>
      <c r="AT86" s="70">
        <v>10.24</v>
      </c>
      <c r="AU86" s="71">
        <v>25</v>
      </c>
      <c r="AV86" s="70" t="s">
        <v>122</v>
      </c>
      <c r="AW86" s="71">
        <v>0.15</v>
      </c>
      <c r="AX86" s="70">
        <v>811339</v>
      </c>
      <c r="AY86" s="71">
        <v>801919</v>
      </c>
      <c r="AZ86" s="70">
        <v>14.907</v>
      </c>
      <c r="BA86" s="84">
        <v>2179.4349999999999</v>
      </c>
      <c r="BB86" s="80" t="s">
        <v>87</v>
      </c>
      <c r="BC86" s="64"/>
      <c r="BD86" s="64"/>
    </row>
    <row r="87" spans="1:56" x14ac:dyDescent="0.3">
      <c r="A87" s="63" t="s">
        <v>171</v>
      </c>
      <c r="B87" s="72">
        <v>6566</v>
      </c>
      <c r="C87" s="71">
        <v>3517</v>
      </c>
      <c r="D87" s="70">
        <v>95.9</v>
      </c>
      <c r="E87" s="71">
        <v>61170</v>
      </c>
      <c r="F87" s="70">
        <v>58280</v>
      </c>
      <c r="G87" s="71">
        <v>1209.6300000000001</v>
      </c>
      <c r="H87" s="70">
        <v>30492</v>
      </c>
      <c r="I87" s="71">
        <v>22843</v>
      </c>
      <c r="J87" s="70">
        <v>528.23</v>
      </c>
      <c r="K87" s="71">
        <v>172</v>
      </c>
      <c r="L87" s="70" t="s">
        <v>122</v>
      </c>
      <c r="M87" s="71">
        <v>0.26</v>
      </c>
      <c r="N87" s="70">
        <v>11</v>
      </c>
      <c r="O87" s="71" t="s">
        <v>122</v>
      </c>
      <c r="P87" s="70">
        <v>2.9000000000000001E-2</v>
      </c>
      <c r="Q87" s="71" t="s">
        <v>122</v>
      </c>
      <c r="R87" s="70" t="s">
        <v>122</v>
      </c>
      <c r="S87" s="71" t="s">
        <v>122</v>
      </c>
      <c r="T87" s="70">
        <v>490</v>
      </c>
      <c r="U87" s="71">
        <v>232</v>
      </c>
      <c r="V87" s="70">
        <v>0.99</v>
      </c>
      <c r="W87" s="71">
        <v>3</v>
      </c>
      <c r="X87" s="70" t="s">
        <v>122</v>
      </c>
      <c r="Y87" s="71">
        <v>1.0999999999999999E-2</v>
      </c>
      <c r="Z87" s="70">
        <v>19</v>
      </c>
      <c r="AA87" s="71" t="s">
        <v>122</v>
      </c>
      <c r="AB87" s="70">
        <v>0.17499999999999999</v>
      </c>
      <c r="AC87" s="71">
        <v>526</v>
      </c>
      <c r="AD87" s="70" t="s">
        <v>122</v>
      </c>
      <c r="AE87" s="71">
        <v>3.7549999999999999</v>
      </c>
      <c r="AF87" s="70">
        <v>2185</v>
      </c>
      <c r="AG87" s="71" t="s">
        <v>122</v>
      </c>
      <c r="AH87" s="70">
        <v>22.428999999999998</v>
      </c>
      <c r="AI87" s="71">
        <v>16</v>
      </c>
      <c r="AJ87" s="70" t="s">
        <v>122</v>
      </c>
      <c r="AK87" s="71">
        <v>0.16</v>
      </c>
      <c r="AL87" s="70">
        <v>1460</v>
      </c>
      <c r="AM87" s="71" t="s">
        <v>122</v>
      </c>
      <c r="AN87" s="70">
        <v>5.6890000000000001</v>
      </c>
      <c r="AO87" s="71">
        <v>4607</v>
      </c>
      <c r="AP87" s="70" t="s">
        <v>122</v>
      </c>
      <c r="AQ87" s="71">
        <v>0.99199999999999999</v>
      </c>
      <c r="AR87" s="70">
        <v>100</v>
      </c>
      <c r="AS87" s="71" t="s">
        <v>122</v>
      </c>
      <c r="AT87" s="70">
        <v>1.5</v>
      </c>
      <c r="AU87" s="71">
        <v>180</v>
      </c>
      <c r="AV87" s="70" t="s">
        <v>122</v>
      </c>
      <c r="AW87" s="71">
        <v>5.7000000000000002E-2</v>
      </c>
      <c r="AX87" s="70">
        <v>925330</v>
      </c>
      <c r="AY87" s="71">
        <v>410366</v>
      </c>
      <c r="AZ87" s="70" t="s">
        <v>122</v>
      </c>
      <c r="BA87" s="84">
        <v>527.30999999999995</v>
      </c>
      <c r="BB87" s="80" t="s">
        <v>88</v>
      </c>
      <c r="BC87" s="64"/>
      <c r="BD87" s="64"/>
    </row>
    <row r="88" spans="1:56" x14ac:dyDescent="0.3">
      <c r="A88" s="116" t="s">
        <v>89</v>
      </c>
      <c r="B88" s="117">
        <f t="shared" ref="B88:J88" si="53">SUM(B90:B102)</f>
        <v>62094</v>
      </c>
      <c r="C88" s="90">
        <f t="shared" si="53"/>
        <v>26412</v>
      </c>
      <c r="D88" s="90">
        <f t="shared" si="53"/>
        <v>2187.3559999999998</v>
      </c>
      <c r="E88" s="90">
        <f t="shared" si="53"/>
        <v>131446</v>
      </c>
      <c r="F88" s="90">
        <f t="shared" si="53"/>
        <v>109262</v>
      </c>
      <c r="G88" s="90">
        <f>SUM(G90:G102)</f>
        <v>6540.9859999999999</v>
      </c>
      <c r="H88" s="90">
        <f t="shared" si="53"/>
        <v>24333</v>
      </c>
      <c r="I88" s="90">
        <f t="shared" si="53"/>
        <v>16255</v>
      </c>
      <c r="J88" s="90">
        <f t="shared" si="53"/>
        <v>819.56600000000003</v>
      </c>
      <c r="K88" s="90">
        <f>SUM(K90:K102)</f>
        <v>9454</v>
      </c>
      <c r="L88" s="90">
        <f>SUM(L90:L102)</f>
        <v>1887</v>
      </c>
      <c r="M88" s="90">
        <f>SUM(M90:M102)</f>
        <v>208.61699999999999</v>
      </c>
      <c r="N88" s="90">
        <f>SUM(N90:N102)</f>
        <v>9900</v>
      </c>
      <c r="O88" s="90">
        <f t="shared" ref="O88:AE88" si="54">SUM(O90:O102)</f>
        <v>7193</v>
      </c>
      <c r="P88" s="90">
        <f t="shared" si="54"/>
        <v>381.255</v>
      </c>
      <c r="Q88" s="90">
        <f t="shared" ref="Q88:V88" si="55">SUM(Q90:Q102)</f>
        <v>1615</v>
      </c>
      <c r="R88" s="90">
        <f t="shared" si="55"/>
        <v>1000</v>
      </c>
      <c r="S88" s="90">
        <f t="shared" si="55"/>
        <v>80.14</v>
      </c>
      <c r="T88" s="90">
        <f t="shared" si="55"/>
        <v>25842</v>
      </c>
      <c r="U88" s="90">
        <f t="shared" si="55"/>
        <v>19595</v>
      </c>
      <c r="V88" s="90">
        <f t="shared" si="55"/>
        <v>999.62400000000014</v>
      </c>
      <c r="W88" s="90">
        <f t="shared" si="54"/>
        <v>19486</v>
      </c>
      <c r="X88" s="90">
        <f t="shared" si="54"/>
        <v>15477</v>
      </c>
      <c r="Y88" s="90">
        <f t="shared" si="54"/>
        <v>704.13099999999997</v>
      </c>
      <c r="Z88" s="96">
        <f t="shared" si="54"/>
        <v>9904</v>
      </c>
      <c r="AA88" s="90">
        <f t="shared" si="54"/>
        <v>4224</v>
      </c>
      <c r="AB88" s="90">
        <f t="shared" si="54"/>
        <v>289.47800000000001</v>
      </c>
      <c r="AC88" s="90">
        <f t="shared" si="54"/>
        <v>1546</v>
      </c>
      <c r="AD88" s="90">
        <f t="shared" si="54"/>
        <v>831</v>
      </c>
      <c r="AE88" s="90">
        <f t="shared" si="54"/>
        <v>28.834000000000003</v>
      </c>
      <c r="AF88" s="90">
        <f>SUM(AF90:AF102)</f>
        <v>12602</v>
      </c>
      <c r="AG88" s="90">
        <f t="shared" ref="AG88:AQ88" si="56">SUM(AG90:AG102)</f>
        <v>3617</v>
      </c>
      <c r="AH88" s="90">
        <f t="shared" si="56"/>
        <v>277.51099999999997</v>
      </c>
      <c r="AI88" s="90">
        <f t="shared" si="56"/>
        <v>15205</v>
      </c>
      <c r="AJ88" s="90">
        <f t="shared" si="56"/>
        <v>243</v>
      </c>
      <c r="AK88" s="90">
        <f t="shared" si="56"/>
        <v>189.28500000000003</v>
      </c>
      <c r="AL88" s="90">
        <f t="shared" si="56"/>
        <v>16981</v>
      </c>
      <c r="AM88" s="90">
        <f t="shared" si="56"/>
        <v>5403</v>
      </c>
      <c r="AN88" s="90">
        <f t="shared" si="56"/>
        <v>134.119</v>
      </c>
      <c r="AO88" s="90">
        <f t="shared" si="56"/>
        <v>3644</v>
      </c>
      <c r="AP88" s="90">
        <f t="shared" si="56"/>
        <v>1133</v>
      </c>
      <c r="AQ88" s="90">
        <f t="shared" si="56"/>
        <v>29.927</v>
      </c>
      <c r="AR88" s="90">
        <f>SUM(AR90:AR102)</f>
        <v>142</v>
      </c>
      <c r="AS88" s="90">
        <f t="shared" ref="AS88:BA88" si="57">SUM(AS90:AS102)</f>
        <v>0</v>
      </c>
      <c r="AT88" s="90">
        <f t="shared" si="57"/>
        <v>0.93</v>
      </c>
      <c r="AU88" s="90">
        <f t="shared" si="57"/>
        <v>9882</v>
      </c>
      <c r="AV88" s="90">
        <f t="shared" si="57"/>
        <v>7163</v>
      </c>
      <c r="AW88" s="90">
        <f t="shared" si="57"/>
        <v>55.836000000000006</v>
      </c>
      <c r="AX88" s="90">
        <f t="shared" si="57"/>
        <v>2032927</v>
      </c>
      <c r="AY88" s="90">
        <f t="shared" si="57"/>
        <v>1800878</v>
      </c>
      <c r="AZ88" s="90">
        <f t="shared" si="57"/>
        <v>2951.5039999999999</v>
      </c>
      <c r="BA88" s="91">
        <f t="shared" si="57"/>
        <v>65292.536</v>
      </c>
      <c r="BB88" s="124" t="s">
        <v>90</v>
      </c>
      <c r="BC88" s="125"/>
      <c r="BD88" s="125"/>
    </row>
    <row r="89" spans="1:56" x14ac:dyDescent="0.3">
      <c r="A89" s="116"/>
      <c r="B89" s="117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6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1"/>
      <c r="BB89" s="124"/>
      <c r="BC89" s="125"/>
      <c r="BD89" s="125"/>
    </row>
    <row r="90" spans="1:56" x14ac:dyDescent="0.3">
      <c r="A90" s="63" t="s">
        <v>172</v>
      </c>
      <c r="B90" s="72">
        <v>654</v>
      </c>
      <c r="C90" s="71">
        <v>418</v>
      </c>
      <c r="D90" s="70">
        <v>13.73</v>
      </c>
      <c r="E90" s="71">
        <v>450</v>
      </c>
      <c r="F90" s="70">
        <v>165</v>
      </c>
      <c r="G90" s="71">
        <v>11.151</v>
      </c>
      <c r="H90" s="70">
        <v>347</v>
      </c>
      <c r="I90" s="71">
        <v>160</v>
      </c>
      <c r="J90" s="70">
        <v>5.6189999999999998</v>
      </c>
      <c r="K90" s="71">
        <v>19</v>
      </c>
      <c r="L90" s="70" t="s">
        <v>122</v>
      </c>
      <c r="M90" s="71">
        <v>0.152</v>
      </c>
      <c r="N90" s="70">
        <v>52</v>
      </c>
      <c r="O90" s="71">
        <v>50</v>
      </c>
      <c r="P90" s="70">
        <v>2.7E-2</v>
      </c>
      <c r="Q90" s="71" t="s">
        <v>122</v>
      </c>
      <c r="R90" s="70" t="s">
        <v>122</v>
      </c>
      <c r="S90" s="71" t="s">
        <v>122</v>
      </c>
      <c r="T90" s="70">
        <v>440</v>
      </c>
      <c r="U90" s="71">
        <v>320</v>
      </c>
      <c r="V90" s="70">
        <v>9.0210000000000008</v>
      </c>
      <c r="W90" s="71">
        <v>14</v>
      </c>
      <c r="X90" s="70" t="s">
        <v>122</v>
      </c>
      <c r="Y90" s="71">
        <v>0.105</v>
      </c>
      <c r="Z90" s="70">
        <v>60</v>
      </c>
      <c r="AA90" s="71" t="s">
        <v>122</v>
      </c>
      <c r="AB90" s="70">
        <v>0.36099999999999999</v>
      </c>
      <c r="AC90" s="71" t="s">
        <v>122</v>
      </c>
      <c r="AD90" s="70" t="s">
        <v>122</v>
      </c>
      <c r="AE90" s="71" t="s">
        <v>122</v>
      </c>
      <c r="AF90" s="70">
        <v>132</v>
      </c>
      <c r="AG90" s="71">
        <v>75</v>
      </c>
      <c r="AH90" s="70">
        <v>1.472</v>
      </c>
      <c r="AI90" s="71">
        <v>267</v>
      </c>
      <c r="AJ90" s="70">
        <v>170</v>
      </c>
      <c r="AK90" s="71">
        <v>3.0539999999999998</v>
      </c>
      <c r="AL90" s="70">
        <v>113</v>
      </c>
      <c r="AM90" s="71">
        <v>80</v>
      </c>
      <c r="AN90" s="70">
        <v>0.58099999999999996</v>
      </c>
      <c r="AO90" s="71">
        <v>57</v>
      </c>
      <c r="AP90" s="70">
        <v>57</v>
      </c>
      <c r="AQ90" s="71">
        <v>1E-3</v>
      </c>
      <c r="AR90" s="70" t="s">
        <v>122</v>
      </c>
      <c r="AS90" s="71" t="s">
        <v>122</v>
      </c>
      <c r="AT90" s="70" t="s">
        <v>122</v>
      </c>
      <c r="AU90" s="71">
        <v>370</v>
      </c>
      <c r="AV90" s="70">
        <v>235</v>
      </c>
      <c r="AW90" s="71">
        <v>1.32</v>
      </c>
      <c r="AX90" s="70">
        <v>7340</v>
      </c>
      <c r="AY90" s="71">
        <v>4214</v>
      </c>
      <c r="AZ90" s="70">
        <v>0.58599999999999997</v>
      </c>
      <c r="BA90" s="84">
        <v>38.914000000000001</v>
      </c>
      <c r="BB90" s="80" t="s">
        <v>91</v>
      </c>
      <c r="BC90" s="64"/>
      <c r="BD90" s="64"/>
    </row>
    <row r="91" spans="1:56" x14ac:dyDescent="0.3">
      <c r="A91" s="63" t="s">
        <v>173</v>
      </c>
      <c r="B91" s="72">
        <v>19022</v>
      </c>
      <c r="C91" s="71">
        <v>2023</v>
      </c>
      <c r="D91" s="70">
        <v>443.80500000000001</v>
      </c>
      <c r="E91" s="71">
        <v>6945</v>
      </c>
      <c r="F91" s="70">
        <v>778</v>
      </c>
      <c r="G91" s="71">
        <v>145.54499999999999</v>
      </c>
      <c r="H91" s="70">
        <v>2594</v>
      </c>
      <c r="I91" s="71">
        <v>184</v>
      </c>
      <c r="J91" s="70">
        <v>39.47</v>
      </c>
      <c r="K91" s="71">
        <v>2615</v>
      </c>
      <c r="L91" s="70">
        <v>20</v>
      </c>
      <c r="M91" s="71">
        <v>32.08</v>
      </c>
      <c r="N91" s="70">
        <v>650</v>
      </c>
      <c r="O91" s="71" t="s">
        <v>122</v>
      </c>
      <c r="P91" s="70">
        <v>8.6300000000000008</v>
      </c>
      <c r="Q91" s="71">
        <v>15</v>
      </c>
      <c r="R91" s="70" t="s">
        <v>122</v>
      </c>
      <c r="S91" s="71">
        <v>0.14000000000000001</v>
      </c>
      <c r="T91" s="70">
        <v>2345</v>
      </c>
      <c r="U91" s="71">
        <v>260</v>
      </c>
      <c r="V91" s="70">
        <v>45.174999999999997</v>
      </c>
      <c r="W91" s="71">
        <v>480</v>
      </c>
      <c r="X91" s="70" t="s">
        <v>122</v>
      </c>
      <c r="Y91" s="71">
        <v>8.8849999999999998</v>
      </c>
      <c r="Z91" s="70">
        <v>1170</v>
      </c>
      <c r="AA91" s="71" t="s">
        <v>122</v>
      </c>
      <c r="AB91" s="70">
        <v>13.06</v>
      </c>
      <c r="AC91" s="71">
        <v>223</v>
      </c>
      <c r="AD91" s="70">
        <v>11</v>
      </c>
      <c r="AE91" s="71">
        <v>1.9850000000000001</v>
      </c>
      <c r="AF91" s="70">
        <v>461</v>
      </c>
      <c r="AG91" s="71">
        <v>61</v>
      </c>
      <c r="AH91" s="70">
        <v>7.3049999999999997</v>
      </c>
      <c r="AI91" s="71">
        <v>12370</v>
      </c>
      <c r="AJ91" s="70" t="s">
        <v>122</v>
      </c>
      <c r="AK91" s="71">
        <v>141.25</v>
      </c>
      <c r="AL91" s="70">
        <v>4068</v>
      </c>
      <c r="AM91" s="71">
        <v>875</v>
      </c>
      <c r="AN91" s="70">
        <v>35.44</v>
      </c>
      <c r="AO91" s="71">
        <v>1321</v>
      </c>
      <c r="AP91" s="70">
        <v>90</v>
      </c>
      <c r="AQ91" s="71">
        <v>10.56</v>
      </c>
      <c r="AR91" s="70">
        <v>142</v>
      </c>
      <c r="AS91" s="71" t="s">
        <v>122</v>
      </c>
      <c r="AT91" s="70">
        <v>0.93</v>
      </c>
      <c r="AU91" s="71">
        <v>79</v>
      </c>
      <c r="AV91" s="70">
        <v>20</v>
      </c>
      <c r="AW91" s="71">
        <v>0.92500000000000004</v>
      </c>
      <c r="AX91" s="70">
        <v>86791</v>
      </c>
      <c r="AY91" s="71">
        <v>57106</v>
      </c>
      <c r="AZ91" s="70">
        <v>0.82899999999999996</v>
      </c>
      <c r="BA91" s="84">
        <v>48.350999999999999</v>
      </c>
      <c r="BB91" s="80" t="s">
        <v>92</v>
      </c>
      <c r="BC91" s="64"/>
      <c r="BD91" s="64"/>
    </row>
    <row r="92" spans="1:56" x14ac:dyDescent="0.3">
      <c r="A92" s="63" t="s">
        <v>174</v>
      </c>
      <c r="B92" s="72">
        <v>1105</v>
      </c>
      <c r="C92" s="71">
        <v>55</v>
      </c>
      <c r="D92" s="70">
        <v>20.65</v>
      </c>
      <c r="E92" s="71">
        <v>401</v>
      </c>
      <c r="F92" s="70">
        <v>66</v>
      </c>
      <c r="G92" s="71">
        <v>11.3</v>
      </c>
      <c r="H92" s="70">
        <v>167</v>
      </c>
      <c r="I92" s="71">
        <v>8</v>
      </c>
      <c r="J92" s="70">
        <v>1.7050000000000001</v>
      </c>
      <c r="K92" s="71">
        <v>327</v>
      </c>
      <c r="L92" s="70" t="s">
        <v>122</v>
      </c>
      <c r="M92" s="71">
        <v>8.5850000000000009</v>
      </c>
      <c r="N92" s="70">
        <v>125</v>
      </c>
      <c r="O92" s="71" t="s">
        <v>122</v>
      </c>
      <c r="P92" s="70">
        <v>5.05</v>
      </c>
      <c r="Q92" s="71" t="s">
        <v>122</v>
      </c>
      <c r="R92" s="70" t="s">
        <v>122</v>
      </c>
      <c r="S92" s="71" t="s">
        <v>122</v>
      </c>
      <c r="T92" s="70">
        <v>701</v>
      </c>
      <c r="U92" s="71">
        <v>40</v>
      </c>
      <c r="V92" s="70">
        <v>15.775</v>
      </c>
      <c r="W92" s="71">
        <v>215</v>
      </c>
      <c r="X92" s="70" t="s">
        <v>122</v>
      </c>
      <c r="Y92" s="71">
        <v>8.1999999999999993</v>
      </c>
      <c r="Z92" s="70">
        <v>135</v>
      </c>
      <c r="AA92" s="71" t="s">
        <v>122</v>
      </c>
      <c r="AB92" s="70">
        <v>4.7</v>
      </c>
      <c r="AC92" s="71">
        <v>50</v>
      </c>
      <c r="AD92" s="70" t="s">
        <v>122</v>
      </c>
      <c r="AE92" s="71">
        <v>1.5</v>
      </c>
      <c r="AF92" s="70">
        <v>2111</v>
      </c>
      <c r="AG92" s="71">
        <v>111</v>
      </c>
      <c r="AH92" s="70">
        <v>19.27</v>
      </c>
      <c r="AI92" s="71">
        <v>90</v>
      </c>
      <c r="AJ92" s="70" t="s">
        <v>122</v>
      </c>
      <c r="AK92" s="71">
        <v>0.9</v>
      </c>
      <c r="AL92" s="70">
        <v>1796</v>
      </c>
      <c r="AM92" s="71">
        <v>524</v>
      </c>
      <c r="AN92" s="70">
        <v>5.19</v>
      </c>
      <c r="AO92" s="71">
        <v>50</v>
      </c>
      <c r="AP92" s="70" t="s">
        <v>122</v>
      </c>
      <c r="AQ92" s="71">
        <v>0.5</v>
      </c>
      <c r="AR92" s="70" t="s">
        <v>122</v>
      </c>
      <c r="AS92" s="71" t="s">
        <v>122</v>
      </c>
      <c r="AT92" s="70" t="s">
        <v>122</v>
      </c>
      <c r="AU92" s="71">
        <v>8655</v>
      </c>
      <c r="AV92" s="70">
        <v>6475</v>
      </c>
      <c r="AW92" s="71">
        <v>49.34</v>
      </c>
      <c r="AX92" s="70">
        <v>30532</v>
      </c>
      <c r="AY92" s="71">
        <v>23142</v>
      </c>
      <c r="AZ92" s="70">
        <v>28.256</v>
      </c>
      <c r="BA92" s="84">
        <v>290.98200000000003</v>
      </c>
      <c r="BB92" s="80" t="s">
        <v>93</v>
      </c>
      <c r="BC92" s="64"/>
      <c r="BD92" s="64"/>
    </row>
    <row r="93" spans="1:56" x14ac:dyDescent="0.3">
      <c r="A93" s="63" t="s">
        <v>175</v>
      </c>
      <c r="B93" s="72">
        <v>4702</v>
      </c>
      <c r="C93" s="71">
        <v>1367</v>
      </c>
      <c r="D93" s="70">
        <v>123.425</v>
      </c>
      <c r="E93" s="71">
        <v>9140</v>
      </c>
      <c r="F93" s="70">
        <v>6805</v>
      </c>
      <c r="G93" s="71">
        <v>143.69999999999999</v>
      </c>
      <c r="H93" s="70">
        <v>6830</v>
      </c>
      <c r="I93" s="71">
        <v>6130</v>
      </c>
      <c r="J93" s="70">
        <v>104.5</v>
      </c>
      <c r="K93" s="71">
        <v>330</v>
      </c>
      <c r="L93" s="70" t="s">
        <v>122</v>
      </c>
      <c r="M93" s="71">
        <v>4.04</v>
      </c>
      <c r="N93" s="70">
        <v>30</v>
      </c>
      <c r="O93" s="71" t="s">
        <v>122</v>
      </c>
      <c r="P93" s="70">
        <v>0.24</v>
      </c>
      <c r="Q93" s="71" t="s">
        <v>122</v>
      </c>
      <c r="R93" s="70" t="s">
        <v>122</v>
      </c>
      <c r="S93" s="71" t="s">
        <v>122</v>
      </c>
      <c r="T93" s="70">
        <v>818</v>
      </c>
      <c r="U93" s="71">
        <v>233</v>
      </c>
      <c r="V93" s="70">
        <v>8.3000000000000007</v>
      </c>
      <c r="W93" s="71">
        <v>50</v>
      </c>
      <c r="X93" s="70" t="s">
        <v>122</v>
      </c>
      <c r="Y93" s="71">
        <v>0.65</v>
      </c>
      <c r="Z93" s="70">
        <v>560</v>
      </c>
      <c r="AA93" s="71">
        <v>160</v>
      </c>
      <c r="AB93" s="70">
        <v>10.050000000000001</v>
      </c>
      <c r="AC93" s="71" t="s">
        <v>122</v>
      </c>
      <c r="AD93" s="70" t="s">
        <v>122</v>
      </c>
      <c r="AE93" s="71" t="s">
        <v>122</v>
      </c>
      <c r="AF93" s="70">
        <v>1266</v>
      </c>
      <c r="AG93" s="71">
        <v>476</v>
      </c>
      <c r="AH93" s="70">
        <v>22.85</v>
      </c>
      <c r="AI93" s="71">
        <v>18</v>
      </c>
      <c r="AJ93" s="70">
        <v>18</v>
      </c>
      <c r="AK93" s="71">
        <v>1E-3</v>
      </c>
      <c r="AL93" s="70">
        <v>3070</v>
      </c>
      <c r="AM93" s="71">
        <v>80</v>
      </c>
      <c r="AN93" s="70">
        <v>24.495000000000001</v>
      </c>
      <c r="AO93" s="71">
        <v>20</v>
      </c>
      <c r="AP93" s="70" t="s">
        <v>122</v>
      </c>
      <c r="AQ93" s="71">
        <v>0.32</v>
      </c>
      <c r="AR93" s="70" t="s">
        <v>122</v>
      </c>
      <c r="AS93" s="71" t="s">
        <v>122</v>
      </c>
      <c r="AT93" s="70" t="s">
        <v>122</v>
      </c>
      <c r="AU93" s="71" t="s">
        <v>122</v>
      </c>
      <c r="AV93" s="70" t="s">
        <v>122</v>
      </c>
      <c r="AW93" s="71" t="s">
        <v>122</v>
      </c>
      <c r="AX93" s="70">
        <v>37219</v>
      </c>
      <c r="AY93" s="71">
        <v>18899</v>
      </c>
      <c r="AZ93" s="70">
        <v>48.25</v>
      </c>
      <c r="BA93" s="84">
        <v>769.94100000000003</v>
      </c>
      <c r="BB93" s="80" t="s">
        <v>94</v>
      </c>
      <c r="BC93" s="64"/>
      <c r="BD93" s="64"/>
    </row>
    <row r="94" spans="1:56" x14ac:dyDescent="0.3">
      <c r="A94" s="63" t="s">
        <v>176</v>
      </c>
      <c r="B94" s="72">
        <v>415</v>
      </c>
      <c r="C94" s="71">
        <v>295</v>
      </c>
      <c r="D94" s="70">
        <v>11.095000000000001</v>
      </c>
      <c r="E94" s="71">
        <v>180</v>
      </c>
      <c r="F94" s="70">
        <v>135</v>
      </c>
      <c r="G94" s="71">
        <v>8.5</v>
      </c>
      <c r="H94" s="70">
        <v>70</v>
      </c>
      <c r="I94" s="71">
        <v>50</v>
      </c>
      <c r="J94" s="70">
        <v>3.5</v>
      </c>
      <c r="K94" s="71">
        <v>10</v>
      </c>
      <c r="L94" s="70">
        <v>10</v>
      </c>
      <c r="M94" s="71">
        <v>0.5</v>
      </c>
      <c r="N94" s="70">
        <v>71</v>
      </c>
      <c r="O94" s="71">
        <v>60</v>
      </c>
      <c r="P94" s="70">
        <v>3.7</v>
      </c>
      <c r="Q94" s="71">
        <v>1600</v>
      </c>
      <c r="R94" s="70">
        <v>1000</v>
      </c>
      <c r="S94" s="71">
        <v>80</v>
      </c>
      <c r="T94" s="70">
        <v>310</v>
      </c>
      <c r="U94" s="71">
        <v>210</v>
      </c>
      <c r="V94" s="70">
        <v>6.56</v>
      </c>
      <c r="W94" s="71">
        <v>160</v>
      </c>
      <c r="X94" s="70">
        <v>134</v>
      </c>
      <c r="Y94" s="71">
        <v>6.2</v>
      </c>
      <c r="Z94" s="70">
        <v>86</v>
      </c>
      <c r="AA94" s="71">
        <v>60</v>
      </c>
      <c r="AB94" s="70">
        <v>4.3</v>
      </c>
      <c r="AC94" s="71">
        <v>5</v>
      </c>
      <c r="AD94" s="70">
        <v>5</v>
      </c>
      <c r="AE94" s="71">
        <v>0.25</v>
      </c>
      <c r="AF94" s="70">
        <v>140</v>
      </c>
      <c r="AG94" s="71">
        <v>105</v>
      </c>
      <c r="AH94" s="70">
        <v>4.75</v>
      </c>
      <c r="AI94" s="71" t="s">
        <v>122</v>
      </c>
      <c r="AJ94" s="70" t="s">
        <v>122</v>
      </c>
      <c r="AK94" s="71" t="s">
        <v>122</v>
      </c>
      <c r="AL94" s="70">
        <v>134</v>
      </c>
      <c r="AM94" s="71">
        <v>114</v>
      </c>
      <c r="AN94" s="70">
        <v>1.71</v>
      </c>
      <c r="AO94" s="71">
        <v>338</v>
      </c>
      <c r="AP94" s="70" t="s">
        <v>122</v>
      </c>
      <c r="AQ94" s="71">
        <v>0.17399999999999999</v>
      </c>
      <c r="AR94" s="70" t="s">
        <v>122</v>
      </c>
      <c r="AS94" s="71" t="s">
        <v>122</v>
      </c>
      <c r="AT94" s="70" t="s">
        <v>122</v>
      </c>
      <c r="AU94" s="71" t="s">
        <v>122</v>
      </c>
      <c r="AV94" s="70" t="s">
        <v>122</v>
      </c>
      <c r="AW94" s="71" t="s">
        <v>122</v>
      </c>
      <c r="AX94" s="70">
        <v>107273</v>
      </c>
      <c r="AY94" s="71">
        <v>82480</v>
      </c>
      <c r="AZ94" s="70">
        <v>141.91999999999999</v>
      </c>
      <c r="BA94" s="84">
        <v>3905.058</v>
      </c>
      <c r="BB94" s="80" t="s">
        <v>95</v>
      </c>
      <c r="BC94" s="64"/>
      <c r="BD94" s="64"/>
    </row>
    <row r="95" spans="1:56" x14ac:dyDescent="0.3">
      <c r="A95" s="63" t="s">
        <v>177</v>
      </c>
      <c r="B95" s="72">
        <v>344</v>
      </c>
      <c r="C95" s="71">
        <v>220</v>
      </c>
      <c r="D95" s="70">
        <v>6.8650000000000002</v>
      </c>
      <c r="E95" s="71">
        <v>413</v>
      </c>
      <c r="F95" s="70">
        <v>290</v>
      </c>
      <c r="G95" s="71">
        <v>7.83</v>
      </c>
      <c r="H95" s="70">
        <v>216</v>
      </c>
      <c r="I95" s="71">
        <v>175</v>
      </c>
      <c r="J95" s="70">
        <v>3.57</v>
      </c>
      <c r="K95" s="71">
        <v>113</v>
      </c>
      <c r="L95" s="70">
        <v>80</v>
      </c>
      <c r="M95" s="71">
        <v>0.78600000000000003</v>
      </c>
      <c r="N95" s="70">
        <v>154</v>
      </c>
      <c r="O95" s="71">
        <v>145</v>
      </c>
      <c r="P95" s="70">
        <v>0.36599999999999999</v>
      </c>
      <c r="Q95" s="71" t="s">
        <v>122</v>
      </c>
      <c r="R95" s="70" t="s">
        <v>122</v>
      </c>
      <c r="S95" s="71" t="s">
        <v>122</v>
      </c>
      <c r="T95" s="70">
        <v>399</v>
      </c>
      <c r="U95" s="71">
        <v>340</v>
      </c>
      <c r="V95" s="70">
        <v>8.5809999999999995</v>
      </c>
      <c r="W95" s="71">
        <v>37</v>
      </c>
      <c r="X95" s="70">
        <v>20</v>
      </c>
      <c r="Y95" s="71">
        <v>0.441</v>
      </c>
      <c r="Z95" s="70">
        <v>162</v>
      </c>
      <c r="AA95" s="71">
        <v>100</v>
      </c>
      <c r="AB95" s="70">
        <v>1.0640000000000001</v>
      </c>
      <c r="AC95" s="71">
        <v>20</v>
      </c>
      <c r="AD95" s="70" t="s">
        <v>122</v>
      </c>
      <c r="AE95" s="71">
        <v>0.26</v>
      </c>
      <c r="AF95" s="70">
        <v>252</v>
      </c>
      <c r="AG95" s="71">
        <v>50</v>
      </c>
      <c r="AH95" s="70">
        <v>2.7719999999999998</v>
      </c>
      <c r="AI95" s="71">
        <v>40</v>
      </c>
      <c r="AJ95" s="70">
        <v>40</v>
      </c>
      <c r="AK95" s="71">
        <v>0.52</v>
      </c>
      <c r="AL95" s="70">
        <v>3660</v>
      </c>
      <c r="AM95" s="71">
        <v>2900</v>
      </c>
      <c r="AN95" s="70">
        <v>21.96</v>
      </c>
      <c r="AO95" s="71">
        <v>354</v>
      </c>
      <c r="AP95" s="70">
        <v>45</v>
      </c>
      <c r="AQ95" s="71">
        <v>0.92800000000000005</v>
      </c>
      <c r="AR95" s="70" t="s">
        <v>122</v>
      </c>
      <c r="AS95" s="71" t="s">
        <v>122</v>
      </c>
      <c r="AT95" s="70" t="s">
        <v>122</v>
      </c>
      <c r="AU95" s="71" t="s">
        <v>122</v>
      </c>
      <c r="AV95" s="70" t="s">
        <v>122</v>
      </c>
      <c r="AW95" s="71" t="s">
        <v>122</v>
      </c>
      <c r="AX95" s="70">
        <v>57047</v>
      </c>
      <c r="AY95" s="71">
        <v>40884</v>
      </c>
      <c r="AZ95" s="70">
        <v>3.33</v>
      </c>
      <c r="BA95" s="84">
        <v>422.70400000000001</v>
      </c>
      <c r="BB95" s="80" t="s">
        <v>96</v>
      </c>
      <c r="BC95" s="64"/>
      <c r="BD95" s="64"/>
    </row>
    <row r="96" spans="1:56" x14ac:dyDescent="0.3">
      <c r="A96" s="63" t="s">
        <v>178</v>
      </c>
      <c r="B96" s="72">
        <v>3885</v>
      </c>
      <c r="C96" s="71">
        <v>2980</v>
      </c>
      <c r="D96" s="70">
        <v>193.65</v>
      </c>
      <c r="E96" s="71">
        <v>5360</v>
      </c>
      <c r="F96" s="70">
        <v>4600</v>
      </c>
      <c r="G96" s="71">
        <v>295.5</v>
      </c>
      <c r="H96" s="70">
        <v>1070</v>
      </c>
      <c r="I96" s="71">
        <v>1050</v>
      </c>
      <c r="J96" s="70">
        <v>53.5</v>
      </c>
      <c r="K96" s="71">
        <v>307</v>
      </c>
      <c r="L96" s="70">
        <v>245</v>
      </c>
      <c r="M96" s="71">
        <v>13.75</v>
      </c>
      <c r="N96" s="70">
        <v>50</v>
      </c>
      <c r="O96" s="71">
        <v>45</v>
      </c>
      <c r="P96" s="70">
        <v>2.5</v>
      </c>
      <c r="Q96" s="71" t="s">
        <v>122</v>
      </c>
      <c r="R96" s="70" t="s">
        <v>122</v>
      </c>
      <c r="S96" s="71" t="s">
        <v>122</v>
      </c>
      <c r="T96" s="70">
        <v>650</v>
      </c>
      <c r="U96" s="71">
        <v>495</v>
      </c>
      <c r="V96" s="70">
        <v>30.25</v>
      </c>
      <c r="W96" s="71">
        <v>416</v>
      </c>
      <c r="X96" s="70">
        <v>401</v>
      </c>
      <c r="Y96" s="71">
        <v>17.55</v>
      </c>
      <c r="Z96" s="70">
        <v>362</v>
      </c>
      <c r="AA96" s="71">
        <v>350</v>
      </c>
      <c r="AB96" s="70">
        <v>17.399999999999999</v>
      </c>
      <c r="AC96" s="71">
        <v>5</v>
      </c>
      <c r="AD96" s="70">
        <v>5</v>
      </c>
      <c r="AE96" s="71">
        <v>0.25</v>
      </c>
      <c r="AF96" s="70">
        <v>1305</v>
      </c>
      <c r="AG96" s="71">
        <v>510</v>
      </c>
      <c r="AH96" s="70">
        <v>62.3</v>
      </c>
      <c r="AI96" s="71" t="s">
        <v>122</v>
      </c>
      <c r="AJ96" s="70" t="s">
        <v>122</v>
      </c>
      <c r="AK96" s="71" t="s">
        <v>122</v>
      </c>
      <c r="AL96" s="70">
        <v>130</v>
      </c>
      <c r="AM96" s="71">
        <v>60</v>
      </c>
      <c r="AN96" s="70">
        <v>1.5</v>
      </c>
      <c r="AO96" s="71" t="s">
        <v>122</v>
      </c>
      <c r="AP96" s="70" t="s">
        <v>122</v>
      </c>
      <c r="AQ96" s="71" t="s">
        <v>122</v>
      </c>
      <c r="AR96" s="70" t="s">
        <v>122</v>
      </c>
      <c r="AS96" s="71" t="s">
        <v>122</v>
      </c>
      <c r="AT96" s="70" t="s">
        <v>122</v>
      </c>
      <c r="AU96" s="71" t="s">
        <v>122</v>
      </c>
      <c r="AV96" s="70" t="s">
        <v>122</v>
      </c>
      <c r="AW96" s="71" t="s">
        <v>122</v>
      </c>
      <c r="AX96" s="70">
        <v>222656</v>
      </c>
      <c r="AY96" s="71">
        <v>178644</v>
      </c>
      <c r="AZ96" s="70">
        <v>72.8</v>
      </c>
      <c r="BA96" s="84">
        <v>8632.634</v>
      </c>
      <c r="BB96" s="80" t="s">
        <v>97</v>
      </c>
      <c r="BC96" s="64"/>
      <c r="BD96" s="64"/>
    </row>
    <row r="97" spans="1:56" x14ac:dyDescent="0.3">
      <c r="A97" s="63" t="s">
        <v>179</v>
      </c>
      <c r="B97" s="72">
        <v>3435</v>
      </c>
      <c r="C97" s="71">
        <v>885</v>
      </c>
      <c r="D97" s="70">
        <v>70.757000000000005</v>
      </c>
      <c r="E97" s="71">
        <v>2384</v>
      </c>
      <c r="F97" s="70">
        <v>674</v>
      </c>
      <c r="G97" s="71">
        <v>52.774999999999999</v>
      </c>
      <c r="H97" s="70">
        <v>829</v>
      </c>
      <c r="I97" s="71">
        <v>149</v>
      </c>
      <c r="J97" s="70">
        <v>13.805999999999999</v>
      </c>
      <c r="K97" s="71">
        <v>1152</v>
      </c>
      <c r="L97" s="70">
        <v>147</v>
      </c>
      <c r="M97" s="71">
        <v>9.92</v>
      </c>
      <c r="N97" s="70">
        <v>20</v>
      </c>
      <c r="O97" s="71" t="s">
        <v>122</v>
      </c>
      <c r="P97" s="70">
        <v>0.12</v>
      </c>
      <c r="Q97" s="71" t="s">
        <v>122</v>
      </c>
      <c r="R97" s="70" t="s">
        <v>122</v>
      </c>
      <c r="S97" s="71" t="s">
        <v>122</v>
      </c>
      <c r="T97" s="70">
        <v>321</v>
      </c>
      <c r="U97" s="71">
        <v>71</v>
      </c>
      <c r="V97" s="70">
        <v>6.44</v>
      </c>
      <c r="W97" s="71">
        <v>514</v>
      </c>
      <c r="X97" s="70">
        <v>25</v>
      </c>
      <c r="Y97" s="71">
        <v>4.7200000000000006</v>
      </c>
      <c r="Z97" s="70">
        <v>955</v>
      </c>
      <c r="AA97" s="71">
        <v>85</v>
      </c>
      <c r="AB97" s="70">
        <v>14.198</v>
      </c>
      <c r="AC97" s="71">
        <v>5</v>
      </c>
      <c r="AD97" s="70" t="s">
        <v>122</v>
      </c>
      <c r="AE97" s="71">
        <v>7.0000000000000007E-2</v>
      </c>
      <c r="AF97" s="70">
        <v>2749</v>
      </c>
      <c r="AG97" s="71">
        <v>144</v>
      </c>
      <c r="AH97" s="70">
        <v>18</v>
      </c>
      <c r="AI97" s="71">
        <v>305</v>
      </c>
      <c r="AJ97" s="70">
        <v>15</v>
      </c>
      <c r="AK97" s="71">
        <v>4.0449999999999999</v>
      </c>
      <c r="AL97" s="70">
        <v>1706</v>
      </c>
      <c r="AM97" s="71">
        <v>96</v>
      </c>
      <c r="AN97" s="70">
        <v>5.7</v>
      </c>
      <c r="AO97" s="71">
        <v>60</v>
      </c>
      <c r="AP97" s="70">
        <v>35</v>
      </c>
      <c r="AQ97" s="71">
        <v>0.6</v>
      </c>
      <c r="AR97" s="70" t="s">
        <v>122</v>
      </c>
      <c r="AS97" s="71" t="s">
        <v>122</v>
      </c>
      <c r="AT97" s="70" t="s">
        <v>122</v>
      </c>
      <c r="AU97" s="71">
        <v>611</v>
      </c>
      <c r="AV97" s="70">
        <v>366</v>
      </c>
      <c r="AW97" s="71">
        <v>0.99099999999999999</v>
      </c>
      <c r="AX97" s="70">
        <v>61456</v>
      </c>
      <c r="AY97" s="71">
        <v>30428</v>
      </c>
      <c r="AZ97" s="70">
        <v>2.52</v>
      </c>
      <c r="BA97" s="84">
        <v>133.292</v>
      </c>
      <c r="BB97" s="80" t="s">
        <v>98</v>
      </c>
      <c r="BC97" s="64"/>
      <c r="BD97" s="64"/>
    </row>
    <row r="98" spans="1:56" x14ac:dyDescent="0.3">
      <c r="A98" s="63" t="s">
        <v>180</v>
      </c>
      <c r="B98" s="72">
        <v>20</v>
      </c>
      <c r="C98" s="71" t="s">
        <v>122</v>
      </c>
      <c r="D98" s="70">
        <v>0.44</v>
      </c>
      <c r="E98" s="71" t="s">
        <v>122</v>
      </c>
      <c r="F98" s="70" t="s">
        <v>122</v>
      </c>
      <c r="G98" s="71" t="s">
        <v>122</v>
      </c>
      <c r="H98" s="70" t="s">
        <v>122</v>
      </c>
      <c r="I98" s="71" t="s">
        <v>122</v>
      </c>
      <c r="J98" s="70" t="s">
        <v>122</v>
      </c>
      <c r="K98" s="71" t="s">
        <v>122</v>
      </c>
      <c r="L98" s="70" t="s">
        <v>122</v>
      </c>
      <c r="M98" s="71" t="s">
        <v>122</v>
      </c>
      <c r="N98" s="70" t="s">
        <v>122</v>
      </c>
      <c r="O98" s="71" t="s">
        <v>122</v>
      </c>
      <c r="P98" s="70" t="s">
        <v>122</v>
      </c>
      <c r="Q98" s="71" t="s">
        <v>122</v>
      </c>
      <c r="R98" s="70" t="s">
        <v>122</v>
      </c>
      <c r="S98" s="71" t="s">
        <v>122</v>
      </c>
      <c r="T98" s="70" t="s">
        <v>122</v>
      </c>
      <c r="U98" s="71" t="s">
        <v>122</v>
      </c>
      <c r="V98" s="70" t="s">
        <v>122</v>
      </c>
      <c r="W98" s="71" t="s">
        <v>122</v>
      </c>
      <c r="X98" s="70" t="s">
        <v>122</v>
      </c>
      <c r="Y98" s="71" t="s">
        <v>122</v>
      </c>
      <c r="Z98" s="70" t="s">
        <v>122</v>
      </c>
      <c r="AA98" s="71" t="s">
        <v>122</v>
      </c>
      <c r="AB98" s="70" t="s">
        <v>122</v>
      </c>
      <c r="AC98" s="71" t="s">
        <v>122</v>
      </c>
      <c r="AD98" s="70" t="s">
        <v>122</v>
      </c>
      <c r="AE98" s="71" t="s">
        <v>122</v>
      </c>
      <c r="AF98" s="70" t="s">
        <v>122</v>
      </c>
      <c r="AG98" s="71" t="s">
        <v>122</v>
      </c>
      <c r="AH98" s="70" t="s">
        <v>122</v>
      </c>
      <c r="AI98" s="71" t="s">
        <v>122</v>
      </c>
      <c r="AJ98" s="70" t="s">
        <v>122</v>
      </c>
      <c r="AK98" s="71" t="s">
        <v>122</v>
      </c>
      <c r="AL98" s="70" t="s">
        <v>122</v>
      </c>
      <c r="AM98" s="71" t="s">
        <v>122</v>
      </c>
      <c r="AN98" s="70" t="s">
        <v>122</v>
      </c>
      <c r="AO98" s="71">
        <v>82</v>
      </c>
      <c r="AP98" s="70" t="s">
        <v>122</v>
      </c>
      <c r="AQ98" s="71">
        <v>0.246</v>
      </c>
      <c r="AR98" s="70" t="s">
        <v>122</v>
      </c>
      <c r="AS98" s="71" t="s">
        <v>122</v>
      </c>
      <c r="AT98" s="70" t="s">
        <v>122</v>
      </c>
      <c r="AU98" s="71" t="s">
        <v>122</v>
      </c>
      <c r="AV98" s="70" t="s">
        <v>122</v>
      </c>
      <c r="AW98" s="71" t="s">
        <v>122</v>
      </c>
      <c r="AX98" s="70">
        <v>1208</v>
      </c>
      <c r="AY98" s="71">
        <v>600</v>
      </c>
      <c r="AZ98" s="70" t="s">
        <v>122</v>
      </c>
      <c r="BA98" s="84">
        <v>5.1360000000000001</v>
      </c>
      <c r="BB98" s="80" t="s">
        <v>99</v>
      </c>
      <c r="BC98" s="64"/>
      <c r="BD98" s="64"/>
    </row>
    <row r="99" spans="1:56" x14ac:dyDescent="0.3">
      <c r="A99" s="63" t="s">
        <v>181</v>
      </c>
      <c r="B99" s="72">
        <v>10089</v>
      </c>
      <c r="C99" s="71">
        <v>2399</v>
      </c>
      <c r="D99" s="70">
        <v>335.02300000000002</v>
      </c>
      <c r="E99" s="71">
        <v>12608</v>
      </c>
      <c r="F99" s="70">
        <v>5249</v>
      </c>
      <c r="G99" s="71">
        <v>421.54300000000001</v>
      </c>
      <c r="H99" s="70">
        <v>3322</v>
      </c>
      <c r="I99" s="71">
        <v>788</v>
      </c>
      <c r="J99" s="70">
        <v>87.180999999999997</v>
      </c>
      <c r="K99" s="71">
        <v>2869</v>
      </c>
      <c r="L99" s="70">
        <v>69</v>
      </c>
      <c r="M99" s="71">
        <v>63.67</v>
      </c>
      <c r="N99" s="70">
        <v>1656</v>
      </c>
      <c r="O99" s="71">
        <v>161</v>
      </c>
      <c r="P99" s="70">
        <v>38.027000000000001</v>
      </c>
      <c r="Q99" s="71" t="s">
        <v>122</v>
      </c>
      <c r="R99" s="70" t="s">
        <v>122</v>
      </c>
      <c r="S99" s="71" t="s">
        <v>122</v>
      </c>
      <c r="T99" s="70">
        <v>2112</v>
      </c>
      <c r="U99" s="71">
        <v>352</v>
      </c>
      <c r="V99" s="70">
        <v>46.96</v>
      </c>
      <c r="W99" s="71">
        <v>2330</v>
      </c>
      <c r="X99" s="70">
        <v>601</v>
      </c>
      <c r="Y99" s="71">
        <v>96.692999999999998</v>
      </c>
      <c r="Z99" s="70">
        <v>2706</v>
      </c>
      <c r="AA99" s="71">
        <v>181</v>
      </c>
      <c r="AB99" s="70">
        <v>94.515000000000001</v>
      </c>
      <c r="AC99" s="71">
        <v>1115</v>
      </c>
      <c r="AD99" s="70">
        <v>705</v>
      </c>
      <c r="AE99" s="71">
        <v>20.14</v>
      </c>
      <c r="AF99" s="70">
        <v>1799</v>
      </c>
      <c r="AG99" s="71">
        <v>309</v>
      </c>
      <c r="AH99" s="70">
        <v>36.520000000000003</v>
      </c>
      <c r="AI99" s="71">
        <v>1980</v>
      </c>
      <c r="AJ99" s="70" t="s">
        <v>122</v>
      </c>
      <c r="AK99" s="71">
        <v>33.15</v>
      </c>
      <c r="AL99" s="70">
        <v>1504</v>
      </c>
      <c r="AM99" s="71">
        <v>54</v>
      </c>
      <c r="AN99" s="70">
        <v>27.45</v>
      </c>
      <c r="AO99" s="71">
        <v>390</v>
      </c>
      <c r="AP99" s="70">
        <v>5</v>
      </c>
      <c r="AQ99" s="71">
        <v>7.9</v>
      </c>
      <c r="AR99" s="70" t="s">
        <v>122</v>
      </c>
      <c r="AS99" s="71" t="s">
        <v>122</v>
      </c>
      <c r="AT99" s="70" t="s">
        <v>122</v>
      </c>
      <c r="AU99" s="71">
        <v>120</v>
      </c>
      <c r="AV99" s="70">
        <v>20</v>
      </c>
      <c r="AW99" s="71">
        <v>2.1</v>
      </c>
      <c r="AX99" s="70">
        <v>137364</v>
      </c>
      <c r="AY99" s="71">
        <v>110909</v>
      </c>
      <c r="AZ99" s="70">
        <v>133.13300000000001</v>
      </c>
      <c r="BA99" s="84">
        <v>1582.768</v>
      </c>
      <c r="BB99" s="80" t="s">
        <v>100</v>
      </c>
      <c r="BC99" s="64"/>
      <c r="BD99" s="64"/>
    </row>
    <row r="100" spans="1:56" x14ac:dyDescent="0.3">
      <c r="A100" s="63" t="s">
        <v>182</v>
      </c>
      <c r="B100" s="72">
        <v>1269</v>
      </c>
      <c r="C100" s="71">
        <v>489</v>
      </c>
      <c r="D100" s="70">
        <v>57.57</v>
      </c>
      <c r="E100" s="71">
        <v>1380</v>
      </c>
      <c r="F100" s="70">
        <v>520</v>
      </c>
      <c r="G100" s="71">
        <v>72.995999999999995</v>
      </c>
      <c r="H100" s="70">
        <v>866</v>
      </c>
      <c r="I100" s="71">
        <v>326</v>
      </c>
      <c r="J100" s="70">
        <v>35.200000000000003</v>
      </c>
      <c r="K100" s="71">
        <v>554</v>
      </c>
      <c r="L100" s="70">
        <v>199</v>
      </c>
      <c r="M100" s="71">
        <v>21.5</v>
      </c>
      <c r="N100" s="70">
        <v>220</v>
      </c>
      <c r="O100" s="71">
        <v>20</v>
      </c>
      <c r="P100" s="70">
        <v>11.75</v>
      </c>
      <c r="Q100" s="71" t="s">
        <v>122</v>
      </c>
      <c r="R100" s="70" t="s">
        <v>122</v>
      </c>
      <c r="S100" s="71" t="s">
        <v>122</v>
      </c>
      <c r="T100" s="70">
        <v>2011</v>
      </c>
      <c r="U100" s="71">
        <v>1951</v>
      </c>
      <c r="V100" s="70">
        <v>74.305000000000007</v>
      </c>
      <c r="W100" s="71">
        <v>330</v>
      </c>
      <c r="X100" s="70" t="s">
        <v>122</v>
      </c>
      <c r="Y100" s="71">
        <v>13.2</v>
      </c>
      <c r="Z100" s="70">
        <v>372</v>
      </c>
      <c r="AA100" s="71">
        <v>90</v>
      </c>
      <c r="AB100" s="70">
        <v>14.35</v>
      </c>
      <c r="AC100" s="71" t="s">
        <v>122</v>
      </c>
      <c r="AD100" s="70" t="s">
        <v>122</v>
      </c>
      <c r="AE100" s="71" t="s">
        <v>122</v>
      </c>
      <c r="AF100" s="70">
        <v>1510</v>
      </c>
      <c r="AG100" s="71">
        <v>1000</v>
      </c>
      <c r="AH100" s="70">
        <v>66.680999999999997</v>
      </c>
      <c r="AI100" s="71">
        <v>130</v>
      </c>
      <c r="AJ100" s="70" t="s">
        <v>122</v>
      </c>
      <c r="AK100" s="71">
        <v>6.3</v>
      </c>
      <c r="AL100" s="70">
        <v>545</v>
      </c>
      <c r="AM100" s="71">
        <v>375</v>
      </c>
      <c r="AN100" s="70">
        <v>7.9690000000000003</v>
      </c>
      <c r="AO100" s="71">
        <v>40</v>
      </c>
      <c r="AP100" s="70" t="s">
        <v>122</v>
      </c>
      <c r="AQ100" s="71">
        <v>0.8</v>
      </c>
      <c r="AR100" s="70" t="s">
        <v>122</v>
      </c>
      <c r="AS100" s="71" t="s">
        <v>122</v>
      </c>
      <c r="AT100" s="70" t="s">
        <v>122</v>
      </c>
      <c r="AU100" s="71">
        <v>30</v>
      </c>
      <c r="AV100" s="70">
        <v>30</v>
      </c>
      <c r="AW100" s="71">
        <v>0.84</v>
      </c>
      <c r="AX100" s="70">
        <v>62817</v>
      </c>
      <c r="AY100" s="71">
        <v>58517</v>
      </c>
      <c r="AZ100" s="70">
        <v>29.024000000000001</v>
      </c>
      <c r="BA100" s="84">
        <v>541.67999999999995</v>
      </c>
      <c r="BB100" s="80" t="s">
        <v>101</v>
      </c>
      <c r="BC100" s="64"/>
      <c r="BD100" s="64"/>
    </row>
    <row r="101" spans="1:56" x14ac:dyDescent="0.3">
      <c r="A101" s="63" t="s">
        <v>183</v>
      </c>
      <c r="B101" s="72">
        <v>15759</v>
      </c>
      <c r="C101" s="71">
        <v>14891</v>
      </c>
      <c r="D101" s="70">
        <v>882.60500000000002</v>
      </c>
      <c r="E101" s="71">
        <v>91403</v>
      </c>
      <c r="F101" s="70">
        <v>89605</v>
      </c>
      <c r="G101" s="71">
        <v>5351.4719999999998</v>
      </c>
      <c r="H101" s="70">
        <v>7437</v>
      </c>
      <c r="I101" s="71">
        <v>6917</v>
      </c>
      <c r="J101" s="70">
        <v>462.30500000000001</v>
      </c>
      <c r="K101" s="71">
        <v>1124</v>
      </c>
      <c r="L101" s="70">
        <v>1117</v>
      </c>
      <c r="M101" s="71">
        <v>53.350999999999999</v>
      </c>
      <c r="N101" s="70">
        <v>6731</v>
      </c>
      <c r="O101" s="71">
        <v>6592</v>
      </c>
      <c r="P101" s="70">
        <v>310.69</v>
      </c>
      <c r="Q101" s="71" t="s">
        <v>122</v>
      </c>
      <c r="R101" s="70" t="s">
        <v>122</v>
      </c>
      <c r="S101" s="71" t="s">
        <v>122</v>
      </c>
      <c r="T101" s="70">
        <v>15691</v>
      </c>
      <c r="U101" s="71">
        <v>15323</v>
      </c>
      <c r="V101" s="70">
        <v>747.55200000000002</v>
      </c>
      <c r="W101" s="71">
        <v>14910</v>
      </c>
      <c r="X101" s="70">
        <v>14296</v>
      </c>
      <c r="Y101" s="71">
        <v>547.11500000000001</v>
      </c>
      <c r="Z101" s="70">
        <v>3316</v>
      </c>
      <c r="AA101" s="71">
        <v>3198</v>
      </c>
      <c r="AB101" s="70">
        <v>115.33</v>
      </c>
      <c r="AC101" s="71">
        <v>115</v>
      </c>
      <c r="AD101" s="70">
        <v>105</v>
      </c>
      <c r="AE101" s="71">
        <v>4.2750000000000004</v>
      </c>
      <c r="AF101" s="70">
        <v>807</v>
      </c>
      <c r="AG101" s="71">
        <v>756</v>
      </c>
      <c r="AH101" s="70">
        <v>34.820999999999998</v>
      </c>
      <c r="AI101" s="71" t="s">
        <v>122</v>
      </c>
      <c r="AJ101" s="70" t="s">
        <v>122</v>
      </c>
      <c r="AK101" s="71" t="s">
        <v>122</v>
      </c>
      <c r="AL101" s="70">
        <v>255</v>
      </c>
      <c r="AM101" s="71">
        <v>245</v>
      </c>
      <c r="AN101" s="70">
        <v>2.1240000000000001</v>
      </c>
      <c r="AO101" s="71">
        <v>411</v>
      </c>
      <c r="AP101" s="70">
        <v>380</v>
      </c>
      <c r="AQ101" s="71">
        <v>7.8920000000000003</v>
      </c>
      <c r="AR101" s="70" t="s">
        <v>122</v>
      </c>
      <c r="AS101" s="71" t="s">
        <v>122</v>
      </c>
      <c r="AT101" s="70" t="s">
        <v>122</v>
      </c>
      <c r="AU101" s="71">
        <v>17</v>
      </c>
      <c r="AV101" s="70">
        <v>17</v>
      </c>
      <c r="AW101" s="71">
        <v>0.32</v>
      </c>
      <c r="AX101" s="70">
        <v>1185031</v>
      </c>
      <c r="AY101" s="71">
        <v>1185021</v>
      </c>
      <c r="AZ101" s="70">
        <v>2490.7199999999998</v>
      </c>
      <c r="BA101" s="84">
        <v>48755.076000000001</v>
      </c>
      <c r="BB101" s="80" t="s">
        <v>102</v>
      </c>
      <c r="BC101" s="64"/>
      <c r="BD101" s="64"/>
    </row>
    <row r="102" spans="1:56" x14ac:dyDescent="0.3">
      <c r="A102" s="63" t="s">
        <v>184</v>
      </c>
      <c r="B102" s="72">
        <v>1395</v>
      </c>
      <c r="C102" s="71">
        <v>390</v>
      </c>
      <c r="D102" s="70">
        <v>27.741</v>
      </c>
      <c r="E102" s="71">
        <v>782</v>
      </c>
      <c r="F102" s="70">
        <v>375</v>
      </c>
      <c r="G102" s="71">
        <v>18.673999999999999</v>
      </c>
      <c r="H102" s="70">
        <v>585</v>
      </c>
      <c r="I102" s="71">
        <v>318</v>
      </c>
      <c r="J102" s="70">
        <v>9.2100000000000009</v>
      </c>
      <c r="K102" s="71">
        <v>34</v>
      </c>
      <c r="L102" s="70" t="s">
        <v>122</v>
      </c>
      <c r="M102" s="71">
        <v>0.28299999999999997</v>
      </c>
      <c r="N102" s="70">
        <v>141</v>
      </c>
      <c r="O102" s="71">
        <v>120</v>
      </c>
      <c r="P102" s="70">
        <v>0.155</v>
      </c>
      <c r="Q102" s="71" t="s">
        <v>122</v>
      </c>
      <c r="R102" s="70" t="s">
        <v>122</v>
      </c>
      <c r="S102" s="71" t="s">
        <v>122</v>
      </c>
      <c r="T102" s="70">
        <v>44</v>
      </c>
      <c r="U102" s="71" t="s">
        <v>122</v>
      </c>
      <c r="V102" s="70">
        <v>0.70499999999999996</v>
      </c>
      <c r="W102" s="71">
        <v>30</v>
      </c>
      <c r="X102" s="70" t="s">
        <v>122</v>
      </c>
      <c r="Y102" s="71">
        <v>0.372</v>
      </c>
      <c r="Z102" s="70">
        <v>20</v>
      </c>
      <c r="AA102" s="71" t="s">
        <v>122</v>
      </c>
      <c r="AB102" s="70">
        <v>0.15</v>
      </c>
      <c r="AC102" s="71">
        <v>8</v>
      </c>
      <c r="AD102" s="70" t="s">
        <v>122</v>
      </c>
      <c r="AE102" s="71">
        <v>0.104</v>
      </c>
      <c r="AF102" s="70">
        <v>70</v>
      </c>
      <c r="AG102" s="71">
        <v>20</v>
      </c>
      <c r="AH102" s="70">
        <v>0.77</v>
      </c>
      <c r="AI102" s="71">
        <v>5</v>
      </c>
      <c r="AJ102" s="70" t="s">
        <v>122</v>
      </c>
      <c r="AK102" s="71">
        <v>6.5000000000000002E-2</v>
      </c>
      <c r="AL102" s="70" t="s">
        <v>122</v>
      </c>
      <c r="AM102" s="71" t="s">
        <v>122</v>
      </c>
      <c r="AN102" s="70" t="s">
        <v>122</v>
      </c>
      <c r="AO102" s="71">
        <v>521</v>
      </c>
      <c r="AP102" s="70">
        <v>521</v>
      </c>
      <c r="AQ102" s="71">
        <v>6.0000000000000001E-3</v>
      </c>
      <c r="AR102" s="70" t="s">
        <v>122</v>
      </c>
      <c r="AS102" s="71" t="s">
        <v>122</v>
      </c>
      <c r="AT102" s="70" t="s">
        <v>122</v>
      </c>
      <c r="AU102" s="71" t="s">
        <v>122</v>
      </c>
      <c r="AV102" s="70" t="s">
        <v>122</v>
      </c>
      <c r="AW102" s="71" t="s">
        <v>122</v>
      </c>
      <c r="AX102" s="70">
        <v>36193</v>
      </c>
      <c r="AY102" s="71">
        <v>10034</v>
      </c>
      <c r="AZ102" s="70">
        <v>0.13600000000000001</v>
      </c>
      <c r="BA102" s="84">
        <v>166</v>
      </c>
      <c r="BB102" s="80" t="s">
        <v>103</v>
      </c>
      <c r="BC102" s="64"/>
      <c r="BD102" s="64"/>
    </row>
    <row r="103" spans="1:56" x14ac:dyDescent="0.3">
      <c r="A103" s="116" t="s">
        <v>104</v>
      </c>
      <c r="B103" s="117">
        <f t="shared" ref="B103:J103" si="58">SUM(B105:B108)</f>
        <v>165773</v>
      </c>
      <c r="C103" s="90">
        <f t="shared" si="58"/>
        <v>116536</v>
      </c>
      <c r="D103" s="90">
        <f t="shared" si="58"/>
        <v>5846.6399999999994</v>
      </c>
      <c r="E103" s="90">
        <f t="shared" si="58"/>
        <v>794097</v>
      </c>
      <c r="F103" s="90">
        <f t="shared" si="58"/>
        <v>726205</v>
      </c>
      <c r="G103" s="90">
        <f>SUM(G105:G108)</f>
        <v>32388.263999999999</v>
      </c>
      <c r="H103" s="90">
        <f t="shared" si="58"/>
        <v>137972</v>
      </c>
      <c r="I103" s="90">
        <f t="shared" si="58"/>
        <v>83864</v>
      </c>
      <c r="J103" s="90">
        <f t="shared" si="58"/>
        <v>3727.0619999999999</v>
      </c>
      <c r="K103" s="90">
        <f>SUM(K105:K108)</f>
        <v>69403</v>
      </c>
      <c r="L103" s="90">
        <f>SUM(L105:L108)</f>
        <v>34532</v>
      </c>
      <c r="M103" s="90">
        <f>SUM(M105:M108)</f>
        <v>1431.6510000000001</v>
      </c>
      <c r="N103" s="90">
        <f>SUM(N105:N108)</f>
        <v>134511</v>
      </c>
      <c r="O103" s="90">
        <f t="shared" ref="O103:AE103" si="59">SUM(O105:O108)</f>
        <v>110128</v>
      </c>
      <c r="P103" s="90">
        <f t="shared" si="59"/>
        <v>4668.1480000000001</v>
      </c>
      <c r="Q103" s="90">
        <f t="shared" ref="Q103:V103" si="60">SUM(Q105:Q108)</f>
        <v>11229</v>
      </c>
      <c r="R103" s="90">
        <f t="shared" si="60"/>
        <v>9878</v>
      </c>
      <c r="S103" s="90">
        <f t="shared" si="60"/>
        <v>353.46699999999998</v>
      </c>
      <c r="T103" s="90">
        <f t="shared" si="60"/>
        <v>57477</v>
      </c>
      <c r="U103" s="90">
        <f t="shared" si="60"/>
        <v>42392</v>
      </c>
      <c r="V103" s="90">
        <f t="shared" si="60"/>
        <v>1684.739</v>
      </c>
      <c r="W103" s="90">
        <f t="shared" si="59"/>
        <v>24730</v>
      </c>
      <c r="X103" s="90">
        <f t="shared" si="59"/>
        <v>10420</v>
      </c>
      <c r="Y103" s="90">
        <f t="shared" si="59"/>
        <v>626.67100000000005</v>
      </c>
      <c r="Z103" s="96">
        <f t="shared" si="59"/>
        <v>28473</v>
      </c>
      <c r="AA103" s="90">
        <f t="shared" si="59"/>
        <v>11232</v>
      </c>
      <c r="AB103" s="90">
        <f t="shared" si="59"/>
        <v>658.23400000000004</v>
      </c>
      <c r="AC103" s="90">
        <f t="shared" si="59"/>
        <v>20684</v>
      </c>
      <c r="AD103" s="90">
        <f t="shared" si="59"/>
        <v>14538</v>
      </c>
      <c r="AE103" s="90">
        <f t="shared" si="59"/>
        <v>307.77699999999999</v>
      </c>
      <c r="AF103" s="90">
        <f>SUM(AF105:AF108)</f>
        <v>43743</v>
      </c>
      <c r="AG103" s="90">
        <f t="shared" ref="AG103:AQ103" si="61">SUM(AG105:AG108)</f>
        <v>10450</v>
      </c>
      <c r="AH103" s="90">
        <f t="shared" si="61"/>
        <v>698.36900000000003</v>
      </c>
      <c r="AI103" s="90">
        <f t="shared" si="61"/>
        <v>393</v>
      </c>
      <c r="AJ103" s="90">
        <f t="shared" si="61"/>
        <v>260</v>
      </c>
      <c r="AK103" s="90">
        <f t="shared" si="61"/>
        <v>7.58</v>
      </c>
      <c r="AL103" s="90">
        <f t="shared" si="61"/>
        <v>46809</v>
      </c>
      <c r="AM103" s="90">
        <f t="shared" si="61"/>
        <v>7664</v>
      </c>
      <c r="AN103" s="90">
        <f t="shared" si="61"/>
        <v>573.48500000000001</v>
      </c>
      <c r="AO103" s="90">
        <f t="shared" si="61"/>
        <v>75357</v>
      </c>
      <c r="AP103" s="90">
        <f t="shared" si="61"/>
        <v>41250</v>
      </c>
      <c r="AQ103" s="90">
        <f t="shared" si="61"/>
        <v>1497.615</v>
      </c>
      <c r="AR103" s="90">
        <f>SUM(AR105:AR108)</f>
        <v>53758</v>
      </c>
      <c r="AS103" s="90">
        <f t="shared" ref="AS103:BA103" si="62">SUM(AS105:AS108)</f>
        <v>34984</v>
      </c>
      <c r="AT103" s="90">
        <f t="shared" si="62"/>
        <v>1605.6270000000002</v>
      </c>
      <c r="AU103" s="90">
        <f t="shared" si="62"/>
        <v>2808</v>
      </c>
      <c r="AV103" s="90">
        <f t="shared" si="62"/>
        <v>2331</v>
      </c>
      <c r="AW103" s="90">
        <f t="shared" si="62"/>
        <v>53.834000000000003</v>
      </c>
      <c r="AX103" s="90">
        <f t="shared" si="62"/>
        <v>26311675</v>
      </c>
      <c r="AY103" s="90">
        <f t="shared" si="62"/>
        <v>25926470</v>
      </c>
      <c r="AZ103" s="90">
        <f t="shared" si="62"/>
        <v>2694.0349999999999</v>
      </c>
      <c r="BA103" s="91">
        <f t="shared" si="62"/>
        <v>328164.95899999997</v>
      </c>
      <c r="BB103" s="124" t="s">
        <v>105</v>
      </c>
      <c r="BC103" s="125"/>
      <c r="BD103" s="125"/>
    </row>
    <row r="104" spans="1:56" x14ac:dyDescent="0.3">
      <c r="A104" s="116"/>
      <c r="B104" s="117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6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1"/>
      <c r="BB104" s="124"/>
      <c r="BC104" s="125"/>
      <c r="BD104" s="125"/>
    </row>
    <row r="105" spans="1:56" x14ac:dyDescent="0.3">
      <c r="A105" s="63" t="s">
        <v>185</v>
      </c>
      <c r="B105" s="72">
        <v>46468</v>
      </c>
      <c r="C105" s="71">
        <v>34044</v>
      </c>
      <c r="D105" s="70">
        <v>1703.761</v>
      </c>
      <c r="E105" s="71">
        <v>70848</v>
      </c>
      <c r="F105" s="70">
        <v>58501</v>
      </c>
      <c r="G105" s="71">
        <v>2437.5920000000001</v>
      </c>
      <c r="H105" s="70">
        <v>20339</v>
      </c>
      <c r="I105" s="71">
        <v>9126</v>
      </c>
      <c r="J105" s="70">
        <v>608.53599999999994</v>
      </c>
      <c r="K105" s="71">
        <v>28139</v>
      </c>
      <c r="L105" s="70">
        <v>19964</v>
      </c>
      <c r="M105" s="71">
        <v>735.70500000000004</v>
      </c>
      <c r="N105" s="70">
        <v>63673</v>
      </c>
      <c r="O105" s="71">
        <v>50438</v>
      </c>
      <c r="P105" s="70">
        <v>2242.2040000000002</v>
      </c>
      <c r="Q105" s="71">
        <v>185</v>
      </c>
      <c r="R105" s="70" t="s">
        <v>122</v>
      </c>
      <c r="S105" s="71">
        <v>6.97</v>
      </c>
      <c r="T105" s="70">
        <v>33895</v>
      </c>
      <c r="U105" s="71">
        <v>26170</v>
      </c>
      <c r="V105" s="70">
        <v>1178.76</v>
      </c>
      <c r="W105" s="71">
        <v>12283</v>
      </c>
      <c r="X105" s="70">
        <v>5636</v>
      </c>
      <c r="Y105" s="71">
        <v>386.625</v>
      </c>
      <c r="Z105" s="70">
        <v>14613</v>
      </c>
      <c r="AA105" s="71">
        <v>8577</v>
      </c>
      <c r="AB105" s="70">
        <v>415.245</v>
      </c>
      <c r="AC105" s="71">
        <v>2932</v>
      </c>
      <c r="AD105" s="70">
        <v>1340</v>
      </c>
      <c r="AE105" s="71">
        <v>101.82</v>
      </c>
      <c r="AF105" s="70">
        <v>12951</v>
      </c>
      <c r="AG105" s="71">
        <v>4341</v>
      </c>
      <c r="AH105" s="70">
        <v>212.929</v>
      </c>
      <c r="AI105" s="71">
        <v>113</v>
      </c>
      <c r="AJ105" s="70">
        <v>80</v>
      </c>
      <c r="AK105" s="71">
        <v>1.4750000000000001</v>
      </c>
      <c r="AL105" s="70">
        <v>12175</v>
      </c>
      <c r="AM105" s="71">
        <v>3285</v>
      </c>
      <c r="AN105" s="70">
        <v>260.23399999999998</v>
      </c>
      <c r="AO105" s="71">
        <v>24339</v>
      </c>
      <c r="AP105" s="70">
        <v>11961</v>
      </c>
      <c r="AQ105" s="71">
        <v>768.36</v>
      </c>
      <c r="AR105" s="70">
        <v>372</v>
      </c>
      <c r="AS105" s="71">
        <v>87</v>
      </c>
      <c r="AT105" s="70">
        <v>7.58</v>
      </c>
      <c r="AU105" s="71">
        <v>2099</v>
      </c>
      <c r="AV105" s="70">
        <v>1752</v>
      </c>
      <c r="AW105" s="71">
        <v>47.119</v>
      </c>
      <c r="AX105" s="70">
        <v>12324154</v>
      </c>
      <c r="AY105" s="71">
        <v>12304244</v>
      </c>
      <c r="AZ105" s="70">
        <v>1096.4880000000001</v>
      </c>
      <c r="BA105" s="84">
        <v>81310.409</v>
      </c>
      <c r="BB105" s="80" t="s">
        <v>106</v>
      </c>
      <c r="BC105" s="64"/>
      <c r="BD105" s="64"/>
    </row>
    <row r="106" spans="1:56" x14ac:dyDescent="0.3">
      <c r="A106" s="63" t="s">
        <v>186</v>
      </c>
      <c r="B106" s="72">
        <v>5280</v>
      </c>
      <c r="C106" s="71">
        <v>3806</v>
      </c>
      <c r="D106" s="70">
        <v>199.29300000000001</v>
      </c>
      <c r="E106" s="71">
        <v>13954</v>
      </c>
      <c r="F106" s="70">
        <v>12395</v>
      </c>
      <c r="G106" s="71">
        <v>473.37099999999998</v>
      </c>
      <c r="H106" s="70">
        <v>2714</v>
      </c>
      <c r="I106" s="71">
        <v>1792</v>
      </c>
      <c r="J106" s="70">
        <v>91.225999999999999</v>
      </c>
      <c r="K106" s="71">
        <v>7191</v>
      </c>
      <c r="L106" s="70">
        <v>6115</v>
      </c>
      <c r="M106" s="71">
        <v>99.14</v>
      </c>
      <c r="N106" s="70">
        <v>19826</v>
      </c>
      <c r="O106" s="71">
        <v>18022</v>
      </c>
      <c r="P106" s="70">
        <v>1112.4090000000001</v>
      </c>
      <c r="Q106" s="71">
        <v>30</v>
      </c>
      <c r="R106" s="70">
        <v>30</v>
      </c>
      <c r="S106" s="71">
        <v>0.12</v>
      </c>
      <c r="T106" s="70">
        <v>4809</v>
      </c>
      <c r="U106" s="71">
        <v>3849</v>
      </c>
      <c r="V106" s="70">
        <v>123.048</v>
      </c>
      <c r="W106" s="71">
        <v>359</v>
      </c>
      <c r="X106" s="70">
        <v>133</v>
      </c>
      <c r="Y106" s="71">
        <v>5.8559999999999999</v>
      </c>
      <c r="Z106" s="70">
        <v>958</v>
      </c>
      <c r="AA106" s="71">
        <v>330</v>
      </c>
      <c r="AB106" s="70">
        <v>13.802</v>
      </c>
      <c r="AC106" s="71">
        <v>344</v>
      </c>
      <c r="AD106" s="70">
        <v>333</v>
      </c>
      <c r="AE106" s="71">
        <v>11.337</v>
      </c>
      <c r="AF106" s="70">
        <v>1586</v>
      </c>
      <c r="AG106" s="71">
        <v>415</v>
      </c>
      <c r="AH106" s="70">
        <v>37.316000000000003</v>
      </c>
      <c r="AI106" s="71">
        <v>80</v>
      </c>
      <c r="AJ106" s="70">
        <v>70</v>
      </c>
      <c r="AK106" s="71">
        <v>1.17</v>
      </c>
      <c r="AL106" s="70">
        <v>7239</v>
      </c>
      <c r="AM106" s="71">
        <v>2100</v>
      </c>
      <c r="AN106" s="70">
        <v>74.739999999999995</v>
      </c>
      <c r="AO106" s="71">
        <v>3816</v>
      </c>
      <c r="AP106" s="70">
        <v>2797</v>
      </c>
      <c r="AQ106" s="71">
        <v>110.774</v>
      </c>
      <c r="AR106" s="70">
        <v>410</v>
      </c>
      <c r="AS106" s="71">
        <v>406</v>
      </c>
      <c r="AT106" s="70">
        <v>11.366</v>
      </c>
      <c r="AU106" s="71">
        <v>24</v>
      </c>
      <c r="AV106" s="70" t="s">
        <v>122</v>
      </c>
      <c r="AW106" s="71">
        <v>0.49</v>
      </c>
      <c r="AX106" s="70">
        <v>4395886</v>
      </c>
      <c r="AY106" s="71">
        <v>4358886</v>
      </c>
      <c r="AZ106" s="70">
        <v>59.07</v>
      </c>
      <c r="BA106" s="84">
        <v>62195.853000000003</v>
      </c>
      <c r="BB106" s="80" t="s">
        <v>107</v>
      </c>
      <c r="BC106" s="64"/>
      <c r="BD106" s="64"/>
    </row>
    <row r="107" spans="1:56" x14ac:dyDescent="0.3">
      <c r="A107" s="63" t="s">
        <v>187</v>
      </c>
      <c r="B107" s="72">
        <v>19712</v>
      </c>
      <c r="C107" s="71">
        <v>10163</v>
      </c>
      <c r="D107" s="70">
        <v>513.12</v>
      </c>
      <c r="E107" s="71">
        <v>58179</v>
      </c>
      <c r="F107" s="70">
        <v>48707</v>
      </c>
      <c r="G107" s="71">
        <v>1624.88</v>
      </c>
      <c r="H107" s="70">
        <v>12289</v>
      </c>
      <c r="I107" s="71">
        <v>8042</v>
      </c>
      <c r="J107" s="70">
        <v>340.01100000000002</v>
      </c>
      <c r="K107" s="71">
        <v>7912</v>
      </c>
      <c r="L107" s="70">
        <v>4278</v>
      </c>
      <c r="M107" s="71">
        <v>83.884</v>
      </c>
      <c r="N107" s="70">
        <v>17259</v>
      </c>
      <c r="O107" s="71">
        <v>15328</v>
      </c>
      <c r="P107" s="70">
        <v>243.863</v>
      </c>
      <c r="Q107" s="71">
        <v>8426</v>
      </c>
      <c r="R107" s="70">
        <v>8363</v>
      </c>
      <c r="S107" s="71">
        <v>253.6</v>
      </c>
      <c r="T107" s="70">
        <v>13446</v>
      </c>
      <c r="U107" s="71">
        <v>9654</v>
      </c>
      <c r="V107" s="70">
        <v>240.63800000000001</v>
      </c>
      <c r="W107" s="71">
        <v>1806</v>
      </c>
      <c r="X107" s="70">
        <v>743</v>
      </c>
      <c r="Y107" s="71">
        <v>22.585000000000001</v>
      </c>
      <c r="Z107" s="70">
        <v>3796</v>
      </c>
      <c r="AA107" s="71">
        <v>1050</v>
      </c>
      <c r="AB107" s="70">
        <v>50.140999999999998</v>
      </c>
      <c r="AC107" s="71">
        <v>13189</v>
      </c>
      <c r="AD107" s="70">
        <v>11376</v>
      </c>
      <c r="AE107" s="71">
        <v>69.87</v>
      </c>
      <c r="AF107" s="70">
        <v>11437</v>
      </c>
      <c r="AG107" s="71">
        <v>2671</v>
      </c>
      <c r="AH107" s="70">
        <v>54.484999999999999</v>
      </c>
      <c r="AI107" s="71" t="s">
        <v>122</v>
      </c>
      <c r="AJ107" s="70" t="s">
        <v>122</v>
      </c>
      <c r="AK107" s="71" t="s">
        <v>122</v>
      </c>
      <c r="AL107" s="70">
        <v>4332</v>
      </c>
      <c r="AM107" s="71">
        <v>1168</v>
      </c>
      <c r="AN107" s="70">
        <v>24.571000000000002</v>
      </c>
      <c r="AO107" s="71">
        <v>27369</v>
      </c>
      <c r="AP107" s="70">
        <v>19941</v>
      </c>
      <c r="AQ107" s="71">
        <v>150.22</v>
      </c>
      <c r="AR107" s="70">
        <v>1622</v>
      </c>
      <c r="AS107" s="71">
        <v>982</v>
      </c>
      <c r="AT107" s="70">
        <v>18.405999999999999</v>
      </c>
      <c r="AU107" s="71">
        <v>544</v>
      </c>
      <c r="AV107" s="70">
        <v>544</v>
      </c>
      <c r="AW107" s="71">
        <v>4.1500000000000004</v>
      </c>
      <c r="AX107" s="70">
        <v>3441653</v>
      </c>
      <c r="AY107" s="71">
        <v>3404209</v>
      </c>
      <c r="AZ107" s="70">
        <v>1010</v>
      </c>
      <c r="BA107" s="84">
        <v>74607.099000000002</v>
      </c>
      <c r="BB107" s="80" t="s">
        <v>108</v>
      </c>
      <c r="BC107" s="64"/>
      <c r="BD107" s="64"/>
    </row>
    <row r="108" spans="1:56" ht="15" thickBot="1" x14ac:dyDescent="0.35">
      <c r="A108" s="67" t="s">
        <v>188</v>
      </c>
      <c r="B108" s="73">
        <v>94313</v>
      </c>
      <c r="C108" s="74">
        <v>68523</v>
      </c>
      <c r="D108" s="75">
        <v>3430.4659999999999</v>
      </c>
      <c r="E108" s="74">
        <v>651116</v>
      </c>
      <c r="F108" s="75">
        <v>606602</v>
      </c>
      <c r="G108" s="74">
        <v>27852.420999999998</v>
      </c>
      <c r="H108" s="75">
        <v>102630</v>
      </c>
      <c r="I108" s="74">
        <v>64904</v>
      </c>
      <c r="J108" s="75">
        <v>2687.2890000000002</v>
      </c>
      <c r="K108" s="74">
        <v>26161</v>
      </c>
      <c r="L108" s="75">
        <v>4175</v>
      </c>
      <c r="M108" s="74">
        <v>512.92200000000003</v>
      </c>
      <c r="N108" s="75">
        <v>33753</v>
      </c>
      <c r="O108" s="74">
        <v>26340</v>
      </c>
      <c r="P108" s="75">
        <v>1069.672</v>
      </c>
      <c r="Q108" s="74">
        <v>2588</v>
      </c>
      <c r="R108" s="75">
        <v>1485</v>
      </c>
      <c r="S108" s="74">
        <v>92.777000000000001</v>
      </c>
      <c r="T108" s="75">
        <v>5327</v>
      </c>
      <c r="U108" s="74">
        <v>2719</v>
      </c>
      <c r="V108" s="75">
        <v>142.29300000000001</v>
      </c>
      <c r="W108" s="74">
        <v>10282</v>
      </c>
      <c r="X108" s="75">
        <v>3908</v>
      </c>
      <c r="Y108" s="74">
        <v>211.60500000000002</v>
      </c>
      <c r="Z108" s="75">
        <v>9106</v>
      </c>
      <c r="AA108" s="74">
        <v>1275</v>
      </c>
      <c r="AB108" s="75">
        <v>179.04599999999999</v>
      </c>
      <c r="AC108" s="74">
        <v>4219</v>
      </c>
      <c r="AD108" s="75">
        <v>1489</v>
      </c>
      <c r="AE108" s="74">
        <v>124.75</v>
      </c>
      <c r="AF108" s="75">
        <v>17769</v>
      </c>
      <c r="AG108" s="74">
        <v>3023</v>
      </c>
      <c r="AH108" s="75">
        <v>393.63900000000001</v>
      </c>
      <c r="AI108" s="74">
        <v>200</v>
      </c>
      <c r="AJ108" s="75">
        <v>110</v>
      </c>
      <c r="AK108" s="74">
        <v>4.9349999999999996</v>
      </c>
      <c r="AL108" s="75">
        <v>23063</v>
      </c>
      <c r="AM108" s="74">
        <v>1111</v>
      </c>
      <c r="AN108" s="75">
        <v>213.94</v>
      </c>
      <c r="AO108" s="74">
        <v>19833</v>
      </c>
      <c r="AP108" s="75">
        <v>6551</v>
      </c>
      <c r="AQ108" s="74">
        <v>468.26100000000002</v>
      </c>
      <c r="AR108" s="75">
        <v>51354</v>
      </c>
      <c r="AS108" s="74">
        <v>33509</v>
      </c>
      <c r="AT108" s="75">
        <v>1568.2750000000001</v>
      </c>
      <c r="AU108" s="74">
        <v>141</v>
      </c>
      <c r="AV108" s="75">
        <v>35</v>
      </c>
      <c r="AW108" s="74">
        <v>2.0750000000000002</v>
      </c>
      <c r="AX108" s="75">
        <v>6149982</v>
      </c>
      <c r="AY108" s="74">
        <v>5859131</v>
      </c>
      <c r="AZ108" s="75">
        <v>528.47699999999998</v>
      </c>
      <c r="BA108" s="85">
        <v>110051.598</v>
      </c>
      <c r="BB108" s="82" t="s">
        <v>109</v>
      </c>
      <c r="BC108" s="83"/>
      <c r="BD108" s="83"/>
    </row>
    <row r="109" spans="1:56" x14ac:dyDescent="0.3">
      <c r="A109" s="68" t="s">
        <v>110</v>
      </c>
      <c r="AZ109" s="68" t="s">
        <v>111</v>
      </c>
    </row>
    <row r="110" spans="1:56" x14ac:dyDescent="0.3">
      <c r="A110" s="69" t="s">
        <v>112</v>
      </c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9" t="s">
        <v>113</v>
      </c>
      <c r="BA110" s="68"/>
    </row>
    <row r="111" spans="1:56" x14ac:dyDescent="0.3">
      <c r="A111" s="69" t="s">
        <v>116</v>
      </c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 t="s">
        <v>117</v>
      </c>
      <c r="BA111" s="69"/>
    </row>
    <row r="112" spans="1:56" x14ac:dyDescent="0.3"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</row>
  </sheetData>
  <mergeCells count="741">
    <mergeCell ref="AF6:AH6"/>
    <mergeCell ref="AI6:AK6"/>
    <mergeCell ref="AL6:AN6"/>
    <mergeCell ref="AO6:AQ6"/>
    <mergeCell ref="AR6:AT6"/>
    <mergeCell ref="AQ103:AQ104"/>
    <mergeCell ref="AE103:AE104"/>
    <mergeCell ref="A2:X2"/>
    <mergeCell ref="A3:W3"/>
    <mergeCell ref="M103:M104"/>
    <mergeCell ref="BB103:BD104"/>
    <mergeCell ref="G103:G104"/>
    <mergeCell ref="H103:H104"/>
    <mergeCell ref="I103:I104"/>
    <mergeCell ref="J103:J104"/>
    <mergeCell ref="K103:K104"/>
    <mergeCell ref="L103:L104"/>
    <mergeCell ref="AB103:AB104"/>
    <mergeCell ref="AC103:AC104"/>
    <mergeCell ref="AF103:AF104"/>
    <mergeCell ref="AG103:AG104"/>
    <mergeCell ref="AH103:AH104"/>
    <mergeCell ref="AI103:AI104"/>
    <mergeCell ref="AJ103:AJ104"/>
    <mergeCell ref="AK103:AK104"/>
    <mergeCell ref="AL103:AL104"/>
    <mergeCell ref="AM103:AM104"/>
    <mergeCell ref="AN103:AN104"/>
    <mergeCell ref="AO103:AO104"/>
    <mergeCell ref="AP103:AP104"/>
    <mergeCell ref="W103:W104"/>
    <mergeCell ref="X103:X104"/>
    <mergeCell ref="Y103:Y104"/>
    <mergeCell ref="Z103:Z104"/>
    <mergeCell ref="AA103:AA104"/>
    <mergeCell ref="AD103:AD104"/>
    <mergeCell ref="Q103:Q104"/>
    <mergeCell ref="R103:R104"/>
    <mergeCell ref="S103:S104"/>
    <mergeCell ref="T103:T104"/>
    <mergeCell ref="U103:U104"/>
    <mergeCell ref="V103:V104"/>
    <mergeCell ref="A103:A104"/>
    <mergeCell ref="B103:B104"/>
    <mergeCell ref="C103:C104"/>
    <mergeCell ref="D103:D104"/>
    <mergeCell ref="E103:E104"/>
    <mergeCell ref="F103:F104"/>
    <mergeCell ref="N103:N104"/>
    <mergeCell ref="O103:O104"/>
    <mergeCell ref="P103:P104"/>
    <mergeCell ref="I88:I89"/>
    <mergeCell ref="J88:J89"/>
    <mergeCell ref="K88:K89"/>
    <mergeCell ref="A88:A89"/>
    <mergeCell ref="B88:B89"/>
    <mergeCell ref="C88:C89"/>
    <mergeCell ref="D88:D89"/>
    <mergeCell ref="E88:E89"/>
    <mergeCell ref="F88:F89"/>
    <mergeCell ref="G88:G89"/>
    <mergeCell ref="H88:H89"/>
    <mergeCell ref="L88:L89"/>
    <mergeCell ref="M88:M89"/>
    <mergeCell ref="Y88:Y89"/>
    <mergeCell ref="AD88:AD89"/>
    <mergeCell ref="AE88:AE89"/>
    <mergeCell ref="BB88:BD89"/>
    <mergeCell ref="Z88:Z89"/>
    <mergeCell ref="AA88:AA89"/>
    <mergeCell ref="AB88:AB89"/>
    <mergeCell ref="AC88:AC89"/>
    <mergeCell ref="N88:N89"/>
    <mergeCell ref="O88:O89"/>
    <mergeCell ref="P88:P89"/>
    <mergeCell ref="W88:W89"/>
    <mergeCell ref="X88:X89"/>
    <mergeCell ref="AR88:AR89"/>
    <mergeCell ref="AS88:AS89"/>
    <mergeCell ref="AT88:AT89"/>
    <mergeCell ref="S88:S89"/>
    <mergeCell ref="T88:T89"/>
    <mergeCell ref="U88:U89"/>
    <mergeCell ref="V88:V89"/>
    <mergeCell ref="AF88:AF89"/>
    <mergeCell ref="AG88:AG89"/>
    <mergeCell ref="M81:M82"/>
    <mergeCell ref="BB81:BD82"/>
    <mergeCell ref="N81:N82"/>
    <mergeCell ref="O81:O82"/>
    <mergeCell ref="P81:P82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N81:AN82"/>
    <mergeCell ref="AR81:AR82"/>
    <mergeCell ref="AS81:AS82"/>
    <mergeCell ref="AT81:AT82"/>
    <mergeCell ref="AU81:AU82"/>
    <mergeCell ref="AV81:AV82"/>
    <mergeCell ref="AW81:AW82"/>
    <mergeCell ref="AX81:AX82"/>
    <mergeCell ref="BA81:BA82"/>
    <mergeCell ref="AY81:AY82"/>
    <mergeCell ref="G81:G82"/>
    <mergeCell ref="H81:H82"/>
    <mergeCell ref="I81:I82"/>
    <mergeCell ref="J81:J82"/>
    <mergeCell ref="K81:K82"/>
    <mergeCell ref="L81:L82"/>
    <mergeCell ref="A81:A82"/>
    <mergeCell ref="B81:B82"/>
    <mergeCell ref="C81:C82"/>
    <mergeCell ref="D81:D82"/>
    <mergeCell ref="E81:E82"/>
    <mergeCell ref="F81:F82"/>
    <mergeCell ref="I71:I72"/>
    <mergeCell ref="J71:J72"/>
    <mergeCell ref="K71:K72"/>
    <mergeCell ref="L71:L72"/>
    <mergeCell ref="M71:M72"/>
    <mergeCell ref="BB71:BD72"/>
    <mergeCell ref="Z71:Z72"/>
    <mergeCell ref="AA71:AA72"/>
    <mergeCell ref="AB71:AB72"/>
    <mergeCell ref="AC71:AC72"/>
    <mergeCell ref="N71:N72"/>
    <mergeCell ref="O71:O72"/>
    <mergeCell ref="P71:P72"/>
    <mergeCell ref="W71:W72"/>
    <mergeCell ref="X71:X72"/>
    <mergeCell ref="Y71:Y72"/>
    <mergeCell ref="AD71:AD72"/>
    <mergeCell ref="AE71:AE72"/>
    <mergeCell ref="Q71:Q72"/>
    <mergeCell ref="R71:R72"/>
    <mergeCell ref="S71:S72"/>
    <mergeCell ref="T71:T72"/>
    <mergeCell ref="U71:U72"/>
    <mergeCell ref="V71:V72"/>
    <mergeCell ref="M64:M65"/>
    <mergeCell ref="BB64:BD65"/>
    <mergeCell ref="A71:A72"/>
    <mergeCell ref="B71:B72"/>
    <mergeCell ref="C71:C72"/>
    <mergeCell ref="D71:D72"/>
    <mergeCell ref="E71:E72"/>
    <mergeCell ref="F71:F72"/>
    <mergeCell ref="G71:G72"/>
    <mergeCell ref="H71:H72"/>
    <mergeCell ref="G64:G65"/>
    <mergeCell ref="H64:H65"/>
    <mergeCell ref="I64:I65"/>
    <mergeCell ref="J64:J65"/>
    <mergeCell ref="K64:K65"/>
    <mergeCell ref="L64:L65"/>
    <mergeCell ref="A64:A65"/>
    <mergeCell ref="B64:B65"/>
    <mergeCell ref="C64:C65"/>
    <mergeCell ref="D64:D65"/>
    <mergeCell ref="E64:E65"/>
    <mergeCell ref="F64:F65"/>
    <mergeCell ref="N64:N65"/>
    <mergeCell ref="O64:O65"/>
    <mergeCell ref="I59:I60"/>
    <mergeCell ref="J59:J60"/>
    <mergeCell ref="K59:K60"/>
    <mergeCell ref="L59:L60"/>
    <mergeCell ref="M59:M60"/>
    <mergeCell ref="BB59:BD60"/>
    <mergeCell ref="Z59:Z60"/>
    <mergeCell ref="AA59:AA60"/>
    <mergeCell ref="AB59:AB60"/>
    <mergeCell ref="AC59:AC60"/>
    <mergeCell ref="N59:N60"/>
    <mergeCell ref="O59:O60"/>
    <mergeCell ref="P59:P60"/>
    <mergeCell ref="W59:W60"/>
    <mergeCell ref="X59:X60"/>
    <mergeCell ref="Y59:Y60"/>
    <mergeCell ref="AD59:AD60"/>
    <mergeCell ref="AE59:AE60"/>
    <mergeCell ref="Q59:Q60"/>
    <mergeCell ref="R59:R60"/>
    <mergeCell ref="S59:S60"/>
    <mergeCell ref="T59:T60"/>
    <mergeCell ref="U59:U60"/>
    <mergeCell ref="V59:V60"/>
    <mergeCell ref="M52:M53"/>
    <mergeCell ref="BB52:BD53"/>
    <mergeCell ref="A59:A60"/>
    <mergeCell ref="B59:B60"/>
    <mergeCell ref="C59:C60"/>
    <mergeCell ref="D59:D60"/>
    <mergeCell ref="E59:E60"/>
    <mergeCell ref="F59:F60"/>
    <mergeCell ref="G59:G60"/>
    <mergeCell ref="H59:H60"/>
    <mergeCell ref="G52:G53"/>
    <mergeCell ref="H52:H53"/>
    <mergeCell ref="I52:I53"/>
    <mergeCell ref="J52:J53"/>
    <mergeCell ref="K52:K53"/>
    <mergeCell ref="L52:L53"/>
    <mergeCell ref="A52:A53"/>
    <mergeCell ref="B52:B53"/>
    <mergeCell ref="C52:C53"/>
    <mergeCell ref="D52:D53"/>
    <mergeCell ref="E52:E53"/>
    <mergeCell ref="F52:F53"/>
    <mergeCell ref="N52:N53"/>
    <mergeCell ref="O52:O53"/>
    <mergeCell ref="I45:I46"/>
    <mergeCell ref="J45:J46"/>
    <mergeCell ref="K45:K46"/>
    <mergeCell ref="L45:L46"/>
    <mergeCell ref="M45:M46"/>
    <mergeCell ref="BB45:BD46"/>
    <mergeCell ref="Z45:Z46"/>
    <mergeCell ref="AA45:AA46"/>
    <mergeCell ref="AB45:AB46"/>
    <mergeCell ref="AC45:AC46"/>
    <mergeCell ref="N45:N46"/>
    <mergeCell ref="O45:O46"/>
    <mergeCell ref="P45:P46"/>
    <mergeCell ref="W45:W46"/>
    <mergeCell ref="X45:X46"/>
    <mergeCell ref="Y45:Y46"/>
    <mergeCell ref="AD45:AD46"/>
    <mergeCell ref="AE45:AE46"/>
    <mergeCell ref="Q45:Q46"/>
    <mergeCell ref="R45:R46"/>
    <mergeCell ref="S45:S46"/>
    <mergeCell ref="T45:T46"/>
    <mergeCell ref="U45:U46"/>
    <mergeCell ref="V45:V46"/>
    <mergeCell ref="M38:M39"/>
    <mergeCell ref="BB38:BD39"/>
    <mergeCell ref="A45:A46"/>
    <mergeCell ref="B45:B46"/>
    <mergeCell ref="C45:C46"/>
    <mergeCell ref="D45:D46"/>
    <mergeCell ref="E45:E46"/>
    <mergeCell ref="F45:F46"/>
    <mergeCell ref="G45:G46"/>
    <mergeCell ref="H45:H46"/>
    <mergeCell ref="G38:G39"/>
    <mergeCell ref="H38:H39"/>
    <mergeCell ref="I38:I39"/>
    <mergeCell ref="J38:J39"/>
    <mergeCell ref="K38:K39"/>
    <mergeCell ref="L38:L39"/>
    <mergeCell ref="A38:A39"/>
    <mergeCell ref="B38:B39"/>
    <mergeCell ref="C38:C39"/>
    <mergeCell ref="D38:D39"/>
    <mergeCell ref="E38:E39"/>
    <mergeCell ref="F38:F39"/>
    <mergeCell ref="N38:N39"/>
    <mergeCell ref="O38:O39"/>
    <mergeCell ref="I32:I33"/>
    <mergeCell ref="J32:J33"/>
    <mergeCell ref="K32:K33"/>
    <mergeCell ref="L32:L33"/>
    <mergeCell ref="M32:M33"/>
    <mergeCell ref="BB32:BD33"/>
    <mergeCell ref="Z32:Z33"/>
    <mergeCell ref="AA32:AA33"/>
    <mergeCell ref="AB32:AB33"/>
    <mergeCell ref="AC32:AC33"/>
    <mergeCell ref="N32:N33"/>
    <mergeCell ref="O32:O33"/>
    <mergeCell ref="P32:P33"/>
    <mergeCell ref="W32:W33"/>
    <mergeCell ref="X32:X33"/>
    <mergeCell ref="Y32:Y33"/>
    <mergeCell ref="AD32:AD33"/>
    <mergeCell ref="AE32:AE33"/>
    <mergeCell ref="Q32:Q33"/>
    <mergeCell ref="R32:R33"/>
    <mergeCell ref="S32:S33"/>
    <mergeCell ref="T32:T33"/>
    <mergeCell ref="U32:U33"/>
    <mergeCell ref="V32:V33"/>
    <mergeCell ref="M18:M19"/>
    <mergeCell ref="BB18:BD19"/>
    <mergeCell ref="A32:A33"/>
    <mergeCell ref="B32:B33"/>
    <mergeCell ref="C32:C33"/>
    <mergeCell ref="D32:D33"/>
    <mergeCell ref="E32:E33"/>
    <mergeCell ref="F32:F33"/>
    <mergeCell ref="G32:G33"/>
    <mergeCell ref="H32:H33"/>
    <mergeCell ref="G18:G19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E18:E19"/>
    <mergeCell ref="F18:F19"/>
    <mergeCell ref="N18:N19"/>
    <mergeCell ref="O18:O19"/>
    <mergeCell ref="J10:J11"/>
    <mergeCell ref="K10:K11"/>
    <mergeCell ref="L10:L11"/>
    <mergeCell ref="M10:M11"/>
    <mergeCell ref="BB10:BD11"/>
    <mergeCell ref="N10:N11"/>
    <mergeCell ref="O10:O11"/>
    <mergeCell ref="P10:P11"/>
    <mergeCell ref="W10:W11"/>
    <mergeCell ref="AM10:AM11"/>
    <mergeCell ref="AN10:AN11"/>
    <mergeCell ref="AQ10:AQ11"/>
    <mergeCell ref="AZ10:AZ11"/>
    <mergeCell ref="BA10:BA11"/>
    <mergeCell ref="AF10:AF11"/>
    <mergeCell ref="AG10:AG11"/>
    <mergeCell ref="AH10:AH11"/>
    <mergeCell ref="AI10:AI11"/>
    <mergeCell ref="AJ10:AJ11"/>
    <mergeCell ref="AK10:AK11"/>
    <mergeCell ref="AL10:AL11"/>
    <mergeCell ref="AO10:AO11"/>
    <mergeCell ref="AP10:AP11"/>
    <mergeCell ref="AY10:AY11"/>
    <mergeCell ref="BB8:BD9"/>
    <mergeCell ref="A10:A11"/>
    <mergeCell ref="B10:B11"/>
    <mergeCell ref="C10:C11"/>
    <mergeCell ref="D10:D11"/>
    <mergeCell ref="E10:E11"/>
    <mergeCell ref="F10:F11"/>
    <mergeCell ref="G10:G11"/>
    <mergeCell ref="H10:H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N8:N9"/>
    <mergeCell ref="O8:O9"/>
    <mergeCell ref="I10:I11"/>
    <mergeCell ref="A5:A7"/>
    <mergeCell ref="BB5:BD7"/>
    <mergeCell ref="B6:D6"/>
    <mergeCell ref="B5:D5"/>
    <mergeCell ref="W5:Y5"/>
    <mergeCell ref="T5:V5"/>
    <mergeCell ref="Q5:S5"/>
    <mergeCell ref="N5:P5"/>
    <mergeCell ref="K5:M5"/>
    <mergeCell ref="AX5:BA5"/>
    <mergeCell ref="AU5:AW5"/>
    <mergeCell ref="AR5:AT5"/>
    <mergeCell ref="AO5:AQ5"/>
    <mergeCell ref="AL5:AN5"/>
    <mergeCell ref="AI5:AK5"/>
    <mergeCell ref="AF5:AH5"/>
    <mergeCell ref="AC5:AE5"/>
    <mergeCell ref="Z5:AB5"/>
    <mergeCell ref="AU6:AW6"/>
    <mergeCell ref="AX6:BA6"/>
    <mergeCell ref="T6:V6"/>
    <mergeCell ref="W6:Y6"/>
    <mergeCell ref="Z6:AB6"/>
    <mergeCell ref="AC6:AE6"/>
    <mergeCell ref="P8:P9"/>
    <mergeCell ref="W8:W9"/>
    <mergeCell ref="X8:X9"/>
    <mergeCell ref="Y8:Y9"/>
    <mergeCell ref="Z8:Z9"/>
    <mergeCell ref="AA8:AA9"/>
    <mergeCell ref="AB8:AB9"/>
    <mergeCell ref="G4:L4"/>
    <mergeCell ref="M8:M9"/>
    <mergeCell ref="Q8:Q9"/>
    <mergeCell ref="R8:R9"/>
    <mergeCell ref="S8:S9"/>
    <mergeCell ref="T8:T9"/>
    <mergeCell ref="U8:U9"/>
    <mergeCell ref="V8:V9"/>
    <mergeCell ref="H5:J5"/>
    <mergeCell ref="E5:G5"/>
    <mergeCell ref="E6:G6"/>
    <mergeCell ref="H6:J6"/>
    <mergeCell ref="K6:M6"/>
    <mergeCell ref="N6:P6"/>
    <mergeCell ref="Q6:S6"/>
    <mergeCell ref="AC8:AC9"/>
    <mergeCell ref="AD8:AD9"/>
    <mergeCell ref="AE8:AE9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P18:P19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P38:P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Q38:Q39"/>
    <mergeCell ref="R38:R39"/>
    <mergeCell ref="S38:S39"/>
    <mergeCell ref="T38:T39"/>
    <mergeCell ref="U38:U39"/>
    <mergeCell ref="V38:V39"/>
    <mergeCell ref="P52:P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Q52:Q53"/>
    <mergeCell ref="R52:R53"/>
    <mergeCell ref="S52:S53"/>
    <mergeCell ref="T52:T53"/>
    <mergeCell ref="U52:U53"/>
    <mergeCell ref="V52:V53"/>
    <mergeCell ref="P64:P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Q64:Q65"/>
    <mergeCell ref="R64:R65"/>
    <mergeCell ref="S64:S65"/>
    <mergeCell ref="T64:T65"/>
    <mergeCell ref="U64:U65"/>
    <mergeCell ref="V64:V65"/>
    <mergeCell ref="AJ8:AJ9"/>
    <mergeCell ref="AK8:AK9"/>
    <mergeCell ref="AL8:AL9"/>
    <mergeCell ref="AM8:AM9"/>
    <mergeCell ref="AK38:AK39"/>
    <mergeCell ref="AL38:AL39"/>
    <mergeCell ref="AM38:AM39"/>
    <mergeCell ref="AI18:AI19"/>
    <mergeCell ref="AJ18:AJ19"/>
    <mergeCell ref="AK18:AK19"/>
    <mergeCell ref="AL18:AL19"/>
    <mergeCell ref="AN8:AN9"/>
    <mergeCell ref="AO8:AO9"/>
    <mergeCell ref="AP8:AP9"/>
    <mergeCell ref="AQ8:AQ9"/>
    <mergeCell ref="AQ18:AQ19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F18:AF19"/>
    <mergeCell ref="AG18:AG19"/>
    <mergeCell ref="AH18:AH19"/>
    <mergeCell ref="AF8:AF9"/>
    <mergeCell ref="AG8:AG9"/>
    <mergeCell ref="AH8:AH9"/>
    <mergeCell ref="AI8:AI9"/>
    <mergeCell ref="AF38:AF39"/>
    <mergeCell ref="AG38:AG39"/>
    <mergeCell ref="AH38:AH39"/>
    <mergeCell ref="AI38:AI39"/>
    <mergeCell ref="AJ38:AJ39"/>
    <mergeCell ref="AE64:AE65"/>
    <mergeCell ref="AE52:AE53"/>
    <mergeCell ref="AE38:AE39"/>
    <mergeCell ref="AE18:AE19"/>
    <mergeCell ref="AF45:AF46"/>
    <mergeCell ref="AG45:AG46"/>
    <mergeCell ref="AH45:AH46"/>
    <mergeCell ref="AI45:AI46"/>
    <mergeCell ref="AJ45:AJ46"/>
    <mergeCell ref="AF59:AF60"/>
    <mergeCell ref="AG59:AG60"/>
    <mergeCell ref="AH59:AH60"/>
    <mergeCell ref="AI59:AI60"/>
    <mergeCell ref="AJ59:AJ60"/>
    <mergeCell ref="AK45:AK46"/>
    <mergeCell ref="AL45:AL46"/>
    <mergeCell ref="AM45:AM46"/>
    <mergeCell ref="AN45:AN46"/>
    <mergeCell ref="AL52:AL53"/>
    <mergeCell ref="AM52:AM53"/>
    <mergeCell ref="AO18:AO19"/>
    <mergeCell ref="AP18:AP19"/>
    <mergeCell ref="AM18:AM19"/>
    <mergeCell ref="AN18:AN19"/>
    <mergeCell ref="AO38:AO39"/>
    <mergeCell ref="AP38:AP39"/>
    <mergeCell ref="AQ38:AQ39"/>
    <mergeCell ref="AO45:AO46"/>
    <mergeCell ref="AP45:AP46"/>
    <mergeCell ref="AQ45:AQ46"/>
    <mergeCell ref="AL64:AL65"/>
    <mergeCell ref="AM64:AM65"/>
    <mergeCell ref="AN38:AN39"/>
    <mergeCell ref="AO52:AO53"/>
    <mergeCell ref="AP52:AP53"/>
    <mergeCell ref="AQ52:AQ53"/>
    <mergeCell ref="AK59:AK60"/>
    <mergeCell ref="AL59:AL60"/>
    <mergeCell ref="AM59:AM60"/>
    <mergeCell ref="AN59:AN60"/>
    <mergeCell ref="AO59:AO60"/>
    <mergeCell ref="AP59:AP60"/>
    <mergeCell ref="AQ59:AQ60"/>
    <mergeCell ref="AF52:AF53"/>
    <mergeCell ref="AG52:AG53"/>
    <mergeCell ref="AH52:AH53"/>
    <mergeCell ref="AI52:AI53"/>
    <mergeCell ref="AJ52:AJ53"/>
    <mergeCell ref="AK52:AK53"/>
    <mergeCell ref="AF81:AF82"/>
    <mergeCell ref="AG81:AG82"/>
    <mergeCell ref="AH81:AH82"/>
    <mergeCell ref="AI81:AI82"/>
    <mergeCell ref="AJ81:AJ82"/>
    <mergeCell ref="AK81:AK82"/>
    <mergeCell ref="AL81:AL82"/>
    <mergeCell ref="AM81:AM82"/>
    <mergeCell ref="AN52:AN53"/>
    <mergeCell ref="AF71:AF72"/>
    <mergeCell ref="AG71:AG72"/>
    <mergeCell ref="AH71:AH72"/>
    <mergeCell ref="AI71:AI72"/>
    <mergeCell ref="AJ71:AJ72"/>
    <mergeCell ref="AK71:AK72"/>
    <mergeCell ref="AL71:AL72"/>
    <mergeCell ref="AM71:AM72"/>
    <mergeCell ref="AN71:AN72"/>
    <mergeCell ref="AF64:AF65"/>
    <mergeCell ref="AG64:AG65"/>
    <mergeCell ref="AH64:AH65"/>
    <mergeCell ref="AI64:AI65"/>
    <mergeCell ref="AJ64:AJ65"/>
    <mergeCell ref="AK64:AK65"/>
    <mergeCell ref="AH88:AH89"/>
    <mergeCell ref="AI88:AI89"/>
    <mergeCell ref="AJ88:AJ89"/>
    <mergeCell ref="AK88:AK89"/>
    <mergeCell ref="AL88:AL89"/>
    <mergeCell ref="AM88:AM89"/>
    <mergeCell ref="AN88:AN89"/>
    <mergeCell ref="BA18:BA19"/>
    <mergeCell ref="AR32:AR33"/>
    <mergeCell ref="AS32:AS33"/>
    <mergeCell ref="AT32:AT33"/>
    <mergeCell ref="AN64:AN65"/>
    <mergeCell ref="AO81:AO82"/>
    <mergeCell ref="AP81:AP82"/>
    <mergeCell ref="AQ81:AQ82"/>
    <mergeCell ref="AO88:AO89"/>
    <mergeCell ref="AP88:AP89"/>
    <mergeCell ref="AQ88:AQ89"/>
    <mergeCell ref="AO64:AO65"/>
    <mergeCell ref="AP64:AP65"/>
    <mergeCell ref="AQ64:AQ65"/>
    <mergeCell ref="AO71:AO72"/>
    <mergeCell ref="AP71:AP72"/>
    <mergeCell ref="AQ71:AQ72"/>
    <mergeCell ref="AY8:AY9"/>
    <mergeCell ref="AZ8:AZ9"/>
    <mergeCell ref="AR10:AR11"/>
    <mergeCell ref="AS10:AS11"/>
    <mergeCell ref="AT10:AT11"/>
    <mergeCell ref="AU10:AU11"/>
    <mergeCell ref="AV10:AV11"/>
    <mergeCell ref="AW10:AW11"/>
    <mergeCell ref="AX10:AX11"/>
    <mergeCell ref="BA8:BA9"/>
    <mergeCell ref="AU32:AU33"/>
    <mergeCell ref="AV32:AV33"/>
    <mergeCell ref="AW32:AW33"/>
    <mergeCell ref="AX32:AX33"/>
    <mergeCell ref="AY32:AY33"/>
    <mergeCell ref="AZ32:AZ33"/>
    <mergeCell ref="BA32:BA33"/>
    <mergeCell ref="AR18:AR19"/>
    <mergeCell ref="AS18:AS19"/>
    <mergeCell ref="AT18:AT19"/>
    <mergeCell ref="AU18:AU19"/>
    <mergeCell ref="AV18:AV19"/>
    <mergeCell ref="AW18:AW19"/>
    <mergeCell ref="AX18:AX19"/>
    <mergeCell ref="AY18:AY19"/>
    <mergeCell ref="AZ18:AZ19"/>
    <mergeCell ref="AR8:AR9"/>
    <mergeCell ref="AS8:AS9"/>
    <mergeCell ref="AT8:AT9"/>
    <mergeCell ref="AU8:AU9"/>
    <mergeCell ref="AV8:AV9"/>
    <mergeCell ref="AW8:AW9"/>
    <mergeCell ref="AX8:AX9"/>
    <mergeCell ref="BA38:BA39"/>
    <mergeCell ref="AR45:AR46"/>
    <mergeCell ref="AS45:AS46"/>
    <mergeCell ref="AT45:AT46"/>
    <mergeCell ref="AU45:AU46"/>
    <mergeCell ref="AV45:AV46"/>
    <mergeCell ref="AW45:AW46"/>
    <mergeCell ref="AX45:AX46"/>
    <mergeCell ref="AY45:AY46"/>
    <mergeCell ref="AZ45:AZ46"/>
    <mergeCell ref="BA45:BA46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52:BA53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BA59:BA60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64:BA65"/>
    <mergeCell ref="AR71:AR72"/>
    <mergeCell ref="AS71:AS72"/>
    <mergeCell ref="AT71:AT72"/>
    <mergeCell ref="AU71:AU72"/>
    <mergeCell ref="AV71:AV72"/>
    <mergeCell ref="AW71:AW72"/>
    <mergeCell ref="AX71:AX72"/>
    <mergeCell ref="AY71:AY72"/>
    <mergeCell ref="BA71:BA72"/>
    <mergeCell ref="AZ71:AZ72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103:BA104"/>
    <mergeCell ref="AY88:AY89"/>
    <mergeCell ref="AZ88:AZ89"/>
    <mergeCell ref="BA88:BA89"/>
    <mergeCell ref="AR103:AR104"/>
    <mergeCell ref="AU88:AU89"/>
    <mergeCell ref="AV88:AV89"/>
    <mergeCell ref="AW88:AW89"/>
    <mergeCell ref="AX88:AX89"/>
    <mergeCell ref="AU103:AU104"/>
    <mergeCell ref="AT103:AT104"/>
    <mergeCell ref="AS103:AS104"/>
    <mergeCell ref="AW103:AW104"/>
    <mergeCell ref="AX103:AX104"/>
    <mergeCell ref="AZ81:AZ82"/>
    <mergeCell ref="AY103:AY104"/>
    <mergeCell ref="AZ103:AZ104"/>
    <mergeCell ref="AV103:AV104"/>
    <mergeCell ref="Q10:Q11"/>
    <mergeCell ref="R10:R11"/>
    <mergeCell ref="S10:S11"/>
    <mergeCell ref="T10:T11"/>
    <mergeCell ref="U10:U11"/>
    <mergeCell ref="V10:V11"/>
    <mergeCell ref="Q18:Q19"/>
    <mergeCell ref="R18:R19"/>
    <mergeCell ref="S18:S19"/>
    <mergeCell ref="T18:T19"/>
    <mergeCell ref="U18:U19"/>
    <mergeCell ref="V18:V19"/>
    <mergeCell ref="Q81:Q82"/>
    <mergeCell ref="R81:R82"/>
    <mergeCell ref="S81:S82"/>
    <mergeCell ref="T81:T82"/>
    <mergeCell ref="U81:U82"/>
    <mergeCell ref="V81:V82"/>
    <mergeCell ref="Q88:Q89"/>
    <mergeCell ref="R88:R89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114"/>
  <sheetViews>
    <sheetView workbookViewId="0">
      <selection activeCell="A10" sqref="A10:A11"/>
    </sheetView>
  </sheetViews>
  <sheetFormatPr defaultRowHeight="10.199999999999999" x14ac:dyDescent="0.2"/>
  <cols>
    <col min="1" max="1" width="35.33203125" style="1" customWidth="1"/>
    <col min="2" max="3" width="7.88671875" style="1" bestFit="1" customWidth="1"/>
    <col min="4" max="4" width="8.6640625" style="1" bestFit="1" customWidth="1"/>
    <col min="5" max="6" width="7.109375" style="1" bestFit="1" customWidth="1"/>
    <col min="7" max="7" width="7.88671875" style="1" bestFit="1" customWidth="1"/>
    <col min="8" max="9" width="7.109375" style="1" bestFit="1" customWidth="1"/>
    <col min="10" max="10" width="8.6640625" style="1" bestFit="1" customWidth="1"/>
    <col min="11" max="12" width="7.109375" style="1" bestFit="1" customWidth="1"/>
    <col min="13" max="13" width="8.88671875" style="1" customWidth="1"/>
    <col min="14" max="15" width="7.109375" style="1" bestFit="1" customWidth="1"/>
    <col min="16" max="18" width="7.88671875" style="1" bestFit="1" customWidth="1"/>
    <col min="19" max="19" width="9.109375" style="1" customWidth="1"/>
    <col min="20" max="21" width="7.109375" style="1" bestFit="1" customWidth="1"/>
    <col min="22" max="22" width="7.88671875" style="1" bestFit="1" customWidth="1"/>
    <col min="23" max="24" width="7.109375" style="1" bestFit="1" customWidth="1"/>
    <col min="25" max="25" width="7.88671875" style="1" bestFit="1" customWidth="1"/>
    <col min="26" max="26" width="5.88671875" style="1" bestFit="1" customWidth="1"/>
    <col min="27" max="27" width="5.109375" style="1" bestFit="1" customWidth="1"/>
    <col min="28" max="28" width="7.109375" style="1" bestFit="1" customWidth="1"/>
    <col min="29" max="30" width="5.88671875" style="1" bestFit="1" customWidth="1"/>
    <col min="31" max="31" width="7.88671875" style="1" bestFit="1" customWidth="1"/>
    <col min="32" max="33" width="7.109375" style="1" bestFit="1" customWidth="1"/>
    <col min="34" max="34" width="7.88671875" style="1" bestFit="1" customWidth="1"/>
    <col min="35" max="36" width="7.109375" style="1" bestFit="1" customWidth="1"/>
    <col min="37" max="37" width="8.88671875" style="1"/>
    <col min="38" max="39" width="7.109375" style="1" bestFit="1" customWidth="1"/>
    <col min="40" max="40" width="7.88671875" style="1" bestFit="1" customWidth="1"/>
    <col min="41" max="42" width="5.109375" style="1" bestFit="1" customWidth="1"/>
    <col min="43" max="43" width="5.88671875" style="1" bestFit="1" customWidth="1"/>
    <col min="44" max="46" width="8.6640625" style="1" bestFit="1" customWidth="1"/>
    <col min="47" max="47" width="9.88671875" style="1" bestFit="1" customWidth="1"/>
    <col min="48" max="16384" width="8.88671875" style="1"/>
  </cols>
  <sheetData>
    <row r="1" spans="1:5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s="27" customFormat="1" ht="13.2" x14ac:dyDescent="0.25"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30"/>
      <c r="AZ2" s="30"/>
      <c r="BA2" s="30"/>
      <c r="BB2" s="30"/>
      <c r="BC2" s="30"/>
      <c r="BD2" s="30"/>
      <c r="BE2" s="30"/>
      <c r="BF2" s="30"/>
    </row>
    <row r="3" spans="1:58" s="27" customFormat="1" ht="13.2" x14ac:dyDescent="0.25"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28"/>
      <c r="S3" s="28"/>
      <c r="T3" s="28"/>
      <c r="U3" s="28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30"/>
      <c r="AZ3" s="30"/>
      <c r="BA3" s="30"/>
      <c r="BB3" s="30"/>
      <c r="BC3" s="30"/>
      <c r="BD3" s="30"/>
      <c r="BE3" s="30"/>
      <c r="BF3" s="30"/>
    </row>
    <row r="4" spans="1:58" s="22" customFormat="1" ht="12" x14ac:dyDescent="0.2">
      <c r="B4" s="25"/>
      <c r="C4" s="25"/>
      <c r="D4" s="25"/>
      <c r="E4" s="25"/>
      <c r="F4" s="25"/>
      <c r="G4" s="25"/>
      <c r="H4" s="25"/>
      <c r="I4" s="25"/>
      <c r="K4" s="26"/>
      <c r="L4" s="26"/>
      <c r="M4" s="26"/>
      <c r="N4" s="26"/>
      <c r="O4" s="26"/>
      <c r="P4" s="26"/>
      <c r="Q4" s="26"/>
      <c r="R4" s="26"/>
      <c r="S4" s="26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4"/>
      <c r="AZ4" s="24"/>
      <c r="BA4" s="24"/>
      <c r="BB4" s="24"/>
      <c r="BC4" s="24"/>
      <c r="BD4" s="24"/>
      <c r="BE4" s="24"/>
      <c r="BF4" s="24"/>
    </row>
    <row r="5" spans="1:58" ht="10.8" thickBot="1" x14ac:dyDescent="0.25">
      <c r="A5" s="4"/>
      <c r="B5" s="18"/>
      <c r="C5" s="18"/>
      <c r="D5" s="18"/>
      <c r="E5" s="18"/>
      <c r="F5" s="18"/>
      <c r="G5" s="156"/>
      <c r="H5" s="156"/>
      <c r="I5" s="156"/>
      <c r="J5" s="156"/>
      <c r="K5" s="156"/>
      <c r="L5" s="15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16"/>
      <c r="AW5" s="157"/>
      <c r="AX5" s="157"/>
      <c r="AZ5" s="5"/>
      <c r="BA5" s="5"/>
      <c r="BB5" s="5"/>
      <c r="BC5" s="5"/>
      <c r="BD5" s="5"/>
      <c r="BE5" s="5"/>
      <c r="BF5" s="5"/>
    </row>
    <row r="6" spans="1:58" x14ac:dyDescent="0.2">
      <c r="A6" s="158"/>
      <c r="B6" s="160"/>
      <c r="C6" s="147"/>
      <c r="D6" s="147"/>
      <c r="E6" s="146"/>
      <c r="F6" s="147"/>
      <c r="G6" s="148"/>
      <c r="H6" s="146"/>
      <c r="I6" s="147"/>
      <c r="J6" s="148"/>
      <c r="K6" s="146"/>
      <c r="L6" s="147"/>
      <c r="M6" s="148"/>
      <c r="N6" s="147"/>
      <c r="O6" s="147"/>
      <c r="P6" s="148"/>
      <c r="Q6" s="146"/>
      <c r="R6" s="147"/>
      <c r="S6" s="148"/>
      <c r="T6" s="146"/>
      <c r="U6" s="147"/>
      <c r="V6" s="148"/>
      <c r="W6" s="146"/>
      <c r="X6" s="147"/>
      <c r="Y6" s="148"/>
      <c r="Z6" s="147"/>
      <c r="AA6" s="147"/>
      <c r="AB6" s="147"/>
      <c r="AC6" s="146"/>
      <c r="AD6" s="147"/>
      <c r="AE6" s="148"/>
      <c r="AF6" s="146"/>
      <c r="AG6" s="147"/>
      <c r="AH6" s="148"/>
      <c r="AI6" s="146"/>
      <c r="AJ6" s="147"/>
      <c r="AK6" s="148"/>
      <c r="AL6" s="147"/>
      <c r="AM6" s="147"/>
      <c r="AN6" s="148"/>
      <c r="AO6" s="146"/>
      <c r="AP6" s="147"/>
      <c r="AQ6" s="148"/>
      <c r="AR6" s="146"/>
      <c r="AS6" s="147"/>
      <c r="AT6" s="147"/>
      <c r="AU6" s="163"/>
      <c r="AV6" s="150"/>
      <c r="AW6" s="150"/>
      <c r="AX6" s="150"/>
    </row>
    <row r="7" spans="1:58" x14ac:dyDescent="0.2">
      <c r="A7" s="140"/>
      <c r="B7" s="161"/>
      <c r="C7" s="150"/>
      <c r="D7" s="150"/>
      <c r="E7" s="149"/>
      <c r="F7" s="150"/>
      <c r="G7" s="151"/>
      <c r="H7" s="149"/>
      <c r="I7" s="150"/>
      <c r="J7" s="151"/>
      <c r="K7" s="149"/>
      <c r="L7" s="150"/>
      <c r="M7" s="151"/>
      <c r="N7" s="150"/>
      <c r="O7" s="150"/>
      <c r="P7" s="151"/>
      <c r="Q7" s="149"/>
      <c r="R7" s="150"/>
      <c r="S7" s="151"/>
      <c r="T7" s="149"/>
      <c r="U7" s="150"/>
      <c r="V7" s="151"/>
      <c r="W7" s="149"/>
      <c r="X7" s="150"/>
      <c r="Y7" s="151"/>
      <c r="Z7" s="150"/>
      <c r="AA7" s="150"/>
      <c r="AB7" s="150"/>
      <c r="AC7" s="149"/>
      <c r="AD7" s="150"/>
      <c r="AE7" s="151"/>
      <c r="AF7" s="149"/>
      <c r="AG7" s="150"/>
      <c r="AH7" s="151"/>
      <c r="AI7" s="149"/>
      <c r="AJ7" s="150"/>
      <c r="AK7" s="151"/>
      <c r="AL7" s="150"/>
      <c r="AM7" s="150"/>
      <c r="AN7" s="151"/>
      <c r="AO7" s="149"/>
      <c r="AP7" s="150"/>
      <c r="AQ7" s="151"/>
      <c r="AR7" s="149"/>
      <c r="AS7" s="150"/>
      <c r="AT7" s="150"/>
      <c r="AU7" s="164"/>
      <c r="AV7" s="150"/>
      <c r="AW7" s="150"/>
      <c r="AX7" s="150"/>
    </row>
    <row r="8" spans="1:58" x14ac:dyDescent="0.2">
      <c r="A8" s="140"/>
      <c r="B8" s="162"/>
      <c r="C8" s="153"/>
      <c r="D8" s="153"/>
      <c r="E8" s="152"/>
      <c r="F8" s="153"/>
      <c r="G8" s="154"/>
      <c r="H8" s="152"/>
      <c r="I8" s="153"/>
      <c r="J8" s="154"/>
      <c r="K8" s="152"/>
      <c r="L8" s="153"/>
      <c r="M8" s="154"/>
      <c r="N8" s="153"/>
      <c r="O8" s="153"/>
      <c r="P8" s="154"/>
      <c r="Q8" s="152"/>
      <c r="R8" s="153"/>
      <c r="S8" s="154"/>
      <c r="T8" s="152"/>
      <c r="U8" s="153"/>
      <c r="V8" s="154"/>
      <c r="W8" s="152"/>
      <c r="X8" s="153"/>
      <c r="Y8" s="154"/>
      <c r="Z8" s="153"/>
      <c r="AA8" s="153"/>
      <c r="AB8" s="153"/>
      <c r="AC8" s="152"/>
      <c r="AD8" s="153"/>
      <c r="AE8" s="154"/>
      <c r="AF8" s="152"/>
      <c r="AG8" s="153"/>
      <c r="AH8" s="154"/>
      <c r="AI8" s="152"/>
      <c r="AJ8" s="153"/>
      <c r="AK8" s="154"/>
      <c r="AL8" s="153"/>
      <c r="AM8" s="153"/>
      <c r="AN8" s="154"/>
      <c r="AO8" s="152"/>
      <c r="AP8" s="153"/>
      <c r="AQ8" s="154"/>
      <c r="AR8" s="152"/>
      <c r="AS8" s="153"/>
      <c r="AT8" s="153"/>
      <c r="AU8" s="165"/>
      <c r="AV8" s="150"/>
      <c r="AW8" s="150"/>
      <c r="AX8" s="150"/>
    </row>
    <row r="9" spans="1:58" x14ac:dyDescent="0.2">
      <c r="A9" s="159"/>
      <c r="B9" s="6"/>
      <c r="C9" s="7"/>
      <c r="D9" s="8"/>
      <c r="E9" s="9"/>
      <c r="F9" s="7"/>
      <c r="G9" s="7"/>
      <c r="H9" s="9"/>
      <c r="I9" s="7"/>
      <c r="J9" s="7"/>
      <c r="K9" s="9"/>
      <c r="L9" s="7"/>
      <c r="M9" s="7"/>
      <c r="N9" s="7"/>
      <c r="O9" s="7"/>
      <c r="P9" s="8"/>
      <c r="Q9" s="9"/>
      <c r="R9" s="7"/>
      <c r="S9" s="7"/>
      <c r="T9" s="9"/>
      <c r="U9" s="7"/>
      <c r="V9" s="7"/>
      <c r="W9" s="9"/>
      <c r="X9" s="7"/>
      <c r="Y9" s="7"/>
      <c r="Z9" s="7"/>
      <c r="AA9" s="7"/>
      <c r="AB9" s="8"/>
      <c r="AC9" s="9"/>
      <c r="AD9" s="7"/>
      <c r="AE9" s="7"/>
      <c r="AF9" s="9"/>
      <c r="AG9" s="7"/>
      <c r="AH9" s="7"/>
      <c r="AI9" s="9"/>
      <c r="AJ9" s="7"/>
      <c r="AK9" s="7"/>
      <c r="AL9" s="7"/>
      <c r="AM9" s="7"/>
      <c r="AN9" s="7"/>
      <c r="AO9" s="9"/>
      <c r="AP9" s="7"/>
      <c r="AQ9" s="7"/>
      <c r="AR9" s="9"/>
      <c r="AS9" s="7"/>
      <c r="AT9" s="9"/>
      <c r="AU9" s="13"/>
      <c r="AV9" s="153"/>
      <c r="AW9" s="153"/>
      <c r="AX9" s="153"/>
    </row>
    <row r="10" spans="1:58" x14ac:dyDescent="0.2">
      <c r="A10" s="143"/>
      <c r="B10" s="145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2"/>
      <c r="AV10" s="140"/>
      <c r="AW10" s="140"/>
      <c r="AX10" s="140"/>
    </row>
    <row r="11" spans="1:58" x14ac:dyDescent="0.2">
      <c r="A11" s="144"/>
      <c r="B11" s="134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1"/>
      <c r="AV11" s="140"/>
      <c r="AW11" s="140"/>
      <c r="AX11" s="140"/>
    </row>
    <row r="12" spans="1:58" x14ac:dyDescent="0.2">
      <c r="A12" s="133"/>
      <c r="B12" s="134"/>
      <c r="C12" s="130"/>
      <c r="D12" s="130"/>
      <c r="E12" s="130"/>
      <c r="F12" s="130"/>
      <c r="G12" s="130"/>
      <c r="H12" s="135"/>
      <c r="I12" s="135"/>
      <c r="J12" s="135"/>
      <c r="K12" s="139"/>
      <c r="L12" s="139"/>
      <c r="M12" s="139"/>
      <c r="N12" s="130"/>
      <c r="O12" s="130"/>
      <c r="P12" s="130"/>
      <c r="Q12" s="130"/>
      <c r="R12" s="130"/>
      <c r="S12" s="130"/>
      <c r="T12" s="132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1"/>
      <c r="AV12" s="138"/>
      <c r="AW12" s="138"/>
      <c r="AX12" s="138"/>
    </row>
    <row r="13" spans="1:58" x14ac:dyDescent="0.2">
      <c r="A13" s="133"/>
      <c r="B13" s="134"/>
      <c r="C13" s="130"/>
      <c r="D13" s="130"/>
      <c r="E13" s="130"/>
      <c r="F13" s="130"/>
      <c r="G13" s="130"/>
      <c r="H13" s="130"/>
      <c r="I13" s="130"/>
      <c r="J13" s="130"/>
      <c r="K13" s="139"/>
      <c r="L13" s="139"/>
      <c r="M13" s="139"/>
      <c r="N13" s="130"/>
      <c r="O13" s="130"/>
      <c r="P13" s="130"/>
      <c r="Q13" s="130"/>
      <c r="R13" s="130"/>
      <c r="S13" s="130"/>
      <c r="T13" s="132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1"/>
      <c r="AV13" s="138"/>
      <c r="AW13" s="138"/>
      <c r="AX13" s="138"/>
    </row>
    <row r="14" spans="1:58" x14ac:dyDescent="0.2">
      <c r="A14" s="45"/>
      <c r="B14" s="35"/>
      <c r="C14" s="32"/>
      <c r="D14" s="31"/>
      <c r="E14" s="32"/>
      <c r="F14" s="31"/>
      <c r="G14" s="32"/>
      <c r="H14" s="31"/>
      <c r="I14" s="32"/>
      <c r="J14" s="31"/>
      <c r="K14" s="33"/>
      <c r="L14" s="34"/>
      <c r="M14" s="33"/>
      <c r="N14" s="34"/>
      <c r="O14" s="33"/>
      <c r="P14" s="34"/>
      <c r="Q14" s="33"/>
      <c r="R14" s="34"/>
      <c r="S14" s="33"/>
      <c r="T14" s="34"/>
      <c r="U14" s="33"/>
      <c r="V14" s="34"/>
      <c r="W14" s="33"/>
      <c r="X14" s="34"/>
      <c r="Y14" s="33"/>
      <c r="Z14" s="34"/>
      <c r="AA14" s="33"/>
      <c r="AB14" s="34"/>
      <c r="AC14" s="32"/>
      <c r="AD14" s="31"/>
      <c r="AE14" s="32"/>
      <c r="AF14" s="34"/>
      <c r="AG14" s="33"/>
      <c r="AH14" s="34"/>
      <c r="AI14" s="33"/>
      <c r="AJ14" s="34"/>
      <c r="AK14" s="33"/>
      <c r="AL14" s="31"/>
      <c r="AM14" s="33"/>
      <c r="AN14" s="31"/>
      <c r="AO14" s="33"/>
      <c r="AP14" s="34"/>
      <c r="AQ14" s="33"/>
      <c r="AR14" s="34"/>
      <c r="AS14" s="33"/>
      <c r="AT14" s="34"/>
      <c r="AU14" s="36"/>
      <c r="AV14" s="48"/>
      <c r="AW14" s="10"/>
      <c r="AX14" s="10"/>
    </row>
    <row r="15" spans="1:58" x14ac:dyDescent="0.2">
      <c r="A15" s="45"/>
      <c r="B15" s="35"/>
      <c r="C15" s="32"/>
      <c r="D15" s="31"/>
      <c r="E15" s="32"/>
      <c r="F15" s="31"/>
      <c r="G15" s="32"/>
      <c r="H15" s="31"/>
      <c r="I15" s="32"/>
      <c r="J15" s="31"/>
      <c r="K15" s="33"/>
      <c r="L15" s="34"/>
      <c r="M15" s="33"/>
      <c r="N15" s="34"/>
      <c r="O15" s="33"/>
      <c r="P15" s="34"/>
      <c r="Q15" s="33"/>
      <c r="R15" s="34"/>
      <c r="S15" s="33"/>
      <c r="T15" s="34"/>
      <c r="U15" s="33"/>
      <c r="V15" s="34"/>
      <c r="W15" s="33"/>
      <c r="X15" s="34"/>
      <c r="Y15" s="33"/>
      <c r="Z15" s="34"/>
      <c r="AA15" s="33"/>
      <c r="AB15" s="34"/>
      <c r="AC15" s="32"/>
      <c r="AD15" s="31"/>
      <c r="AE15" s="32"/>
      <c r="AF15" s="34"/>
      <c r="AG15" s="33"/>
      <c r="AH15" s="34"/>
      <c r="AI15" s="33"/>
      <c r="AJ15" s="34"/>
      <c r="AK15" s="33"/>
      <c r="AL15" s="34"/>
      <c r="AM15" s="33"/>
      <c r="AN15" s="34"/>
      <c r="AO15" s="33"/>
      <c r="AP15" s="34"/>
      <c r="AQ15" s="33"/>
      <c r="AR15" s="34"/>
      <c r="AS15" s="33"/>
      <c r="AT15" s="34"/>
      <c r="AU15" s="36"/>
      <c r="AV15" s="48"/>
      <c r="AW15" s="10"/>
      <c r="AX15" s="10"/>
    </row>
    <row r="16" spans="1:58" x14ac:dyDescent="0.2">
      <c r="A16" s="45"/>
      <c r="B16" s="35"/>
      <c r="C16" s="32"/>
      <c r="D16" s="31"/>
      <c r="E16" s="32"/>
      <c r="F16" s="31"/>
      <c r="G16" s="33"/>
      <c r="H16" s="31"/>
      <c r="I16" s="32"/>
      <c r="J16" s="31"/>
      <c r="K16" s="33"/>
      <c r="L16" s="34"/>
      <c r="M16" s="33"/>
      <c r="N16" s="34"/>
      <c r="O16" s="33"/>
      <c r="P16" s="34"/>
      <c r="Q16" s="33"/>
      <c r="R16" s="34"/>
      <c r="S16" s="33"/>
      <c r="T16" s="34"/>
      <c r="U16" s="33"/>
      <c r="V16" s="34"/>
      <c r="W16" s="33"/>
      <c r="X16" s="34"/>
      <c r="Y16" s="33"/>
      <c r="Z16" s="34"/>
      <c r="AA16" s="33"/>
      <c r="AB16" s="34"/>
      <c r="AC16" s="32"/>
      <c r="AD16" s="31"/>
      <c r="AE16" s="32"/>
      <c r="AF16" s="34"/>
      <c r="AG16" s="33"/>
      <c r="AH16" s="34"/>
      <c r="AI16" s="33"/>
      <c r="AJ16" s="34"/>
      <c r="AK16" s="33"/>
      <c r="AL16" s="34"/>
      <c r="AM16" s="33"/>
      <c r="AN16" s="34"/>
      <c r="AO16" s="33"/>
      <c r="AP16" s="34"/>
      <c r="AQ16" s="33"/>
      <c r="AR16" s="34"/>
      <c r="AS16" s="33"/>
      <c r="AT16" s="34"/>
      <c r="AU16" s="36"/>
      <c r="AV16" s="48"/>
      <c r="AW16" s="10"/>
      <c r="AX16" s="10"/>
    </row>
    <row r="17" spans="1:50" x14ac:dyDescent="0.2">
      <c r="A17" s="45"/>
      <c r="B17" s="35"/>
      <c r="C17" s="32"/>
      <c r="D17" s="31"/>
      <c r="E17" s="32"/>
      <c r="F17" s="31"/>
      <c r="G17" s="33"/>
      <c r="H17" s="31"/>
      <c r="I17" s="32"/>
      <c r="J17" s="31"/>
      <c r="K17" s="33"/>
      <c r="L17" s="34"/>
      <c r="M17" s="33"/>
      <c r="N17" s="34"/>
      <c r="O17" s="33"/>
      <c r="P17" s="34"/>
      <c r="Q17" s="33"/>
      <c r="R17" s="34"/>
      <c r="S17" s="33"/>
      <c r="T17" s="31"/>
      <c r="U17" s="32"/>
      <c r="V17" s="34"/>
      <c r="W17" s="33"/>
      <c r="X17" s="34"/>
      <c r="Y17" s="33"/>
      <c r="Z17" s="31"/>
      <c r="AA17" s="32"/>
      <c r="AB17" s="34"/>
      <c r="AC17" s="32"/>
      <c r="AD17" s="31"/>
      <c r="AE17" s="32"/>
      <c r="AF17" s="34"/>
      <c r="AG17" s="33"/>
      <c r="AH17" s="34"/>
      <c r="AI17" s="33"/>
      <c r="AJ17" s="34"/>
      <c r="AK17" s="33"/>
      <c r="AL17" s="31"/>
      <c r="AM17" s="32"/>
      <c r="AN17" s="34"/>
      <c r="AO17" s="33"/>
      <c r="AP17" s="34"/>
      <c r="AQ17" s="33"/>
      <c r="AR17" s="34"/>
      <c r="AS17" s="33"/>
      <c r="AT17" s="34"/>
      <c r="AU17" s="36"/>
      <c r="AV17" s="48"/>
      <c r="AW17" s="10"/>
      <c r="AX17" s="10"/>
    </row>
    <row r="18" spans="1:50" x14ac:dyDescent="0.2">
      <c r="A18" s="45"/>
      <c r="B18" s="35"/>
      <c r="C18" s="32"/>
      <c r="D18" s="31"/>
      <c r="E18" s="32"/>
      <c r="F18" s="31"/>
      <c r="G18" s="32"/>
      <c r="H18" s="31"/>
      <c r="I18" s="33"/>
      <c r="J18" s="34"/>
      <c r="K18" s="33"/>
      <c r="L18" s="34"/>
      <c r="M18" s="33"/>
      <c r="N18" s="34"/>
      <c r="O18" s="33"/>
      <c r="P18" s="34"/>
      <c r="Q18" s="33"/>
      <c r="R18" s="34"/>
      <c r="S18" s="33"/>
      <c r="T18" s="34"/>
      <c r="U18" s="33"/>
      <c r="V18" s="34"/>
      <c r="W18" s="33"/>
      <c r="X18" s="34"/>
      <c r="Y18" s="33"/>
      <c r="Z18" s="34"/>
      <c r="AA18" s="33"/>
      <c r="AB18" s="34"/>
      <c r="AC18" s="32"/>
      <c r="AD18" s="31"/>
      <c r="AE18" s="32"/>
      <c r="AF18" s="34"/>
      <c r="AG18" s="33"/>
      <c r="AH18" s="34"/>
      <c r="AI18" s="33"/>
      <c r="AJ18" s="34"/>
      <c r="AK18" s="33"/>
      <c r="AL18" s="34"/>
      <c r="AM18" s="33"/>
      <c r="AN18" s="34"/>
      <c r="AO18" s="33"/>
      <c r="AP18" s="34"/>
      <c r="AQ18" s="33"/>
      <c r="AR18" s="34"/>
      <c r="AS18" s="33"/>
      <c r="AT18" s="34"/>
      <c r="AU18" s="36"/>
      <c r="AV18" s="48"/>
      <c r="AW18" s="10"/>
      <c r="AX18" s="10"/>
    </row>
    <row r="19" spans="1:50" x14ac:dyDescent="0.2">
      <c r="A19" s="45"/>
      <c r="B19" s="35"/>
      <c r="C19" s="32"/>
      <c r="D19" s="31"/>
      <c r="E19" s="32"/>
      <c r="F19" s="31"/>
      <c r="G19" s="32"/>
      <c r="H19" s="31"/>
      <c r="I19" s="32"/>
      <c r="J19" s="31"/>
      <c r="K19" s="33"/>
      <c r="L19" s="34"/>
      <c r="M19" s="33"/>
      <c r="N19" s="34"/>
      <c r="O19" s="33"/>
      <c r="P19" s="34"/>
      <c r="Q19" s="33"/>
      <c r="R19" s="34"/>
      <c r="S19" s="33"/>
      <c r="T19" s="34"/>
      <c r="U19" s="33"/>
      <c r="V19" s="34"/>
      <c r="W19" s="33"/>
      <c r="X19" s="34"/>
      <c r="Y19" s="33"/>
      <c r="Z19" s="34"/>
      <c r="AA19" s="33"/>
      <c r="AB19" s="34"/>
      <c r="AC19" s="32"/>
      <c r="AD19" s="31"/>
      <c r="AE19" s="32"/>
      <c r="AF19" s="34"/>
      <c r="AG19" s="33"/>
      <c r="AH19" s="34"/>
      <c r="AI19" s="33"/>
      <c r="AJ19" s="34"/>
      <c r="AK19" s="33"/>
      <c r="AL19" s="34"/>
      <c r="AM19" s="33"/>
      <c r="AN19" s="34"/>
      <c r="AO19" s="33"/>
      <c r="AP19" s="34"/>
      <c r="AQ19" s="33"/>
      <c r="AR19" s="34"/>
      <c r="AS19" s="33"/>
      <c r="AT19" s="34"/>
      <c r="AU19" s="36"/>
      <c r="AV19" s="48"/>
      <c r="AW19" s="10"/>
      <c r="AX19" s="10"/>
    </row>
    <row r="20" spans="1:50" x14ac:dyDescent="0.2">
      <c r="A20" s="133"/>
      <c r="B20" s="134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1"/>
      <c r="AV20" s="137"/>
      <c r="AW20" s="137"/>
      <c r="AX20" s="137"/>
    </row>
    <row r="21" spans="1:50" x14ac:dyDescent="0.2">
      <c r="A21" s="133"/>
      <c r="B21" s="134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1"/>
      <c r="AV21" s="137"/>
      <c r="AW21" s="137"/>
      <c r="AX21" s="137"/>
    </row>
    <row r="22" spans="1:50" x14ac:dyDescent="0.2">
      <c r="A22" s="45"/>
      <c r="B22" s="35"/>
      <c r="C22" s="32"/>
      <c r="D22" s="31"/>
      <c r="E22" s="32"/>
      <c r="F22" s="31"/>
      <c r="G22" s="32"/>
      <c r="H22" s="31"/>
      <c r="I22" s="33"/>
      <c r="J22" s="31"/>
      <c r="K22" s="33"/>
      <c r="L22" s="34"/>
      <c r="M22" s="33"/>
      <c r="N22" s="34"/>
      <c r="O22" s="33"/>
      <c r="P22" s="34"/>
      <c r="Q22" s="33"/>
      <c r="R22" s="34"/>
      <c r="S22" s="33"/>
      <c r="T22" s="34"/>
      <c r="U22" s="33"/>
      <c r="V22" s="34"/>
      <c r="W22" s="33"/>
      <c r="X22" s="34"/>
      <c r="Y22" s="33"/>
      <c r="Z22" s="34"/>
      <c r="AA22" s="33"/>
      <c r="AB22" s="34"/>
      <c r="AC22" s="32"/>
      <c r="AD22" s="31"/>
      <c r="AE22" s="32"/>
      <c r="AF22" s="34"/>
      <c r="AG22" s="33"/>
      <c r="AH22" s="34"/>
      <c r="AI22" s="33"/>
      <c r="AJ22" s="34"/>
      <c r="AK22" s="33"/>
      <c r="AL22" s="34"/>
      <c r="AM22" s="33"/>
      <c r="AN22" s="34"/>
      <c r="AO22" s="33"/>
      <c r="AP22" s="34"/>
      <c r="AQ22" s="33"/>
      <c r="AR22" s="34"/>
      <c r="AS22" s="33"/>
      <c r="AT22" s="34"/>
      <c r="AU22" s="36"/>
      <c r="AV22" s="48"/>
      <c r="AW22" s="10"/>
      <c r="AX22" s="10"/>
    </row>
    <row r="23" spans="1:50" x14ac:dyDescent="0.2">
      <c r="A23" s="45"/>
      <c r="B23" s="35"/>
      <c r="C23" s="32"/>
      <c r="D23" s="31"/>
      <c r="E23" s="32"/>
      <c r="F23" s="34"/>
      <c r="G23" s="33"/>
      <c r="H23" s="31"/>
      <c r="I23" s="32"/>
      <c r="J23" s="31"/>
      <c r="K23" s="33"/>
      <c r="L23" s="34"/>
      <c r="M23" s="33"/>
      <c r="N23" s="34"/>
      <c r="O23" s="33"/>
      <c r="P23" s="34"/>
      <c r="Q23" s="33"/>
      <c r="R23" s="34"/>
      <c r="S23" s="33"/>
      <c r="T23" s="34"/>
      <c r="U23" s="33"/>
      <c r="V23" s="34"/>
      <c r="W23" s="33"/>
      <c r="X23" s="34"/>
      <c r="Y23" s="33"/>
      <c r="Z23" s="34"/>
      <c r="AA23" s="33"/>
      <c r="AB23" s="34"/>
      <c r="AC23" s="32"/>
      <c r="AD23" s="31"/>
      <c r="AE23" s="32"/>
      <c r="AF23" s="34"/>
      <c r="AG23" s="33"/>
      <c r="AH23" s="34"/>
      <c r="AI23" s="33"/>
      <c r="AJ23" s="34"/>
      <c r="AK23" s="33"/>
      <c r="AL23" s="34"/>
      <c r="AM23" s="33"/>
      <c r="AN23" s="34"/>
      <c r="AO23" s="33"/>
      <c r="AP23" s="34"/>
      <c r="AQ23" s="33"/>
      <c r="AR23" s="34"/>
      <c r="AS23" s="33"/>
      <c r="AT23" s="34"/>
      <c r="AU23" s="36"/>
      <c r="AV23" s="48"/>
      <c r="AW23" s="10"/>
      <c r="AX23" s="10"/>
    </row>
    <row r="24" spans="1:50" x14ac:dyDescent="0.2">
      <c r="A24" s="45"/>
      <c r="B24" s="35"/>
      <c r="C24" s="32"/>
      <c r="D24" s="31"/>
      <c r="E24" s="32"/>
      <c r="F24" s="34"/>
      <c r="G24" s="33"/>
      <c r="H24" s="31"/>
      <c r="I24" s="32"/>
      <c r="J24" s="31"/>
      <c r="K24" s="32"/>
      <c r="L24" s="34"/>
      <c r="M24" s="33"/>
      <c r="N24" s="31"/>
      <c r="O24" s="33"/>
      <c r="P24" s="34"/>
      <c r="Q24" s="33"/>
      <c r="R24" s="34"/>
      <c r="S24" s="33"/>
      <c r="T24" s="31"/>
      <c r="U24" s="33"/>
      <c r="V24" s="34"/>
      <c r="W24" s="32"/>
      <c r="X24" s="34"/>
      <c r="Y24" s="33"/>
      <c r="Z24" s="31"/>
      <c r="AA24" s="33"/>
      <c r="AB24" s="34"/>
      <c r="AC24" s="32"/>
      <c r="AD24" s="34"/>
      <c r="AE24" s="32"/>
      <c r="AF24" s="31"/>
      <c r="AG24" s="33"/>
      <c r="AH24" s="34"/>
      <c r="AI24" s="32"/>
      <c r="AJ24" s="34"/>
      <c r="AK24" s="33"/>
      <c r="AL24" s="31"/>
      <c r="AM24" s="33"/>
      <c r="AN24" s="34"/>
      <c r="AO24" s="32"/>
      <c r="AP24" s="34"/>
      <c r="AQ24" s="33"/>
      <c r="AR24" s="34"/>
      <c r="AS24" s="33"/>
      <c r="AT24" s="34"/>
      <c r="AU24" s="36"/>
      <c r="AV24" s="48"/>
      <c r="AW24" s="10"/>
      <c r="AX24" s="10"/>
    </row>
    <row r="25" spans="1:50" x14ac:dyDescent="0.2">
      <c r="A25" s="45"/>
      <c r="B25" s="35"/>
      <c r="C25" s="32"/>
      <c r="D25" s="31"/>
      <c r="E25" s="32"/>
      <c r="F25" s="31"/>
      <c r="G25" s="32"/>
      <c r="H25" s="31"/>
      <c r="I25" s="32"/>
      <c r="J25" s="31"/>
      <c r="K25" s="33"/>
      <c r="L25" s="34"/>
      <c r="M25" s="33"/>
      <c r="N25" s="34"/>
      <c r="O25" s="33"/>
      <c r="P25" s="34"/>
      <c r="Q25" s="33"/>
      <c r="R25" s="34"/>
      <c r="S25" s="33"/>
      <c r="T25" s="34"/>
      <c r="U25" s="33"/>
      <c r="V25" s="34"/>
      <c r="W25" s="33"/>
      <c r="X25" s="34"/>
      <c r="Y25" s="33"/>
      <c r="Z25" s="34"/>
      <c r="AA25" s="33"/>
      <c r="AB25" s="34"/>
      <c r="AC25" s="32"/>
      <c r="AD25" s="31"/>
      <c r="AE25" s="32"/>
      <c r="AF25" s="34"/>
      <c r="AG25" s="33"/>
      <c r="AH25" s="34"/>
      <c r="AI25" s="33"/>
      <c r="AJ25" s="34"/>
      <c r="AK25" s="33"/>
      <c r="AL25" s="34"/>
      <c r="AM25" s="33"/>
      <c r="AN25" s="34"/>
      <c r="AO25" s="33"/>
      <c r="AP25" s="34"/>
      <c r="AQ25" s="33"/>
      <c r="AR25" s="34"/>
      <c r="AS25" s="33"/>
      <c r="AT25" s="34"/>
      <c r="AU25" s="36"/>
      <c r="AV25" s="48"/>
      <c r="AW25" s="10"/>
      <c r="AX25" s="10"/>
    </row>
    <row r="26" spans="1:50" x14ac:dyDescent="0.2">
      <c r="A26" s="45"/>
      <c r="B26" s="35"/>
      <c r="C26" s="32"/>
      <c r="D26" s="31"/>
      <c r="E26" s="32"/>
      <c r="F26" s="31"/>
      <c r="G26" s="32"/>
      <c r="H26" s="31"/>
      <c r="I26" s="32"/>
      <c r="J26" s="31"/>
      <c r="K26" s="33"/>
      <c r="L26" s="34"/>
      <c r="M26" s="33"/>
      <c r="N26" s="34"/>
      <c r="O26" s="33"/>
      <c r="P26" s="34"/>
      <c r="Q26" s="33"/>
      <c r="R26" s="34"/>
      <c r="S26" s="33"/>
      <c r="T26" s="34"/>
      <c r="U26" s="33"/>
      <c r="V26" s="34"/>
      <c r="W26" s="33"/>
      <c r="X26" s="34"/>
      <c r="Y26" s="33"/>
      <c r="Z26" s="34"/>
      <c r="AA26" s="33"/>
      <c r="AB26" s="34"/>
      <c r="AC26" s="32"/>
      <c r="AD26" s="34"/>
      <c r="AE26" s="33"/>
      <c r="AF26" s="34"/>
      <c r="AG26" s="33"/>
      <c r="AH26" s="34"/>
      <c r="AI26" s="33"/>
      <c r="AJ26" s="34"/>
      <c r="AK26" s="33"/>
      <c r="AL26" s="34"/>
      <c r="AM26" s="33"/>
      <c r="AN26" s="34"/>
      <c r="AO26" s="32"/>
      <c r="AP26" s="34"/>
      <c r="AQ26" s="33"/>
      <c r="AR26" s="34"/>
      <c r="AS26" s="33"/>
      <c r="AT26" s="34"/>
      <c r="AU26" s="36"/>
      <c r="AV26" s="48"/>
      <c r="AW26" s="10"/>
      <c r="AX26" s="10"/>
    </row>
    <row r="27" spans="1:50" x14ac:dyDescent="0.2">
      <c r="A27" s="45"/>
      <c r="B27" s="35"/>
      <c r="C27" s="32"/>
      <c r="D27" s="31"/>
      <c r="E27" s="32"/>
      <c r="F27" s="34"/>
      <c r="G27" s="32"/>
      <c r="H27" s="31"/>
      <c r="I27" s="32"/>
      <c r="J27" s="31"/>
      <c r="K27" s="33"/>
      <c r="L27" s="34"/>
      <c r="M27" s="33"/>
      <c r="N27" s="34"/>
      <c r="O27" s="33"/>
      <c r="P27" s="34"/>
      <c r="Q27" s="33"/>
      <c r="R27" s="34"/>
      <c r="S27" s="33"/>
      <c r="T27" s="34"/>
      <c r="U27" s="33"/>
      <c r="V27" s="34"/>
      <c r="W27" s="33"/>
      <c r="X27" s="34"/>
      <c r="Y27" s="33"/>
      <c r="Z27" s="31"/>
      <c r="AA27" s="33"/>
      <c r="AB27" s="34"/>
      <c r="AC27" s="32"/>
      <c r="AD27" s="31"/>
      <c r="AE27" s="32"/>
      <c r="AF27" s="34"/>
      <c r="AG27" s="33"/>
      <c r="AH27" s="34"/>
      <c r="AI27" s="33"/>
      <c r="AJ27" s="34"/>
      <c r="AK27" s="33"/>
      <c r="AL27" s="31"/>
      <c r="AM27" s="33"/>
      <c r="AN27" s="34"/>
      <c r="AO27" s="32"/>
      <c r="AP27" s="34"/>
      <c r="AQ27" s="33"/>
      <c r="AR27" s="34"/>
      <c r="AS27" s="33"/>
      <c r="AT27" s="34"/>
      <c r="AU27" s="36"/>
      <c r="AV27" s="48"/>
      <c r="AW27" s="10"/>
      <c r="AX27" s="10"/>
    </row>
    <row r="28" spans="1:50" x14ac:dyDescent="0.2">
      <c r="A28" s="45"/>
      <c r="B28" s="35"/>
      <c r="C28" s="33"/>
      <c r="D28" s="34"/>
      <c r="E28" s="32"/>
      <c r="F28" s="34"/>
      <c r="G28" s="33"/>
      <c r="H28" s="31"/>
      <c r="I28" s="33"/>
      <c r="J28" s="34"/>
      <c r="K28" s="32"/>
      <c r="L28" s="34"/>
      <c r="M28" s="33"/>
      <c r="N28" s="34"/>
      <c r="O28" s="33"/>
      <c r="P28" s="34"/>
      <c r="Q28" s="33"/>
      <c r="R28" s="34"/>
      <c r="S28" s="33"/>
      <c r="T28" s="31"/>
      <c r="U28" s="33"/>
      <c r="V28" s="34"/>
      <c r="W28" s="32"/>
      <c r="X28" s="34"/>
      <c r="Y28" s="33"/>
      <c r="Z28" s="34"/>
      <c r="AA28" s="33"/>
      <c r="AB28" s="34"/>
      <c r="AC28" s="32"/>
      <c r="AD28" s="31"/>
      <c r="AE28" s="32"/>
      <c r="AF28" s="34"/>
      <c r="AG28" s="33"/>
      <c r="AH28" s="34"/>
      <c r="AI28" s="33"/>
      <c r="AJ28" s="34"/>
      <c r="AK28" s="33"/>
      <c r="AL28" s="31"/>
      <c r="AM28" s="33"/>
      <c r="AN28" s="34"/>
      <c r="AO28" s="32"/>
      <c r="AP28" s="34"/>
      <c r="AQ28" s="33"/>
      <c r="AR28" s="34"/>
      <c r="AS28" s="33"/>
      <c r="AT28" s="34"/>
      <c r="AU28" s="36"/>
      <c r="AV28" s="48"/>
      <c r="AW28" s="10"/>
      <c r="AX28" s="10"/>
    </row>
    <row r="29" spans="1:50" ht="22.2" customHeight="1" x14ac:dyDescent="0.2">
      <c r="A29" s="21"/>
      <c r="B29" s="1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20"/>
      <c r="AV29" s="17"/>
      <c r="AW29" s="10"/>
      <c r="AX29" s="10"/>
    </row>
    <row r="30" spans="1:50" x14ac:dyDescent="0.2">
      <c r="A30" s="45"/>
      <c r="B30" s="35"/>
      <c r="C30" s="32"/>
      <c r="D30" s="31"/>
      <c r="E30" s="32"/>
      <c r="F30" s="31"/>
      <c r="G30" s="32"/>
      <c r="H30" s="31"/>
      <c r="I30" s="32"/>
      <c r="J30" s="31"/>
      <c r="K30" s="33"/>
      <c r="L30" s="34"/>
      <c r="M30" s="33"/>
      <c r="N30" s="34"/>
      <c r="O30" s="33"/>
      <c r="P30" s="34"/>
      <c r="Q30" s="33"/>
      <c r="R30" s="34"/>
      <c r="S30" s="33"/>
      <c r="T30" s="34"/>
      <c r="U30" s="33"/>
      <c r="V30" s="34"/>
      <c r="W30" s="33"/>
      <c r="X30" s="34"/>
      <c r="Y30" s="33"/>
      <c r="Z30" s="34"/>
      <c r="AA30" s="33"/>
      <c r="AB30" s="34"/>
      <c r="AC30" s="32"/>
      <c r="AD30" s="31"/>
      <c r="AE30" s="32"/>
      <c r="AF30" s="34"/>
      <c r="AG30" s="33"/>
      <c r="AH30" s="34"/>
      <c r="AI30" s="33"/>
      <c r="AJ30" s="34"/>
      <c r="AK30" s="33"/>
      <c r="AL30" s="34"/>
      <c r="AM30" s="33"/>
      <c r="AN30" s="34"/>
      <c r="AO30" s="33"/>
      <c r="AP30" s="34"/>
      <c r="AQ30" s="33"/>
      <c r="AR30" s="34"/>
      <c r="AS30" s="33"/>
      <c r="AT30" s="34"/>
      <c r="AU30" s="36"/>
      <c r="AV30" s="48"/>
      <c r="AW30" s="10"/>
      <c r="AX30" s="10"/>
    </row>
    <row r="31" spans="1:50" x14ac:dyDescent="0.2">
      <c r="A31" s="45"/>
      <c r="B31" s="35"/>
      <c r="C31" s="32"/>
      <c r="D31" s="31"/>
      <c r="E31" s="32"/>
      <c r="F31" s="31"/>
      <c r="G31" s="32"/>
      <c r="H31" s="31"/>
      <c r="I31" s="32"/>
      <c r="J31" s="31"/>
      <c r="K31" s="33"/>
      <c r="L31" s="34"/>
      <c r="M31" s="33"/>
      <c r="N31" s="34"/>
      <c r="O31" s="33"/>
      <c r="P31" s="34"/>
      <c r="Q31" s="33"/>
      <c r="R31" s="34"/>
      <c r="S31" s="33"/>
      <c r="T31" s="34"/>
      <c r="U31" s="33"/>
      <c r="V31" s="34"/>
      <c r="W31" s="33"/>
      <c r="X31" s="34"/>
      <c r="Y31" s="33"/>
      <c r="Z31" s="31"/>
      <c r="AA31" s="32"/>
      <c r="AB31" s="34"/>
      <c r="AC31" s="32"/>
      <c r="AD31" s="31"/>
      <c r="AE31" s="32"/>
      <c r="AF31" s="34"/>
      <c r="AG31" s="33"/>
      <c r="AH31" s="34"/>
      <c r="AI31" s="33"/>
      <c r="AJ31" s="34"/>
      <c r="AK31" s="33"/>
      <c r="AL31" s="31"/>
      <c r="AM31" s="33"/>
      <c r="AN31" s="34"/>
      <c r="AO31" s="32"/>
      <c r="AP31" s="34"/>
      <c r="AQ31" s="32"/>
      <c r="AR31" s="34"/>
      <c r="AS31" s="33"/>
      <c r="AT31" s="31"/>
      <c r="AU31" s="37"/>
      <c r="AV31" s="48"/>
      <c r="AW31" s="10"/>
      <c r="AX31" s="10"/>
    </row>
    <row r="32" spans="1:50" x14ac:dyDescent="0.2">
      <c r="A32" s="45"/>
      <c r="B32" s="35"/>
      <c r="C32" s="32"/>
      <c r="D32" s="31"/>
      <c r="E32" s="32"/>
      <c r="F32" s="31"/>
      <c r="G32" s="32"/>
      <c r="H32" s="31"/>
      <c r="I32" s="32"/>
      <c r="J32" s="31"/>
      <c r="K32" s="33"/>
      <c r="L32" s="34"/>
      <c r="M32" s="33"/>
      <c r="N32" s="34"/>
      <c r="O32" s="33"/>
      <c r="P32" s="34"/>
      <c r="Q32" s="33"/>
      <c r="R32" s="34"/>
      <c r="S32" s="33"/>
      <c r="T32" s="31"/>
      <c r="U32" s="33"/>
      <c r="V32" s="34"/>
      <c r="W32" s="33"/>
      <c r="X32" s="34"/>
      <c r="Y32" s="33"/>
      <c r="Z32" s="31"/>
      <c r="AA32" s="32"/>
      <c r="AB32" s="34"/>
      <c r="AC32" s="32"/>
      <c r="AD32" s="31"/>
      <c r="AE32" s="33"/>
      <c r="AF32" s="34"/>
      <c r="AG32" s="33"/>
      <c r="AH32" s="34"/>
      <c r="AI32" s="33"/>
      <c r="AJ32" s="34"/>
      <c r="AK32" s="33"/>
      <c r="AL32" s="34"/>
      <c r="AM32" s="33"/>
      <c r="AN32" s="34"/>
      <c r="AO32" s="33"/>
      <c r="AP32" s="34"/>
      <c r="AQ32" s="33"/>
      <c r="AR32" s="34"/>
      <c r="AS32" s="33"/>
      <c r="AT32" s="31"/>
      <c r="AU32" s="37"/>
      <c r="AV32" s="48"/>
      <c r="AW32" s="10"/>
      <c r="AX32" s="10"/>
    </row>
    <row r="33" spans="1:50" x14ac:dyDescent="0.2">
      <c r="A33" s="45"/>
      <c r="B33" s="35"/>
      <c r="C33" s="32"/>
      <c r="D33" s="31"/>
      <c r="E33" s="32"/>
      <c r="F33" s="31"/>
      <c r="G33" s="32"/>
      <c r="H33" s="31"/>
      <c r="I33" s="32"/>
      <c r="J33" s="31"/>
      <c r="K33" s="33"/>
      <c r="L33" s="34"/>
      <c r="M33" s="33"/>
      <c r="N33" s="34"/>
      <c r="O33" s="33"/>
      <c r="P33" s="34"/>
      <c r="Q33" s="33"/>
      <c r="R33" s="34"/>
      <c r="S33" s="33"/>
      <c r="T33" s="34"/>
      <c r="U33" s="33"/>
      <c r="V33" s="34"/>
      <c r="W33" s="33"/>
      <c r="X33" s="34"/>
      <c r="Y33" s="33"/>
      <c r="Z33" s="31"/>
      <c r="AA33" s="33"/>
      <c r="AB33" s="34"/>
      <c r="AC33" s="32"/>
      <c r="AD33" s="31"/>
      <c r="AE33" s="32"/>
      <c r="AF33" s="34"/>
      <c r="AG33" s="33"/>
      <c r="AH33" s="34"/>
      <c r="AI33" s="33"/>
      <c r="AJ33" s="34"/>
      <c r="AK33" s="33"/>
      <c r="AL33" s="34"/>
      <c r="AM33" s="33"/>
      <c r="AN33" s="34"/>
      <c r="AO33" s="32"/>
      <c r="AP33" s="34"/>
      <c r="AQ33" s="33"/>
      <c r="AR33" s="34"/>
      <c r="AS33" s="33"/>
      <c r="AT33" s="31"/>
      <c r="AU33" s="37"/>
      <c r="AV33" s="48"/>
      <c r="AW33" s="10"/>
      <c r="AX33" s="10"/>
    </row>
    <row r="34" spans="1:50" x14ac:dyDescent="0.2">
      <c r="A34" s="133"/>
      <c r="B34" s="134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2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1"/>
      <c r="AV34" s="129"/>
      <c r="AW34" s="129"/>
      <c r="AX34" s="129"/>
    </row>
    <row r="35" spans="1:50" x14ac:dyDescent="0.2">
      <c r="A35" s="133"/>
      <c r="B35" s="134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2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1"/>
      <c r="AV35" s="129"/>
      <c r="AW35" s="129"/>
      <c r="AX35" s="129"/>
    </row>
    <row r="36" spans="1:50" x14ac:dyDescent="0.2">
      <c r="A36" s="45"/>
      <c r="B36" s="38"/>
      <c r="C36" s="33"/>
      <c r="D36" s="34"/>
      <c r="E36" s="32"/>
      <c r="F36" s="31"/>
      <c r="G36" s="32"/>
      <c r="H36" s="31"/>
      <c r="I36" s="32"/>
      <c r="J36" s="31"/>
      <c r="K36" s="33"/>
      <c r="L36" s="34"/>
      <c r="M36" s="33"/>
      <c r="N36" s="34"/>
      <c r="O36" s="33"/>
      <c r="P36" s="34"/>
      <c r="Q36" s="33"/>
      <c r="R36" s="34"/>
      <c r="S36" s="33"/>
      <c r="T36" s="34"/>
      <c r="U36" s="33"/>
      <c r="V36" s="34"/>
      <c r="W36" s="33"/>
      <c r="X36" s="34"/>
      <c r="Y36" s="33"/>
      <c r="Z36" s="31"/>
      <c r="AA36" s="32"/>
      <c r="AB36" s="34"/>
      <c r="AC36" s="32"/>
      <c r="AD36" s="31"/>
      <c r="AE36" s="33"/>
      <c r="AF36" s="34"/>
      <c r="AG36" s="33"/>
      <c r="AH36" s="34"/>
      <c r="AI36" s="33"/>
      <c r="AJ36" s="34"/>
      <c r="AK36" s="33"/>
      <c r="AL36" s="34"/>
      <c r="AM36" s="33"/>
      <c r="AN36" s="34"/>
      <c r="AO36" s="33"/>
      <c r="AP36" s="34"/>
      <c r="AQ36" s="33"/>
      <c r="AR36" s="34"/>
      <c r="AS36" s="33"/>
      <c r="AT36" s="34"/>
      <c r="AU36" s="36"/>
      <c r="AV36" s="48"/>
      <c r="AW36" s="10"/>
      <c r="AX36" s="10"/>
    </row>
    <row r="37" spans="1:50" x14ac:dyDescent="0.2">
      <c r="A37" s="45"/>
      <c r="B37" s="38"/>
      <c r="C37" s="33"/>
      <c r="D37" s="34"/>
      <c r="E37" s="33"/>
      <c r="F37" s="34"/>
      <c r="G37" s="33"/>
      <c r="H37" s="34"/>
      <c r="I37" s="33"/>
      <c r="J37" s="34"/>
      <c r="K37" s="33"/>
      <c r="L37" s="34"/>
      <c r="M37" s="33"/>
      <c r="N37" s="34"/>
      <c r="O37" s="33"/>
      <c r="P37" s="34"/>
      <c r="Q37" s="33"/>
      <c r="R37" s="34"/>
      <c r="S37" s="33"/>
      <c r="T37" s="34"/>
      <c r="U37" s="33"/>
      <c r="V37" s="34"/>
      <c r="W37" s="33"/>
      <c r="X37" s="34"/>
      <c r="Y37" s="33"/>
      <c r="Z37" s="34"/>
      <c r="AA37" s="33"/>
      <c r="AB37" s="34"/>
      <c r="AC37" s="32"/>
      <c r="AD37" s="31"/>
      <c r="AE37" s="33"/>
      <c r="AF37" s="34"/>
      <c r="AG37" s="33"/>
      <c r="AH37" s="34"/>
      <c r="AI37" s="33"/>
      <c r="AJ37" s="34"/>
      <c r="AK37" s="33"/>
      <c r="AL37" s="34"/>
      <c r="AM37" s="33"/>
      <c r="AN37" s="34"/>
      <c r="AO37" s="33"/>
      <c r="AP37" s="34"/>
      <c r="AQ37" s="33"/>
      <c r="AR37" s="34"/>
      <c r="AS37" s="33"/>
      <c r="AT37" s="34"/>
      <c r="AU37" s="36"/>
      <c r="AV37" s="48"/>
      <c r="AW37" s="10"/>
      <c r="AX37" s="10"/>
    </row>
    <row r="38" spans="1:50" x14ac:dyDescent="0.2">
      <c r="A38" s="45"/>
      <c r="B38" s="38"/>
      <c r="C38" s="33"/>
      <c r="D38" s="34"/>
      <c r="E38" s="33"/>
      <c r="F38" s="34"/>
      <c r="G38" s="33"/>
      <c r="H38" s="34"/>
      <c r="I38" s="33"/>
      <c r="J38" s="34"/>
      <c r="K38" s="33"/>
      <c r="L38" s="34"/>
      <c r="M38" s="33"/>
      <c r="N38" s="34"/>
      <c r="O38" s="33"/>
      <c r="P38" s="34"/>
      <c r="Q38" s="33"/>
      <c r="R38" s="34"/>
      <c r="S38" s="33"/>
      <c r="T38" s="34"/>
      <c r="U38" s="33"/>
      <c r="V38" s="34"/>
      <c r="W38" s="33"/>
      <c r="X38" s="34"/>
      <c r="Y38" s="33"/>
      <c r="Z38" s="34"/>
      <c r="AA38" s="33"/>
      <c r="AB38" s="34"/>
      <c r="AC38" s="32"/>
      <c r="AD38" s="31"/>
      <c r="AE38" s="33"/>
      <c r="AF38" s="34"/>
      <c r="AG38" s="33"/>
      <c r="AH38" s="34"/>
      <c r="AI38" s="33"/>
      <c r="AJ38" s="34"/>
      <c r="AK38" s="33"/>
      <c r="AL38" s="34"/>
      <c r="AM38" s="33"/>
      <c r="AN38" s="34"/>
      <c r="AO38" s="32"/>
      <c r="AP38" s="34"/>
      <c r="AQ38" s="33"/>
      <c r="AR38" s="34"/>
      <c r="AS38" s="33"/>
      <c r="AT38" s="34"/>
      <c r="AU38" s="36"/>
      <c r="AV38" s="48"/>
      <c r="AW38" s="10"/>
      <c r="AX38" s="10"/>
    </row>
    <row r="39" spans="1:50" x14ac:dyDescent="0.2">
      <c r="A39" s="45"/>
      <c r="B39" s="38"/>
      <c r="C39" s="33"/>
      <c r="D39" s="34"/>
      <c r="E39" s="33"/>
      <c r="F39" s="34"/>
      <c r="G39" s="33"/>
      <c r="H39" s="34"/>
      <c r="I39" s="33"/>
      <c r="J39" s="34"/>
      <c r="K39" s="33"/>
      <c r="L39" s="34"/>
      <c r="M39" s="33"/>
      <c r="N39" s="34"/>
      <c r="O39" s="33"/>
      <c r="P39" s="34"/>
      <c r="Q39" s="33"/>
      <c r="R39" s="34"/>
      <c r="S39" s="33"/>
      <c r="T39" s="34"/>
      <c r="U39" s="33"/>
      <c r="V39" s="34"/>
      <c r="W39" s="33"/>
      <c r="X39" s="34"/>
      <c r="Y39" s="33"/>
      <c r="Z39" s="34"/>
      <c r="AA39" s="33"/>
      <c r="AB39" s="34"/>
      <c r="AC39" s="33"/>
      <c r="AD39" s="34"/>
      <c r="AE39" s="33"/>
      <c r="AF39" s="34"/>
      <c r="AG39" s="33"/>
      <c r="AH39" s="34"/>
      <c r="AI39" s="33"/>
      <c r="AJ39" s="34"/>
      <c r="AK39" s="33"/>
      <c r="AL39" s="31"/>
      <c r="AM39" s="32"/>
      <c r="AN39" s="31"/>
      <c r="AO39" s="32"/>
      <c r="AP39" s="31"/>
      <c r="AQ39" s="32"/>
      <c r="AR39" s="34"/>
      <c r="AS39" s="33"/>
      <c r="AT39" s="34"/>
      <c r="AU39" s="36"/>
      <c r="AV39" s="48"/>
      <c r="AW39" s="10"/>
      <c r="AX39" s="10"/>
    </row>
    <row r="40" spans="1:50" x14ac:dyDescent="0.2">
      <c r="A40" s="133"/>
      <c r="B40" s="134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2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1"/>
      <c r="AV40" s="129"/>
      <c r="AW40" s="129"/>
      <c r="AX40" s="129"/>
    </row>
    <row r="41" spans="1:50" x14ac:dyDescent="0.2">
      <c r="A41" s="133"/>
      <c r="B41" s="134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2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1"/>
      <c r="AV41" s="129"/>
      <c r="AW41" s="129"/>
      <c r="AX41" s="129"/>
    </row>
    <row r="42" spans="1:50" x14ac:dyDescent="0.2">
      <c r="A42" s="45"/>
      <c r="B42" s="35"/>
      <c r="C42" s="32"/>
      <c r="D42" s="34"/>
      <c r="E42" s="32"/>
      <c r="F42" s="31"/>
      <c r="G42" s="33"/>
      <c r="H42" s="31"/>
      <c r="I42" s="32"/>
      <c r="J42" s="34"/>
      <c r="K42" s="33"/>
      <c r="L42" s="34"/>
      <c r="M42" s="33"/>
      <c r="N42" s="34"/>
      <c r="O42" s="33"/>
      <c r="P42" s="34"/>
      <c r="Q42" s="33"/>
      <c r="R42" s="34"/>
      <c r="S42" s="33"/>
      <c r="T42" s="34"/>
      <c r="U42" s="33"/>
      <c r="V42" s="34"/>
      <c r="W42" s="33"/>
      <c r="X42" s="34"/>
      <c r="Y42" s="33"/>
      <c r="Z42" s="34"/>
      <c r="AA42" s="33"/>
      <c r="AB42" s="34"/>
      <c r="AC42" s="33"/>
      <c r="AD42" s="34"/>
      <c r="AE42" s="33"/>
      <c r="AF42" s="34"/>
      <c r="AG42" s="33"/>
      <c r="AH42" s="34"/>
      <c r="AI42" s="33"/>
      <c r="AJ42" s="34"/>
      <c r="AK42" s="33"/>
      <c r="AL42" s="34"/>
      <c r="AM42" s="33"/>
      <c r="AN42" s="34"/>
      <c r="AO42" s="33"/>
      <c r="AP42" s="34"/>
      <c r="AQ42" s="33"/>
      <c r="AR42" s="34"/>
      <c r="AS42" s="33"/>
      <c r="AT42" s="34"/>
      <c r="AU42" s="36"/>
      <c r="AV42" s="48"/>
      <c r="AW42" s="10"/>
      <c r="AX42" s="10"/>
    </row>
    <row r="43" spans="1:50" x14ac:dyDescent="0.2">
      <c r="A43" s="45"/>
      <c r="B43" s="35"/>
      <c r="C43" s="32"/>
      <c r="D43" s="31"/>
      <c r="E43" s="32"/>
      <c r="F43" s="31"/>
      <c r="G43" s="32"/>
      <c r="H43" s="31"/>
      <c r="I43" s="32"/>
      <c r="J43" s="31"/>
      <c r="K43" s="33"/>
      <c r="L43" s="34"/>
      <c r="M43" s="33"/>
      <c r="N43" s="34"/>
      <c r="O43" s="33"/>
      <c r="P43" s="34"/>
      <c r="Q43" s="33"/>
      <c r="R43" s="34"/>
      <c r="S43" s="33"/>
      <c r="T43" s="34"/>
      <c r="U43" s="33"/>
      <c r="V43" s="34"/>
      <c r="W43" s="33"/>
      <c r="X43" s="34"/>
      <c r="Y43" s="33"/>
      <c r="Z43" s="34"/>
      <c r="AA43" s="33"/>
      <c r="AB43" s="34"/>
      <c r="AC43" s="32"/>
      <c r="AD43" s="34"/>
      <c r="AE43" s="32"/>
      <c r="AF43" s="34"/>
      <c r="AG43" s="33"/>
      <c r="AH43" s="34"/>
      <c r="AI43" s="33"/>
      <c r="AJ43" s="34"/>
      <c r="AK43" s="33"/>
      <c r="AL43" s="34"/>
      <c r="AM43" s="33"/>
      <c r="AN43" s="34"/>
      <c r="AO43" s="32"/>
      <c r="AP43" s="34"/>
      <c r="AQ43" s="33"/>
      <c r="AR43" s="34"/>
      <c r="AS43" s="33"/>
      <c r="AT43" s="34"/>
      <c r="AU43" s="36"/>
      <c r="AV43" s="48"/>
      <c r="AW43" s="10"/>
      <c r="AX43" s="10"/>
    </row>
    <row r="44" spans="1:50" x14ac:dyDescent="0.2">
      <c r="A44" s="45"/>
      <c r="B44" s="38"/>
      <c r="C44" s="33"/>
      <c r="D44" s="34"/>
      <c r="E44" s="33"/>
      <c r="F44" s="34"/>
      <c r="G44" s="33"/>
      <c r="H44" s="34"/>
      <c r="I44" s="33"/>
      <c r="J44" s="34"/>
      <c r="K44" s="33"/>
      <c r="L44" s="34"/>
      <c r="M44" s="33"/>
      <c r="N44" s="34"/>
      <c r="O44" s="33"/>
      <c r="P44" s="34"/>
      <c r="Q44" s="33"/>
      <c r="R44" s="34"/>
      <c r="S44" s="33"/>
      <c r="T44" s="34"/>
      <c r="U44" s="33"/>
      <c r="V44" s="34"/>
      <c r="W44" s="33"/>
      <c r="X44" s="34"/>
      <c r="Y44" s="33"/>
      <c r="Z44" s="34"/>
      <c r="AA44" s="33"/>
      <c r="AB44" s="34"/>
      <c r="AC44" s="32"/>
      <c r="AD44" s="31"/>
      <c r="AE44" s="32"/>
      <c r="AF44" s="34"/>
      <c r="AG44" s="33"/>
      <c r="AH44" s="34"/>
      <c r="AI44" s="33"/>
      <c r="AJ44" s="34"/>
      <c r="AK44" s="33"/>
      <c r="AL44" s="34"/>
      <c r="AM44" s="33"/>
      <c r="AN44" s="34"/>
      <c r="AO44" s="32"/>
      <c r="AP44" s="34"/>
      <c r="AQ44" s="33"/>
      <c r="AR44" s="34"/>
      <c r="AS44" s="33"/>
      <c r="AT44" s="34"/>
      <c r="AU44" s="36"/>
      <c r="AV44" s="48"/>
      <c r="AW44" s="10"/>
      <c r="AX44" s="10"/>
    </row>
    <row r="45" spans="1:50" x14ac:dyDescent="0.2">
      <c r="A45" s="45"/>
      <c r="B45" s="38"/>
      <c r="C45" s="33"/>
      <c r="D45" s="34"/>
      <c r="E45" s="33"/>
      <c r="F45" s="34"/>
      <c r="G45" s="33"/>
      <c r="H45" s="31"/>
      <c r="I45" s="32"/>
      <c r="J45" s="34"/>
      <c r="K45" s="32"/>
      <c r="L45" s="34"/>
      <c r="M45" s="33"/>
      <c r="N45" s="34"/>
      <c r="O45" s="33"/>
      <c r="P45" s="34"/>
      <c r="Q45" s="33"/>
      <c r="R45" s="34"/>
      <c r="S45" s="33"/>
      <c r="T45" s="34"/>
      <c r="U45" s="33"/>
      <c r="V45" s="34"/>
      <c r="W45" s="33"/>
      <c r="X45" s="34"/>
      <c r="Y45" s="33"/>
      <c r="Z45" s="34"/>
      <c r="AA45" s="33"/>
      <c r="AB45" s="34"/>
      <c r="AC45" s="32"/>
      <c r="AD45" s="31"/>
      <c r="AE45" s="32"/>
      <c r="AF45" s="34"/>
      <c r="AG45" s="33"/>
      <c r="AH45" s="34"/>
      <c r="AI45" s="33"/>
      <c r="AJ45" s="34"/>
      <c r="AK45" s="33"/>
      <c r="AL45" s="31"/>
      <c r="AM45" s="32"/>
      <c r="AN45" s="31"/>
      <c r="AO45" s="32"/>
      <c r="AP45" s="31"/>
      <c r="AQ45" s="32"/>
      <c r="AR45" s="34"/>
      <c r="AS45" s="33"/>
      <c r="AT45" s="34"/>
      <c r="AU45" s="36"/>
      <c r="AV45" s="48"/>
      <c r="AW45" s="10"/>
      <c r="AX45" s="10"/>
    </row>
    <row r="46" spans="1:50" x14ac:dyDescent="0.2">
      <c r="A46" s="45"/>
      <c r="B46" s="35"/>
      <c r="C46" s="32"/>
      <c r="D46" s="34"/>
      <c r="E46" s="32"/>
      <c r="F46" s="31"/>
      <c r="G46" s="33"/>
      <c r="H46" s="31"/>
      <c r="I46" s="32"/>
      <c r="J46" s="31"/>
      <c r="K46" s="33"/>
      <c r="L46" s="34"/>
      <c r="M46" s="33"/>
      <c r="N46" s="34"/>
      <c r="O46" s="33"/>
      <c r="P46" s="34"/>
      <c r="Q46" s="33"/>
      <c r="R46" s="34"/>
      <c r="S46" s="33"/>
      <c r="T46" s="34"/>
      <c r="U46" s="33"/>
      <c r="V46" s="34"/>
      <c r="W46" s="33"/>
      <c r="X46" s="34"/>
      <c r="Y46" s="33"/>
      <c r="Z46" s="34"/>
      <c r="AA46" s="33"/>
      <c r="AB46" s="34"/>
      <c r="AC46" s="32"/>
      <c r="AD46" s="31"/>
      <c r="AE46" s="32"/>
      <c r="AF46" s="34"/>
      <c r="AG46" s="33"/>
      <c r="AH46" s="34"/>
      <c r="AI46" s="33"/>
      <c r="AJ46" s="34"/>
      <c r="AK46" s="33"/>
      <c r="AL46" s="34"/>
      <c r="AM46" s="33"/>
      <c r="AN46" s="34"/>
      <c r="AO46" s="33"/>
      <c r="AP46" s="34"/>
      <c r="AQ46" s="33"/>
      <c r="AR46" s="34"/>
      <c r="AS46" s="33"/>
      <c r="AT46" s="34"/>
      <c r="AU46" s="36"/>
      <c r="AV46" s="48"/>
      <c r="AW46" s="10"/>
      <c r="AX46" s="10"/>
    </row>
    <row r="47" spans="1:50" x14ac:dyDescent="0.2">
      <c r="A47" s="133"/>
      <c r="B47" s="134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2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1"/>
      <c r="AV47" s="129"/>
      <c r="AW47" s="129"/>
      <c r="AX47" s="129"/>
    </row>
    <row r="48" spans="1:50" x14ac:dyDescent="0.2">
      <c r="A48" s="133"/>
      <c r="B48" s="134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2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1"/>
      <c r="AV48" s="129"/>
      <c r="AW48" s="129"/>
      <c r="AX48" s="129"/>
    </row>
    <row r="49" spans="1:50" x14ac:dyDescent="0.2">
      <c r="A49" s="45"/>
      <c r="B49" s="38"/>
      <c r="C49" s="33"/>
      <c r="D49" s="34"/>
      <c r="E49" s="33"/>
      <c r="F49" s="34"/>
      <c r="G49" s="33"/>
      <c r="H49" s="34"/>
      <c r="I49" s="33"/>
      <c r="J49" s="34"/>
      <c r="K49" s="33"/>
      <c r="L49" s="34"/>
      <c r="M49" s="33"/>
      <c r="N49" s="34"/>
      <c r="O49" s="33"/>
      <c r="P49" s="34"/>
      <c r="Q49" s="33"/>
      <c r="R49" s="34"/>
      <c r="S49" s="33"/>
      <c r="T49" s="34"/>
      <c r="U49" s="33"/>
      <c r="V49" s="34"/>
      <c r="W49" s="33"/>
      <c r="X49" s="34"/>
      <c r="Y49" s="33"/>
      <c r="Z49" s="34"/>
      <c r="AA49" s="33"/>
      <c r="AB49" s="34"/>
      <c r="AC49" s="32"/>
      <c r="AD49" s="31"/>
      <c r="AE49" s="33"/>
      <c r="AF49" s="34"/>
      <c r="AG49" s="33"/>
      <c r="AH49" s="34"/>
      <c r="AI49" s="33"/>
      <c r="AJ49" s="34"/>
      <c r="AK49" s="33"/>
      <c r="AL49" s="34"/>
      <c r="AM49" s="33"/>
      <c r="AN49" s="34"/>
      <c r="AO49" s="33"/>
      <c r="AP49" s="34"/>
      <c r="AQ49" s="33"/>
      <c r="AR49" s="34"/>
      <c r="AS49" s="33"/>
      <c r="AT49" s="34"/>
      <c r="AU49" s="36"/>
      <c r="AV49" s="48"/>
      <c r="AW49" s="10"/>
      <c r="AX49" s="10"/>
    </row>
    <row r="50" spans="1:50" x14ac:dyDescent="0.2">
      <c r="A50" s="45"/>
      <c r="B50" s="38"/>
      <c r="C50" s="33"/>
      <c r="D50" s="34"/>
      <c r="E50" s="33"/>
      <c r="F50" s="34"/>
      <c r="G50" s="33"/>
      <c r="H50" s="34"/>
      <c r="I50" s="33"/>
      <c r="J50" s="34"/>
      <c r="K50" s="33"/>
      <c r="L50" s="34"/>
      <c r="M50" s="33"/>
      <c r="N50" s="34"/>
      <c r="O50" s="33"/>
      <c r="P50" s="34"/>
      <c r="Q50" s="33"/>
      <c r="R50" s="34"/>
      <c r="S50" s="33"/>
      <c r="T50" s="34"/>
      <c r="U50" s="33"/>
      <c r="V50" s="34"/>
      <c r="W50" s="33"/>
      <c r="X50" s="34"/>
      <c r="Y50" s="33"/>
      <c r="Z50" s="34"/>
      <c r="AA50" s="33"/>
      <c r="AB50" s="34"/>
      <c r="AC50" s="32"/>
      <c r="AD50" s="34"/>
      <c r="AE50" s="33"/>
      <c r="AF50" s="34"/>
      <c r="AG50" s="33"/>
      <c r="AH50" s="34"/>
      <c r="AI50" s="33"/>
      <c r="AJ50" s="34"/>
      <c r="AK50" s="33"/>
      <c r="AL50" s="31"/>
      <c r="AM50" s="32"/>
      <c r="AN50" s="31"/>
      <c r="AO50" s="32"/>
      <c r="AP50" s="34"/>
      <c r="AQ50" s="33"/>
      <c r="AR50" s="34"/>
      <c r="AS50" s="33"/>
      <c r="AT50" s="34"/>
      <c r="AU50" s="36"/>
      <c r="AV50" s="48"/>
      <c r="AW50" s="10"/>
      <c r="AX50" s="10"/>
    </row>
    <row r="51" spans="1:50" x14ac:dyDescent="0.2">
      <c r="A51" s="45"/>
      <c r="B51" s="38"/>
      <c r="C51" s="33"/>
      <c r="D51" s="34"/>
      <c r="E51" s="33"/>
      <c r="F51" s="34"/>
      <c r="G51" s="33"/>
      <c r="H51" s="34"/>
      <c r="I51" s="33"/>
      <c r="J51" s="34"/>
      <c r="K51" s="33"/>
      <c r="L51" s="34"/>
      <c r="M51" s="33"/>
      <c r="N51" s="34"/>
      <c r="O51" s="33"/>
      <c r="P51" s="34"/>
      <c r="Q51" s="33"/>
      <c r="R51" s="34"/>
      <c r="S51" s="33"/>
      <c r="T51" s="34"/>
      <c r="U51" s="33"/>
      <c r="V51" s="34"/>
      <c r="W51" s="33"/>
      <c r="X51" s="34"/>
      <c r="Y51" s="33"/>
      <c r="Z51" s="34"/>
      <c r="AA51" s="33"/>
      <c r="AB51" s="34"/>
      <c r="AC51" s="33"/>
      <c r="AD51" s="34"/>
      <c r="AE51" s="33"/>
      <c r="AF51" s="34"/>
      <c r="AG51" s="33"/>
      <c r="AH51" s="34"/>
      <c r="AI51" s="33"/>
      <c r="AJ51" s="34"/>
      <c r="AK51" s="33"/>
      <c r="AL51" s="34"/>
      <c r="AM51" s="33"/>
      <c r="AN51" s="34"/>
      <c r="AO51" s="32"/>
      <c r="AP51" s="34"/>
      <c r="AQ51" s="33"/>
      <c r="AR51" s="34"/>
      <c r="AS51" s="33"/>
      <c r="AT51" s="34"/>
      <c r="AU51" s="36"/>
      <c r="AV51" s="48"/>
      <c r="AW51" s="10"/>
      <c r="AX51" s="10"/>
    </row>
    <row r="52" spans="1:50" x14ac:dyDescent="0.2">
      <c r="A52" s="45"/>
      <c r="B52" s="35"/>
      <c r="C52" s="32"/>
      <c r="D52" s="34"/>
      <c r="E52" s="32"/>
      <c r="F52" s="31"/>
      <c r="G52" s="33"/>
      <c r="H52" s="31"/>
      <c r="I52" s="32"/>
      <c r="J52" s="31"/>
      <c r="K52" s="33"/>
      <c r="L52" s="34"/>
      <c r="M52" s="33"/>
      <c r="N52" s="34"/>
      <c r="O52" s="33"/>
      <c r="P52" s="34"/>
      <c r="Q52" s="33"/>
      <c r="R52" s="34"/>
      <c r="S52" s="33"/>
      <c r="T52" s="31"/>
      <c r="U52" s="32"/>
      <c r="V52" s="34"/>
      <c r="W52" s="33"/>
      <c r="X52" s="34"/>
      <c r="Y52" s="33"/>
      <c r="Z52" s="31"/>
      <c r="AA52" s="32"/>
      <c r="AB52" s="34"/>
      <c r="AC52" s="32"/>
      <c r="AD52" s="31"/>
      <c r="AE52" s="32"/>
      <c r="AF52" s="34"/>
      <c r="AG52" s="33"/>
      <c r="AH52" s="34"/>
      <c r="AI52" s="33"/>
      <c r="AJ52" s="34"/>
      <c r="AK52" s="33"/>
      <c r="AL52" s="34"/>
      <c r="AM52" s="33"/>
      <c r="AN52" s="34"/>
      <c r="AO52" s="32"/>
      <c r="AP52" s="34"/>
      <c r="AQ52" s="33"/>
      <c r="AR52" s="34"/>
      <c r="AS52" s="33"/>
      <c r="AT52" s="34"/>
      <c r="AU52" s="36"/>
      <c r="AV52" s="48"/>
      <c r="AW52" s="10"/>
      <c r="AX52" s="10"/>
    </row>
    <row r="53" spans="1:50" x14ac:dyDescent="0.2">
      <c r="A53" s="45"/>
      <c r="B53" s="38"/>
      <c r="C53" s="33"/>
      <c r="D53" s="34"/>
      <c r="E53" s="33"/>
      <c r="F53" s="34"/>
      <c r="G53" s="33"/>
      <c r="H53" s="34"/>
      <c r="I53" s="33"/>
      <c r="J53" s="34"/>
      <c r="K53" s="33"/>
      <c r="L53" s="34"/>
      <c r="M53" s="33"/>
      <c r="N53" s="34"/>
      <c r="O53" s="33"/>
      <c r="P53" s="34"/>
      <c r="Q53" s="33"/>
      <c r="R53" s="34"/>
      <c r="S53" s="33"/>
      <c r="T53" s="31"/>
      <c r="U53" s="32"/>
      <c r="V53" s="34"/>
      <c r="W53" s="33"/>
      <c r="X53" s="34"/>
      <c r="Y53" s="33"/>
      <c r="Z53" s="31"/>
      <c r="AA53" s="32"/>
      <c r="AB53" s="34"/>
      <c r="AC53" s="32"/>
      <c r="AD53" s="31"/>
      <c r="AE53" s="33"/>
      <c r="AF53" s="34"/>
      <c r="AG53" s="33"/>
      <c r="AH53" s="34"/>
      <c r="AI53" s="33"/>
      <c r="AJ53" s="34"/>
      <c r="AK53" s="33"/>
      <c r="AL53" s="34"/>
      <c r="AM53" s="33"/>
      <c r="AN53" s="34"/>
      <c r="AO53" s="32"/>
      <c r="AP53" s="31"/>
      <c r="AQ53" s="32"/>
      <c r="AR53" s="34"/>
      <c r="AS53" s="33"/>
      <c r="AT53" s="34"/>
      <c r="AU53" s="36"/>
      <c r="AV53" s="48"/>
      <c r="AW53" s="10"/>
      <c r="AX53" s="10"/>
    </row>
    <row r="54" spans="1:50" x14ac:dyDescent="0.2">
      <c r="A54" s="133"/>
      <c r="B54" s="134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2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1"/>
      <c r="AV54" s="129"/>
      <c r="AW54" s="129"/>
      <c r="AX54" s="129"/>
    </row>
    <row r="55" spans="1:50" x14ac:dyDescent="0.2">
      <c r="A55" s="133"/>
      <c r="B55" s="134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2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1"/>
      <c r="AV55" s="129"/>
      <c r="AW55" s="129"/>
      <c r="AX55" s="129"/>
    </row>
    <row r="56" spans="1:50" x14ac:dyDescent="0.2">
      <c r="A56" s="45"/>
      <c r="B56" s="38"/>
      <c r="C56" s="33"/>
      <c r="D56" s="34"/>
      <c r="E56" s="33"/>
      <c r="F56" s="34"/>
      <c r="G56" s="33"/>
      <c r="H56" s="34"/>
      <c r="I56" s="33"/>
      <c r="J56" s="34"/>
      <c r="K56" s="33"/>
      <c r="L56" s="34"/>
      <c r="M56" s="33"/>
      <c r="N56" s="34"/>
      <c r="O56" s="33"/>
      <c r="P56" s="34"/>
      <c r="Q56" s="33"/>
      <c r="R56" s="34"/>
      <c r="S56" s="33"/>
      <c r="T56" s="34"/>
      <c r="U56" s="33"/>
      <c r="V56" s="34"/>
      <c r="W56" s="33"/>
      <c r="X56" s="34"/>
      <c r="Y56" s="33"/>
      <c r="Z56" s="34"/>
      <c r="AA56" s="33"/>
      <c r="AB56" s="34"/>
      <c r="AC56" s="32"/>
      <c r="AD56" s="31"/>
      <c r="AE56" s="32"/>
      <c r="AF56" s="34"/>
      <c r="AG56" s="33"/>
      <c r="AH56" s="34"/>
      <c r="AI56" s="33"/>
      <c r="AJ56" s="34"/>
      <c r="AK56" s="33"/>
      <c r="AL56" s="31"/>
      <c r="AM56" s="32"/>
      <c r="AN56" s="34"/>
      <c r="AO56" s="33"/>
      <c r="AP56" s="34"/>
      <c r="AQ56" s="33"/>
      <c r="AR56" s="34"/>
      <c r="AS56" s="33"/>
      <c r="AT56" s="34"/>
      <c r="AU56" s="36"/>
      <c r="AV56" s="48"/>
      <c r="AW56" s="10"/>
      <c r="AX56" s="10"/>
    </row>
    <row r="57" spans="1:50" x14ac:dyDescent="0.2">
      <c r="A57" s="45"/>
      <c r="B57" s="38"/>
      <c r="C57" s="33"/>
      <c r="D57" s="34"/>
      <c r="E57" s="33"/>
      <c r="F57" s="34"/>
      <c r="G57" s="33"/>
      <c r="H57" s="34"/>
      <c r="I57" s="33"/>
      <c r="J57" s="34"/>
      <c r="K57" s="32"/>
      <c r="L57" s="31"/>
      <c r="M57" s="33"/>
      <c r="N57" s="31"/>
      <c r="O57" s="32"/>
      <c r="P57" s="34"/>
      <c r="Q57" s="33"/>
      <c r="R57" s="34"/>
      <c r="S57" s="33"/>
      <c r="T57" s="34"/>
      <c r="U57" s="33"/>
      <c r="V57" s="34"/>
      <c r="W57" s="32"/>
      <c r="X57" s="31"/>
      <c r="Y57" s="33"/>
      <c r="Z57" s="31"/>
      <c r="AA57" s="32"/>
      <c r="AB57" s="34"/>
      <c r="AC57" s="32"/>
      <c r="AD57" s="31"/>
      <c r="AE57" s="33"/>
      <c r="AF57" s="34"/>
      <c r="AG57" s="33"/>
      <c r="AH57" s="34"/>
      <c r="AI57" s="33"/>
      <c r="AJ57" s="34"/>
      <c r="AK57" s="33"/>
      <c r="AL57" s="31"/>
      <c r="AM57" s="32"/>
      <c r="AN57" s="31"/>
      <c r="AO57" s="32"/>
      <c r="AP57" s="31"/>
      <c r="AQ57" s="32"/>
      <c r="AR57" s="34"/>
      <c r="AS57" s="33"/>
      <c r="AT57" s="34"/>
      <c r="AU57" s="36"/>
      <c r="AV57" s="48"/>
      <c r="AW57" s="10"/>
      <c r="AX57" s="10"/>
    </row>
    <row r="58" spans="1:50" x14ac:dyDescent="0.2">
      <c r="A58" s="45"/>
      <c r="B58" s="38"/>
      <c r="C58" s="33"/>
      <c r="D58" s="34"/>
      <c r="E58" s="33"/>
      <c r="F58" s="34"/>
      <c r="G58" s="33"/>
      <c r="H58" s="31"/>
      <c r="I58" s="32"/>
      <c r="J58" s="34"/>
      <c r="K58" s="32"/>
      <c r="L58" s="31"/>
      <c r="M58" s="33"/>
      <c r="N58" s="34"/>
      <c r="O58" s="33"/>
      <c r="P58" s="34"/>
      <c r="Q58" s="33"/>
      <c r="R58" s="34"/>
      <c r="S58" s="33"/>
      <c r="T58" s="31"/>
      <c r="U58" s="32"/>
      <c r="V58" s="34"/>
      <c r="W58" s="32"/>
      <c r="X58" s="31"/>
      <c r="Y58" s="33"/>
      <c r="Z58" s="31"/>
      <c r="AA58" s="32"/>
      <c r="AB58" s="34"/>
      <c r="AC58" s="32"/>
      <c r="AD58" s="31"/>
      <c r="AE58" s="32"/>
      <c r="AF58" s="34"/>
      <c r="AG58" s="33"/>
      <c r="AH58" s="34"/>
      <c r="AI58" s="33"/>
      <c r="AJ58" s="34"/>
      <c r="AK58" s="33"/>
      <c r="AL58" s="31"/>
      <c r="AM58" s="32"/>
      <c r="AN58" s="34"/>
      <c r="AO58" s="32"/>
      <c r="AP58" s="31"/>
      <c r="AQ58" s="32"/>
      <c r="AR58" s="34"/>
      <c r="AS58" s="33"/>
      <c r="AT58" s="34"/>
      <c r="AU58" s="36"/>
      <c r="AV58" s="48"/>
      <c r="AW58" s="10"/>
      <c r="AX58" s="10"/>
    </row>
    <row r="59" spans="1:50" x14ac:dyDescent="0.2">
      <c r="A59" s="45"/>
      <c r="B59" s="38"/>
      <c r="C59" s="33"/>
      <c r="D59" s="34"/>
      <c r="E59" s="33"/>
      <c r="F59" s="34"/>
      <c r="G59" s="33"/>
      <c r="H59" s="34"/>
      <c r="I59" s="33"/>
      <c r="J59" s="34"/>
      <c r="K59" s="33"/>
      <c r="L59" s="34"/>
      <c r="M59" s="33"/>
      <c r="N59" s="34"/>
      <c r="O59" s="33"/>
      <c r="P59" s="34"/>
      <c r="Q59" s="33"/>
      <c r="R59" s="34"/>
      <c r="S59" s="33"/>
      <c r="T59" s="34"/>
      <c r="U59" s="33"/>
      <c r="V59" s="34"/>
      <c r="W59" s="33"/>
      <c r="X59" s="34"/>
      <c r="Y59" s="33"/>
      <c r="Z59" s="34"/>
      <c r="AA59" s="33"/>
      <c r="AB59" s="34"/>
      <c r="AC59" s="32"/>
      <c r="AD59" s="31"/>
      <c r="AE59" s="32"/>
      <c r="AF59" s="34"/>
      <c r="AG59" s="33"/>
      <c r="AH59" s="34"/>
      <c r="AI59" s="33"/>
      <c r="AJ59" s="34"/>
      <c r="AK59" s="33"/>
      <c r="AL59" s="31"/>
      <c r="AM59" s="32"/>
      <c r="AN59" s="31"/>
      <c r="AO59" s="32"/>
      <c r="AP59" s="31"/>
      <c r="AQ59" s="32"/>
      <c r="AR59" s="34"/>
      <c r="AS59" s="33"/>
      <c r="AT59" s="34"/>
      <c r="AU59" s="36"/>
      <c r="AV59" s="48"/>
      <c r="AW59" s="10"/>
      <c r="AX59" s="10"/>
    </row>
    <row r="60" spans="1:50" x14ac:dyDescent="0.2">
      <c r="A60" s="45"/>
      <c r="B60" s="38"/>
      <c r="C60" s="33"/>
      <c r="D60" s="34"/>
      <c r="E60" s="33"/>
      <c r="F60" s="34"/>
      <c r="G60" s="33"/>
      <c r="H60" s="34"/>
      <c r="I60" s="33"/>
      <c r="J60" s="34"/>
      <c r="K60" s="32"/>
      <c r="L60" s="31"/>
      <c r="M60" s="33"/>
      <c r="N60" s="31"/>
      <c r="O60" s="32"/>
      <c r="P60" s="34"/>
      <c r="Q60" s="33"/>
      <c r="R60" s="34"/>
      <c r="S60" s="33"/>
      <c r="T60" s="31"/>
      <c r="U60" s="32"/>
      <c r="V60" s="34"/>
      <c r="W60" s="32"/>
      <c r="X60" s="31"/>
      <c r="Y60" s="33"/>
      <c r="Z60" s="31"/>
      <c r="AA60" s="32"/>
      <c r="AB60" s="34"/>
      <c r="AC60" s="32"/>
      <c r="AD60" s="31"/>
      <c r="AE60" s="32"/>
      <c r="AF60" s="34"/>
      <c r="AG60" s="33"/>
      <c r="AH60" s="34"/>
      <c r="AI60" s="32"/>
      <c r="AJ60" s="31"/>
      <c r="AK60" s="33"/>
      <c r="AL60" s="31"/>
      <c r="AM60" s="32"/>
      <c r="AN60" s="31"/>
      <c r="AO60" s="32"/>
      <c r="AP60" s="31"/>
      <c r="AQ60" s="32"/>
      <c r="AR60" s="34"/>
      <c r="AS60" s="33"/>
      <c r="AT60" s="34"/>
      <c r="AU60" s="36"/>
      <c r="AV60" s="48"/>
      <c r="AW60" s="10"/>
      <c r="AX60" s="10"/>
    </row>
    <row r="61" spans="1:50" x14ac:dyDescent="0.2">
      <c r="A61" s="133"/>
      <c r="B61" s="134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2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1"/>
      <c r="AV61" s="129"/>
      <c r="AW61" s="129"/>
      <c r="AX61" s="129"/>
    </row>
    <row r="62" spans="1:50" x14ac:dyDescent="0.2">
      <c r="A62" s="133"/>
      <c r="B62" s="134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2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1"/>
      <c r="AV62" s="129"/>
      <c r="AW62" s="129"/>
      <c r="AX62" s="129"/>
    </row>
    <row r="63" spans="1:50" x14ac:dyDescent="0.2">
      <c r="A63" s="45"/>
      <c r="B63" s="38"/>
      <c r="C63" s="33"/>
      <c r="D63" s="34"/>
      <c r="E63" s="33"/>
      <c r="F63" s="34"/>
      <c r="G63" s="33"/>
      <c r="H63" s="34"/>
      <c r="I63" s="33"/>
      <c r="J63" s="34"/>
      <c r="K63" s="33"/>
      <c r="L63" s="34"/>
      <c r="M63" s="33"/>
      <c r="N63" s="34"/>
      <c r="O63" s="33"/>
      <c r="P63" s="34"/>
      <c r="Q63" s="33"/>
      <c r="R63" s="34"/>
      <c r="S63" s="33"/>
      <c r="T63" s="34"/>
      <c r="U63" s="33"/>
      <c r="V63" s="34"/>
      <c r="W63" s="33"/>
      <c r="X63" s="34"/>
      <c r="Y63" s="33"/>
      <c r="Z63" s="34"/>
      <c r="AA63" s="33"/>
      <c r="AB63" s="34"/>
      <c r="AC63" s="32"/>
      <c r="AD63" s="31"/>
      <c r="AE63" s="33"/>
      <c r="AF63" s="34"/>
      <c r="AG63" s="33"/>
      <c r="AH63" s="34"/>
      <c r="AI63" s="33"/>
      <c r="AJ63" s="34"/>
      <c r="AK63" s="33"/>
      <c r="AL63" s="34"/>
      <c r="AM63" s="33"/>
      <c r="AN63" s="34"/>
      <c r="AO63" s="32"/>
      <c r="AP63" s="31"/>
      <c r="AQ63" s="32"/>
      <c r="AR63" s="34"/>
      <c r="AS63" s="33"/>
      <c r="AT63" s="34"/>
      <c r="AU63" s="36"/>
      <c r="AV63" s="48"/>
      <c r="AW63" s="10"/>
      <c r="AX63" s="10"/>
    </row>
    <row r="64" spans="1:50" x14ac:dyDescent="0.2">
      <c r="A64" s="45"/>
      <c r="B64" s="38"/>
      <c r="C64" s="33"/>
      <c r="D64" s="34"/>
      <c r="E64" s="33"/>
      <c r="F64" s="34"/>
      <c r="G64" s="33"/>
      <c r="H64" s="34"/>
      <c r="I64" s="33"/>
      <c r="J64" s="34"/>
      <c r="K64" s="33"/>
      <c r="L64" s="34"/>
      <c r="M64" s="33"/>
      <c r="N64" s="34"/>
      <c r="O64" s="33"/>
      <c r="P64" s="34"/>
      <c r="Q64" s="33"/>
      <c r="R64" s="34"/>
      <c r="S64" s="33"/>
      <c r="T64" s="34"/>
      <c r="U64" s="33"/>
      <c r="V64" s="34"/>
      <c r="W64" s="33"/>
      <c r="X64" s="34"/>
      <c r="Y64" s="33"/>
      <c r="Z64" s="34"/>
      <c r="AA64" s="33"/>
      <c r="AB64" s="34"/>
      <c r="AC64" s="32"/>
      <c r="AD64" s="31"/>
      <c r="AE64" s="33"/>
      <c r="AF64" s="34"/>
      <c r="AG64" s="33"/>
      <c r="AH64" s="34"/>
      <c r="AI64" s="33"/>
      <c r="AJ64" s="34"/>
      <c r="AK64" s="33"/>
      <c r="AL64" s="34"/>
      <c r="AM64" s="33"/>
      <c r="AN64" s="34"/>
      <c r="AO64" s="32"/>
      <c r="AP64" s="31"/>
      <c r="AQ64" s="32"/>
      <c r="AR64" s="34"/>
      <c r="AS64" s="33"/>
      <c r="AT64" s="34"/>
      <c r="AU64" s="36"/>
      <c r="AV64" s="48"/>
      <c r="AW64" s="10"/>
      <c r="AX64" s="10"/>
    </row>
    <row r="65" spans="1:50" x14ac:dyDescent="0.2">
      <c r="A65" s="45"/>
      <c r="B65" s="38"/>
      <c r="C65" s="33"/>
      <c r="D65" s="34"/>
      <c r="E65" s="33"/>
      <c r="F65" s="34"/>
      <c r="G65" s="33"/>
      <c r="H65" s="34"/>
      <c r="I65" s="33"/>
      <c r="J65" s="34"/>
      <c r="K65" s="33"/>
      <c r="L65" s="34"/>
      <c r="M65" s="33"/>
      <c r="N65" s="34"/>
      <c r="O65" s="33"/>
      <c r="P65" s="34"/>
      <c r="Q65" s="33"/>
      <c r="R65" s="34"/>
      <c r="S65" s="33"/>
      <c r="T65" s="34"/>
      <c r="U65" s="33"/>
      <c r="V65" s="34"/>
      <c r="W65" s="33"/>
      <c r="X65" s="34"/>
      <c r="Y65" s="33"/>
      <c r="Z65" s="34"/>
      <c r="AA65" s="33"/>
      <c r="AB65" s="34"/>
      <c r="AC65" s="32"/>
      <c r="AD65" s="31"/>
      <c r="AE65" s="33"/>
      <c r="AF65" s="34"/>
      <c r="AG65" s="33"/>
      <c r="AH65" s="34"/>
      <c r="AI65" s="33"/>
      <c r="AJ65" s="34"/>
      <c r="AK65" s="33"/>
      <c r="AL65" s="34"/>
      <c r="AM65" s="33"/>
      <c r="AN65" s="34"/>
      <c r="AO65" s="33"/>
      <c r="AP65" s="34"/>
      <c r="AQ65" s="33"/>
      <c r="AR65" s="34"/>
      <c r="AS65" s="33"/>
      <c r="AT65" s="34"/>
      <c r="AU65" s="36"/>
      <c r="AV65" s="48"/>
      <c r="AW65" s="10"/>
      <c r="AX65" s="10"/>
    </row>
    <row r="66" spans="1:50" x14ac:dyDescent="0.2">
      <c r="A66" s="133"/>
      <c r="B66" s="134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2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1"/>
      <c r="AV66" s="129"/>
      <c r="AW66" s="129"/>
      <c r="AX66" s="129"/>
    </row>
    <row r="67" spans="1:50" x14ac:dyDescent="0.2">
      <c r="A67" s="133"/>
      <c r="B67" s="134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2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1"/>
      <c r="AV67" s="129"/>
      <c r="AW67" s="129"/>
      <c r="AX67" s="129"/>
    </row>
    <row r="68" spans="1:50" x14ac:dyDescent="0.2">
      <c r="A68" s="45"/>
      <c r="B68" s="38"/>
      <c r="C68" s="33"/>
      <c r="D68" s="34"/>
      <c r="E68" s="33"/>
      <c r="F68" s="34"/>
      <c r="G68" s="33"/>
      <c r="H68" s="34"/>
      <c r="I68" s="33"/>
      <c r="J68" s="34"/>
      <c r="K68" s="33"/>
      <c r="L68" s="34"/>
      <c r="M68" s="33"/>
      <c r="N68" s="34"/>
      <c r="O68" s="33"/>
      <c r="P68" s="34"/>
      <c r="Q68" s="33"/>
      <c r="R68" s="34"/>
      <c r="S68" s="33"/>
      <c r="T68" s="34"/>
      <c r="U68" s="33"/>
      <c r="V68" s="34"/>
      <c r="W68" s="33"/>
      <c r="X68" s="34"/>
      <c r="Y68" s="33"/>
      <c r="Z68" s="34"/>
      <c r="AA68" s="33"/>
      <c r="AB68" s="34"/>
      <c r="AC68" s="33"/>
      <c r="AD68" s="34"/>
      <c r="AE68" s="33"/>
      <c r="AF68" s="34"/>
      <c r="AG68" s="33"/>
      <c r="AH68" s="34"/>
      <c r="AI68" s="33"/>
      <c r="AJ68" s="34"/>
      <c r="AK68" s="33"/>
      <c r="AL68" s="34"/>
      <c r="AM68" s="33"/>
      <c r="AN68" s="34"/>
      <c r="AO68" s="33"/>
      <c r="AP68" s="34"/>
      <c r="AQ68" s="33"/>
      <c r="AR68" s="34"/>
      <c r="AS68" s="33"/>
      <c r="AT68" s="34"/>
      <c r="AU68" s="36"/>
      <c r="AV68" s="48"/>
      <c r="AW68" s="10"/>
      <c r="AX68" s="10"/>
    </row>
    <row r="69" spans="1:50" x14ac:dyDescent="0.2">
      <c r="A69" s="45"/>
      <c r="B69" s="38"/>
      <c r="C69" s="33"/>
      <c r="D69" s="34"/>
      <c r="E69" s="33"/>
      <c r="F69" s="34"/>
      <c r="G69" s="33"/>
      <c r="H69" s="34"/>
      <c r="I69" s="33"/>
      <c r="J69" s="34"/>
      <c r="K69" s="33"/>
      <c r="L69" s="34"/>
      <c r="M69" s="33"/>
      <c r="N69" s="34"/>
      <c r="O69" s="33"/>
      <c r="P69" s="34"/>
      <c r="Q69" s="33"/>
      <c r="R69" s="34"/>
      <c r="S69" s="33"/>
      <c r="T69" s="34"/>
      <c r="U69" s="33"/>
      <c r="V69" s="34"/>
      <c r="W69" s="32"/>
      <c r="X69" s="31"/>
      <c r="Y69" s="33"/>
      <c r="Z69" s="34"/>
      <c r="AA69" s="33"/>
      <c r="AB69" s="34"/>
      <c r="AC69" s="33"/>
      <c r="AD69" s="34"/>
      <c r="AE69" s="33"/>
      <c r="AF69" s="34"/>
      <c r="AG69" s="33"/>
      <c r="AH69" s="34"/>
      <c r="AI69" s="33"/>
      <c r="AJ69" s="34"/>
      <c r="AK69" s="33"/>
      <c r="AL69" s="31"/>
      <c r="AM69" s="32"/>
      <c r="AN69" s="31"/>
      <c r="AO69" s="32"/>
      <c r="AP69" s="31"/>
      <c r="AQ69" s="32"/>
      <c r="AR69" s="34"/>
      <c r="AS69" s="33"/>
      <c r="AT69" s="34"/>
      <c r="AU69" s="36"/>
      <c r="AV69" s="48"/>
      <c r="AW69" s="10"/>
      <c r="AX69" s="10"/>
    </row>
    <row r="70" spans="1:50" x14ac:dyDescent="0.2">
      <c r="A70" s="45"/>
      <c r="B70" s="38"/>
      <c r="C70" s="33"/>
      <c r="D70" s="34"/>
      <c r="E70" s="33"/>
      <c r="F70" s="34"/>
      <c r="G70" s="33"/>
      <c r="H70" s="34"/>
      <c r="I70" s="33"/>
      <c r="J70" s="34"/>
      <c r="K70" s="33"/>
      <c r="L70" s="34"/>
      <c r="M70" s="33"/>
      <c r="N70" s="34"/>
      <c r="O70" s="33"/>
      <c r="P70" s="34"/>
      <c r="Q70" s="33"/>
      <c r="R70" s="34"/>
      <c r="S70" s="33"/>
      <c r="T70" s="34"/>
      <c r="U70" s="33"/>
      <c r="V70" s="34"/>
      <c r="W70" s="33"/>
      <c r="X70" s="34"/>
      <c r="Y70" s="33"/>
      <c r="Z70" s="34"/>
      <c r="AA70" s="33"/>
      <c r="AB70" s="34"/>
      <c r="AC70" s="32"/>
      <c r="AD70" s="34"/>
      <c r="AE70" s="33"/>
      <c r="AF70" s="34"/>
      <c r="AG70" s="33"/>
      <c r="AH70" s="34"/>
      <c r="AI70" s="33"/>
      <c r="AJ70" s="34"/>
      <c r="AK70" s="33"/>
      <c r="AL70" s="34"/>
      <c r="AM70" s="33"/>
      <c r="AN70" s="34"/>
      <c r="AO70" s="32"/>
      <c r="AP70" s="34"/>
      <c r="AQ70" s="33"/>
      <c r="AR70" s="34"/>
      <c r="AS70" s="33"/>
      <c r="AT70" s="34"/>
      <c r="AU70" s="36"/>
      <c r="AV70" s="48"/>
      <c r="AW70" s="10"/>
      <c r="AX70" s="10"/>
    </row>
    <row r="71" spans="1:50" x14ac:dyDescent="0.2">
      <c r="A71" s="45"/>
      <c r="B71" s="38"/>
      <c r="C71" s="33"/>
      <c r="D71" s="34"/>
      <c r="E71" s="33"/>
      <c r="F71" s="34"/>
      <c r="G71" s="33"/>
      <c r="H71" s="34"/>
      <c r="I71" s="33"/>
      <c r="J71" s="34"/>
      <c r="K71" s="33"/>
      <c r="L71" s="34"/>
      <c r="M71" s="33"/>
      <c r="N71" s="34"/>
      <c r="O71" s="33"/>
      <c r="P71" s="34"/>
      <c r="Q71" s="33"/>
      <c r="R71" s="34"/>
      <c r="S71" s="33"/>
      <c r="T71" s="34"/>
      <c r="U71" s="33"/>
      <c r="V71" s="34"/>
      <c r="W71" s="33"/>
      <c r="X71" s="34"/>
      <c r="Y71" s="33"/>
      <c r="Z71" s="34"/>
      <c r="AA71" s="33"/>
      <c r="AB71" s="34"/>
      <c r="AC71" s="33"/>
      <c r="AD71" s="34"/>
      <c r="AE71" s="33"/>
      <c r="AF71" s="34"/>
      <c r="AG71" s="33"/>
      <c r="AH71" s="34"/>
      <c r="AI71" s="33"/>
      <c r="AJ71" s="34"/>
      <c r="AK71" s="33"/>
      <c r="AL71" s="34"/>
      <c r="AM71" s="33"/>
      <c r="AN71" s="34"/>
      <c r="AO71" s="32"/>
      <c r="AP71" s="31"/>
      <c r="AQ71" s="33"/>
      <c r="AR71" s="34"/>
      <c r="AS71" s="33"/>
      <c r="AT71" s="34"/>
      <c r="AU71" s="36"/>
      <c r="AV71" s="48"/>
      <c r="AW71" s="10"/>
      <c r="AX71" s="10"/>
    </row>
    <row r="72" spans="1:50" x14ac:dyDescent="0.2">
      <c r="A72" s="45"/>
      <c r="B72" s="38"/>
      <c r="C72" s="33"/>
      <c r="D72" s="34"/>
      <c r="E72" s="33"/>
      <c r="F72" s="34"/>
      <c r="G72" s="33"/>
      <c r="H72" s="34"/>
      <c r="I72" s="33"/>
      <c r="J72" s="34"/>
      <c r="K72" s="33"/>
      <c r="L72" s="34"/>
      <c r="M72" s="33"/>
      <c r="N72" s="34"/>
      <c r="O72" s="33"/>
      <c r="P72" s="34"/>
      <c r="Q72" s="33"/>
      <c r="R72" s="34"/>
      <c r="S72" s="33"/>
      <c r="T72" s="34"/>
      <c r="U72" s="33"/>
      <c r="V72" s="34"/>
      <c r="W72" s="33"/>
      <c r="X72" s="34"/>
      <c r="Y72" s="33"/>
      <c r="Z72" s="34"/>
      <c r="AA72" s="33"/>
      <c r="AB72" s="34"/>
      <c r="AC72" s="33"/>
      <c r="AD72" s="34"/>
      <c r="AE72" s="33"/>
      <c r="AF72" s="34"/>
      <c r="AG72" s="33"/>
      <c r="AH72" s="34"/>
      <c r="AI72" s="33"/>
      <c r="AJ72" s="34"/>
      <c r="AK72" s="33"/>
      <c r="AL72" s="34"/>
      <c r="AM72" s="33"/>
      <c r="AN72" s="34"/>
      <c r="AO72" s="32"/>
      <c r="AP72" s="31"/>
      <c r="AQ72" s="33"/>
      <c r="AR72" s="34"/>
      <c r="AS72" s="33"/>
      <c r="AT72" s="34"/>
      <c r="AU72" s="36"/>
      <c r="AV72" s="48"/>
      <c r="AW72" s="10"/>
      <c r="AX72" s="10"/>
    </row>
    <row r="73" spans="1:50" x14ac:dyDescent="0.2">
      <c r="A73" s="133"/>
      <c r="B73" s="134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2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5"/>
      <c r="AM73" s="135"/>
      <c r="AN73" s="135"/>
      <c r="AO73" s="135"/>
      <c r="AP73" s="135"/>
      <c r="AQ73" s="135"/>
      <c r="AR73" s="135"/>
      <c r="AS73" s="135"/>
      <c r="AT73" s="135"/>
      <c r="AU73" s="136"/>
      <c r="AV73" s="129"/>
      <c r="AW73" s="129"/>
      <c r="AX73" s="129"/>
    </row>
    <row r="74" spans="1:50" x14ac:dyDescent="0.2">
      <c r="A74" s="133"/>
      <c r="B74" s="134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2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1"/>
      <c r="AV74" s="129"/>
      <c r="AW74" s="129"/>
      <c r="AX74" s="129"/>
    </row>
    <row r="75" spans="1:50" x14ac:dyDescent="0.2">
      <c r="A75" s="46"/>
      <c r="B75" s="38"/>
      <c r="C75" s="33"/>
      <c r="D75" s="34"/>
      <c r="E75" s="33"/>
      <c r="F75" s="34"/>
      <c r="G75" s="33"/>
      <c r="H75" s="34"/>
      <c r="I75" s="33"/>
      <c r="J75" s="34"/>
      <c r="K75" s="33"/>
      <c r="L75" s="34"/>
      <c r="M75" s="33"/>
      <c r="N75" s="34"/>
      <c r="O75" s="33"/>
      <c r="P75" s="34"/>
      <c r="Q75" s="33"/>
      <c r="R75" s="34"/>
      <c r="S75" s="33"/>
      <c r="T75" s="34"/>
      <c r="U75" s="33"/>
      <c r="V75" s="34"/>
      <c r="W75" s="33"/>
      <c r="X75" s="34"/>
      <c r="Y75" s="33"/>
      <c r="Z75" s="34"/>
      <c r="AA75" s="33"/>
      <c r="AB75" s="34"/>
      <c r="AC75" s="33"/>
      <c r="AD75" s="34"/>
      <c r="AE75" s="33"/>
      <c r="AF75" s="34"/>
      <c r="AG75" s="33"/>
      <c r="AH75" s="34"/>
      <c r="AI75" s="33"/>
      <c r="AJ75" s="34"/>
      <c r="AK75" s="33"/>
      <c r="AL75" s="34"/>
      <c r="AM75" s="33"/>
      <c r="AN75" s="34"/>
      <c r="AO75" s="32"/>
      <c r="AP75" s="31"/>
      <c r="AQ75" s="33"/>
      <c r="AR75" s="34"/>
      <c r="AS75" s="33"/>
      <c r="AT75" s="34"/>
      <c r="AU75" s="36"/>
      <c r="AV75" s="48"/>
      <c r="AW75" s="10"/>
      <c r="AX75" s="10"/>
    </row>
    <row r="76" spans="1:50" x14ac:dyDescent="0.2">
      <c r="A76" s="46"/>
      <c r="B76" s="35"/>
      <c r="C76" s="32"/>
      <c r="D76" s="31"/>
      <c r="E76" s="32"/>
      <c r="F76" s="31"/>
      <c r="G76" s="32"/>
      <c r="H76" s="31"/>
      <c r="I76" s="32"/>
      <c r="J76" s="31"/>
      <c r="K76" s="32"/>
      <c r="L76" s="31"/>
      <c r="M76" s="32"/>
      <c r="N76" s="31"/>
      <c r="O76" s="32"/>
      <c r="P76" s="34"/>
      <c r="Q76" s="33"/>
      <c r="R76" s="34"/>
      <c r="S76" s="33"/>
      <c r="T76" s="31"/>
      <c r="U76" s="32"/>
      <c r="V76" s="31"/>
      <c r="W76" s="32"/>
      <c r="X76" s="31"/>
      <c r="Y76" s="33"/>
      <c r="Z76" s="31"/>
      <c r="AA76" s="32"/>
      <c r="AB76" s="34"/>
      <c r="AC76" s="32"/>
      <c r="AD76" s="31"/>
      <c r="AE76" s="32"/>
      <c r="AF76" s="34"/>
      <c r="AG76" s="33"/>
      <c r="AH76" s="34"/>
      <c r="AI76" s="32"/>
      <c r="AJ76" s="31"/>
      <c r="AK76" s="32"/>
      <c r="AL76" s="31"/>
      <c r="AM76" s="32"/>
      <c r="AN76" s="31"/>
      <c r="AO76" s="32"/>
      <c r="AP76" s="31"/>
      <c r="AQ76" s="32"/>
      <c r="AR76" s="34"/>
      <c r="AS76" s="33"/>
      <c r="AT76" s="34"/>
      <c r="AU76" s="36"/>
      <c r="AV76" s="48"/>
      <c r="AW76" s="10"/>
      <c r="AX76" s="10"/>
    </row>
    <row r="77" spans="1:50" x14ac:dyDescent="0.2">
      <c r="A77" s="46"/>
      <c r="B77" s="35"/>
      <c r="C77" s="32"/>
      <c r="D77" s="31"/>
      <c r="E77" s="32"/>
      <c r="F77" s="31"/>
      <c r="G77" s="32"/>
      <c r="H77" s="31"/>
      <c r="I77" s="32"/>
      <c r="J77" s="31"/>
      <c r="K77" s="32"/>
      <c r="L77" s="31"/>
      <c r="M77" s="32"/>
      <c r="N77" s="31"/>
      <c r="O77" s="32"/>
      <c r="P77" s="31"/>
      <c r="Q77" s="33"/>
      <c r="R77" s="34"/>
      <c r="S77" s="33"/>
      <c r="T77" s="31"/>
      <c r="U77" s="32"/>
      <c r="V77" s="31"/>
      <c r="W77" s="32"/>
      <c r="X77" s="31"/>
      <c r="Y77" s="32"/>
      <c r="Z77" s="31"/>
      <c r="AA77" s="33"/>
      <c r="AB77" s="34"/>
      <c r="AC77" s="32"/>
      <c r="AD77" s="31"/>
      <c r="AE77" s="32"/>
      <c r="AF77" s="31"/>
      <c r="AG77" s="32"/>
      <c r="AH77" s="31"/>
      <c r="AI77" s="32"/>
      <c r="AJ77" s="31"/>
      <c r="AK77" s="32"/>
      <c r="AL77" s="31"/>
      <c r="AM77" s="32"/>
      <c r="AN77" s="31"/>
      <c r="AO77" s="32"/>
      <c r="AP77" s="34"/>
      <c r="AQ77" s="33"/>
      <c r="AR77" s="34"/>
      <c r="AS77" s="33"/>
      <c r="AT77" s="31"/>
      <c r="AU77" s="36"/>
      <c r="AV77" s="48"/>
      <c r="AW77" s="10"/>
      <c r="AX77" s="10"/>
    </row>
    <row r="78" spans="1:50" x14ac:dyDescent="0.2">
      <c r="A78" s="46"/>
      <c r="B78" s="35"/>
      <c r="C78" s="32"/>
      <c r="D78" s="31"/>
      <c r="E78" s="32"/>
      <c r="F78" s="31"/>
      <c r="G78" s="32"/>
      <c r="H78" s="31"/>
      <c r="I78" s="32"/>
      <c r="J78" s="31"/>
      <c r="K78" s="32"/>
      <c r="L78" s="31"/>
      <c r="M78" s="32"/>
      <c r="N78" s="31"/>
      <c r="O78" s="32"/>
      <c r="P78" s="31"/>
      <c r="Q78" s="33"/>
      <c r="R78" s="34"/>
      <c r="S78" s="33"/>
      <c r="T78" s="31"/>
      <c r="U78" s="32"/>
      <c r="V78" s="31"/>
      <c r="W78" s="32"/>
      <c r="X78" s="31"/>
      <c r="Y78" s="32"/>
      <c r="Z78" s="31"/>
      <c r="AA78" s="33"/>
      <c r="AB78" s="34"/>
      <c r="AC78" s="32"/>
      <c r="AD78" s="31"/>
      <c r="AE78" s="32"/>
      <c r="AF78" s="31"/>
      <c r="AG78" s="32"/>
      <c r="AH78" s="31"/>
      <c r="AI78" s="32"/>
      <c r="AJ78" s="31"/>
      <c r="AK78" s="32"/>
      <c r="AL78" s="31"/>
      <c r="AM78" s="32"/>
      <c r="AN78" s="31"/>
      <c r="AO78" s="32"/>
      <c r="AP78" s="34"/>
      <c r="AQ78" s="33"/>
      <c r="AR78" s="34"/>
      <c r="AS78" s="33"/>
      <c r="AT78" s="31"/>
      <c r="AU78" s="36"/>
      <c r="AV78" s="48"/>
      <c r="AW78" s="10"/>
      <c r="AX78" s="10"/>
    </row>
    <row r="79" spans="1:50" x14ac:dyDescent="0.2">
      <c r="A79" s="46"/>
      <c r="B79" s="38"/>
      <c r="C79" s="33"/>
      <c r="D79" s="34"/>
      <c r="E79" s="33"/>
      <c r="F79" s="34"/>
      <c r="G79" s="33"/>
      <c r="H79" s="34"/>
      <c r="I79" s="33"/>
      <c r="J79" s="34"/>
      <c r="K79" s="33"/>
      <c r="L79" s="34"/>
      <c r="M79" s="33"/>
      <c r="N79" s="34"/>
      <c r="O79" s="33"/>
      <c r="P79" s="34"/>
      <c r="Q79" s="33"/>
      <c r="R79" s="34"/>
      <c r="S79" s="33"/>
      <c r="T79" s="34"/>
      <c r="U79" s="33"/>
      <c r="V79" s="34"/>
      <c r="W79" s="33"/>
      <c r="X79" s="34"/>
      <c r="Y79" s="33"/>
      <c r="Z79" s="34"/>
      <c r="AA79" s="33"/>
      <c r="AB79" s="34"/>
      <c r="AC79" s="32"/>
      <c r="AD79" s="34"/>
      <c r="AE79" s="33"/>
      <c r="AF79" s="34"/>
      <c r="AG79" s="33"/>
      <c r="AH79" s="34"/>
      <c r="AI79" s="33"/>
      <c r="AJ79" s="34"/>
      <c r="AK79" s="33"/>
      <c r="AL79" s="31"/>
      <c r="AM79" s="33"/>
      <c r="AN79" s="34"/>
      <c r="AO79" s="32"/>
      <c r="AP79" s="31"/>
      <c r="AQ79" s="33"/>
      <c r="AR79" s="34"/>
      <c r="AS79" s="33"/>
      <c r="AT79" s="34"/>
      <c r="AU79" s="36"/>
      <c r="AV79" s="48"/>
      <c r="AW79" s="10"/>
      <c r="AX79" s="10"/>
    </row>
    <row r="80" spans="1:50" x14ac:dyDescent="0.2">
      <c r="A80" s="46"/>
      <c r="B80" s="38"/>
      <c r="C80" s="33"/>
      <c r="D80" s="34"/>
      <c r="E80" s="33"/>
      <c r="F80" s="34"/>
      <c r="G80" s="33"/>
      <c r="H80" s="34"/>
      <c r="I80" s="33"/>
      <c r="J80" s="34"/>
      <c r="K80" s="32"/>
      <c r="L80" s="31"/>
      <c r="M80" s="33"/>
      <c r="N80" s="34"/>
      <c r="O80" s="33"/>
      <c r="P80" s="34"/>
      <c r="Q80" s="33"/>
      <c r="R80" s="34"/>
      <c r="S80" s="33"/>
      <c r="T80" s="34"/>
      <c r="U80" s="33"/>
      <c r="V80" s="34"/>
      <c r="W80" s="32"/>
      <c r="X80" s="31"/>
      <c r="Y80" s="33"/>
      <c r="Z80" s="31"/>
      <c r="AA80" s="32"/>
      <c r="AB80" s="34"/>
      <c r="AC80" s="32"/>
      <c r="AD80" s="31"/>
      <c r="AE80" s="33"/>
      <c r="AF80" s="34"/>
      <c r="AG80" s="33"/>
      <c r="AH80" s="34"/>
      <c r="AI80" s="32"/>
      <c r="AJ80" s="31"/>
      <c r="AK80" s="33"/>
      <c r="AL80" s="31"/>
      <c r="AM80" s="32"/>
      <c r="AN80" s="31"/>
      <c r="AO80" s="32"/>
      <c r="AP80" s="31"/>
      <c r="AQ80" s="32"/>
      <c r="AR80" s="34"/>
      <c r="AS80" s="33"/>
      <c r="AT80" s="34"/>
      <c r="AU80" s="36"/>
      <c r="AV80" s="48"/>
      <c r="AW80" s="10"/>
      <c r="AX80" s="10"/>
    </row>
    <row r="81" spans="1:50" x14ac:dyDescent="0.2">
      <c r="A81" s="46"/>
      <c r="B81" s="38"/>
      <c r="C81" s="33"/>
      <c r="D81" s="34"/>
      <c r="E81" s="33"/>
      <c r="F81" s="34"/>
      <c r="G81" s="33"/>
      <c r="H81" s="34"/>
      <c r="I81" s="33"/>
      <c r="J81" s="34"/>
      <c r="K81" s="32"/>
      <c r="L81" s="31"/>
      <c r="M81" s="33"/>
      <c r="N81" s="34"/>
      <c r="O81" s="33"/>
      <c r="P81" s="34"/>
      <c r="Q81" s="33"/>
      <c r="R81" s="34"/>
      <c r="S81" s="33"/>
      <c r="T81" s="34"/>
      <c r="U81" s="33"/>
      <c r="V81" s="34"/>
      <c r="W81" s="32"/>
      <c r="X81" s="31"/>
      <c r="Y81" s="33"/>
      <c r="Z81" s="31"/>
      <c r="AA81" s="32"/>
      <c r="AB81" s="34"/>
      <c r="AC81" s="32"/>
      <c r="AD81" s="31"/>
      <c r="AE81" s="33"/>
      <c r="AF81" s="34"/>
      <c r="AG81" s="33"/>
      <c r="AH81" s="34"/>
      <c r="AI81" s="32"/>
      <c r="AJ81" s="31"/>
      <c r="AK81" s="33"/>
      <c r="AL81" s="31"/>
      <c r="AM81" s="32"/>
      <c r="AN81" s="31"/>
      <c r="AO81" s="32"/>
      <c r="AP81" s="31"/>
      <c r="AQ81" s="32"/>
      <c r="AR81" s="34"/>
      <c r="AS81" s="33"/>
      <c r="AT81" s="34"/>
      <c r="AU81" s="36"/>
      <c r="AV81" s="48"/>
      <c r="AW81" s="10"/>
      <c r="AX81" s="10"/>
    </row>
    <row r="82" spans="1:50" x14ac:dyDescent="0.2">
      <c r="A82" s="46"/>
      <c r="B82" s="38"/>
      <c r="C82" s="33"/>
      <c r="D82" s="34"/>
      <c r="E82" s="33"/>
      <c r="F82" s="34"/>
      <c r="G82" s="33"/>
      <c r="H82" s="34"/>
      <c r="I82" s="33"/>
      <c r="J82" s="34"/>
      <c r="K82" s="32"/>
      <c r="L82" s="31"/>
      <c r="M82" s="33"/>
      <c r="N82" s="34"/>
      <c r="O82" s="33"/>
      <c r="P82" s="34"/>
      <c r="Q82" s="33"/>
      <c r="R82" s="34"/>
      <c r="S82" s="33"/>
      <c r="T82" s="34"/>
      <c r="U82" s="33"/>
      <c r="V82" s="34"/>
      <c r="W82" s="32"/>
      <c r="X82" s="31"/>
      <c r="Y82" s="33"/>
      <c r="Z82" s="34"/>
      <c r="AA82" s="33"/>
      <c r="AB82" s="34"/>
      <c r="AC82" s="32"/>
      <c r="AD82" s="31"/>
      <c r="AE82" s="32"/>
      <c r="AF82" s="34"/>
      <c r="AG82" s="33"/>
      <c r="AH82" s="34"/>
      <c r="AI82" s="33"/>
      <c r="AJ82" s="34"/>
      <c r="AK82" s="33"/>
      <c r="AL82" s="31"/>
      <c r="AM82" s="32"/>
      <c r="AN82" s="31"/>
      <c r="AO82" s="32"/>
      <c r="AP82" s="31"/>
      <c r="AQ82" s="32"/>
      <c r="AR82" s="34"/>
      <c r="AS82" s="33"/>
      <c r="AT82" s="34"/>
      <c r="AU82" s="36"/>
      <c r="AV82" s="48"/>
      <c r="AW82" s="10"/>
      <c r="AX82" s="10"/>
    </row>
    <row r="83" spans="1:50" x14ac:dyDescent="0.2">
      <c r="A83" s="133"/>
      <c r="B83" s="134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2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1"/>
      <c r="AV83" s="129"/>
      <c r="AW83" s="129"/>
      <c r="AX83" s="129"/>
    </row>
    <row r="84" spans="1:50" x14ac:dyDescent="0.2">
      <c r="A84" s="133"/>
      <c r="B84" s="134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2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1"/>
      <c r="AV84" s="129"/>
      <c r="AW84" s="129"/>
      <c r="AX84" s="129"/>
    </row>
    <row r="85" spans="1:50" x14ac:dyDescent="0.2">
      <c r="A85" s="45"/>
      <c r="B85" s="38"/>
      <c r="C85" s="33"/>
      <c r="D85" s="34"/>
      <c r="E85" s="33"/>
      <c r="F85" s="34"/>
      <c r="G85" s="33"/>
      <c r="H85" s="34"/>
      <c r="I85" s="33"/>
      <c r="J85" s="34"/>
      <c r="K85" s="33"/>
      <c r="L85" s="34"/>
      <c r="M85" s="33"/>
      <c r="N85" s="34"/>
      <c r="O85" s="33"/>
      <c r="P85" s="34"/>
      <c r="Q85" s="33"/>
      <c r="R85" s="34"/>
      <c r="S85" s="33"/>
      <c r="T85" s="34"/>
      <c r="U85" s="33"/>
      <c r="V85" s="34"/>
      <c r="W85" s="33"/>
      <c r="X85" s="34"/>
      <c r="Y85" s="33"/>
      <c r="Z85" s="34"/>
      <c r="AA85" s="33"/>
      <c r="AB85" s="34"/>
      <c r="AC85" s="33"/>
      <c r="AD85" s="34"/>
      <c r="AE85" s="33"/>
      <c r="AF85" s="34"/>
      <c r="AG85" s="33"/>
      <c r="AH85" s="34"/>
      <c r="AI85" s="33"/>
      <c r="AJ85" s="34"/>
      <c r="AK85" s="33"/>
      <c r="AL85" s="34"/>
      <c r="AM85" s="33"/>
      <c r="AN85" s="34"/>
      <c r="AO85" s="32"/>
      <c r="AP85" s="31"/>
      <c r="AQ85" s="33"/>
      <c r="AR85" s="34"/>
      <c r="AS85" s="33"/>
      <c r="AT85" s="34"/>
      <c r="AU85" s="36"/>
      <c r="AV85" s="48"/>
      <c r="AW85" s="10"/>
      <c r="AX85" s="10"/>
    </row>
    <row r="86" spans="1:50" x14ac:dyDescent="0.2">
      <c r="A86" s="45"/>
      <c r="B86" s="38"/>
      <c r="C86" s="33"/>
      <c r="D86" s="34"/>
      <c r="E86" s="33"/>
      <c r="F86" s="34"/>
      <c r="G86" s="33"/>
      <c r="H86" s="34"/>
      <c r="I86" s="33"/>
      <c r="J86" s="34"/>
      <c r="K86" s="33"/>
      <c r="L86" s="34"/>
      <c r="M86" s="33"/>
      <c r="N86" s="34"/>
      <c r="O86" s="33"/>
      <c r="P86" s="34"/>
      <c r="Q86" s="33"/>
      <c r="R86" s="34"/>
      <c r="S86" s="33"/>
      <c r="T86" s="34"/>
      <c r="U86" s="33"/>
      <c r="V86" s="34"/>
      <c r="W86" s="33"/>
      <c r="X86" s="34"/>
      <c r="Y86" s="33"/>
      <c r="Z86" s="31"/>
      <c r="AA86" s="32"/>
      <c r="AB86" s="34"/>
      <c r="AC86" s="32"/>
      <c r="AD86" s="31"/>
      <c r="AE86" s="33"/>
      <c r="AF86" s="31"/>
      <c r="AG86" s="32"/>
      <c r="AH86" s="34"/>
      <c r="AI86" s="33"/>
      <c r="AJ86" s="34"/>
      <c r="AK86" s="33"/>
      <c r="AL86" s="34"/>
      <c r="AM86" s="33"/>
      <c r="AN86" s="34"/>
      <c r="AO86" s="32"/>
      <c r="AP86" s="31"/>
      <c r="AQ86" s="32"/>
      <c r="AR86" s="34"/>
      <c r="AS86" s="33"/>
      <c r="AT86" s="34"/>
      <c r="AU86" s="36"/>
      <c r="AV86" s="48"/>
      <c r="AW86" s="10"/>
      <c r="AX86" s="10"/>
    </row>
    <row r="87" spans="1:50" x14ac:dyDescent="0.2">
      <c r="A87" s="45"/>
      <c r="B87" s="38"/>
      <c r="C87" s="33"/>
      <c r="D87" s="34"/>
      <c r="E87" s="33"/>
      <c r="F87" s="34"/>
      <c r="G87" s="33"/>
      <c r="H87" s="31"/>
      <c r="I87" s="32"/>
      <c r="J87" s="34"/>
      <c r="K87" s="33"/>
      <c r="L87" s="34"/>
      <c r="M87" s="33"/>
      <c r="N87" s="34"/>
      <c r="O87" s="33"/>
      <c r="P87" s="34"/>
      <c r="Q87" s="33"/>
      <c r="R87" s="34"/>
      <c r="S87" s="33"/>
      <c r="T87" s="31"/>
      <c r="U87" s="32"/>
      <c r="V87" s="34"/>
      <c r="W87" s="32"/>
      <c r="X87" s="31"/>
      <c r="Y87" s="33"/>
      <c r="Z87" s="34"/>
      <c r="AA87" s="33"/>
      <c r="AB87" s="34"/>
      <c r="AC87" s="33"/>
      <c r="AD87" s="34"/>
      <c r="AE87" s="33"/>
      <c r="AF87" s="34"/>
      <c r="AG87" s="33"/>
      <c r="AH87" s="34"/>
      <c r="AI87" s="32"/>
      <c r="AJ87" s="31"/>
      <c r="AK87" s="33"/>
      <c r="AL87" s="31"/>
      <c r="AM87" s="32"/>
      <c r="AN87" s="31"/>
      <c r="AO87" s="32"/>
      <c r="AP87" s="31"/>
      <c r="AQ87" s="32"/>
      <c r="AR87" s="34"/>
      <c r="AS87" s="33"/>
      <c r="AT87" s="34"/>
      <c r="AU87" s="36"/>
      <c r="AV87" s="48"/>
      <c r="AW87" s="10"/>
      <c r="AX87" s="10"/>
    </row>
    <row r="88" spans="1:50" x14ac:dyDescent="0.2">
      <c r="A88" s="45"/>
      <c r="B88" s="38"/>
      <c r="C88" s="33"/>
      <c r="D88" s="34"/>
      <c r="E88" s="33"/>
      <c r="F88" s="34"/>
      <c r="G88" s="33"/>
      <c r="H88" s="34"/>
      <c r="I88" s="33"/>
      <c r="J88" s="34"/>
      <c r="K88" s="33"/>
      <c r="L88" s="34"/>
      <c r="M88" s="33"/>
      <c r="N88" s="34"/>
      <c r="O88" s="33"/>
      <c r="P88" s="34"/>
      <c r="Q88" s="33"/>
      <c r="R88" s="34"/>
      <c r="S88" s="33"/>
      <c r="T88" s="34"/>
      <c r="U88" s="33"/>
      <c r="V88" s="34"/>
      <c r="W88" s="33"/>
      <c r="X88" s="34"/>
      <c r="Y88" s="33"/>
      <c r="Z88" s="34"/>
      <c r="AA88" s="33"/>
      <c r="AB88" s="34"/>
      <c r="AC88" s="33"/>
      <c r="AD88" s="34"/>
      <c r="AE88" s="33"/>
      <c r="AF88" s="34"/>
      <c r="AG88" s="33"/>
      <c r="AH88" s="34"/>
      <c r="AI88" s="32"/>
      <c r="AJ88" s="31"/>
      <c r="AK88" s="33"/>
      <c r="AL88" s="34"/>
      <c r="AM88" s="33"/>
      <c r="AN88" s="34"/>
      <c r="AO88" s="32"/>
      <c r="AP88" s="31"/>
      <c r="AQ88" s="32"/>
      <c r="AR88" s="34"/>
      <c r="AS88" s="33"/>
      <c r="AT88" s="34"/>
      <c r="AU88" s="36"/>
      <c r="AV88" s="48"/>
      <c r="AW88" s="10"/>
      <c r="AX88" s="10"/>
    </row>
    <row r="89" spans="1:50" x14ac:dyDescent="0.2">
      <c r="A89" s="45"/>
      <c r="B89" s="38"/>
      <c r="C89" s="33"/>
      <c r="D89" s="34"/>
      <c r="E89" s="33"/>
      <c r="F89" s="34"/>
      <c r="G89" s="33"/>
      <c r="H89" s="34"/>
      <c r="I89" s="33"/>
      <c r="J89" s="34"/>
      <c r="K89" s="32"/>
      <c r="L89" s="31"/>
      <c r="M89" s="33"/>
      <c r="N89" s="31"/>
      <c r="O89" s="32"/>
      <c r="P89" s="34"/>
      <c r="Q89" s="33"/>
      <c r="R89" s="34"/>
      <c r="S89" s="33"/>
      <c r="T89" s="34"/>
      <c r="U89" s="33"/>
      <c r="V89" s="34"/>
      <c r="W89" s="33"/>
      <c r="X89" s="34"/>
      <c r="Y89" s="33"/>
      <c r="Z89" s="34"/>
      <c r="AA89" s="33"/>
      <c r="AB89" s="34"/>
      <c r="AC89" s="33"/>
      <c r="AD89" s="34"/>
      <c r="AE89" s="33"/>
      <c r="AF89" s="34"/>
      <c r="AG89" s="33"/>
      <c r="AH89" s="34"/>
      <c r="AI89" s="33"/>
      <c r="AJ89" s="34"/>
      <c r="AK89" s="33"/>
      <c r="AL89" s="31"/>
      <c r="AM89" s="32"/>
      <c r="AN89" s="34"/>
      <c r="AO89" s="32"/>
      <c r="AP89" s="31"/>
      <c r="AQ89" s="32"/>
      <c r="AR89" s="34"/>
      <c r="AS89" s="33"/>
      <c r="AT89" s="34"/>
      <c r="AU89" s="36"/>
      <c r="AV89" s="48"/>
      <c r="AW89" s="10"/>
      <c r="AX89" s="10"/>
    </row>
    <row r="90" spans="1:50" x14ac:dyDescent="0.2">
      <c r="A90" s="133"/>
      <c r="B90" s="134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2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1"/>
      <c r="AV90" s="129"/>
      <c r="AW90" s="129"/>
      <c r="AX90" s="129"/>
    </row>
    <row r="91" spans="1:50" x14ac:dyDescent="0.2">
      <c r="A91" s="133"/>
      <c r="B91" s="134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2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1"/>
      <c r="AV91" s="129"/>
      <c r="AW91" s="129"/>
      <c r="AX91" s="129"/>
    </row>
    <row r="92" spans="1:50" x14ac:dyDescent="0.2">
      <c r="A92" s="45"/>
      <c r="B92" s="38"/>
      <c r="C92" s="33"/>
      <c r="D92" s="34"/>
      <c r="E92" s="33"/>
      <c r="F92" s="34"/>
      <c r="G92" s="33"/>
      <c r="H92" s="34"/>
      <c r="I92" s="33"/>
      <c r="J92" s="34"/>
      <c r="K92" s="32"/>
      <c r="L92" s="31"/>
      <c r="M92" s="32"/>
      <c r="N92" s="34"/>
      <c r="O92" s="33"/>
      <c r="P92" s="34"/>
      <c r="Q92" s="33"/>
      <c r="R92" s="34"/>
      <c r="S92" s="33"/>
      <c r="T92" s="31"/>
      <c r="U92" s="32"/>
      <c r="V92" s="34"/>
      <c r="W92" s="32"/>
      <c r="X92" s="31"/>
      <c r="Y92" s="32"/>
      <c r="Z92" s="34"/>
      <c r="AA92" s="33"/>
      <c r="AB92" s="34"/>
      <c r="AC92" s="33"/>
      <c r="AD92" s="34"/>
      <c r="AE92" s="33"/>
      <c r="AF92" s="34"/>
      <c r="AG92" s="33"/>
      <c r="AH92" s="34"/>
      <c r="AI92" s="32"/>
      <c r="AJ92" s="31"/>
      <c r="AK92" s="32"/>
      <c r="AL92" s="31"/>
      <c r="AM92" s="32"/>
      <c r="AN92" s="31"/>
      <c r="AO92" s="32"/>
      <c r="AP92" s="31"/>
      <c r="AQ92" s="32"/>
      <c r="AR92" s="34"/>
      <c r="AS92" s="33"/>
      <c r="AT92" s="34"/>
      <c r="AU92" s="36"/>
      <c r="AV92" s="48"/>
      <c r="AW92" s="10"/>
      <c r="AX92" s="10"/>
    </row>
    <row r="93" spans="1:50" x14ac:dyDescent="0.2">
      <c r="A93" s="45"/>
      <c r="B93" s="35"/>
      <c r="C93" s="32"/>
      <c r="D93" s="34"/>
      <c r="E93" s="33"/>
      <c r="F93" s="34"/>
      <c r="G93" s="33"/>
      <c r="H93" s="31"/>
      <c r="I93" s="32"/>
      <c r="J93" s="34"/>
      <c r="K93" s="32"/>
      <c r="L93" s="31"/>
      <c r="M93" s="33"/>
      <c r="N93" s="31"/>
      <c r="O93" s="32"/>
      <c r="P93" s="34"/>
      <c r="Q93" s="33"/>
      <c r="R93" s="34"/>
      <c r="S93" s="33"/>
      <c r="T93" s="31"/>
      <c r="U93" s="32"/>
      <c r="V93" s="34"/>
      <c r="W93" s="32"/>
      <c r="X93" s="31"/>
      <c r="Y93" s="33"/>
      <c r="Z93" s="31"/>
      <c r="AA93" s="32"/>
      <c r="AB93" s="34"/>
      <c r="AC93" s="32"/>
      <c r="AD93" s="31"/>
      <c r="AE93" s="33"/>
      <c r="AF93" s="31"/>
      <c r="AG93" s="32"/>
      <c r="AH93" s="34"/>
      <c r="AI93" s="32"/>
      <c r="AJ93" s="31"/>
      <c r="AK93" s="33"/>
      <c r="AL93" s="31"/>
      <c r="AM93" s="32"/>
      <c r="AN93" s="34"/>
      <c r="AO93" s="32"/>
      <c r="AP93" s="31"/>
      <c r="AQ93" s="32"/>
      <c r="AR93" s="34"/>
      <c r="AS93" s="33"/>
      <c r="AT93" s="34"/>
      <c r="AU93" s="36"/>
      <c r="AV93" s="48"/>
      <c r="AW93" s="10"/>
      <c r="AX93" s="10"/>
    </row>
    <row r="94" spans="1:50" x14ac:dyDescent="0.2">
      <c r="A94" s="45"/>
      <c r="B94" s="38"/>
      <c r="C94" s="33"/>
      <c r="D94" s="34"/>
      <c r="E94" s="33"/>
      <c r="F94" s="34"/>
      <c r="G94" s="33"/>
      <c r="H94" s="31"/>
      <c r="I94" s="32"/>
      <c r="J94" s="34"/>
      <c r="K94" s="32"/>
      <c r="L94" s="31"/>
      <c r="M94" s="33"/>
      <c r="N94" s="31"/>
      <c r="O94" s="32"/>
      <c r="P94" s="34"/>
      <c r="Q94" s="33"/>
      <c r="R94" s="34"/>
      <c r="S94" s="33"/>
      <c r="T94" s="31"/>
      <c r="U94" s="32"/>
      <c r="V94" s="34"/>
      <c r="W94" s="32"/>
      <c r="X94" s="31"/>
      <c r="Y94" s="32"/>
      <c r="Z94" s="31"/>
      <c r="AA94" s="32"/>
      <c r="AB94" s="34"/>
      <c r="AC94" s="32"/>
      <c r="AD94" s="31"/>
      <c r="AE94" s="33"/>
      <c r="AF94" s="34"/>
      <c r="AG94" s="33"/>
      <c r="AH94" s="34"/>
      <c r="AI94" s="32"/>
      <c r="AJ94" s="31"/>
      <c r="AK94" s="33"/>
      <c r="AL94" s="31"/>
      <c r="AM94" s="32"/>
      <c r="AN94" s="31"/>
      <c r="AO94" s="32"/>
      <c r="AP94" s="31"/>
      <c r="AQ94" s="33"/>
      <c r="AR94" s="34"/>
      <c r="AS94" s="33"/>
      <c r="AT94" s="34"/>
      <c r="AU94" s="36"/>
      <c r="AV94" s="48"/>
      <c r="AW94" s="10"/>
      <c r="AX94" s="10"/>
    </row>
    <row r="95" spans="1:50" x14ac:dyDescent="0.2">
      <c r="A95" s="45"/>
      <c r="B95" s="38"/>
      <c r="C95" s="33"/>
      <c r="D95" s="34"/>
      <c r="E95" s="33"/>
      <c r="F95" s="34"/>
      <c r="G95" s="33"/>
      <c r="H95" s="34"/>
      <c r="I95" s="33"/>
      <c r="J95" s="34"/>
      <c r="K95" s="32"/>
      <c r="L95" s="34"/>
      <c r="M95" s="33"/>
      <c r="N95" s="34"/>
      <c r="O95" s="33"/>
      <c r="P95" s="34"/>
      <c r="Q95" s="33"/>
      <c r="R95" s="34"/>
      <c r="S95" s="33"/>
      <c r="T95" s="34"/>
      <c r="U95" s="33"/>
      <c r="V95" s="34"/>
      <c r="W95" s="32"/>
      <c r="X95" s="31"/>
      <c r="Y95" s="32"/>
      <c r="Z95" s="34"/>
      <c r="AA95" s="33"/>
      <c r="AB95" s="34"/>
      <c r="AC95" s="33"/>
      <c r="AD95" s="34"/>
      <c r="AE95" s="33"/>
      <c r="AF95" s="34"/>
      <c r="AG95" s="33"/>
      <c r="AH95" s="34"/>
      <c r="AI95" s="32"/>
      <c r="AJ95" s="31"/>
      <c r="AK95" s="32"/>
      <c r="AL95" s="31"/>
      <c r="AM95" s="32"/>
      <c r="AN95" s="31"/>
      <c r="AO95" s="32"/>
      <c r="AP95" s="31"/>
      <c r="AQ95" s="32"/>
      <c r="AR95" s="34"/>
      <c r="AS95" s="33"/>
      <c r="AT95" s="34"/>
      <c r="AU95" s="36"/>
      <c r="AV95" s="48"/>
      <c r="AW95" s="10"/>
      <c r="AX95" s="10"/>
    </row>
    <row r="96" spans="1:50" x14ac:dyDescent="0.2">
      <c r="A96" s="45"/>
      <c r="B96" s="38"/>
      <c r="C96" s="33"/>
      <c r="D96" s="34"/>
      <c r="E96" s="33"/>
      <c r="F96" s="34"/>
      <c r="G96" s="33"/>
      <c r="H96" s="34"/>
      <c r="I96" s="33"/>
      <c r="J96" s="34"/>
      <c r="K96" s="33"/>
      <c r="L96" s="34"/>
      <c r="M96" s="33"/>
      <c r="N96" s="34"/>
      <c r="O96" s="33"/>
      <c r="P96" s="34"/>
      <c r="Q96" s="33"/>
      <c r="R96" s="34"/>
      <c r="S96" s="33"/>
      <c r="T96" s="34"/>
      <c r="U96" s="33"/>
      <c r="V96" s="34"/>
      <c r="W96" s="33"/>
      <c r="X96" s="34"/>
      <c r="Y96" s="33"/>
      <c r="Z96" s="34"/>
      <c r="AA96" s="33"/>
      <c r="AB96" s="34"/>
      <c r="AC96" s="33"/>
      <c r="AD96" s="34"/>
      <c r="AE96" s="33"/>
      <c r="AF96" s="34"/>
      <c r="AG96" s="33"/>
      <c r="AH96" s="34"/>
      <c r="AI96" s="33"/>
      <c r="AJ96" s="34"/>
      <c r="AK96" s="33"/>
      <c r="AL96" s="31"/>
      <c r="AM96" s="32"/>
      <c r="AN96" s="31"/>
      <c r="AO96" s="32"/>
      <c r="AP96" s="31"/>
      <c r="AQ96" s="33"/>
      <c r="AR96" s="34"/>
      <c r="AS96" s="33"/>
      <c r="AT96" s="34"/>
      <c r="AU96" s="36"/>
      <c r="AV96" s="48"/>
      <c r="AW96" s="10"/>
      <c r="AX96" s="10"/>
    </row>
    <row r="97" spans="1:50" x14ac:dyDescent="0.2">
      <c r="A97" s="45"/>
      <c r="B97" s="38"/>
      <c r="C97" s="33"/>
      <c r="D97" s="34"/>
      <c r="E97" s="33"/>
      <c r="F97" s="34"/>
      <c r="G97" s="33"/>
      <c r="H97" s="31"/>
      <c r="I97" s="33"/>
      <c r="J97" s="34"/>
      <c r="K97" s="32"/>
      <c r="L97" s="31"/>
      <c r="M97" s="32"/>
      <c r="N97" s="34"/>
      <c r="O97" s="33"/>
      <c r="P97" s="34"/>
      <c r="Q97" s="33"/>
      <c r="R97" s="34"/>
      <c r="S97" s="33"/>
      <c r="T97" s="34"/>
      <c r="U97" s="33"/>
      <c r="V97" s="34"/>
      <c r="W97" s="32"/>
      <c r="X97" s="31"/>
      <c r="Y97" s="32"/>
      <c r="Z97" s="31"/>
      <c r="AA97" s="32"/>
      <c r="AB97" s="34"/>
      <c r="AC97" s="32"/>
      <c r="AD97" s="31"/>
      <c r="AE97" s="33"/>
      <c r="AF97" s="34"/>
      <c r="AG97" s="33"/>
      <c r="AH97" s="34"/>
      <c r="AI97" s="32"/>
      <c r="AJ97" s="31"/>
      <c r="AK97" s="32"/>
      <c r="AL97" s="31"/>
      <c r="AM97" s="32"/>
      <c r="AN97" s="31"/>
      <c r="AO97" s="32"/>
      <c r="AP97" s="31"/>
      <c r="AQ97" s="32"/>
      <c r="AR97" s="34"/>
      <c r="AS97" s="33"/>
      <c r="AT97" s="34"/>
      <c r="AU97" s="36"/>
      <c r="AV97" s="48"/>
      <c r="AW97" s="10"/>
      <c r="AX97" s="10"/>
    </row>
    <row r="98" spans="1:50" x14ac:dyDescent="0.2">
      <c r="A98" s="45"/>
      <c r="B98" s="38"/>
      <c r="C98" s="33"/>
      <c r="D98" s="34"/>
      <c r="E98" s="33"/>
      <c r="F98" s="34"/>
      <c r="G98" s="33"/>
      <c r="H98" s="34"/>
      <c r="I98" s="33"/>
      <c r="J98" s="34"/>
      <c r="K98" s="32"/>
      <c r="L98" s="31"/>
      <c r="M98" s="32"/>
      <c r="N98" s="34"/>
      <c r="O98" s="33"/>
      <c r="P98" s="34"/>
      <c r="Q98" s="33"/>
      <c r="R98" s="34"/>
      <c r="S98" s="33"/>
      <c r="T98" s="34"/>
      <c r="U98" s="33"/>
      <c r="V98" s="34"/>
      <c r="W98" s="32"/>
      <c r="X98" s="31"/>
      <c r="Y98" s="32"/>
      <c r="Z98" s="34"/>
      <c r="AA98" s="33"/>
      <c r="AB98" s="34"/>
      <c r="AC98" s="32"/>
      <c r="AD98" s="31"/>
      <c r="AE98" s="32"/>
      <c r="AF98" s="34"/>
      <c r="AG98" s="33"/>
      <c r="AH98" s="34"/>
      <c r="AI98" s="32"/>
      <c r="AJ98" s="31"/>
      <c r="AK98" s="33"/>
      <c r="AL98" s="31"/>
      <c r="AM98" s="32"/>
      <c r="AN98" s="31"/>
      <c r="AO98" s="32"/>
      <c r="AP98" s="31"/>
      <c r="AQ98" s="32"/>
      <c r="AR98" s="34"/>
      <c r="AS98" s="33"/>
      <c r="AT98" s="34"/>
      <c r="AU98" s="36"/>
      <c r="AV98" s="48"/>
      <c r="AW98" s="10"/>
      <c r="AX98" s="10"/>
    </row>
    <row r="99" spans="1:50" x14ac:dyDescent="0.2">
      <c r="A99" s="45"/>
      <c r="B99" s="38"/>
      <c r="C99" s="33"/>
      <c r="D99" s="34"/>
      <c r="E99" s="33"/>
      <c r="F99" s="34"/>
      <c r="G99" s="33"/>
      <c r="H99" s="34"/>
      <c r="I99" s="33"/>
      <c r="J99" s="34"/>
      <c r="K99" s="32"/>
      <c r="L99" s="31"/>
      <c r="M99" s="33"/>
      <c r="N99" s="34"/>
      <c r="O99" s="33"/>
      <c r="P99" s="34"/>
      <c r="Q99" s="33"/>
      <c r="R99" s="34"/>
      <c r="S99" s="33"/>
      <c r="T99" s="34"/>
      <c r="U99" s="33"/>
      <c r="V99" s="34"/>
      <c r="W99" s="32"/>
      <c r="X99" s="31"/>
      <c r="Y99" s="32"/>
      <c r="Z99" s="34"/>
      <c r="AA99" s="33"/>
      <c r="AB99" s="34"/>
      <c r="AC99" s="32"/>
      <c r="AD99" s="31"/>
      <c r="AE99" s="33"/>
      <c r="AF99" s="34"/>
      <c r="AG99" s="33"/>
      <c r="AH99" s="34"/>
      <c r="AI99" s="32"/>
      <c r="AJ99" s="31"/>
      <c r="AK99" s="33"/>
      <c r="AL99" s="31"/>
      <c r="AM99" s="32"/>
      <c r="AN99" s="31"/>
      <c r="AO99" s="32"/>
      <c r="AP99" s="31"/>
      <c r="AQ99" s="32"/>
      <c r="AR99" s="34"/>
      <c r="AS99" s="33"/>
      <c r="AT99" s="34"/>
      <c r="AU99" s="36"/>
      <c r="AV99" s="48"/>
      <c r="AW99" s="10"/>
      <c r="AX99" s="10"/>
    </row>
    <row r="100" spans="1:50" x14ac:dyDescent="0.2">
      <c r="A100" s="45"/>
      <c r="B100" s="38"/>
      <c r="C100" s="33"/>
      <c r="D100" s="34"/>
      <c r="E100" s="33"/>
      <c r="F100" s="34"/>
      <c r="G100" s="33"/>
      <c r="H100" s="31"/>
      <c r="I100" s="32"/>
      <c r="J100" s="34"/>
      <c r="K100" s="32"/>
      <c r="L100" s="31"/>
      <c r="M100" s="33"/>
      <c r="N100" s="31"/>
      <c r="O100" s="32"/>
      <c r="P100" s="34"/>
      <c r="Q100" s="33"/>
      <c r="R100" s="34"/>
      <c r="S100" s="33"/>
      <c r="T100" s="31"/>
      <c r="U100" s="32"/>
      <c r="V100" s="34"/>
      <c r="W100" s="32"/>
      <c r="X100" s="31"/>
      <c r="Y100" s="32"/>
      <c r="Z100" s="34"/>
      <c r="AA100" s="33"/>
      <c r="AB100" s="34"/>
      <c r="AC100" s="33"/>
      <c r="AD100" s="34"/>
      <c r="AE100" s="33"/>
      <c r="AF100" s="31"/>
      <c r="AG100" s="32"/>
      <c r="AH100" s="34"/>
      <c r="AI100" s="32"/>
      <c r="AJ100" s="31"/>
      <c r="AK100" s="32"/>
      <c r="AL100" s="31"/>
      <c r="AM100" s="32"/>
      <c r="AN100" s="31"/>
      <c r="AO100" s="32"/>
      <c r="AP100" s="31"/>
      <c r="AQ100" s="32"/>
      <c r="AR100" s="34"/>
      <c r="AS100" s="33"/>
      <c r="AT100" s="34"/>
      <c r="AU100" s="36"/>
      <c r="AV100" s="48"/>
      <c r="AW100" s="10"/>
      <c r="AX100" s="10"/>
    </row>
    <row r="101" spans="1:50" x14ac:dyDescent="0.2">
      <c r="A101" s="45"/>
      <c r="B101" s="38"/>
      <c r="C101" s="33"/>
      <c r="D101" s="34"/>
      <c r="E101" s="33"/>
      <c r="F101" s="34"/>
      <c r="G101" s="33"/>
      <c r="H101" s="34"/>
      <c r="I101" s="33"/>
      <c r="J101" s="34"/>
      <c r="K101" s="33"/>
      <c r="L101" s="34"/>
      <c r="M101" s="33"/>
      <c r="N101" s="34"/>
      <c r="O101" s="33"/>
      <c r="P101" s="34"/>
      <c r="Q101" s="33"/>
      <c r="R101" s="34"/>
      <c r="S101" s="33"/>
      <c r="T101" s="34"/>
      <c r="U101" s="33"/>
      <c r="V101" s="34"/>
      <c r="W101" s="32"/>
      <c r="X101" s="31"/>
      <c r="Y101" s="33"/>
      <c r="Z101" s="34"/>
      <c r="AA101" s="33"/>
      <c r="AB101" s="34"/>
      <c r="AC101" s="33"/>
      <c r="AD101" s="34"/>
      <c r="AE101" s="33"/>
      <c r="AF101" s="34"/>
      <c r="AG101" s="33"/>
      <c r="AH101" s="34"/>
      <c r="AI101" s="33"/>
      <c r="AJ101" s="34"/>
      <c r="AK101" s="33"/>
      <c r="AL101" s="31"/>
      <c r="AM101" s="32"/>
      <c r="AN101" s="34"/>
      <c r="AO101" s="32"/>
      <c r="AP101" s="31"/>
      <c r="AQ101" s="32"/>
      <c r="AR101" s="34"/>
      <c r="AS101" s="33"/>
      <c r="AT101" s="34"/>
      <c r="AU101" s="36"/>
      <c r="AV101" s="48"/>
      <c r="AW101" s="10"/>
      <c r="AX101" s="10"/>
    </row>
    <row r="102" spans="1:50" x14ac:dyDescent="0.2">
      <c r="A102" s="45"/>
      <c r="B102" s="38"/>
      <c r="C102" s="33"/>
      <c r="D102" s="34"/>
      <c r="E102" s="33"/>
      <c r="F102" s="34"/>
      <c r="G102" s="33"/>
      <c r="H102" s="34"/>
      <c r="I102" s="33"/>
      <c r="J102" s="34"/>
      <c r="K102" s="32"/>
      <c r="L102" s="31"/>
      <c r="M102" s="32"/>
      <c r="N102" s="34"/>
      <c r="O102" s="33"/>
      <c r="P102" s="34"/>
      <c r="Q102" s="33"/>
      <c r="R102" s="34"/>
      <c r="S102" s="33"/>
      <c r="T102" s="34"/>
      <c r="U102" s="33"/>
      <c r="V102" s="34"/>
      <c r="W102" s="32"/>
      <c r="X102" s="31"/>
      <c r="Y102" s="32"/>
      <c r="Z102" s="31"/>
      <c r="AA102" s="33"/>
      <c r="AB102" s="31"/>
      <c r="AC102" s="32"/>
      <c r="AD102" s="31"/>
      <c r="AE102" s="32"/>
      <c r="AF102" s="34"/>
      <c r="AG102" s="33"/>
      <c r="AH102" s="34"/>
      <c r="AI102" s="32"/>
      <c r="AJ102" s="31"/>
      <c r="AK102" s="32"/>
      <c r="AL102" s="31"/>
      <c r="AM102" s="32"/>
      <c r="AN102" s="31"/>
      <c r="AO102" s="32"/>
      <c r="AP102" s="31"/>
      <c r="AQ102" s="32"/>
      <c r="AR102" s="34"/>
      <c r="AS102" s="33"/>
      <c r="AT102" s="34"/>
      <c r="AU102" s="36"/>
      <c r="AV102" s="48"/>
      <c r="AW102" s="10"/>
      <c r="AX102" s="10"/>
    </row>
    <row r="103" spans="1:50" x14ac:dyDescent="0.2">
      <c r="A103" s="45"/>
      <c r="B103" s="38"/>
      <c r="C103" s="33"/>
      <c r="D103" s="34"/>
      <c r="E103" s="33"/>
      <c r="F103" s="34"/>
      <c r="G103" s="33"/>
      <c r="H103" s="34"/>
      <c r="I103" s="33"/>
      <c r="J103" s="34"/>
      <c r="K103" s="33"/>
      <c r="L103" s="34"/>
      <c r="M103" s="33"/>
      <c r="N103" s="34"/>
      <c r="O103" s="33"/>
      <c r="P103" s="34"/>
      <c r="Q103" s="33"/>
      <c r="R103" s="34"/>
      <c r="S103" s="33"/>
      <c r="T103" s="34"/>
      <c r="U103" s="33"/>
      <c r="V103" s="34"/>
      <c r="W103" s="32"/>
      <c r="X103" s="31"/>
      <c r="Y103" s="32"/>
      <c r="Z103" s="34"/>
      <c r="AA103" s="33"/>
      <c r="AB103" s="34"/>
      <c r="AC103" s="32"/>
      <c r="AD103" s="31"/>
      <c r="AE103" s="33"/>
      <c r="AF103" s="31"/>
      <c r="AG103" s="32"/>
      <c r="AH103" s="34"/>
      <c r="AI103" s="33"/>
      <c r="AJ103" s="34"/>
      <c r="AK103" s="33"/>
      <c r="AL103" s="31"/>
      <c r="AM103" s="32"/>
      <c r="AN103" s="34"/>
      <c r="AO103" s="32"/>
      <c r="AP103" s="31"/>
      <c r="AQ103" s="33"/>
      <c r="AR103" s="34"/>
      <c r="AS103" s="33"/>
      <c r="AT103" s="34"/>
      <c r="AU103" s="36"/>
      <c r="AV103" s="48"/>
      <c r="AW103" s="10"/>
      <c r="AX103" s="10"/>
    </row>
    <row r="104" spans="1:50" x14ac:dyDescent="0.2">
      <c r="A104" s="45"/>
      <c r="B104" s="38"/>
      <c r="C104" s="33"/>
      <c r="D104" s="34"/>
      <c r="E104" s="33"/>
      <c r="F104" s="34"/>
      <c r="G104" s="33"/>
      <c r="H104" s="34"/>
      <c r="I104" s="33"/>
      <c r="J104" s="34"/>
      <c r="K104" s="33"/>
      <c r="L104" s="34"/>
      <c r="M104" s="33"/>
      <c r="N104" s="34"/>
      <c r="O104" s="33"/>
      <c r="P104" s="34"/>
      <c r="Q104" s="33"/>
      <c r="R104" s="34"/>
      <c r="S104" s="33"/>
      <c r="T104" s="34"/>
      <c r="U104" s="33"/>
      <c r="V104" s="34"/>
      <c r="W104" s="32"/>
      <c r="X104" s="31"/>
      <c r="Y104" s="33"/>
      <c r="Z104" s="34"/>
      <c r="AA104" s="33"/>
      <c r="AB104" s="34"/>
      <c r="AC104" s="33"/>
      <c r="AD104" s="34"/>
      <c r="AE104" s="33"/>
      <c r="AF104" s="34"/>
      <c r="AG104" s="33"/>
      <c r="AH104" s="34"/>
      <c r="AI104" s="32"/>
      <c r="AJ104" s="31"/>
      <c r="AK104" s="33"/>
      <c r="AL104" s="31"/>
      <c r="AM104" s="32"/>
      <c r="AN104" s="31"/>
      <c r="AO104" s="32"/>
      <c r="AP104" s="31"/>
      <c r="AQ104" s="32"/>
      <c r="AR104" s="34"/>
      <c r="AS104" s="33"/>
      <c r="AT104" s="34"/>
      <c r="AU104" s="36"/>
      <c r="AV104" s="48"/>
      <c r="AW104" s="10"/>
      <c r="AX104" s="10"/>
    </row>
    <row r="105" spans="1:50" x14ac:dyDescent="0.2">
      <c r="A105" s="133"/>
      <c r="B105" s="134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2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1"/>
      <c r="AV105" s="129"/>
      <c r="AW105" s="129"/>
      <c r="AX105" s="129"/>
    </row>
    <row r="106" spans="1:50" x14ac:dyDescent="0.2">
      <c r="A106" s="133"/>
      <c r="B106" s="134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2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1"/>
      <c r="AV106" s="129"/>
      <c r="AW106" s="129"/>
      <c r="AX106" s="129"/>
    </row>
    <row r="107" spans="1:50" x14ac:dyDescent="0.2">
      <c r="A107" s="45"/>
      <c r="B107" s="38"/>
      <c r="C107" s="33"/>
      <c r="D107" s="34"/>
      <c r="E107" s="33"/>
      <c r="F107" s="34"/>
      <c r="G107" s="33"/>
      <c r="H107" s="34"/>
      <c r="I107" s="33"/>
      <c r="J107" s="34"/>
      <c r="K107" s="33"/>
      <c r="L107" s="34"/>
      <c r="M107" s="33"/>
      <c r="N107" s="34"/>
      <c r="O107" s="33"/>
      <c r="P107" s="34"/>
      <c r="Q107" s="33"/>
      <c r="R107" s="34"/>
      <c r="S107" s="33"/>
      <c r="T107" s="34"/>
      <c r="U107" s="33"/>
      <c r="V107" s="34"/>
      <c r="W107" s="33"/>
      <c r="X107" s="34"/>
      <c r="Y107" s="33"/>
      <c r="Z107" s="34"/>
      <c r="AA107" s="33"/>
      <c r="AB107" s="34"/>
      <c r="AC107" s="32"/>
      <c r="AD107" s="31"/>
      <c r="AE107" s="33"/>
      <c r="AF107" s="34"/>
      <c r="AG107" s="33"/>
      <c r="AH107" s="34"/>
      <c r="AI107" s="33"/>
      <c r="AJ107" s="34"/>
      <c r="AK107" s="33"/>
      <c r="AL107" s="31"/>
      <c r="AM107" s="32"/>
      <c r="AN107" s="34"/>
      <c r="AO107" s="32"/>
      <c r="AP107" s="31"/>
      <c r="AQ107" s="33"/>
      <c r="AR107" s="34"/>
      <c r="AS107" s="33"/>
      <c r="AT107" s="34"/>
      <c r="AU107" s="36"/>
      <c r="AV107" s="48"/>
      <c r="AW107" s="10"/>
      <c r="AX107" s="10"/>
    </row>
    <row r="108" spans="1:50" x14ac:dyDescent="0.2">
      <c r="A108" s="45"/>
      <c r="B108" s="38"/>
      <c r="C108" s="33"/>
      <c r="D108" s="34"/>
      <c r="E108" s="33"/>
      <c r="F108" s="34"/>
      <c r="G108" s="33"/>
      <c r="H108" s="34"/>
      <c r="I108" s="33"/>
      <c r="J108" s="34"/>
      <c r="K108" s="33"/>
      <c r="L108" s="34"/>
      <c r="M108" s="33"/>
      <c r="N108" s="34"/>
      <c r="O108" s="33"/>
      <c r="P108" s="34"/>
      <c r="Q108" s="33"/>
      <c r="R108" s="34"/>
      <c r="S108" s="33"/>
      <c r="T108" s="34"/>
      <c r="U108" s="33"/>
      <c r="V108" s="34"/>
      <c r="W108" s="33"/>
      <c r="X108" s="34"/>
      <c r="Y108" s="33"/>
      <c r="Z108" s="31"/>
      <c r="AA108" s="32"/>
      <c r="AB108" s="34"/>
      <c r="AC108" s="32"/>
      <c r="AD108" s="31"/>
      <c r="AE108" s="32"/>
      <c r="AF108" s="34"/>
      <c r="AG108" s="33"/>
      <c r="AH108" s="34"/>
      <c r="AI108" s="33"/>
      <c r="AJ108" s="34"/>
      <c r="AK108" s="33"/>
      <c r="AL108" s="34"/>
      <c r="AM108" s="33"/>
      <c r="AN108" s="34"/>
      <c r="AO108" s="32"/>
      <c r="AP108" s="31"/>
      <c r="AQ108" s="33"/>
      <c r="AR108" s="34"/>
      <c r="AS108" s="33"/>
      <c r="AT108" s="34"/>
      <c r="AU108" s="36"/>
      <c r="AV108" s="48"/>
      <c r="AW108" s="10"/>
      <c r="AX108" s="10"/>
    </row>
    <row r="109" spans="1:50" x14ac:dyDescent="0.2">
      <c r="A109" s="45"/>
      <c r="B109" s="38"/>
      <c r="C109" s="33"/>
      <c r="D109" s="34"/>
      <c r="E109" s="33"/>
      <c r="F109" s="34"/>
      <c r="G109" s="33"/>
      <c r="H109" s="34"/>
      <c r="I109" s="33"/>
      <c r="J109" s="34"/>
      <c r="K109" s="33"/>
      <c r="L109" s="34"/>
      <c r="M109" s="33"/>
      <c r="N109" s="34"/>
      <c r="O109" s="33"/>
      <c r="P109" s="34"/>
      <c r="Q109" s="33"/>
      <c r="R109" s="34"/>
      <c r="S109" s="33"/>
      <c r="T109" s="34"/>
      <c r="U109" s="33"/>
      <c r="V109" s="34"/>
      <c r="W109" s="33"/>
      <c r="X109" s="34"/>
      <c r="Y109" s="33"/>
      <c r="Z109" s="34"/>
      <c r="AA109" s="33"/>
      <c r="AB109" s="34"/>
      <c r="AC109" s="32"/>
      <c r="AD109" s="31"/>
      <c r="AE109" s="33"/>
      <c r="AF109" s="34"/>
      <c r="AG109" s="33"/>
      <c r="AH109" s="34"/>
      <c r="AI109" s="33"/>
      <c r="AJ109" s="34"/>
      <c r="AK109" s="33"/>
      <c r="AL109" s="34"/>
      <c r="AM109" s="33"/>
      <c r="AN109" s="34"/>
      <c r="AO109" s="32"/>
      <c r="AP109" s="31"/>
      <c r="AQ109" s="33"/>
      <c r="AR109" s="34"/>
      <c r="AS109" s="33"/>
      <c r="AT109" s="34"/>
      <c r="AU109" s="36"/>
      <c r="AV109" s="48"/>
      <c r="AW109" s="10"/>
      <c r="AX109" s="10"/>
    </row>
    <row r="110" spans="1:50" ht="10.8" thickBot="1" x14ac:dyDescent="0.25">
      <c r="A110" s="47"/>
      <c r="B110" s="39"/>
      <c r="C110" s="40"/>
      <c r="D110" s="41"/>
      <c r="E110" s="40"/>
      <c r="F110" s="41"/>
      <c r="G110" s="40"/>
      <c r="H110" s="41"/>
      <c r="I110" s="40"/>
      <c r="J110" s="41"/>
      <c r="K110" s="40"/>
      <c r="L110" s="41"/>
      <c r="M110" s="40"/>
      <c r="N110" s="41"/>
      <c r="O110" s="40"/>
      <c r="P110" s="41"/>
      <c r="Q110" s="40"/>
      <c r="R110" s="41"/>
      <c r="S110" s="40"/>
      <c r="T110" s="41"/>
      <c r="U110" s="40"/>
      <c r="V110" s="41"/>
      <c r="W110" s="40"/>
      <c r="X110" s="41"/>
      <c r="Y110" s="40"/>
      <c r="Z110" s="41"/>
      <c r="AA110" s="40"/>
      <c r="AB110" s="41"/>
      <c r="AC110" s="42"/>
      <c r="AD110" s="43"/>
      <c r="AE110" s="40"/>
      <c r="AF110" s="41"/>
      <c r="AG110" s="40"/>
      <c r="AH110" s="41"/>
      <c r="AI110" s="40"/>
      <c r="AJ110" s="41"/>
      <c r="AK110" s="40"/>
      <c r="AL110" s="41"/>
      <c r="AM110" s="40"/>
      <c r="AN110" s="41"/>
      <c r="AO110" s="42"/>
      <c r="AP110" s="43"/>
      <c r="AQ110" s="40"/>
      <c r="AR110" s="41"/>
      <c r="AS110" s="40"/>
      <c r="AT110" s="41"/>
      <c r="AU110" s="44"/>
      <c r="AV110" s="49"/>
      <c r="AW110" s="14"/>
      <c r="AX110" s="14"/>
    </row>
    <row r="112" spans="1:50" x14ac:dyDescent="0.2">
      <c r="A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</row>
    <row r="113" spans="1:47" x14ac:dyDescent="0.2">
      <c r="A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</row>
    <row r="114" spans="1:47" x14ac:dyDescent="0.2">
      <c r="A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</row>
  </sheetData>
  <mergeCells count="645">
    <mergeCell ref="B2:R2"/>
    <mergeCell ref="B3:Q3"/>
    <mergeCell ref="G5:L5"/>
    <mergeCell ref="AW5:AX5"/>
    <mergeCell ref="A6:A9"/>
    <mergeCell ref="B6:D8"/>
    <mergeCell ref="E6:G8"/>
    <mergeCell ref="H6:J8"/>
    <mergeCell ref="K6:M8"/>
    <mergeCell ref="N6:P8"/>
    <mergeCell ref="AR6:AU8"/>
    <mergeCell ref="AV6:AX9"/>
    <mergeCell ref="AC6:AE8"/>
    <mergeCell ref="AF6:AH8"/>
    <mergeCell ref="AI6:AK8"/>
    <mergeCell ref="AL6:AN8"/>
    <mergeCell ref="AO6:AQ8"/>
    <mergeCell ref="A10:A11"/>
    <mergeCell ref="B10:B11"/>
    <mergeCell ref="C10:C11"/>
    <mergeCell ref="D10:D11"/>
    <mergeCell ref="E10:E11"/>
    <mergeCell ref="Q6:S8"/>
    <mergeCell ref="T6:V8"/>
    <mergeCell ref="W6:Y8"/>
    <mergeCell ref="Z6:AB8"/>
    <mergeCell ref="F10:F11"/>
    <mergeCell ref="G10:G11"/>
    <mergeCell ref="H10:H11"/>
    <mergeCell ref="I10:I11"/>
    <mergeCell ref="J10:J11"/>
    <mergeCell ref="K10:K11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AV10:AX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N10:AN11"/>
    <mergeCell ref="AO10:AO11"/>
    <mergeCell ref="AD10:AD11"/>
    <mergeCell ref="AE10:AE11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J20:J21"/>
    <mergeCell ref="K20:K21"/>
    <mergeCell ref="L20:L21"/>
    <mergeCell ref="M20:M21"/>
    <mergeCell ref="AT12:AT13"/>
    <mergeCell ref="AU12:AU13"/>
    <mergeCell ref="AV12:AX13"/>
    <mergeCell ref="A20:A21"/>
    <mergeCell ref="B20:B21"/>
    <mergeCell ref="C20:C21"/>
    <mergeCell ref="D20:D21"/>
    <mergeCell ref="E20:E21"/>
    <mergeCell ref="F20:F21"/>
    <mergeCell ref="G20:G21"/>
    <mergeCell ref="AN12:AN13"/>
    <mergeCell ref="AO12:AO13"/>
    <mergeCell ref="AP12:AP13"/>
    <mergeCell ref="AQ12:AQ13"/>
    <mergeCell ref="AR12:AR13"/>
    <mergeCell ref="AS12:AS13"/>
    <mergeCell ref="AH12:AH13"/>
    <mergeCell ref="AI12:AI13"/>
    <mergeCell ref="AJ12:AJ13"/>
    <mergeCell ref="AK12:AK13"/>
    <mergeCell ref="AU20:AU21"/>
    <mergeCell ref="AV20:AX21"/>
    <mergeCell ref="A34:A35"/>
    <mergeCell ref="B34:B35"/>
    <mergeCell ref="C34:C35"/>
    <mergeCell ref="D34:D35"/>
    <mergeCell ref="E34:E35"/>
    <mergeCell ref="AL20:AL21"/>
    <mergeCell ref="AM20:AM21"/>
    <mergeCell ref="AN20:AN21"/>
    <mergeCell ref="AO20:AO21"/>
    <mergeCell ref="AP20:AP21"/>
    <mergeCell ref="AQ20:AQ21"/>
    <mergeCell ref="AF20:AF21"/>
    <mergeCell ref="AG20:AG21"/>
    <mergeCell ref="AH20:AH21"/>
    <mergeCell ref="AI20:AI21"/>
    <mergeCell ref="AJ20:AJ21"/>
    <mergeCell ref="AK20:AK21"/>
    <mergeCell ref="Z20:Z21"/>
    <mergeCell ref="AA20:AA21"/>
    <mergeCell ref="AB20:AB21"/>
    <mergeCell ref="AC20:AC21"/>
    <mergeCell ref="AD20:AD21"/>
    <mergeCell ref="F34:F35"/>
    <mergeCell ref="G34:G35"/>
    <mergeCell ref="H34:H35"/>
    <mergeCell ref="I34:I35"/>
    <mergeCell ref="J34:J35"/>
    <mergeCell ref="K34:K35"/>
    <mergeCell ref="AR20:AR21"/>
    <mergeCell ref="AS20:AS21"/>
    <mergeCell ref="AT20:AT21"/>
    <mergeCell ref="AE20:AE21"/>
    <mergeCell ref="T20:T21"/>
    <mergeCell ref="U20:U21"/>
    <mergeCell ref="V20:V21"/>
    <mergeCell ref="W20:W21"/>
    <mergeCell ref="X20:X21"/>
    <mergeCell ref="Y20:Y21"/>
    <mergeCell ref="N20:N21"/>
    <mergeCell ref="O20:O21"/>
    <mergeCell ref="P20:P21"/>
    <mergeCell ref="Q20:Q21"/>
    <mergeCell ref="R20:R21"/>
    <mergeCell ref="S20:S21"/>
    <mergeCell ref="H20:H21"/>
    <mergeCell ref="I20:I21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AF34:AF35"/>
    <mergeCell ref="AG34:AG35"/>
    <mergeCell ref="AH34:AH35"/>
    <mergeCell ref="AI34:AI35"/>
    <mergeCell ref="X34:X35"/>
    <mergeCell ref="Y34:Y35"/>
    <mergeCell ref="Z34:Z35"/>
    <mergeCell ref="AA34:AA35"/>
    <mergeCell ref="AB34:AB35"/>
    <mergeCell ref="AC34:AC35"/>
    <mergeCell ref="AV34:AX35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AP34:AP35"/>
    <mergeCell ref="AQ34:AQ35"/>
    <mergeCell ref="AR34:AR35"/>
    <mergeCell ref="AS34:AS35"/>
    <mergeCell ref="AT34:AT35"/>
    <mergeCell ref="AU34:AU35"/>
    <mergeCell ref="AJ34:AJ35"/>
    <mergeCell ref="AK34:AK35"/>
    <mergeCell ref="AL34:AL35"/>
    <mergeCell ref="AM34:AM35"/>
    <mergeCell ref="AN34:AN35"/>
    <mergeCell ref="AO34:AO35"/>
    <mergeCell ref="AD34:AD35"/>
    <mergeCell ref="AE34:AE35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AL40:AL41"/>
    <mergeCell ref="AM40:AM41"/>
    <mergeCell ref="AB40:AB41"/>
    <mergeCell ref="AC40:AC41"/>
    <mergeCell ref="AD40:AD41"/>
    <mergeCell ref="AE40:AE41"/>
    <mergeCell ref="AF40:AF41"/>
    <mergeCell ref="AG40:AG41"/>
    <mergeCell ref="V40:V41"/>
    <mergeCell ref="W40:W41"/>
    <mergeCell ref="X40:X41"/>
    <mergeCell ref="Y40:Y41"/>
    <mergeCell ref="Z40:Z41"/>
    <mergeCell ref="AA40:AA41"/>
    <mergeCell ref="J47:J48"/>
    <mergeCell ref="K47:K48"/>
    <mergeCell ref="L47:L48"/>
    <mergeCell ref="M47:M48"/>
    <mergeCell ref="AT40:AT41"/>
    <mergeCell ref="AU40:AU41"/>
    <mergeCell ref="AV40:AX41"/>
    <mergeCell ref="A47:A48"/>
    <mergeCell ref="B47:B48"/>
    <mergeCell ref="C47:C48"/>
    <mergeCell ref="D47:D48"/>
    <mergeCell ref="E47:E48"/>
    <mergeCell ref="F47:F48"/>
    <mergeCell ref="G47:G48"/>
    <mergeCell ref="AN40:AN41"/>
    <mergeCell ref="AO40:AO41"/>
    <mergeCell ref="AP40:AP41"/>
    <mergeCell ref="AQ40:AQ41"/>
    <mergeCell ref="AR40:AR41"/>
    <mergeCell ref="AS40:AS41"/>
    <mergeCell ref="AH40:AH41"/>
    <mergeCell ref="AI40:AI41"/>
    <mergeCell ref="AJ40:AJ41"/>
    <mergeCell ref="AK40:AK41"/>
    <mergeCell ref="AU47:AU48"/>
    <mergeCell ref="AV47:AX48"/>
    <mergeCell ref="A54:A55"/>
    <mergeCell ref="B54:B55"/>
    <mergeCell ref="C54:C55"/>
    <mergeCell ref="D54:D55"/>
    <mergeCell ref="E54:E55"/>
    <mergeCell ref="AL47:AL48"/>
    <mergeCell ref="AM47:AM48"/>
    <mergeCell ref="AN47:AN48"/>
    <mergeCell ref="AO47:AO48"/>
    <mergeCell ref="AP47:AP48"/>
    <mergeCell ref="AQ47:AQ48"/>
    <mergeCell ref="AF47:AF48"/>
    <mergeCell ref="AG47:AG48"/>
    <mergeCell ref="AH47:AH48"/>
    <mergeCell ref="AI47:AI48"/>
    <mergeCell ref="AJ47:AJ48"/>
    <mergeCell ref="AK47:AK48"/>
    <mergeCell ref="Z47:Z48"/>
    <mergeCell ref="AA47:AA48"/>
    <mergeCell ref="AB47:AB48"/>
    <mergeCell ref="AC47:AC48"/>
    <mergeCell ref="AD47:AD48"/>
    <mergeCell ref="F54:F55"/>
    <mergeCell ref="G54:G55"/>
    <mergeCell ref="H54:H55"/>
    <mergeCell ref="I54:I55"/>
    <mergeCell ref="J54:J55"/>
    <mergeCell ref="K54:K55"/>
    <mergeCell ref="AR47:AR48"/>
    <mergeCell ref="AS47:AS48"/>
    <mergeCell ref="AT47:AT48"/>
    <mergeCell ref="AE47:AE48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H47:H48"/>
    <mergeCell ref="I47:I48"/>
    <mergeCell ref="R54:R55"/>
    <mergeCell ref="S54:S55"/>
    <mergeCell ref="T54:T55"/>
    <mergeCell ref="U54:U55"/>
    <mergeCell ref="V54:V55"/>
    <mergeCell ref="W54:W55"/>
    <mergeCell ref="L54:L55"/>
    <mergeCell ref="M54:M55"/>
    <mergeCell ref="N54:N55"/>
    <mergeCell ref="O54:O55"/>
    <mergeCell ref="P54:P55"/>
    <mergeCell ref="Q54:Q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AC54:AC55"/>
    <mergeCell ref="AV54:AX55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AP54:AP55"/>
    <mergeCell ref="AQ54:AQ55"/>
    <mergeCell ref="AR54:AR55"/>
    <mergeCell ref="AS54:AS55"/>
    <mergeCell ref="AT54:AT55"/>
    <mergeCell ref="AU54:AU55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P61:P62"/>
    <mergeCell ref="Q61:Q62"/>
    <mergeCell ref="R61:R62"/>
    <mergeCell ref="S61:S62"/>
    <mergeCell ref="T61:T62"/>
    <mergeCell ref="U61:U62"/>
    <mergeCell ref="J61:J62"/>
    <mergeCell ref="K61:K62"/>
    <mergeCell ref="L61:L62"/>
    <mergeCell ref="M61:M62"/>
    <mergeCell ref="N61:N62"/>
    <mergeCell ref="O61:O62"/>
    <mergeCell ref="AL61:AL62"/>
    <mergeCell ref="AM61:AM62"/>
    <mergeCell ref="AB61:AB62"/>
    <mergeCell ref="AC61:AC62"/>
    <mergeCell ref="AD61:AD62"/>
    <mergeCell ref="AE61:AE62"/>
    <mergeCell ref="AF61:AF62"/>
    <mergeCell ref="AG61:AG62"/>
    <mergeCell ref="V61:V62"/>
    <mergeCell ref="W61:W62"/>
    <mergeCell ref="X61:X62"/>
    <mergeCell ref="Y61:Y62"/>
    <mergeCell ref="Z61:Z62"/>
    <mergeCell ref="AA61:AA62"/>
    <mergeCell ref="J66:J67"/>
    <mergeCell ref="K66:K67"/>
    <mergeCell ref="L66:L67"/>
    <mergeCell ref="M66:M67"/>
    <mergeCell ref="AT61:AT62"/>
    <mergeCell ref="AU61:AU62"/>
    <mergeCell ref="AV61:AX62"/>
    <mergeCell ref="A66:A67"/>
    <mergeCell ref="B66:B67"/>
    <mergeCell ref="C66:C67"/>
    <mergeCell ref="D66:D67"/>
    <mergeCell ref="E66:E67"/>
    <mergeCell ref="F66:F67"/>
    <mergeCell ref="G66:G67"/>
    <mergeCell ref="AN61:AN62"/>
    <mergeCell ref="AO61:AO62"/>
    <mergeCell ref="AP61:AP62"/>
    <mergeCell ref="AQ61:AQ62"/>
    <mergeCell ref="AR61:AR62"/>
    <mergeCell ref="AS61:AS62"/>
    <mergeCell ref="AH61:AH62"/>
    <mergeCell ref="AI61:AI62"/>
    <mergeCell ref="AJ61:AJ62"/>
    <mergeCell ref="AK61:AK62"/>
    <mergeCell ref="AU66:AU67"/>
    <mergeCell ref="AV66:AX67"/>
    <mergeCell ref="A73:A74"/>
    <mergeCell ref="B73:B74"/>
    <mergeCell ref="C73:C74"/>
    <mergeCell ref="D73:D74"/>
    <mergeCell ref="E73:E74"/>
    <mergeCell ref="AL66:AL67"/>
    <mergeCell ref="AM66:AM67"/>
    <mergeCell ref="AN66:AN67"/>
    <mergeCell ref="AO66:AO67"/>
    <mergeCell ref="AP66:AP67"/>
    <mergeCell ref="AQ66:AQ67"/>
    <mergeCell ref="AF66:AF67"/>
    <mergeCell ref="AG66:AG67"/>
    <mergeCell ref="AH66:AH67"/>
    <mergeCell ref="AI66:AI67"/>
    <mergeCell ref="AJ66:AJ67"/>
    <mergeCell ref="AK66:AK67"/>
    <mergeCell ref="Z66:Z67"/>
    <mergeCell ref="AA66:AA67"/>
    <mergeCell ref="AB66:AB67"/>
    <mergeCell ref="AC66:AC67"/>
    <mergeCell ref="AD66:AD67"/>
    <mergeCell ref="F73:F74"/>
    <mergeCell ref="G73:G74"/>
    <mergeCell ref="H73:H74"/>
    <mergeCell ref="I73:I74"/>
    <mergeCell ref="J73:J74"/>
    <mergeCell ref="K73:K74"/>
    <mergeCell ref="AR66:AR67"/>
    <mergeCell ref="AS66:AS67"/>
    <mergeCell ref="AT66:AT67"/>
    <mergeCell ref="AE66:AE67"/>
    <mergeCell ref="T66:T67"/>
    <mergeCell ref="U66:U67"/>
    <mergeCell ref="V66:V67"/>
    <mergeCell ref="W66:W67"/>
    <mergeCell ref="X66:X67"/>
    <mergeCell ref="Y66:Y67"/>
    <mergeCell ref="N66:N67"/>
    <mergeCell ref="O66:O67"/>
    <mergeCell ref="P66:P67"/>
    <mergeCell ref="Q66:Q67"/>
    <mergeCell ref="R66:R67"/>
    <mergeCell ref="S66:S67"/>
    <mergeCell ref="H66:H67"/>
    <mergeCell ref="I66:I67"/>
    <mergeCell ref="R73:R74"/>
    <mergeCell ref="S73:S74"/>
    <mergeCell ref="T73:T74"/>
    <mergeCell ref="U73:U74"/>
    <mergeCell ref="V73:V74"/>
    <mergeCell ref="W73:W74"/>
    <mergeCell ref="L73:L74"/>
    <mergeCell ref="M73:M74"/>
    <mergeCell ref="N73:N74"/>
    <mergeCell ref="O73:O74"/>
    <mergeCell ref="P73:P74"/>
    <mergeCell ref="Q73:Q74"/>
    <mergeCell ref="AF73:AF74"/>
    <mergeCell ref="AG73:AG74"/>
    <mergeCell ref="AH73:AH74"/>
    <mergeCell ref="AI73:AI74"/>
    <mergeCell ref="X73:X74"/>
    <mergeCell ref="Y73:Y74"/>
    <mergeCell ref="Z73:Z74"/>
    <mergeCell ref="AA73:AA74"/>
    <mergeCell ref="AB73:AB74"/>
    <mergeCell ref="AC73:AC74"/>
    <mergeCell ref="AV73:AX74"/>
    <mergeCell ref="A83:A84"/>
    <mergeCell ref="B83:B84"/>
    <mergeCell ref="C83:C84"/>
    <mergeCell ref="D83:D84"/>
    <mergeCell ref="E83:E84"/>
    <mergeCell ref="F83:F84"/>
    <mergeCell ref="G83:G84"/>
    <mergeCell ref="H83:H84"/>
    <mergeCell ref="I83:I84"/>
    <mergeCell ref="AP73:AP74"/>
    <mergeCell ref="AQ73:AQ74"/>
    <mergeCell ref="AR73:AR74"/>
    <mergeCell ref="AS73:AS74"/>
    <mergeCell ref="AT73:AT74"/>
    <mergeCell ref="AU73:AU74"/>
    <mergeCell ref="AJ73:AJ74"/>
    <mergeCell ref="AK73:AK74"/>
    <mergeCell ref="AL73:AL74"/>
    <mergeCell ref="AM73:AM74"/>
    <mergeCell ref="AN73:AN74"/>
    <mergeCell ref="AO73:AO74"/>
    <mergeCell ref="AD73:AD74"/>
    <mergeCell ref="AE73:AE74"/>
    <mergeCell ref="P83:P84"/>
    <mergeCell ref="Q83:Q84"/>
    <mergeCell ref="R83:R84"/>
    <mergeCell ref="S83:S84"/>
    <mergeCell ref="T83:T84"/>
    <mergeCell ref="U83:U84"/>
    <mergeCell ref="J83:J84"/>
    <mergeCell ref="K83:K84"/>
    <mergeCell ref="L83:L84"/>
    <mergeCell ref="M83:M84"/>
    <mergeCell ref="N83:N84"/>
    <mergeCell ref="O83:O84"/>
    <mergeCell ref="AL83:AL84"/>
    <mergeCell ref="AM83:AM84"/>
    <mergeCell ref="AB83:AB84"/>
    <mergeCell ref="AC83:AC84"/>
    <mergeCell ref="AD83:AD84"/>
    <mergeCell ref="AE83:AE84"/>
    <mergeCell ref="AF83:AF84"/>
    <mergeCell ref="AG83:AG84"/>
    <mergeCell ref="V83:V84"/>
    <mergeCell ref="W83:W84"/>
    <mergeCell ref="X83:X84"/>
    <mergeCell ref="Y83:Y84"/>
    <mergeCell ref="Z83:Z84"/>
    <mergeCell ref="AA83:AA84"/>
    <mergeCell ref="J90:J91"/>
    <mergeCell ref="K90:K91"/>
    <mergeCell ref="L90:L91"/>
    <mergeCell ref="M90:M91"/>
    <mergeCell ref="AT83:AT84"/>
    <mergeCell ref="AU83:AU84"/>
    <mergeCell ref="AV83:AX84"/>
    <mergeCell ref="A90:A91"/>
    <mergeCell ref="B90:B91"/>
    <mergeCell ref="C90:C91"/>
    <mergeCell ref="D90:D91"/>
    <mergeCell ref="E90:E91"/>
    <mergeCell ref="F90:F91"/>
    <mergeCell ref="G90:G91"/>
    <mergeCell ref="AN83:AN84"/>
    <mergeCell ref="AO83:AO84"/>
    <mergeCell ref="AP83:AP84"/>
    <mergeCell ref="AQ83:AQ84"/>
    <mergeCell ref="AR83:AR84"/>
    <mergeCell ref="AS83:AS84"/>
    <mergeCell ref="AH83:AH84"/>
    <mergeCell ref="AI83:AI84"/>
    <mergeCell ref="AJ83:AJ84"/>
    <mergeCell ref="AK83:AK84"/>
    <mergeCell ref="AU90:AU91"/>
    <mergeCell ref="AV90:AX91"/>
    <mergeCell ref="A105:A106"/>
    <mergeCell ref="B105:B106"/>
    <mergeCell ref="C105:C106"/>
    <mergeCell ref="D105:D106"/>
    <mergeCell ref="E105:E106"/>
    <mergeCell ref="AL90:AL91"/>
    <mergeCell ref="AM90:AM91"/>
    <mergeCell ref="AN90:AN91"/>
    <mergeCell ref="AO90:AO91"/>
    <mergeCell ref="AP90:AP91"/>
    <mergeCell ref="AQ90:AQ91"/>
    <mergeCell ref="AF90:AF91"/>
    <mergeCell ref="AG90:AG91"/>
    <mergeCell ref="AH90:AH91"/>
    <mergeCell ref="AI90:AI91"/>
    <mergeCell ref="AJ90:AJ91"/>
    <mergeCell ref="AK90:AK91"/>
    <mergeCell ref="Z90:Z91"/>
    <mergeCell ref="AA90:AA91"/>
    <mergeCell ref="AB90:AB91"/>
    <mergeCell ref="AC90:AC91"/>
    <mergeCell ref="AD90:AD91"/>
    <mergeCell ref="F105:F106"/>
    <mergeCell ref="G105:G106"/>
    <mergeCell ref="H105:H106"/>
    <mergeCell ref="I105:I106"/>
    <mergeCell ref="J105:J106"/>
    <mergeCell ref="K105:K106"/>
    <mergeCell ref="AR90:AR91"/>
    <mergeCell ref="AS90:AS91"/>
    <mergeCell ref="AT90:AT91"/>
    <mergeCell ref="AE90:AE91"/>
    <mergeCell ref="T90:T91"/>
    <mergeCell ref="U90:U91"/>
    <mergeCell ref="V90:V91"/>
    <mergeCell ref="W90:W91"/>
    <mergeCell ref="X90:X91"/>
    <mergeCell ref="Y90:Y91"/>
    <mergeCell ref="N90:N91"/>
    <mergeCell ref="O90:O91"/>
    <mergeCell ref="P90:P91"/>
    <mergeCell ref="Q90:Q91"/>
    <mergeCell ref="R90:R91"/>
    <mergeCell ref="S90:S91"/>
    <mergeCell ref="H90:H91"/>
    <mergeCell ref="I90:I91"/>
    <mergeCell ref="R105:R106"/>
    <mergeCell ref="S105:S106"/>
    <mergeCell ref="T105:T106"/>
    <mergeCell ref="U105:U106"/>
    <mergeCell ref="V105:V106"/>
    <mergeCell ref="W105:W106"/>
    <mergeCell ref="L105:L106"/>
    <mergeCell ref="M105:M106"/>
    <mergeCell ref="N105:N106"/>
    <mergeCell ref="O105:O106"/>
    <mergeCell ref="P105:P106"/>
    <mergeCell ref="Q105:Q106"/>
    <mergeCell ref="AD105:AD106"/>
    <mergeCell ref="AE105:AE106"/>
    <mergeCell ref="AF105:AF106"/>
    <mergeCell ref="AG105:AG106"/>
    <mergeCell ref="AH105:AH106"/>
    <mergeCell ref="AI105:AI106"/>
    <mergeCell ref="X105:X106"/>
    <mergeCell ref="Y105:Y106"/>
    <mergeCell ref="Z105:Z106"/>
    <mergeCell ref="AA105:AA106"/>
    <mergeCell ref="AB105:AB106"/>
    <mergeCell ref="AC105:AC106"/>
    <mergeCell ref="AV105:AX106"/>
    <mergeCell ref="AP105:AP106"/>
    <mergeCell ref="AQ105:AQ106"/>
    <mergeCell ref="AR105:AR106"/>
    <mergeCell ref="AS105:AS106"/>
    <mergeCell ref="AT105:AT106"/>
    <mergeCell ref="AU105:AU106"/>
    <mergeCell ref="AJ105:AJ106"/>
    <mergeCell ref="AK105:AK106"/>
    <mergeCell ref="AL105:AL106"/>
    <mergeCell ref="AM105:AM106"/>
    <mergeCell ref="AN105:AN106"/>
    <mergeCell ref="AO105:AO10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2015-05-22T06:42:43Z</dcterms:created>
  <dcterms:modified xsi:type="dcterms:W3CDTF">2026-06-23T09:17:18Z</dcterms:modified>
</cp:coreProperties>
</file>