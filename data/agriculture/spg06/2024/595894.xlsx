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898112DF-0689-4E38-9B8D-ABFFBA017009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List of Regions" sheetId="2" state="hidden" r:id="rId1"/>
    <sheet name="ΠΙΝΑΚΑΣ 6α ΠΟΤΙΣΤΙΚΕΣ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" i="1" l="1"/>
  <c r="B24" i="1"/>
  <c r="B23" i="1"/>
  <c r="B22" i="1"/>
  <c r="C66" i="1"/>
  <c r="D66" i="1"/>
  <c r="E66" i="1"/>
  <c r="F66" i="1"/>
  <c r="B15" i="1"/>
  <c r="C54" i="1"/>
  <c r="D54" i="1"/>
  <c r="E54" i="1"/>
  <c r="F54" i="1"/>
  <c r="D12" i="1" l="1"/>
  <c r="D20" i="1"/>
  <c r="D34" i="1"/>
  <c r="D40" i="1"/>
  <c r="D47" i="1"/>
  <c r="D61" i="1"/>
  <c r="D73" i="1"/>
  <c r="D83" i="1"/>
  <c r="D90" i="1"/>
  <c r="D105" i="1"/>
  <c r="C105" i="1"/>
  <c r="C90" i="1"/>
  <c r="C83" i="1"/>
  <c r="C73" i="1"/>
  <c r="C61" i="1"/>
  <c r="C47" i="1"/>
  <c r="C40" i="1"/>
  <c r="C34" i="1"/>
  <c r="C29" i="1"/>
  <c r="C20" i="1"/>
  <c r="C12" i="1"/>
  <c r="B60" i="1"/>
  <c r="B53" i="1"/>
  <c r="B37" i="1"/>
  <c r="B33" i="1"/>
  <c r="B28" i="1"/>
  <c r="B16" i="1"/>
  <c r="B107" i="1"/>
  <c r="B71" i="1"/>
  <c r="B85" i="1"/>
  <c r="B82" i="1"/>
  <c r="B81" i="1"/>
  <c r="B80" i="1"/>
  <c r="B78" i="1"/>
  <c r="B79" i="1"/>
  <c r="B77" i="1"/>
  <c r="B76" i="1"/>
  <c r="B75" i="1"/>
  <c r="E105" i="1"/>
  <c r="F105" i="1"/>
  <c r="E90" i="1"/>
  <c r="F90" i="1"/>
  <c r="E83" i="1"/>
  <c r="F83" i="1"/>
  <c r="E73" i="1"/>
  <c r="F73" i="1"/>
  <c r="E61" i="1"/>
  <c r="F61" i="1"/>
  <c r="E47" i="1"/>
  <c r="F47" i="1"/>
  <c r="E40" i="1"/>
  <c r="F40" i="1"/>
  <c r="E34" i="1"/>
  <c r="F34" i="1"/>
  <c r="B110" i="1"/>
  <c r="B109" i="1"/>
  <c r="B108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89" i="1"/>
  <c r="B88" i="1"/>
  <c r="B87" i="1"/>
  <c r="B86" i="1"/>
  <c r="B72" i="1"/>
  <c r="B70" i="1"/>
  <c r="B69" i="1"/>
  <c r="B68" i="1"/>
  <c r="B65" i="1"/>
  <c r="B64" i="1"/>
  <c r="B63" i="1"/>
  <c r="B59" i="1"/>
  <c r="B58" i="1"/>
  <c r="B57" i="1"/>
  <c r="B56" i="1"/>
  <c r="B52" i="1"/>
  <c r="B51" i="1"/>
  <c r="B50" i="1"/>
  <c r="B49" i="1"/>
  <c r="B46" i="1"/>
  <c r="B45" i="1"/>
  <c r="B44" i="1"/>
  <c r="B43" i="1"/>
  <c r="B42" i="1"/>
  <c r="B39" i="1"/>
  <c r="B38" i="1"/>
  <c r="B36" i="1"/>
  <c r="D29" i="1"/>
  <c r="E29" i="1"/>
  <c r="F29" i="1"/>
  <c r="B32" i="1"/>
  <c r="B31" i="1"/>
  <c r="B30" i="1"/>
  <c r="B25" i="1"/>
  <c r="B26" i="1"/>
  <c r="B27" i="1"/>
  <c r="E20" i="1"/>
  <c r="F20" i="1"/>
  <c r="E12" i="1"/>
  <c r="F12" i="1"/>
  <c r="B17" i="1"/>
  <c r="B18" i="1"/>
  <c r="B19" i="1"/>
  <c r="B20" i="1" l="1"/>
  <c r="B12" i="1"/>
  <c r="C10" i="1"/>
  <c r="D10" i="1"/>
  <c r="F10" i="1"/>
  <c r="B105" i="1"/>
  <c r="B61" i="1"/>
  <c r="B34" i="1"/>
  <c r="B83" i="1"/>
  <c r="B47" i="1"/>
  <c r="B40" i="1"/>
  <c r="B90" i="1"/>
  <c r="B73" i="1"/>
  <c r="B66" i="1"/>
  <c r="B54" i="1"/>
  <c r="B29" i="1"/>
  <c r="E10" i="1"/>
  <c r="B10" i="1" l="1"/>
</calcChain>
</file>

<file path=xl/sharedStrings.xml><?xml version="1.0" encoding="utf-8"?>
<sst xmlns="http://schemas.openxmlformats.org/spreadsheetml/2006/main" count="385" uniqueCount="294">
  <si>
    <t>Εκτάσεις σε στρέμματα</t>
  </si>
  <si>
    <t xml:space="preserve">Περιφέρειες και Περιφερειακές Ενότητες      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</si>
  <si>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</si>
  <si>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</si>
  <si>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</si>
  <si>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Ηπείρου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</si>
  <si>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</si>
  <si>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</si>
  <si>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</si>
  <si>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</si>
  <si>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</si>
  <si>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</si>
  <si>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</si>
  <si>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</si>
  <si>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</si>
  <si>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</si>
  <si>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</si>
  <si>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</si>
  <si>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</si>
  <si>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</si>
  <si>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</si>
  <si>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>Περιφέρεια Νοτίου Αιγαίου</t>
  </si>
  <si>
    <t>Περιφέρεια Κρήτης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</si>
  <si>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</si>
  <si>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</si>
  <si>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</si>
  <si>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</si>
  <si>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</si>
  <si>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</si>
  <si>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</si>
  <si>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</si>
  <si>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</si>
  <si>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</si>
  <si>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</si>
  <si>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</si>
  <si>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</si>
  <si>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</si>
  <si>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</si>
  <si>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</si>
  <si>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</si>
  <si>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</si>
  <si>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</si>
  <si>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</si>
  <si>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</si>
  <si>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</si>
  <si>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</si>
  <si>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</si>
  <si>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</si>
  <si>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</si>
  <si>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</si>
  <si>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</si>
  <si>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</si>
  <si>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</si>
  <si>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</si>
  <si>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</si>
  <si>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</si>
  <si>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</si>
  <si>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</si>
  <si>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</si>
  <si>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</si>
  <si>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</si>
  <si>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</si>
  <si>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</si>
  <si>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</si>
  <si>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</si>
  <si>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</si>
  <si>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</si>
  <si>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</si>
  <si>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</si>
  <si>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</si>
  <si>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</si>
  <si>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</si>
  <si>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</si>
  <si>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</si>
  <si>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</si>
  <si>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</si>
  <si>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</si>
  <si>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</si>
  <si>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</si>
  <si>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</si>
  <si>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</si>
  <si>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</si>
  <si>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</si>
  <si>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</si>
  <si>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</si>
  <si>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</si>
  <si>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</si>
  <si>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</si>
  <si>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</si>
  <si>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</si>
  <si>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</si>
  <si>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</si>
  <si>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</si>
  <si>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</si>
  <si>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</si>
  <si>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</si>
  <si>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</si>
  <si>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</si>
  <si>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</si>
  <si>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</si>
  <si>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</si>
  <si>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</si>
  <si>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</si>
  <si>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</si>
  <si>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</si>
  <si>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</si>
  <si>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</si>
  <si>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</si>
  <si>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</si>
  <si>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</si>
  <si>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</si>
  <si>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</si>
  <si>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</si>
  <si>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</si>
  <si>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</si>
  <si>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</si>
  <si>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</si>
  <si>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</si>
  <si>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</si>
  <si>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</si>
  <si>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</si>
  <si>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</si>
  <si>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</si>
  <si>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</si>
  <si>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</si>
  <si>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</si>
  <si>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</si>
  <si>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</si>
  <si>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</si>
  <si>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</si>
  <si>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</si>
  <si>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</si>
  <si>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</si>
  <si>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</si>
  <si>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</si>
  <si>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</si>
  <si>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</si>
  <si>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</si>
  <si>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</si>
  <si>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</si>
  <si>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</si>
  <si>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</si>
  <si>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</si>
  <si>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</si>
  <si>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</si>
  <si>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</si>
  <si>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</si>
  <si>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</si>
  <si>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</si>
  <si>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</si>
  <si>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</si>
  <si>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</si>
  <si>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</si>
  <si>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</si>
  <si>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</si>
  <si>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</si>
  <si>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</si>
  <si>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</si>
  <si>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</si>
  <si>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</si>
  <si>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</si>
  <si>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</si>
  <si>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</si>
  <si>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</si>
  <si>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</si>
  <si>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</si>
  <si>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</si>
  <si>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</si>
  <si>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</si>
  <si>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</si>
  <si>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</si>
  <si>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</si>
  <si>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</si>
  <si>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</si>
  <si>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</si>
  <si>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</si>
  <si>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</si>
  <si>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6. Ποτιστικές Εκτάσεις</t>
  </si>
  <si>
    <t>01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</si>
  <si>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</si>
  <si>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</si>
  <si>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</si>
  <si>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</si>
  <si>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</si>
  <si>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</si>
  <si>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</si>
  <si>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</si>
  <si>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</si>
  <si>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</si>
  <si>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</si>
  <si>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</si>
  <si>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</si>
  <si>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</si>
  <si>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</si>
  <si>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</si>
  <si>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</si>
  <si>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</si>
  <si>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</si>
  <si>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</si>
  <si>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</si>
  <si>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</si>
  <si>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</si>
  <si>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</si>
  <si>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</si>
  <si>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</si>
  <si>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</si>
  <si>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</si>
  <si>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</si>
  <si>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</si>
  <si>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</si>
  <si>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</si>
  <si>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</si>
  <si>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</si>
  <si>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</si>
  <si>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</si>
  <si>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</si>
  <si>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</si>
  <si>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</si>
  <si>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</si>
  <si>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</si>
  <si>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</si>
  <si>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</si>
  <si>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</si>
  <si>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</si>
  <si>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</si>
  <si>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</si>
  <si>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</si>
  <si>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</si>
  <si>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</si>
  <si>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</si>
  <si>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</si>
  <si>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</si>
  <si>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</si>
  <si>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</si>
  <si>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</si>
  <si>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</si>
  <si>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</si>
  <si>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</si>
  <si>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</si>
  <si>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</si>
  <si>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</si>
  <si>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</si>
  <si>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</si>
  <si>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</si>
  <si>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</si>
  <si>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</si>
  <si>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</si>
  <si>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</si>
  <si>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</si>
  <si>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</si>
  <si>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</si>
  <si>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</si>
  <si>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</si>
  <si>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</si>
  <si>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</si>
  <si>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</si>
  <si>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</si>
  <si>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</si>
  <si>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</si>
  <si>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</si>
  <si>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</si>
  <si>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</si>
  <si>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</si>
  <si>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</si>
  <si>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</si>
  <si>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</si>
  <si>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</si>
  <si>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</si>
  <si>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</si>
  <si>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</si>
  <si>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</si>
  <si>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</si>
  <si>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</si>
  <si>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</si>
  <si>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</si>
  <si>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</si>
  <si>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Region of Western Macedonia</t>
  </si>
  <si>
    <t>Περιφέρεια Δυτικής Μακεδονίας</t>
  </si>
  <si>
    <t>Areas in stremmas (1 stremma = 0.1 ha)</t>
  </si>
  <si>
    <t>—</t>
  </si>
  <si>
    <t>Crops</t>
  </si>
  <si>
    <t>Καλλιέργειες</t>
  </si>
  <si>
    <t xml:space="preserve">Αροτραίες </t>
  </si>
  <si>
    <t>Κηπευτική γη</t>
  </si>
  <si>
    <t>Horticulture land</t>
  </si>
  <si>
    <t xml:space="preserve">Αμπέλια και σταφιδάμπελα </t>
  </si>
  <si>
    <t>Vines 
(grapes and raisins)</t>
  </si>
  <si>
    <t>Δενδρώδεις</t>
  </si>
  <si>
    <t>Tree groves</t>
  </si>
  <si>
    <t>Σύνολο ποτιστικών καλλιεργειών</t>
  </si>
  <si>
    <t>Total irrigated crops</t>
  </si>
  <si>
    <t>Arable land</t>
  </si>
  <si>
    <t>Πίνακας 6. Ποτιστικές εκτάσεις, κατά κατηγορίες καλλιεργειών, Περιφέρεια και Περιφερειακή Ενότητα: 2024</t>
  </si>
  <si>
    <t>Table 6. Irrigated areas by category of crop, Region and Regional Unity: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</si>
</sst>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49" fontId="1" fillId="2" borderId="4" xfId="0" applyNumberFormat="1" applyFont="1" applyFill="1" applyBorder="1"/>
    <xf numFmtId="49" fontId="1" fillId="2" borderId="5" xfId="0" applyNumberFormat="1" applyFont="1" applyFill="1" applyBorder="1" applyAlignment="1">
      <alignment horizontal="left"/>
    </xf>
    <xf numFmtId="0" fontId="2" fillId="2" borderId="5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5" xfId="0" applyNumberFormat="1" applyFont="1" applyFill="1" applyBorder="1" applyAlignment="1">
      <alignment vertical="center" textRotation="90"/>
    </xf>
    <xf numFmtId="0" fontId="2" fillId="2" borderId="6" xfId="0" applyFont="1" applyFill="1" applyBorder="1"/>
    <xf numFmtId="49" fontId="1" fillId="2" borderId="2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7" xfId="0" applyFont="1" applyFill="1" applyBorder="1"/>
    <xf numFmtId="0" fontId="5" fillId="2" borderId="0" xfId="0" applyFont="1" applyFill="1"/>
    <xf numFmtId="49" fontId="1" fillId="6" borderId="2" xfId="0" applyNumberFormat="1" applyFont="1" applyFill="1" applyBorder="1"/>
    <xf numFmtId="49" fontId="1" fillId="6" borderId="0" xfId="0" applyNumberFormat="1" applyFont="1" applyFill="1" applyAlignment="1">
      <alignment horizontal="left"/>
    </xf>
    <xf numFmtId="0" fontId="2" fillId="6" borderId="0" xfId="0" applyFont="1" applyFill="1"/>
    <xf numFmtId="49" fontId="3" fillId="6" borderId="0" xfId="0" applyNumberFormat="1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7" xfId="0" applyFont="1" applyFill="1" applyBorder="1"/>
    <xf numFmtId="49" fontId="1" fillId="6" borderId="0" xfId="0" applyNumberFormat="1" applyFont="1" applyFill="1"/>
    <xf numFmtId="49" fontId="3" fillId="6" borderId="0" xfId="0" applyNumberFormat="1" applyFont="1" applyFill="1" applyAlignment="1">
      <alignment horizontal="left"/>
    </xf>
    <xf numFmtId="49" fontId="4" fillId="6" borderId="0" xfId="0" applyNumberFormat="1" applyFont="1" applyFill="1"/>
    <xf numFmtId="49" fontId="1" fillId="3" borderId="2" xfId="0" applyNumberFormat="1" applyFont="1" applyFill="1" applyBorder="1"/>
    <xf numFmtId="49" fontId="1" fillId="3" borderId="0" xfId="0" applyNumberFormat="1" applyFont="1" applyFill="1"/>
    <xf numFmtId="0" fontId="2" fillId="3" borderId="0" xfId="0" applyFont="1" applyFill="1"/>
    <xf numFmtId="49" fontId="3" fillId="3" borderId="0" xfId="0" applyNumberFormat="1" applyFont="1" applyFill="1"/>
    <xf numFmtId="49" fontId="3" fillId="7" borderId="0" xfId="0" applyNumberFormat="1" applyFont="1" applyFill="1" applyAlignment="1">
      <alignment vertical="center" textRotation="90"/>
    </xf>
    <xf numFmtId="0" fontId="2" fillId="3" borderId="7" xfId="0" applyFont="1" applyFill="1" applyBorder="1"/>
    <xf numFmtId="49" fontId="4" fillId="3" borderId="0" xfId="0" applyNumberFormat="1" applyFont="1" applyFill="1"/>
    <xf numFmtId="49" fontId="1" fillId="3" borderId="3" xfId="0" applyNumberFormat="1" applyFont="1" applyFill="1" applyBorder="1"/>
    <xf numFmtId="49" fontId="1" fillId="3" borderId="1" xfId="0" applyNumberFormat="1" applyFont="1" applyFill="1" applyBorder="1"/>
    <xf numFmtId="0" fontId="2" fillId="3" borderId="1" xfId="0" applyFont="1" applyFill="1" applyBorder="1"/>
    <xf numFmtId="49" fontId="3" fillId="7" borderId="1" xfId="0" applyNumberFormat="1" applyFont="1" applyFill="1" applyBorder="1" applyAlignment="1">
      <alignment vertical="center" textRotation="90"/>
    </xf>
    <xf numFmtId="0" fontId="2" fillId="3" borderId="8" xfId="0" applyFont="1" applyFill="1" applyBorder="1"/>
    <xf numFmtId="49" fontId="1" fillId="8" borderId="4" xfId="0" applyNumberFormat="1" applyFont="1" applyFill="1" applyBorder="1"/>
    <xf numFmtId="49" fontId="1" fillId="8" borderId="5" xfId="0" applyNumberFormat="1" applyFont="1" applyFill="1" applyBorder="1"/>
    <xf numFmtId="0" fontId="2" fillId="8" borderId="5" xfId="0" applyFont="1" applyFill="1" applyBorder="1"/>
    <xf numFmtId="49" fontId="3" fillId="8" borderId="5" xfId="0" applyNumberFormat="1" applyFont="1" applyFill="1" applyBorder="1"/>
    <xf numFmtId="49" fontId="3" fillId="8" borderId="5" xfId="0" applyNumberFormat="1" applyFont="1" applyFill="1" applyBorder="1" applyAlignment="1">
      <alignment vertical="center" textRotation="90"/>
    </xf>
    <xf numFmtId="0" fontId="2" fillId="8" borderId="6" xfId="0" applyFont="1" applyFill="1" applyBorder="1"/>
    <xf numFmtId="49" fontId="1" fillId="8" borderId="2" xfId="0" applyNumberFormat="1" applyFont="1" applyFill="1" applyBorder="1"/>
    <xf numFmtId="49" fontId="1" fillId="8" borderId="0" xfId="0" applyNumberFormat="1" applyFont="1" applyFill="1"/>
    <xf numFmtId="0" fontId="2" fillId="8" borderId="0" xfId="0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7" xfId="0" applyFont="1" applyFill="1" applyBorder="1"/>
    <xf numFmtId="49" fontId="4" fillId="8" borderId="0" xfId="0" applyNumberFormat="1" applyFont="1" applyFill="1"/>
    <xf numFmtId="49" fontId="1" fillId="4" borderId="2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4" borderId="0" xfId="0" applyNumberFormat="1" applyFont="1" applyFill="1" applyAlignment="1">
      <alignment vertical="center" textRotation="90"/>
    </xf>
    <xf numFmtId="0" fontId="2" fillId="4" borderId="7" xfId="0" applyFont="1" applyFill="1" applyBorder="1"/>
    <xf numFmtId="49" fontId="4" fillId="4" borderId="0" xfId="0" applyNumberFormat="1" applyFont="1" applyFill="1"/>
    <xf numFmtId="49" fontId="1" fillId="4" borderId="3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Font="1" applyFill="1" applyBorder="1"/>
    <xf numFmtId="49" fontId="3" fillId="4" borderId="1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5" borderId="4" xfId="0" applyNumberFormat="1" applyFont="1" applyFill="1" applyBorder="1"/>
    <xf numFmtId="49" fontId="1" fillId="5" borderId="5" xfId="0" applyNumberFormat="1" applyFont="1" applyFill="1" applyBorder="1"/>
    <xf numFmtId="0" fontId="2" fillId="5" borderId="5" xfId="0" applyFont="1" applyFill="1" applyBorder="1"/>
    <xf numFmtId="49" fontId="3" fillId="5" borderId="5" xfId="0" applyNumberFormat="1" applyFont="1" applyFill="1" applyBorder="1"/>
    <xf numFmtId="0" fontId="5" fillId="5" borderId="5" xfId="0" applyFont="1" applyFill="1" applyBorder="1"/>
    <xf numFmtId="49" fontId="3" fillId="5" borderId="5" xfId="0" applyNumberFormat="1" applyFont="1" applyFill="1" applyBorder="1" applyAlignment="1">
      <alignment vertical="center" textRotation="90"/>
    </xf>
    <xf numFmtId="0" fontId="5" fillId="5" borderId="6" xfId="0" applyFont="1" applyFill="1" applyBorder="1"/>
    <xf numFmtId="49" fontId="1" fillId="5" borderId="2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7" xfId="0" applyFont="1" applyFill="1" applyBorder="1"/>
    <xf numFmtId="49" fontId="4" fillId="5" borderId="0" xfId="0" applyNumberFormat="1" applyFont="1" applyFill="1"/>
    <xf numFmtId="49" fontId="1" fillId="9" borderId="2" xfId="0" applyNumberFormat="1" applyFont="1" applyFill="1" applyBorder="1"/>
    <xf numFmtId="49" fontId="1" fillId="9" borderId="0" xfId="0" applyNumberFormat="1" applyFont="1" applyFill="1"/>
    <xf numFmtId="0" fontId="2" fillId="9" borderId="0" xfId="0" applyFont="1" applyFill="1"/>
    <xf numFmtId="49" fontId="3" fillId="9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9" borderId="7" xfId="0" applyFont="1" applyFill="1" applyBorder="1"/>
    <xf numFmtId="49" fontId="4" fillId="9" borderId="0" xfId="0" applyNumberFormat="1" applyFont="1" applyFill="1"/>
    <xf numFmtId="49" fontId="1" fillId="10" borderId="2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/>
    <xf numFmtId="0" fontId="5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7" xfId="0" applyFont="1" applyFill="1" applyBorder="1"/>
    <xf numFmtId="49" fontId="1" fillId="10" borderId="3" xfId="0" applyNumberFormat="1" applyFont="1" applyFill="1" applyBorder="1"/>
    <xf numFmtId="49" fontId="1" fillId="10" borderId="1" xfId="0" applyNumberFormat="1" applyFont="1" applyFill="1" applyBorder="1"/>
    <xf numFmtId="0" fontId="2" fillId="10" borderId="1" xfId="0" applyFont="1" applyFill="1" applyBorder="1"/>
    <xf numFmtId="49" fontId="3" fillId="10" borderId="1" xfId="0" applyNumberFormat="1" applyFont="1" applyFill="1" applyBorder="1" applyAlignment="1">
      <alignment vertical="center" textRotation="90"/>
    </xf>
    <xf numFmtId="0" fontId="2" fillId="10" borderId="8" xfId="0" applyFont="1" applyFill="1" applyBorder="1"/>
    <xf numFmtId="0" fontId="6" fillId="5" borderId="5" xfId="0" applyFont="1" applyFill="1" applyBorder="1"/>
    <xf numFmtId="0" fontId="2" fillId="5" borderId="6" xfId="0" applyFont="1" applyFill="1" applyBorder="1"/>
    <xf numFmtId="0" fontId="5" fillId="5" borderId="0" xfId="0" applyFont="1" applyFill="1"/>
    <xf numFmtId="49" fontId="1" fillId="5" borderId="3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Font="1" applyFill="1" applyBorder="1"/>
    <xf numFmtId="0" fontId="2" fillId="5" borderId="8" xfId="0" applyFont="1" applyFill="1" applyBorder="1"/>
    <xf numFmtId="49" fontId="1" fillId="2" borderId="5" xfId="0" applyNumberFormat="1" applyFont="1" applyFill="1" applyBorder="1"/>
    <xf numFmtId="49" fontId="3" fillId="2" borderId="5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6" borderId="4" xfId="0" applyNumberFormat="1" applyFont="1" applyFill="1" applyBorder="1"/>
    <xf numFmtId="49" fontId="7" fillId="6" borderId="0" xfId="0" applyNumberFormat="1" applyFont="1" applyFill="1"/>
    <xf numFmtId="0" fontId="2" fillId="6" borderId="5" xfId="0" applyFont="1" applyFill="1" applyBorder="1"/>
    <xf numFmtId="49" fontId="3" fillId="6" borderId="5" xfId="0" applyNumberFormat="1" applyFont="1" applyFill="1" applyBorder="1"/>
    <xf numFmtId="49" fontId="1" fillId="6" borderId="5" xfId="0" applyNumberFormat="1" applyFont="1" applyFill="1" applyBorder="1"/>
    <xf numFmtId="0" fontId="2" fillId="6" borderId="6" xfId="0" applyFont="1" applyFill="1" applyBorder="1"/>
    <xf numFmtId="0" fontId="2" fillId="6" borderId="0" xfId="0" applyFont="1" applyFill="1" applyAlignment="1">
      <alignment horizontal="left"/>
    </xf>
    <xf numFmtId="49" fontId="8" fillId="6" borderId="0" xfId="0" applyNumberFormat="1" applyFont="1" applyFill="1" applyAlignment="1">
      <alignment horizontal="left"/>
    </xf>
    <xf numFmtId="49" fontId="1" fillId="6" borderId="3" xfId="0" applyNumberFormat="1" applyFont="1" applyFill="1" applyBorder="1"/>
    <xf numFmtId="0" fontId="2" fillId="6" borderId="1" xfId="0" applyFont="1" applyFill="1" applyBorder="1"/>
    <xf numFmtId="49" fontId="1" fillId="6" borderId="1" xfId="0" applyNumberFormat="1" applyFont="1" applyFill="1" applyBorder="1"/>
    <xf numFmtId="0" fontId="2" fillId="6" borderId="8" xfId="0" applyFont="1" applyFill="1" applyBorder="1"/>
    <xf numFmtId="49" fontId="1" fillId="2" borderId="9" xfId="0" applyNumberFormat="1" applyFont="1" applyFill="1" applyBorder="1"/>
    <xf numFmtId="49" fontId="7" fillId="11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0" fillId="0" borderId="0" xfId="0" applyFont="1"/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11" fillId="0" borderId="0" xfId="0" applyFont="1"/>
    <xf numFmtId="49" fontId="11" fillId="0" borderId="0" xfId="0" applyNumberFormat="1" applyFont="1" applyAlignment="1">
      <alignment horizontal="left" wrapText="1" indent="2"/>
    </xf>
    <xf numFmtId="0" fontId="0" fillId="0" borderId="2" xfId="0" applyBorder="1" applyAlignment="1">
      <alignment horizontal="left" indent="2"/>
    </xf>
    <xf numFmtId="0" fontId="0" fillId="0" borderId="0" xfId="0" applyAlignment="1">
      <alignment horizontal="left"/>
    </xf>
    <xf numFmtId="49" fontId="10" fillId="0" borderId="0" xfId="0" applyNumberFormat="1" applyFont="1" applyAlignment="1">
      <alignment vertical="center" wrapText="1"/>
    </xf>
    <xf numFmtId="0" fontId="9" fillId="0" borderId="2" xfId="0" applyFont="1" applyBorder="1" applyAlignment="1">
      <alignment vertical="center"/>
    </xf>
    <xf numFmtId="49" fontId="12" fillId="0" borderId="0" xfId="0" applyNumberFormat="1" applyFont="1" applyAlignment="1" applyProtection="1">
      <alignment horizontal="left" vertical="center" wrapText="1" indent="2"/>
      <protection locked="0"/>
    </xf>
    <xf numFmtId="49" fontId="11" fillId="0" borderId="1" xfId="0" applyNumberFormat="1" applyFont="1" applyBorder="1" applyAlignment="1">
      <alignment horizontal="left" wrapText="1" indent="2"/>
    </xf>
    <xf numFmtId="0" fontId="0" fillId="0" borderId="3" xfId="0" applyBorder="1" applyAlignment="1">
      <alignment horizontal="left" indent="2"/>
    </xf>
    <xf numFmtId="0" fontId="0" fillId="0" borderId="1" xfId="0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right"/>
    </xf>
    <xf numFmtId="3" fontId="14" fillId="0" borderId="13" xfId="0" applyNumberFormat="1" applyFont="1" applyBorder="1" applyAlignment="1">
      <alignment horizontal="right" vertical="top"/>
    </xf>
    <xf numFmtId="3" fontId="14" fillId="0" borderId="0" xfId="0" applyNumberFormat="1" applyFont="1" applyAlignment="1">
      <alignment horizontal="right" vertical="top"/>
    </xf>
    <xf numFmtId="0" fontId="14" fillId="0" borderId="13" xfId="0" applyFont="1" applyBorder="1" applyAlignment="1">
      <alignment horizontal="right" vertical="top"/>
    </xf>
    <xf numFmtId="0" fontId="14" fillId="0" borderId="0" xfId="0" applyFont="1" applyAlignment="1">
      <alignment horizontal="right" vertical="top"/>
    </xf>
    <xf numFmtId="3" fontId="14" fillId="0" borderId="7" xfId="0" applyNumberFormat="1" applyFont="1" applyBorder="1" applyAlignment="1">
      <alignment horizontal="right" vertical="top"/>
    </xf>
    <xf numFmtId="0" fontId="14" fillId="0" borderId="7" xfId="0" applyFont="1" applyBorder="1" applyAlignment="1">
      <alignment horizontal="right" vertical="top"/>
    </xf>
    <xf numFmtId="3" fontId="14" fillId="0" borderId="24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3" fontId="14" fillId="0" borderId="8" xfId="0" applyNumberFormat="1" applyFont="1" applyBorder="1" applyAlignment="1">
      <alignment horizontal="right" vertical="top"/>
    </xf>
    <xf numFmtId="3" fontId="0" fillId="0" borderId="0" xfId="0" applyNumberFormat="1"/>
    <xf numFmtId="0" fontId="13" fillId="0" borderId="1" xfId="0" applyFont="1" applyBorder="1"/>
    <xf numFmtId="0" fontId="11" fillId="0" borderId="14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3" fontId="9" fillId="12" borderId="13" xfId="0" applyNumberFormat="1" applyFont="1" applyFill="1" applyBorder="1" applyAlignment="1">
      <alignment horizontal="right" vertical="center"/>
    </xf>
    <xf numFmtId="3" fontId="9" fillId="12" borderId="0" xfId="0" applyNumberFormat="1" applyFont="1" applyFill="1" applyAlignment="1">
      <alignment horizontal="right" vertical="center"/>
    </xf>
    <xf numFmtId="3" fontId="9" fillId="12" borderId="7" xfId="0" applyNumberFormat="1" applyFont="1" applyFill="1" applyBorder="1" applyAlignment="1">
      <alignment horizontal="right" vertical="center"/>
    </xf>
    <xf numFmtId="3" fontId="9" fillId="12" borderId="2" xfId="0" applyNumberFormat="1" applyFont="1" applyFill="1" applyBorder="1" applyAlignment="1">
      <alignment horizontal="right" vertical="center"/>
    </xf>
    <xf numFmtId="3" fontId="0" fillId="12" borderId="2" xfId="0" applyNumberFormat="1" applyFill="1" applyBorder="1" applyAlignment="1">
      <alignment horizontal="right" vertical="center"/>
    </xf>
    <xf numFmtId="3" fontId="0" fillId="12" borderId="3" xfId="0" applyNumberFormat="1" applyFill="1" applyBorder="1" applyAlignment="1">
      <alignment horizontal="right" vertical="center"/>
    </xf>
    <xf numFmtId="0" fontId="11" fillId="0" borderId="26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49" fontId="10" fillId="0" borderId="21" xfId="0" applyNumberFormat="1" applyFont="1" applyBorder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  <xf numFmtId="49" fontId="10" fillId="0" borderId="7" xfId="0" applyNumberFormat="1" applyFont="1" applyBorder="1" applyAlignment="1">
      <alignment horizontal="left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3" fontId="9" fillId="12" borderId="23" xfId="0" applyNumberFormat="1" applyFont="1" applyFill="1" applyBorder="1" applyAlignment="1">
      <alignment horizontal="right" vertical="center"/>
    </xf>
    <xf numFmtId="3" fontId="9" fillId="12" borderId="7" xfId="0" applyNumberFormat="1" applyFont="1" applyFill="1" applyBorder="1" applyAlignment="1">
      <alignment horizontal="right" vertical="center"/>
    </xf>
    <xf numFmtId="3" fontId="9" fillId="12" borderId="2" xfId="0" applyNumberFormat="1" applyFont="1" applyFill="1" applyBorder="1" applyAlignment="1">
      <alignment horizontal="right" vertical="center"/>
    </xf>
    <xf numFmtId="3" fontId="9" fillId="12" borderId="13" xfId="0" applyNumberFormat="1" applyFont="1" applyFill="1" applyBorder="1" applyAlignment="1">
      <alignment horizontal="right" vertical="center"/>
    </xf>
    <xf numFmtId="3" fontId="9" fillId="12" borderId="0" xfId="0" applyNumberFormat="1" applyFont="1" applyFill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" fontId="9" fillId="12" borderId="22" xfId="0" applyNumberFormat="1" applyFont="1" applyFill="1" applyBorder="1" applyAlignment="1">
      <alignment horizontal="right" vertical="center"/>
    </xf>
    <xf numFmtId="3" fontId="9" fillId="12" borderId="19" xfId="0" applyNumberFormat="1" applyFont="1" applyFill="1" applyBorder="1" applyAlignment="1">
      <alignment horizontal="right" vertical="center"/>
    </xf>
    <xf numFmtId="3" fontId="9" fillId="12" borderId="21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workbookViewId="0">
      <selection sqref="A1:IV65536"/>
    </sheetView>
  </sheetViews>
  <sheetFormatPr defaultRowHeight="14.4" x14ac:dyDescent="0.3"/>
  <sheetData>
    <row r="1" spans="1:12" x14ac:dyDescent="0.3">
      <c r="A1" s="1" t="s">
        <v>178</v>
      </c>
      <c r="B1" s="2" t="s">
        <v>111</v>
      </c>
      <c r="C1" s="3"/>
      <c r="D1" s="4"/>
      <c r="E1" s="4"/>
      <c r="F1" s="4"/>
      <c r="G1" s="4"/>
      <c r="H1" s="5"/>
      <c r="I1" s="3"/>
      <c r="J1" s="3"/>
      <c r="K1" s="3"/>
      <c r="L1" s="6"/>
    </row>
    <row r="2" spans="1:12" x14ac:dyDescent="0.3">
      <c r="A2" s="7" t="s">
        <v>179</v>
      </c>
      <c r="B2" s="8" t="s">
        <v>112</v>
      </c>
      <c r="C2" s="9"/>
      <c r="D2" s="9"/>
      <c r="E2" s="9"/>
      <c r="F2" s="9"/>
      <c r="G2" s="9"/>
      <c r="H2" s="10"/>
      <c r="I2" s="9"/>
      <c r="J2" s="9"/>
      <c r="K2" s="9"/>
      <c r="L2" s="11"/>
    </row>
    <row r="3" spans="1:12" x14ac:dyDescent="0.3">
      <c r="A3" s="7" t="s">
        <v>180</v>
      </c>
      <c r="B3" s="8" t="s">
        <v>113</v>
      </c>
      <c r="C3" s="9"/>
      <c r="D3" s="194" t="s">
        <v>181</v>
      </c>
      <c r="E3" s="194"/>
      <c r="F3" s="194"/>
      <c r="G3" s="194"/>
      <c r="H3" s="10"/>
      <c r="I3" s="9"/>
      <c r="J3" s="9"/>
      <c r="K3" s="9"/>
      <c r="L3" s="11"/>
    </row>
    <row r="4" spans="1:12" x14ac:dyDescent="0.3">
      <c r="A4" s="7" t="s">
        <v>182</v>
      </c>
      <c r="B4" s="8" t="s">
        <v>114</v>
      </c>
      <c r="C4" s="9"/>
      <c r="D4" s="12" t="s">
        <v>183</v>
      </c>
      <c r="E4" s="9"/>
      <c r="F4" s="9"/>
      <c r="G4" s="9"/>
      <c r="H4" s="10"/>
      <c r="I4" s="9"/>
      <c r="J4" s="9"/>
      <c r="K4" s="9"/>
      <c r="L4" s="11"/>
    </row>
    <row r="5" spans="1:12" x14ac:dyDescent="0.3">
      <c r="A5" s="7" t="s">
        <v>184</v>
      </c>
      <c r="B5" s="8" t="s">
        <v>115</v>
      </c>
      <c r="C5" s="9"/>
      <c r="D5" s="9"/>
      <c r="E5" s="9"/>
      <c r="F5" s="9"/>
      <c r="G5" s="9"/>
      <c r="H5" s="10"/>
      <c r="I5" s="9"/>
      <c r="J5" s="9"/>
      <c r="K5" s="9"/>
      <c r="L5" s="11"/>
    </row>
    <row r="6" spans="1:12" x14ac:dyDescent="0.3">
      <c r="A6" s="7" t="s">
        <v>185</v>
      </c>
      <c r="B6" s="8" t="s">
        <v>116</v>
      </c>
      <c r="C6" s="9"/>
      <c r="D6" s="9"/>
      <c r="E6" s="9"/>
      <c r="F6" s="9"/>
      <c r="G6" s="9"/>
      <c r="H6" s="10"/>
      <c r="I6" s="9"/>
      <c r="J6" s="9"/>
      <c r="K6" s="9"/>
      <c r="L6" s="11"/>
    </row>
    <row r="7" spans="1:12" x14ac:dyDescent="0.3">
      <c r="A7" s="13" t="s">
        <v>186</v>
      </c>
      <c r="B7" s="14" t="s">
        <v>117</v>
      </c>
      <c r="C7" s="15"/>
      <c r="D7" s="16"/>
      <c r="E7" s="15"/>
      <c r="F7" s="15"/>
      <c r="G7" s="15"/>
      <c r="H7" s="17"/>
      <c r="I7" s="15"/>
      <c r="J7" s="15"/>
      <c r="K7" s="15"/>
      <c r="L7" s="18"/>
    </row>
    <row r="8" spans="1:12" x14ac:dyDescent="0.3">
      <c r="A8" s="13" t="s">
        <v>187</v>
      </c>
      <c r="B8" s="19" t="s">
        <v>118</v>
      </c>
      <c r="C8" s="15"/>
      <c r="D8" s="15"/>
      <c r="E8" s="15"/>
      <c r="F8" s="15"/>
      <c r="G8" s="15"/>
      <c r="H8" s="17"/>
      <c r="I8" s="19"/>
      <c r="J8" s="20"/>
      <c r="K8" s="15"/>
      <c r="L8" s="18"/>
    </row>
    <row r="9" spans="1:12" x14ac:dyDescent="0.3">
      <c r="A9" s="13" t="s">
        <v>188</v>
      </c>
      <c r="B9" s="19" t="s">
        <v>119</v>
      </c>
      <c r="C9" s="15"/>
      <c r="D9" s="15"/>
      <c r="E9" s="15"/>
      <c r="F9" s="15"/>
      <c r="G9" s="15"/>
      <c r="H9" s="17"/>
      <c r="I9" s="15"/>
      <c r="J9" s="15"/>
      <c r="K9" s="15"/>
      <c r="L9" s="18"/>
    </row>
    <row r="10" spans="1:12" x14ac:dyDescent="0.3">
      <c r="A10" s="13" t="s">
        <v>189</v>
      </c>
      <c r="B10" s="19" t="s">
        <v>120</v>
      </c>
      <c r="C10" s="15"/>
      <c r="D10" s="15"/>
      <c r="E10" s="15"/>
      <c r="F10" s="15"/>
      <c r="G10" s="15"/>
      <c r="H10" s="17"/>
      <c r="I10" s="15"/>
      <c r="J10" s="15"/>
      <c r="K10" s="15"/>
      <c r="L10" s="18"/>
    </row>
    <row r="11" spans="1:12" x14ac:dyDescent="0.3">
      <c r="A11" s="13" t="s">
        <v>190</v>
      </c>
      <c r="B11" s="19" t="s">
        <v>121</v>
      </c>
      <c r="C11" s="15"/>
      <c r="D11" s="21" t="s">
        <v>191</v>
      </c>
      <c r="E11" s="15"/>
      <c r="F11" s="15"/>
      <c r="G11" s="15"/>
      <c r="H11" s="17"/>
      <c r="I11" s="15"/>
      <c r="J11" s="15"/>
      <c r="K11" s="15"/>
      <c r="L11" s="18"/>
    </row>
    <row r="12" spans="1:12" x14ac:dyDescent="0.3">
      <c r="A12" s="13" t="s">
        <v>192</v>
      </c>
      <c r="B12" s="19" t="s">
        <v>122</v>
      </c>
      <c r="C12" s="15"/>
      <c r="D12" s="15"/>
      <c r="E12" s="15"/>
      <c r="F12" s="15"/>
      <c r="G12" s="15"/>
      <c r="H12" s="17"/>
      <c r="I12" s="15"/>
      <c r="J12" s="15"/>
      <c r="K12" s="15"/>
      <c r="L12" s="18"/>
    </row>
    <row r="13" spans="1:12" x14ac:dyDescent="0.3">
      <c r="A13" s="13" t="s">
        <v>193</v>
      </c>
      <c r="B13" s="19" t="s">
        <v>123</v>
      </c>
      <c r="C13" s="15"/>
      <c r="D13" s="15"/>
      <c r="E13" s="15"/>
      <c r="F13" s="15"/>
      <c r="G13" s="15"/>
      <c r="H13" s="17"/>
      <c r="I13" s="15"/>
      <c r="J13" s="15"/>
      <c r="K13" s="15"/>
      <c r="L13" s="18"/>
    </row>
    <row r="14" spans="1:12" x14ac:dyDescent="0.3">
      <c r="A14" s="13" t="s">
        <v>194</v>
      </c>
      <c r="B14" s="19" t="s">
        <v>124</v>
      </c>
      <c r="C14" s="15"/>
      <c r="D14" s="15"/>
      <c r="E14" s="15"/>
      <c r="F14" s="15"/>
      <c r="G14" s="15"/>
      <c r="H14" s="17"/>
      <c r="I14" s="15"/>
      <c r="J14" s="15"/>
      <c r="K14" s="15"/>
      <c r="L14" s="18"/>
    </row>
    <row r="15" spans="1:12" x14ac:dyDescent="0.3">
      <c r="A15" s="13" t="s">
        <v>195</v>
      </c>
      <c r="B15" s="19" t="s">
        <v>125</v>
      </c>
      <c r="C15" s="15"/>
      <c r="D15" s="15"/>
      <c r="E15" s="15"/>
      <c r="F15" s="15"/>
      <c r="G15" s="15"/>
      <c r="H15" s="17"/>
      <c r="I15" s="15"/>
      <c r="J15" s="15"/>
      <c r="K15" s="15"/>
      <c r="L15" s="18"/>
    </row>
    <row r="16" spans="1:12" x14ac:dyDescent="0.3">
      <c r="A16" s="13" t="s">
        <v>196</v>
      </c>
      <c r="B16" s="19" t="s">
        <v>126</v>
      </c>
      <c r="C16" s="15"/>
      <c r="D16" s="15"/>
      <c r="E16" s="15"/>
      <c r="F16" s="15"/>
      <c r="G16" s="15"/>
      <c r="H16" s="17"/>
      <c r="I16" s="15"/>
      <c r="J16" s="15"/>
      <c r="K16" s="15"/>
      <c r="L16" s="18"/>
    </row>
    <row r="17" spans="1:12" x14ac:dyDescent="0.3">
      <c r="A17" s="13" t="s">
        <v>197</v>
      </c>
      <c r="B17" s="19" t="s">
        <v>127</v>
      </c>
      <c r="C17" s="15"/>
      <c r="D17" s="15"/>
      <c r="E17" s="15"/>
      <c r="F17" s="15"/>
      <c r="G17" s="15"/>
      <c r="H17" s="17"/>
      <c r="I17" s="15"/>
      <c r="J17" s="15"/>
      <c r="K17" s="15"/>
      <c r="L17" s="18"/>
    </row>
    <row r="18" spans="1:12" x14ac:dyDescent="0.3">
      <c r="A18" s="22" t="s">
        <v>198</v>
      </c>
      <c r="B18" s="23" t="s">
        <v>128</v>
      </c>
      <c r="C18" s="24"/>
      <c r="D18" s="25"/>
      <c r="E18" s="24"/>
      <c r="F18" s="24"/>
      <c r="G18" s="24"/>
      <c r="H18" s="26"/>
      <c r="I18" s="23"/>
      <c r="J18" s="23"/>
      <c r="K18" s="24"/>
      <c r="L18" s="27"/>
    </row>
    <row r="19" spans="1:12" x14ac:dyDescent="0.3">
      <c r="A19" s="22" t="s">
        <v>199</v>
      </c>
      <c r="B19" s="23" t="s">
        <v>129</v>
      </c>
      <c r="C19" s="24"/>
      <c r="D19" s="24"/>
      <c r="E19" s="24"/>
      <c r="F19" s="24"/>
      <c r="G19" s="24"/>
      <c r="H19" s="26"/>
      <c r="I19" s="23"/>
      <c r="J19" s="23"/>
      <c r="K19" s="24"/>
      <c r="L19" s="27"/>
    </row>
    <row r="20" spans="1:12" x14ac:dyDescent="0.3">
      <c r="A20" s="22" t="s">
        <v>200</v>
      </c>
      <c r="B20" s="23" t="s">
        <v>130</v>
      </c>
      <c r="C20" s="24"/>
      <c r="D20" s="28" t="s">
        <v>201</v>
      </c>
      <c r="E20" s="24"/>
      <c r="F20" s="24"/>
      <c r="G20" s="24"/>
      <c r="H20" s="26"/>
      <c r="I20" s="23"/>
      <c r="J20" s="23"/>
      <c r="K20" s="24"/>
      <c r="L20" s="27"/>
    </row>
    <row r="21" spans="1:12" ht="15" thickBot="1" x14ac:dyDescent="0.35">
      <c r="A21" s="29" t="s">
        <v>202</v>
      </c>
      <c r="B21" s="30" t="s">
        <v>131</v>
      </c>
      <c r="C21" s="31"/>
      <c r="D21" s="31"/>
      <c r="E21" s="31"/>
      <c r="F21" s="31"/>
      <c r="G21" s="31"/>
      <c r="H21" s="32"/>
      <c r="I21" s="30"/>
      <c r="J21" s="30"/>
      <c r="K21" s="31"/>
      <c r="L21" s="33"/>
    </row>
    <row r="22" spans="1:12" x14ac:dyDescent="0.3">
      <c r="A22" s="34" t="s">
        <v>203</v>
      </c>
      <c r="B22" s="35" t="s">
        <v>132</v>
      </c>
      <c r="C22" s="36"/>
      <c r="D22" s="37"/>
      <c r="E22" s="36"/>
      <c r="F22" s="36"/>
      <c r="G22" s="38"/>
      <c r="H22" s="36"/>
      <c r="I22" s="35"/>
      <c r="J22" s="35"/>
      <c r="K22" s="36"/>
      <c r="L22" s="39"/>
    </row>
    <row r="23" spans="1:12" x14ac:dyDescent="0.3">
      <c r="A23" s="40" t="s">
        <v>204</v>
      </c>
      <c r="B23" s="41" t="s">
        <v>133</v>
      </c>
      <c r="C23" s="42"/>
      <c r="D23" s="42"/>
      <c r="E23" s="42"/>
      <c r="F23" s="42"/>
      <c r="G23" s="43"/>
      <c r="H23" s="42"/>
      <c r="I23" s="41"/>
      <c r="J23" s="41"/>
      <c r="K23" s="42"/>
      <c r="L23" s="44"/>
    </row>
    <row r="24" spans="1:12" x14ac:dyDescent="0.3">
      <c r="A24" s="40" t="s">
        <v>205</v>
      </c>
      <c r="B24" s="41" t="s">
        <v>134</v>
      </c>
      <c r="C24" s="42"/>
      <c r="D24" s="45" t="s">
        <v>206</v>
      </c>
      <c r="E24" s="42"/>
      <c r="F24" s="42"/>
      <c r="G24" s="43"/>
      <c r="H24" s="42"/>
      <c r="I24" s="41"/>
      <c r="J24" s="41"/>
      <c r="K24" s="42"/>
      <c r="L24" s="44"/>
    </row>
    <row r="25" spans="1:12" x14ac:dyDescent="0.3">
      <c r="A25" s="40" t="s">
        <v>207</v>
      </c>
      <c r="B25" s="41" t="s">
        <v>135</v>
      </c>
      <c r="C25" s="42"/>
      <c r="D25" s="42"/>
      <c r="E25" s="42"/>
      <c r="F25" s="42"/>
      <c r="G25" s="43"/>
      <c r="H25" s="42"/>
      <c r="I25" s="41"/>
      <c r="J25" s="41"/>
      <c r="K25" s="42"/>
      <c r="L25" s="44"/>
    </row>
    <row r="26" spans="1:12" x14ac:dyDescent="0.3">
      <c r="A26" s="40" t="s">
        <v>208</v>
      </c>
      <c r="B26" s="41" t="s">
        <v>136</v>
      </c>
      <c r="C26" s="42"/>
      <c r="D26" s="42"/>
      <c r="E26" s="42"/>
      <c r="F26" s="42"/>
      <c r="G26" s="43"/>
      <c r="H26" s="42"/>
      <c r="I26" s="41"/>
      <c r="J26" s="41"/>
      <c r="K26" s="42"/>
      <c r="L26" s="44"/>
    </row>
    <row r="27" spans="1:12" x14ac:dyDescent="0.3">
      <c r="A27" s="46" t="s">
        <v>209</v>
      </c>
      <c r="B27" s="47" t="s">
        <v>137</v>
      </c>
      <c r="C27" s="48"/>
      <c r="D27" s="49"/>
      <c r="E27" s="48"/>
      <c r="F27" s="48"/>
      <c r="G27" s="50"/>
      <c r="H27" s="48"/>
      <c r="I27" s="47"/>
      <c r="J27" s="47"/>
      <c r="K27" s="48"/>
      <c r="L27" s="51"/>
    </row>
    <row r="28" spans="1:12" x14ac:dyDescent="0.3">
      <c r="A28" s="46" t="s">
        <v>210</v>
      </c>
      <c r="B28" s="47" t="s">
        <v>138</v>
      </c>
      <c r="C28" s="48"/>
      <c r="D28" s="48"/>
      <c r="E28" s="48"/>
      <c r="F28" s="48"/>
      <c r="G28" s="50"/>
      <c r="H28" s="48"/>
      <c r="I28" s="47"/>
      <c r="J28" s="47"/>
      <c r="K28" s="48"/>
      <c r="L28" s="51"/>
    </row>
    <row r="29" spans="1:12" x14ac:dyDescent="0.3">
      <c r="A29" s="46" t="s">
        <v>211</v>
      </c>
      <c r="B29" s="47" t="s">
        <v>139</v>
      </c>
      <c r="C29" s="48"/>
      <c r="D29" s="52" t="s">
        <v>212</v>
      </c>
      <c r="E29" s="48"/>
      <c r="F29" s="48"/>
      <c r="G29" s="50"/>
      <c r="H29" s="48"/>
      <c r="I29" s="47"/>
      <c r="J29" s="47"/>
      <c r="K29" s="48"/>
      <c r="L29" s="51"/>
    </row>
    <row r="30" spans="1:12" x14ac:dyDescent="0.3">
      <c r="A30" s="46" t="s">
        <v>213</v>
      </c>
      <c r="B30" s="47" t="s">
        <v>140</v>
      </c>
      <c r="C30" s="48"/>
      <c r="D30" s="48"/>
      <c r="E30" s="48"/>
      <c r="F30" s="48"/>
      <c r="G30" s="50"/>
      <c r="H30" s="48"/>
      <c r="I30" s="47"/>
      <c r="J30" s="47"/>
      <c r="K30" s="48"/>
      <c r="L30" s="51"/>
    </row>
    <row r="31" spans="1:12" ht="15" thickBot="1" x14ac:dyDescent="0.35">
      <c r="A31" s="53" t="s">
        <v>214</v>
      </c>
      <c r="B31" s="54" t="s">
        <v>141</v>
      </c>
      <c r="C31" s="55"/>
      <c r="D31" s="55"/>
      <c r="E31" s="55"/>
      <c r="F31" s="55"/>
      <c r="G31" s="56"/>
      <c r="H31" s="55"/>
      <c r="I31" s="54"/>
      <c r="J31" s="54"/>
      <c r="K31" s="55"/>
      <c r="L31" s="57"/>
    </row>
    <row r="32" spans="1:12" x14ac:dyDescent="0.3">
      <c r="A32" s="58" t="s">
        <v>215</v>
      </c>
      <c r="B32" s="59" t="s">
        <v>142</v>
      </c>
      <c r="C32" s="60"/>
      <c r="D32" s="61"/>
      <c r="E32" s="62"/>
      <c r="F32" s="62"/>
      <c r="G32" s="63"/>
      <c r="H32" s="62"/>
      <c r="I32" s="61"/>
      <c r="J32" s="61"/>
      <c r="K32" s="62"/>
      <c r="L32" s="64"/>
    </row>
    <row r="33" spans="1:12" x14ac:dyDescent="0.3">
      <c r="A33" s="65" t="s">
        <v>216</v>
      </c>
      <c r="B33" s="66" t="s">
        <v>143</v>
      </c>
      <c r="C33" s="67"/>
      <c r="D33" s="67"/>
      <c r="E33" s="67"/>
      <c r="F33" s="67"/>
      <c r="G33" s="68"/>
      <c r="H33" s="67"/>
      <c r="I33" s="66"/>
      <c r="J33" s="66"/>
      <c r="K33" s="67"/>
      <c r="L33" s="69"/>
    </row>
    <row r="34" spans="1:12" x14ac:dyDescent="0.3">
      <c r="A34" s="65" t="s">
        <v>217</v>
      </c>
      <c r="B34" s="66" t="s">
        <v>144</v>
      </c>
      <c r="C34" s="67"/>
      <c r="D34" s="70" t="s">
        <v>218</v>
      </c>
      <c r="E34" s="67"/>
      <c r="F34" s="67"/>
      <c r="G34" s="68"/>
      <c r="H34" s="67"/>
      <c r="I34" s="66"/>
      <c r="J34" s="66"/>
      <c r="K34" s="67"/>
      <c r="L34" s="69"/>
    </row>
    <row r="35" spans="1:12" x14ac:dyDescent="0.3">
      <c r="A35" s="65" t="s">
        <v>219</v>
      </c>
      <c r="B35" s="66" t="s">
        <v>145</v>
      </c>
      <c r="C35" s="67"/>
      <c r="D35" s="67"/>
      <c r="E35" s="67"/>
      <c r="F35" s="67"/>
      <c r="G35" s="68"/>
      <c r="H35" s="67"/>
      <c r="I35" s="66"/>
      <c r="J35" s="66"/>
      <c r="K35" s="67"/>
      <c r="L35" s="69"/>
    </row>
    <row r="36" spans="1:12" x14ac:dyDescent="0.3">
      <c r="A36" s="65" t="s">
        <v>220</v>
      </c>
      <c r="B36" s="66" t="s">
        <v>146</v>
      </c>
      <c r="C36" s="67"/>
      <c r="D36" s="67"/>
      <c r="E36" s="67"/>
      <c r="F36" s="67"/>
      <c r="G36" s="68"/>
      <c r="H36" s="67"/>
      <c r="I36" s="66"/>
      <c r="J36" s="66"/>
      <c r="K36" s="67"/>
      <c r="L36" s="69"/>
    </row>
    <row r="37" spans="1:12" x14ac:dyDescent="0.3">
      <c r="A37" s="71" t="s">
        <v>221</v>
      </c>
      <c r="B37" s="72" t="s">
        <v>147</v>
      </c>
      <c r="C37" s="73"/>
      <c r="D37" s="74"/>
      <c r="E37" s="73"/>
      <c r="F37" s="73"/>
      <c r="G37" s="75"/>
      <c r="H37" s="73"/>
      <c r="I37" s="72"/>
      <c r="J37" s="72"/>
      <c r="K37" s="73"/>
      <c r="L37" s="76"/>
    </row>
    <row r="38" spans="1:12" x14ac:dyDescent="0.3">
      <c r="A38" s="71" t="s">
        <v>222</v>
      </c>
      <c r="B38" s="72" t="s">
        <v>148</v>
      </c>
      <c r="C38" s="73"/>
      <c r="D38" s="77" t="s">
        <v>223</v>
      </c>
      <c r="E38" s="73"/>
      <c r="F38" s="73"/>
      <c r="G38" s="75"/>
      <c r="H38" s="73"/>
      <c r="I38" s="72"/>
      <c r="J38" s="72"/>
      <c r="K38" s="73"/>
      <c r="L38" s="76"/>
    </row>
    <row r="39" spans="1:12" x14ac:dyDescent="0.3">
      <c r="A39" s="71" t="s">
        <v>224</v>
      </c>
      <c r="B39" s="72" t="s">
        <v>149</v>
      </c>
      <c r="C39" s="73"/>
      <c r="D39" s="73"/>
      <c r="E39" s="73"/>
      <c r="F39" s="73"/>
      <c r="G39" s="75"/>
      <c r="H39" s="73"/>
      <c r="I39" s="72"/>
      <c r="J39" s="72"/>
      <c r="K39" s="73"/>
      <c r="L39" s="76"/>
    </row>
    <row r="40" spans="1:12" x14ac:dyDescent="0.3">
      <c r="A40" s="78" t="s">
        <v>225</v>
      </c>
      <c r="B40" s="79" t="s">
        <v>150</v>
      </c>
      <c r="C40" s="80"/>
      <c r="D40" s="81"/>
      <c r="E40" s="82"/>
      <c r="F40" s="82"/>
      <c r="G40" s="83"/>
      <c r="H40" s="80"/>
      <c r="I40" s="79"/>
      <c r="J40" s="79"/>
      <c r="K40" s="80"/>
      <c r="L40" s="84"/>
    </row>
    <row r="41" spans="1:12" x14ac:dyDescent="0.3">
      <c r="A41" s="78" t="s">
        <v>226</v>
      </c>
      <c r="B41" s="79" t="s">
        <v>151</v>
      </c>
      <c r="C41" s="80"/>
      <c r="D41" s="80"/>
      <c r="E41" s="80"/>
      <c r="F41" s="80"/>
      <c r="G41" s="83"/>
      <c r="H41" s="80"/>
      <c r="I41" s="79"/>
      <c r="J41" s="79"/>
      <c r="K41" s="80"/>
      <c r="L41" s="84"/>
    </row>
    <row r="42" spans="1:12" x14ac:dyDescent="0.3">
      <c r="A42" s="78" t="s">
        <v>227</v>
      </c>
      <c r="B42" s="79" t="s">
        <v>152</v>
      </c>
      <c r="C42" s="80"/>
      <c r="D42" s="81" t="s">
        <v>228</v>
      </c>
      <c r="E42" s="80"/>
      <c r="F42" s="80"/>
      <c r="G42" s="83"/>
      <c r="H42" s="80"/>
      <c r="I42" s="79"/>
      <c r="J42" s="79"/>
      <c r="K42" s="80"/>
      <c r="L42" s="84"/>
    </row>
    <row r="43" spans="1:12" x14ac:dyDescent="0.3">
      <c r="A43" s="78" t="s">
        <v>229</v>
      </c>
      <c r="B43" s="79" t="s">
        <v>153</v>
      </c>
      <c r="C43" s="80"/>
      <c r="D43" s="80"/>
      <c r="E43" s="80"/>
      <c r="F43" s="80"/>
      <c r="G43" s="83"/>
      <c r="H43" s="80"/>
      <c r="I43" s="79"/>
      <c r="J43" s="79"/>
      <c r="K43" s="80"/>
      <c r="L43" s="84"/>
    </row>
    <row r="44" spans="1:12" ht="15" thickBot="1" x14ac:dyDescent="0.35">
      <c r="A44" s="85" t="s">
        <v>230</v>
      </c>
      <c r="B44" s="86" t="s">
        <v>154</v>
      </c>
      <c r="C44" s="87"/>
      <c r="D44" s="87"/>
      <c r="E44" s="87"/>
      <c r="F44" s="87"/>
      <c r="G44" s="88"/>
      <c r="H44" s="87"/>
      <c r="I44" s="86"/>
      <c r="J44" s="86"/>
      <c r="K44" s="87"/>
      <c r="L44" s="89"/>
    </row>
    <row r="45" spans="1:12" x14ac:dyDescent="0.3">
      <c r="A45" s="58" t="s">
        <v>231</v>
      </c>
      <c r="B45" s="59" t="s">
        <v>232</v>
      </c>
      <c r="C45" s="60"/>
      <c r="D45" s="60"/>
      <c r="E45" s="90"/>
      <c r="F45" s="60"/>
      <c r="G45" s="60"/>
      <c r="H45" s="60"/>
      <c r="I45" s="59"/>
      <c r="J45" s="59"/>
      <c r="K45" s="60"/>
      <c r="L45" s="91"/>
    </row>
    <row r="46" spans="1:12" x14ac:dyDescent="0.3">
      <c r="A46" s="65" t="s">
        <v>233</v>
      </c>
      <c r="B46" s="66" t="s">
        <v>234</v>
      </c>
      <c r="C46" s="67"/>
      <c r="D46" s="67"/>
      <c r="E46" s="67"/>
      <c r="F46" s="67"/>
      <c r="G46" s="67"/>
      <c r="H46" s="67"/>
      <c r="I46" s="66"/>
      <c r="J46" s="66"/>
      <c r="K46" s="67"/>
      <c r="L46" s="69"/>
    </row>
    <row r="47" spans="1:12" x14ac:dyDescent="0.3">
      <c r="A47" s="65" t="s">
        <v>235</v>
      </c>
      <c r="B47" s="66" t="s">
        <v>236</v>
      </c>
      <c r="C47" s="67"/>
      <c r="D47" s="67"/>
      <c r="E47" s="67"/>
      <c r="F47" s="67"/>
      <c r="G47" s="67"/>
      <c r="H47" s="67"/>
      <c r="I47" s="66"/>
      <c r="J47" s="66"/>
      <c r="K47" s="67"/>
      <c r="L47" s="69"/>
    </row>
    <row r="48" spans="1:12" x14ac:dyDescent="0.3">
      <c r="A48" s="65" t="s">
        <v>237</v>
      </c>
      <c r="B48" s="66" t="s">
        <v>238</v>
      </c>
      <c r="C48" s="67"/>
      <c r="D48" s="67"/>
      <c r="E48" s="67"/>
      <c r="F48" s="67"/>
      <c r="G48" s="67"/>
      <c r="H48" s="67"/>
      <c r="I48" s="66"/>
      <c r="J48" s="66"/>
      <c r="K48" s="67"/>
      <c r="L48" s="69"/>
    </row>
    <row r="49" spans="1:12" x14ac:dyDescent="0.3">
      <c r="A49" s="65" t="s">
        <v>239</v>
      </c>
      <c r="B49" s="66" t="s">
        <v>240</v>
      </c>
      <c r="C49" s="67"/>
      <c r="D49" s="67"/>
      <c r="E49" s="92" t="s">
        <v>241</v>
      </c>
      <c r="F49" s="67"/>
      <c r="G49" s="67"/>
      <c r="H49" s="67"/>
      <c r="I49" s="66"/>
      <c r="J49" s="66"/>
      <c r="K49" s="67"/>
      <c r="L49" s="69"/>
    </row>
    <row r="50" spans="1:12" x14ac:dyDescent="0.3">
      <c r="A50" s="65" t="s">
        <v>242</v>
      </c>
      <c r="B50" s="66" t="s">
        <v>243</v>
      </c>
      <c r="C50" s="67"/>
      <c r="D50" s="67"/>
      <c r="E50" s="67"/>
      <c r="F50" s="67"/>
      <c r="G50" s="67"/>
      <c r="H50" s="67"/>
      <c r="I50" s="66"/>
      <c r="J50" s="66"/>
      <c r="K50" s="67"/>
      <c r="L50" s="69"/>
    </row>
    <row r="51" spans="1:12" x14ac:dyDescent="0.3">
      <c r="A51" s="65" t="s">
        <v>244</v>
      </c>
      <c r="B51" s="66" t="s">
        <v>245</v>
      </c>
      <c r="C51" s="67"/>
      <c r="D51" s="67"/>
      <c r="E51" s="67"/>
      <c r="F51" s="67"/>
      <c r="G51" s="67"/>
      <c r="H51" s="67"/>
      <c r="I51" s="66"/>
      <c r="J51" s="66"/>
      <c r="K51" s="67"/>
      <c r="L51" s="69"/>
    </row>
    <row r="52" spans="1:12" ht="15" thickBot="1" x14ac:dyDescent="0.35">
      <c r="A52" s="93" t="s">
        <v>246</v>
      </c>
      <c r="B52" s="94" t="s">
        <v>247</v>
      </c>
      <c r="C52" s="95"/>
      <c r="D52" s="95"/>
      <c r="E52" s="95"/>
      <c r="F52" s="95"/>
      <c r="G52" s="95"/>
      <c r="H52" s="95"/>
      <c r="I52" s="94"/>
      <c r="J52" s="94"/>
      <c r="K52" s="95"/>
      <c r="L52" s="96"/>
    </row>
    <row r="53" spans="1:12" x14ac:dyDescent="0.3">
      <c r="A53" s="1" t="s">
        <v>248</v>
      </c>
      <c r="B53" s="97" t="s">
        <v>155</v>
      </c>
      <c r="C53" s="3"/>
      <c r="D53" s="98"/>
      <c r="E53" s="3"/>
      <c r="F53" s="3"/>
      <c r="G53" s="3"/>
      <c r="H53" s="3"/>
      <c r="I53" s="97"/>
      <c r="J53" s="97"/>
      <c r="K53" s="3"/>
      <c r="L53" s="6"/>
    </row>
    <row r="54" spans="1:12" x14ac:dyDescent="0.3">
      <c r="A54" s="7" t="s">
        <v>249</v>
      </c>
      <c r="B54" s="99" t="s">
        <v>156</v>
      </c>
      <c r="C54" s="9"/>
      <c r="D54" s="9"/>
      <c r="E54" s="9"/>
      <c r="F54" s="9"/>
      <c r="G54" s="9"/>
      <c r="H54" s="9"/>
      <c r="I54" s="99"/>
      <c r="J54" s="99"/>
      <c r="K54" s="9"/>
      <c r="L54" s="11"/>
    </row>
    <row r="55" spans="1:12" x14ac:dyDescent="0.3">
      <c r="A55" s="7" t="s">
        <v>250</v>
      </c>
      <c r="B55" s="99" t="s">
        <v>157</v>
      </c>
      <c r="C55" s="9"/>
      <c r="D55" s="100" t="s">
        <v>251</v>
      </c>
      <c r="E55" s="9"/>
      <c r="F55" s="9"/>
      <c r="G55" s="9"/>
      <c r="H55" s="9"/>
      <c r="I55" s="99"/>
      <c r="J55" s="99"/>
      <c r="K55" s="9"/>
      <c r="L55" s="11"/>
    </row>
    <row r="56" spans="1:12" x14ac:dyDescent="0.3">
      <c r="A56" s="7" t="s">
        <v>252</v>
      </c>
      <c r="B56" s="99" t="s">
        <v>158</v>
      </c>
      <c r="C56" s="9"/>
      <c r="D56" s="9"/>
      <c r="E56" s="9"/>
      <c r="F56" s="9"/>
      <c r="G56" s="9"/>
      <c r="H56" s="9"/>
      <c r="I56" s="99"/>
      <c r="J56" s="99"/>
      <c r="K56" s="9"/>
      <c r="L56" s="11"/>
    </row>
    <row r="57" spans="1:12" x14ac:dyDescent="0.3">
      <c r="A57" s="7" t="s">
        <v>253</v>
      </c>
      <c r="B57" s="99" t="s">
        <v>159</v>
      </c>
      <c r="C57" s="9"/>
      <c r="D57" s="9"/>
      <c r="E57" s="9"/>
      <c r="F57" s="9"/>
      <c r="G57" s="9"/>
      <c r="H57" s="9"/>
      <c r="I57" s="99"/>
      <c r="J57" s="99"/>
      <c r="K57" s="9"/>
      <c r="L57" s="11"/>
    </row>
    <row r="58" spans="1:12" x14ac:dyDescent="0.3">
      <c r="A58" s="46" t="s">
        <v>254</v>
      </c>
      <c r="B58" s="47" t="s">
        <v>160</v>
      </c>
      <c r="C58" s="48"/>
      <c r="D58" s="49"/>
      <c r="E58" s="48"/>
      <c r="F58" s="48"/>
      <c r="G58" s="48"/>
      <c r="H58" s="48"/>
      <c r="I58" s="47"/>
      <c r="J58" s="47"/>
      <c r="K58" s="48"/>
      <c r="L58" s="51"/>
    </row>
    <row r="59" spans="1:12" x14ac:dyDescent="0.3">
      <c r="A59" s="46" t="s">
        <v>255</v>
      </c>
      <c r="B59" s="47" t="s">
        <v>161</v>
      </c>
      <c r="C59" s="48"/>
      <c r="D59" s="48"/>
      <c r="E59" s="48"/>
      <c r="F59" s="48"/>
      <c r="G59" s="48"/>
      <c r="H59" s="48"/>
      <c r="I59" s="47"/>
      <c r="J59" s="47"/>
      <c r="K59" s="48"/>
      <c r="L59" s="51"/>
    </row>
    <row r="60" spans="1:12" x14ac:dyDescent="0.3">
      <c r="A60" s="46" t="s">
        <v>256</v>
      </c>
      <c r="B60" s="47" t="s">
        <v>162</v>
      </c>
      <c r="C60" s="48"/>
      <c r="D60" s="48"/>
      <c r="E60" s="48"/>
      <c r="F60" s="48"/>
      <c r="G60" s="48"/>
      <c r="H60" s="48"/>
      <c r="I60" s="47"/>
      <c r="J60" s="47"/>
      <c r="K60" s="48"/>
      <c r="L60" s="51"/>
    </row>
    <row r="61" spans="1:12" x14ac:dyDescent="0.3">
      <c r="A61" s="46" t="s">
        <v>257</v>
      </c>
      <c r="B61" s="47" t="s">
        <v>163</v>
      </c>
      <c r="C61" s="48"/>
      <c r="D61" s="48"/>
      <c r="E61" s="48"/>
      <c r="F61" s="48"/>
      <c r="G61" s="48"/>
      <c r="H61" s="48"/>
      <c r="I61" s="47"/>
      <c r="J61" s="47"/>
      <c r="K61" s="48"/>
      <c r="L61" s="51"/>
    </row>
    <row r="62" spans="1:12" x14ac:dyDescent="0.3">
      <c r="A62" s="46" t="s">
        <v>258</v>
      </c>
      <c r="B62" s="47" t="s">
        <v>164</v>
      </c>
      <c r="C62" s="48"/>
      <c r="D62" s="48"/>
      <c r="E62" s="48"/>
      <c r="F62" s="48"/>
      <c r="G62" s="48"/>
      <c r="H62" s="48"/>
      <c r="I62" s="47"/>
      <c r="J62" s="47"/>
      <c r="K62" s="48"/>
      <c r="L62" s="51"/>
    </row>
    <row r="63" spans="1:12" x14ac:dyDescent="0.3">
      <c r="A63" s="46" t="s">
        <v>259</v>
      </c>
      <c r="B63" s="47" t="s">
        <v>165</v>
      </c>
      <c r="C63" s="48"/>
      <c r="D63" s="52" t="s">
        <v>260</v>
      </c>
      <c r="E63" s="48"/>
      <c r="F63" s="48"/>
      <c r="G63" s="48"/>
      <c r="H63" s="48"/>
      <c r="I63" s="47"/>
      <c r="J63" s="47"/>
      <c r="K63" s="48"/>
      <c r="L63" s="51"/>
    </row>
    <row r="64" spans="1:12" x14ac:dyDescent="0.3">
      <c r="A64" s="46" t="s">
        <v>261</v>
      </c>
      <c r="B64" s="47" t="s">
        <v>166</v>
      </c>
      <c r="C64" s="48"/>
      <c r="D64" s="48"/>
      <c r="E64" s="48"/>
      <c r="F64" s="48"/>
      <c r="G64" s="48"/>
      <c r="H64" s="48"/>
      <c r="I64" s="47"/>
      <c r="J64" s="47"/>
      <c r="K64" s="48"/>
      <c r="L64" s="51"/>
    </row>
    <row r="65" spans="1:12" x14ac:dyDescent="0.3">
      <c r="A65" s="46" t="s">
        <v>262</v>
      </c>
      <c r="B65" s="47" t="s">
        <v>167</v>
      </c>
      <c r="C65" s="48"/>
      <c r="D65" s="48"/>
      <c r="E65" s="48"/>
      <c r="F65" s="48"/>
      <c r="G65" s="48"/>
      <c r="H65" s="48"/>
      <c r="I65" s="47"/>
      <c r="J65" s="47"/>
      <c r="K65" s="48"/>
      <c r="L65" s="51"/>
    </row>
    <row r="66" spans="1:12" x14ac:dyDescent="0.3">
      <c r="A66" s="46" t="s">
        <v>263</v>
      </c>
      <c r="B66" s="47" t="s">
        <v>168</v>
      </c>
      <c r="C66" s="48"/>
      <c r="D66" s="48"/>
      <c r="E66" s="48"/>
      <c r="F66" s="48"/>
      <c r="G66" s="48"/>
      <c r="H66" s="48"/>
      <c r="I66" s="47"/>
      <c r="J66" s="47"/>
      <c r="K66" s="48"/>
      <c r="L66" s="51"/>
    </row>
    <row r="67" spans="1:12" x14ac:dyDescent="0.3">
      <c r="A67" s="46" t="s">
        <v>264</v>
      </c>
      <c r="B67" s="47" t="s">
        <v>169</v>
      </c>
      <c r="C67" s="48"/>
      <c r="D67" s="48"/>
      <c r="E67" s="48"/>
      <c r="F67" s="48"/>
      <c r="G67" s="48"/>
      <c r="H67" s="48"/>
      <c r="I67" s="47"/>
      <c r="J67" s="47"/>
      <c r="K67" s="48"/>
      <c r="L67" s="51"/>
    </row>
    <row r="68" spans="1:12" x14ac:dyDescent="0.3">
      <c r="A68" s="46" t="s">
        <v>265</v>
      </c>
      <c r="B68" s="47" t="s">
        <v>170</v>
      </c>
      <c r="C68" s="48"/>
      <c r="D68" s="48"/>
      <c r="E68" s="48"/>
      <c r="F68" s="48"/>
      <c r="G68" s="48"/>
      <c r="H68" s="48"/>
      <c r="I68" s="47"/>
      <c r="J68" s="47"/>
      <c r="K68" s="48"/>
      <c r="L68" s="51"/>
    </row>
    <row r="69" spans="1:12" x14ac:dyDescent="0.3">
      <c r="A69" s="46" t="s">
        <v>266</v>
      </c>
      <c r="B69" s="47" t="s">
        <v>171</v>
      </c>
      <c r="C69" s="48"/>
      <c r="D69" s="48"/>
      <c r="E69" s="48"/>
      <c r="F69" s="48"/>
      <c r="G69" s="48"/>
      <c r="H69" s="48"/>
      <c r="I69" s="47"/>
      <c r="J69" s="47"/>
      <c r="K69" s="48"/>
      <c r="L69" s="51"/>
    </row>
    <row r="70" spans="1:12" ht="15" thickBot="1" x14ac:dyDescent="0.35">
      <c r="A70" s="53" t="s">
        <v>267</v>
      </c>
      <c r="B70" s="54" t="s">
        <v>172</v>
      </c>
      <c r="C70" s="55"/>
      <c r="D70" s="55"/>
      <c r="E70" s="55"/>
      <c r="F70" s="55"/>
      <c r="G70" s="55"/>
      <c r="H70" s="55"/>
      <c r="I70" s="54"/>
      <c r="J70" s="54"/>
      <c r="K70" s="55"/>
      <c r="L70" s="57"/>
    </row>
    <row r="71" spans="1:12" x14ac:dyDescent="0.3">
      <c r="A71" s="101" t="s">
        <v>268</v>
      </c>
      <c r="B71" s="102" t="s">
        <v>173</v>
      </c>
      <c r="C71" s="103"/>
      <c r="D71" s="104"/>
      <c r="E71" s="103"/>
      <c r="F71" s="103"/>
      <c r="G71" s="15"/>
      <c r="H71" s="103"/>
      <c r="I71" s="105"/>
      <c r="J71" s="105"/>
      <c r="K71" s="103"/>
      <c r="L71" s="106"/>
    </row>
    <row r="72" spans="1:12" x14ac:dyDescent="0.3">
      <c r="A72" s="13" t="s">
        <v>269</v>
      </c>
      <c r="B72" s="102" t="s">
        <v>174</v>
      </c>
      <c r="C72" s="15"/>
      <c r="D72" s="15"/>
      <c r="E72" s="15"/>
      <c r="F72" s="15"/>
      <c r="G72" s="15"/>
      <c r="H72" s="107"/>
      <c r="I72" s="108"/>
      <c r="J72" s="108"/>
      <c r="K72" s="15"/>
      <c r="L72" s="18"/>
    </row>
    <row r="73" spans="1:12" x14ac:dyDescent="0.3">
      <c r="A73" s="13" t="s">
        <v>270</v>
      </c>
      <c r="B73" s="102" t="s">
        <v>175</v>
      </c>
      <c r="C73" s="15"/>
      <c r="D73" s="21" t="s">
        <v>271</v>
      </c>
      <c r="E73" s="15"/>
      <c r="F73" s="20"/>
      <c r="G73" s="15"/>
      <c r="H73" s="15"/>
      <c r="I73" s="19"/>
      <c r="J73" s="19"/>
      <c r="K73" s="15"/>
      <c r="L73" s="18"/>
    </row>
    <row r="74" spans="1:12" ht="15" thickBot="1" x14ac:dyDescent="0.35">
      <c r="A74" s="109" t="s">
        <v>272</v>
      </c>
      <c r="B74" s="102" t="s">
        <v>176</v>
      </c>
      <c r="C74" s="110"/>
      <c r="D74" s="110"/>
      <c r="E74" s="110"/>
      <c r="F74" s="110"/>
      <c r="G74" s="110"/>
      <c r="H74" s="110"/>
      <c r="I74" s="111"/>
      <c r="J74" s="111"/>
      <c r="K74" s="110"/>
      <c r="L74" s="112"/>
    </row>
    <row r="75" spans="1:12" ht="15" thickBot="1" x14ac:dyDescent="0.35">
      <c r="A75" s="113" t="s">
        <v>273</v>
      </c>
      <c r="B75" s="114" t="s">
        <v>274</v>
      </c>
      <c r="C75" s="115"/>
      <c r="D75" s="116" t="s">
        <v>275</v>
      </c>
      <c r="E75" s="115"/>
      <c r="F75" s="115"/>
      <c r="G75" s="115"/>
      <c r="H75" s="115"/>
      <c r="I75" s="117"/>
      <c r="J75" s="117"/>
      <c r="K75" s="115"/>
      <c r="L75" s="118"/>
    </row>
  </sheetData>
  <mergeCells count="1">
    <mergeCell ref="D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2"/>
  <sheetViews>
    <sheetView showGridLines="0" tabSelected="1" zoomScaleNormal="100" workbookViewId="0">
      <selection activeCell="E22" sqref="E22"/>
    </sheetView>
  </sheetViews>
  <sheetFormatPr defaultRowHeight="14.4" x14ac:dyDescent="0.3"/>
  <cols>
    <col min="1" max="1" width="42.88671875" bestFit="1" customWidth="1"/>
    <col min="2" max="2" width="12.44140625" bestFit="1" customWidth="1"/>
    <col min="3" max="3" width="10" bestFit="1" customWidth="1"/>
    <col min="4" max="4" width="10.77734375" bestFit="1" customWidth="1"/>
    <col min="5" max="5" width="16.5546875" bestFit="1" customWidth="1"/>
    <col min="6" max="6" width="14.6640625" bestFit="1" customWidth="1"/>
    <col min="7" max="7" width="8.77734375" customWidth="1"/>
    <col min="8" max="8" width="9.77734375" customWidth="1"/>
    <col min="9" max="9" width="19.44140625" customWidth="1"/>
    <col min="11" max="11" width="10.109375" bestFit="1" customWidth="1"/>
    <col min="13" max="13" width="9.109375" bestFit="1" customWidth="1"/>
  </cols>
  <sheetData>
    <row r="1" spans="1:13" ht="5.0999999999999996" customHeight="1" x14ac:dyDescent="0.3"/>
    <row r="2" spans="1:13" ht="18" x14ac:dyDescent="0.35">
      <c r="A2" s="188" t="s">
        <v>177</v>
      </c>
      <c r="B2" s="188"/>
      <c r="C2" s="188"/>
      <c r="D2" s="188"/>
      <c r="E2" s="188"/>
      <c r="F2" s="188"/>
      <c r="G2" s="188"/>
      <c r="H2" s="188"/>
      <c r="I2" s="188"/>
      <c r="J2" s="119"/>
      <c r="K2" s="119"/>
      <c r="L2" s="119"/>
    </row>
    <row r="3" spans="1:13" ht="18" x14ac:dyDescent="0.3">
      <c r="A3" s="189" t="s">
        <v>292</v>
      </c>
      <c r="B3" s="189"/>
      <c r="C3" s="189"/>
      <c r="D3" s="189"/>
      <c r="E3" s="189"/>
      <c r="F3" s="189"/>
      <c r="G3" s="189"/>
      <c r="H3" s="189"/>
      <c r="I3" s="189"/>
      <c r="J3" s="120"/>
      <c r="K3" s="120"/>
      <c r="L3" s="120"/>
    </row>
    <row r="4" spans="1:13" ht="18" x14ac:dyDescent="0.3">
      <c r="A4" s="189" t="s">
        <v>293</v>
      </c>
      <c r="B4" s="189"/>
      <c r="C4" s="189"/>
      <c r="D4" s="189"/>
      <c r="E4" s="189"/>
      <c r="F4" s="189"/>
      <c r="G4" s="189"/>
      <c r="H4" s="189"/>
      <c r="I4" s="189"/>
      <c r="J4" s="120"/>
      <c r="K4" s="120"/>
      <c r="L4" s="120"/>
    </row>
    <row r="5" spans="1:13" ht="15" thickBot="1" x14ac:dyDescent="0.35">
      <c r="A5" s="133" t="s">
        <v>0</v>
      </c>
      <c r="B5" s="121"/>
      <c r="C5" s="121"/>
      <c r="D5" s="121"/>
      <c r="E5" s="121"/>
      <c r="F5" s="121"/>
      <c r="G5" s="122"/>
      <c r="H5" s="145"/>
      <c r="I5" s="134" t="s">
        <v>278</v>
      </c>
      <c r="J5" s="123"/>
      <c r="K5" s="123"/>
      <c r="L5" s="123"/>
    </row>
    <row r="6" spans="1:13" ht="14.4" customHeight="1" x14ac:dyDescent="0.3">
      <c r="A6" s="157" t="s">
        <v>1</v>
      </c>
      <c r="B6" s="169" t="s">
        <v>289</v>
      </c>
      <c r="C6" s="163" t="s">
        <v>281</v>
      </c>
      <c r="D6" s="164"/>
      <c r="E6" s="164"/>
      <c r="F6" s="165"/>
      <c r="G6" s="177" t="s">
        <v>23</v>
      </c>
      <c r="H6" s="157"/>
      <c r="I6" s="157"/>
    </row>
    <row r="7" spans="1:13" x14ac:dyDescent="0.3">
      <c r="A7" s="158"/>
      <c r="B7" s="170"/>
      <c r="C7" s="166" t="s">
        <v>280</v>
      </c>
      <c r="D7" s="167"/>
      <c r="E7" s="167"/>
      <c r="F7" s="168"/>
      <c r="G7" s="178"/>
      <c r="H7" s="158"/>
      <c r="I7" s="158"/>
    </row>
    <row r="8" spans="1:13" ht="42.6" customHeight="1" x14ac:dyDescent="0.3">
      <c r="A8" s="158"/>
      <c r="B8" s="171"/>
      <c r="C8" s="155" t="s">
        <v>282</v>
      </c>
      <c r="D8" s="155" t="s">
        <v>283</v>
      </c>
      <c r="E8" s="155" t="s">
        <v>285</v>
      </c>
      <c r="F8" s="156" t="s">
        <v>287</v>
      </c>
      <c r="G8" s="178"/>
      <c r="H8" s="158"/>
      <c r="I8" s="158"/>
    </row>
    <row r="9" spans="1:13" ht="47.55" customHeight="1" x14ac:dyDescent="0.3">
      <c r="A9" s="159"/>
      <c r="B9" s="147" t="s">
        <v>290</v>
      </c>
      <c r="C9" s="148" t="s">
        <v>291</v>
      </c>
      <c r="D9" s="148" t="s">
        <v>284</v>
      </c>
      <c r="E9" s="148" t="s">
        <v>286</v>
      </c>
      <c r="F9" s="146" t="s">
        <v>288</v>
      </c>
      <c r="G9" s="179"/>
      <c r="H9" s="159"/>
      <c r="I9" s="159"/>
      <c r="M9" s="144"/>
    </row>
    <row r="10" spans="1:13" x14ac:dyDescent="0.3">
      <c r="A10" s="160" t="s">
        <v>2</v>
      </c>
      <c r="B10" s="191">
        <f>SUM(B12,B20,B29,B34,B40,B47,B54,B61,B66,B73,B83,B90,B105)</f>
        <v>10936669</v>
      </c>
      <c r="C10" s="192">
        <f>SUM(C12,C20,C29,C34,C40,C47,C54,C61,C66,C73,C83,C90,C105)</f>
        <v>6872913</v>
      </c>
      <c r="D10" s="193">
        <f>SUM(D12,D20,D29,D34,D40,D47,D54,D61,D66,D73,D83,D90,D105)</f>
        <v>441618</v>
      </c>
      <c r="E10" s="192">
        <f t="shared" ref="E10:F10" si="0">SUM(E12,E20,E29,E34,E40,E47,E54,E61,E66,E73,E83,E90,E105)</f>
        <v>266081</v>
      </c>
      <c r="F10" s="172">
        <f t="shared" si="0"/>
        <v>3356057</v>
      </c>
      <c r="G10" s="180" t="s">
        <v>24</v>
      </c>
      <c r="H10" s="181"/>
      <c r="I10" s="181"/>
      <c r="K10" s="144"/>
    </row>
    <row r="11" spans="1:13" x14ac:dyDescent="0.3">
      <c r="A11" s="161"/>
      <c r="B11" s="174"/>
      <c r="C11" s="175"/>
      <c r="D11" s="176"/>
      <c r="E11" s="175"/>
      <c r="F11" s="173"/>
      <c r="G11" s="182"/>
      <c r="H11" s="183"/>
      <c r="I11" s="183"/>
      <c r="M11" s="144"/>
    </row>
    <row r="12" spans="1:13" x14ac:dyDescent="0.3">
      <c r="A12" s="162" t="s">
        <v>3</v>
      </c>
      <c r="B12" s="174">
        <f>SUM(C12:F13)</f>
        <v>1498197</v>
      </c>
      <c r="C12" s="175">
        <f>SUM(C14:C19)</f>
        <v>1271987</v>
      </c>
      <c r="D12" s="176">
        <f>SUM(D14:D19)</f>
        <v>36437</v>
      </c>
      <c r="E12" s="175">
        <f t="shared" ref="E12:F12" si="1">SUM(E14:E19)</f>
        <v>39896</v>
      </c>
      <c r="F12" s="173">
        <f t="shared" si="1"/>
        <v>149877</v>
      </c>
      <c r="G12" s="182" t="s">
        <v>25</v>
      </c>
      <c r="H12" s="183"/>
      <c r="I12" s="183"/>
    </row>
    <row r="13" spans="1:13" x14ac:dyDescent="0.3">
      <c r="A13" s="162"/>
      <c r="B13" s="174"/>
      <c r="C13" s="175"/>
      <c r="D13" s="176"/>
      <c r="E13" s="175"/>
      <c r="F13" s="173"/>
      <c r="G13" s="182"/>
      <c r="H13" s="183"/>
      <c r="I13" s="183"/>
    </row>
    <row r="14" spans="1:13" x14ac:dyDescent="0.3">
      <c r="A14" s="124" t="s">
        <v>111</v>
      </c>
      <c r="B14" s="153">
        <f>SUM(C14:F14)</f>
        <v>306448</v>
      </c>
      <c r="C14" s="135">
        <v>266454</v>
      </c>
      <c r="D14" s="136">
        <v>8530</v>
      </c>
      <c r="E14" s="135">
        <v>3265</v>
      </c>
      <c r="F14" s="139">
        <v>28199</v>
      </c>
      <c r="G14" s="125" t="s">
        <v>26</v>
      </c>
      <c r="H14" s="126"/>
      <c r="I14" s="126"/>
      <c r="M14" s="144"/>
    </row>
    <row r="15" spans="1:13" x14ac:dyDescent="0.3">
      <c r="A15" s="124" t="s">
        <v>112</v>
      </c>
      <c r="B15" s="153">
        <f>SUM(C15:F15)</f>
        <v>239379</v>
      </c>
      <c r="C15" s="135">
        <v>222071</v>
      </c>
      <c r="D15" s="136">
        <v>2577</v>
      </c>
      <c r="E15" s="135">
        <v>7162</v>
      </c>
      <c r="F15" s="139">
        <v>7569</v>
      </c>
      <c r="G15" s="125" t="s">
        <v>27</v>
      </c>
      <c r="H15" s="126"/>
      <c r="I15" s="126"/>
      <c r="K15" s="144"/>
    </row>
    <row r="16" spans="1:13" x14ac:dyDescent="0.3">
      <c r="A16" s="124" t="s">
        <v>113</v>
      </c>
      <c r="B16" s="153">
        <f>SUM(C16:F16)</f>
        <v>357586</v>
      </c>
      <c r="C16" s="135">
        <v>336168</v>
      </c>
      <c r="D16" s="136">
        <v>12058</v>
      </c>
      <c r="E16" s="135">
        <v>1046</v>
      </c>
      <c r="F16" s="139">
        <v>8314</v>
      </c>
      <c r="G16" s="125" t="s">
        <v>28</v>
      </c>
      <c r="H16" s="126"/>
      <c r="I16" s="126"/>
    </row>
    <row r="17" spans="1:9" x14ac:dyDescent="0.3">
      <c r="A17" s="124" t="s">
        <v>114</v>
      </c>
      <c r="B17" s="153">
        <f t="shared" ref="B17:B19" si="2">SUM(C17:F17)</f>
        <v>16498</v>
      </c>
      <c r="C17" s="135">
        <v>25</v>
      </c>
      <c r="D17" s="136">
        <v>17</v>
      </c>
      <c r="E17" s="135">
        <v>36</v>
      </c>
      <c r="F17" s="139">
        <v>16420</v>
      </c>
      <c r="G17" s="125" t="s">
        <v>29</v>
      </c>
      <c r="H17" s="126"/>
      <c r="I17" s="126"/>
    </row>
    <row r="18" spans="1:9" x14ac:dyDescent="0.3">
      <c r="A18" s="124" t="s">
        <v>115</v>
      </c>
      <c r="B18" s="153">
        <f t="shared" si="2"/>
        <v>322590</v>
      </c>
      <c r="C18" s="135">
        <v>221238</v>
      </c>
      <c r="D18" s="136">
        <v>6549</v>
      </c>
      <c r="E18" s="135">
        <v>27050</v>
      </c>
      <c r="F18" s="139">
        <v>67753</v>
      </c>
      <c r="G18" s="125" t="s">
        <v>30</v>
      </c>
      <c r="H18" s="126"/>
      <c r="I18" s="126"/>
    </row>
    <row r="19" spans="1:9" x14ac:dyDescent="0.3">
      <c r="A19" s="124" t="s">
        <v>116</v>
      </c>
      <c r="B19" s="153">
        <f t="shared" si="2"/>
        <v>255696</v>
      </c>
      <c r="C19" s="135">
        <v>226031</v>
      </c>
      <c r="D19" s="136">
        <v>6706</v>
      </c>
      <c r="E19" s="135">
        <v>1337</v>
      </c>
      <c r="F19" s="139">
        <v>21622</v>
      </c>
      <c r="G19" s="125" t="s">
        <v>31</v>
      </c>
      <c r="H19" s="126"/>
      <c r="I19" s="126"/>
    </row>
    <row r="20" spans="1:9" x14ac:dyDescent="0.3">
      <c r="A20" s="161" t="s">
        <v>4</v>
      </c>
      <c r="B20" s="174">
        <f>SUM(C20:F21)</f>
        <v>3079411</v>
      </c>
      <c r="C20" s="175">
        <f>SUM(C22:C28)</f>
        <v>2099199</v>
      </c>
      <c r="D20" s="176">
        <f>SUM(D22:D28)</f>
        <v>76849</v>
      </c>
      <c r="E20" s="175">
        <f t="shared" ref="E20:F20" si="3">SUM(E22:E28)</f>
        <v>30761</v>
      </c>
      <c r="F20" s="173">
        <f t="shared" si="3"/>
        <v>872602</v>
      </c>
      <c r="G20" s="184" t="s">
        <v>32</v>
      </c>
      <c r="H20" s="185"/>
      <c r="I20" s="185"/>
    </row>
    <row r="21" spans="1:9" x14ac:dyDescent="0.3">
      <c r="A21" s="161"/>
      <c r="B21" s="174"/>
      <c r="C21" s="175"/>
      <c r="D21" s="176"/>
      <c r="E21" s="175"/>
      <c r="F21" s="173"/>
      <c r="G21" s="184"/>
      <c r="H21" s="185"/>
      <c r="I21" s="185"/>
    </row>
    <row r="22" spans="1:9" x14ac:dyDescent="0.3">
      <c r="A22" s="124" t="s">
        <v>117</v>
      </c>
      <c r="B22" s="153">
        <f>SUM(C22:F22)</f>
        <v>506800</v>
      </c>
      <c r="C22" s="135">
        <v>473019</v>
      </c>
      <c r="D22" s="136">
        <v>19885</v>
      </c>
      <c r="E22" s="135">
        <v>5173</v>
      </c>
      <c r="F22" s="139">
        <v>8723</v>
      </c>
      <c r="G22" s="125" t="s">
        <v>33</v>
      </c>
      <c r="H22" s="126"/>
      <c r="I22" s="126"/>
    </row>
    <row r="23" spans="1:9" x14ac:dyDescent="0.3">
      <c r="A23" s="124" t="s">
        <v>118</v>
      </c>
      <c r="B23" s="153">
        <f>SUM(C23:F23)</f>
        <v>562392</v>
      </c>
      <c r="C23" s="135">
        <v>347039</v>
      </c>
      <c r="D23" s="136">
        <v>8816</v>
      </c>
      <c r="E23" s="135">
        <v>3961</v>
      </c>
      <c r="F23" s="139">
        <v>202576</v>
      </c>
      <c r="G23" s="125" t="s">
        <v>34</v>
      </c>
      <c r="H23" s="126"/>
      <c r="I23" s="126"/>
    </row>
    <row r="24" spans="1:9" x14ac:dyDescent="0.3">
      <c r="A24" s="124" t="s">
        <v>119</v>
      </c>
      <c r="B24" s="153">
        <f>SUM(C24:F24)</f>
        <v>187798</v>
      </c>
      <c r="C24" s="135">
        <v>170859</v>
      </c>
      <c r="D24" s="136">
        <v>5157</v>
      </c>
      <c r="E24" s="135">
        <v>2848</v>
      </c>
      <c r="F24" s="139">
        <v>8934</v>
      </c>
      <c r="G24" s="125" t="s">
        <v>35</v>
      </c>
      <c r="H24" s="126"/>
      <c r="I24" s="126"/>
    </row>
    <row r="25" spans="1:9" x14ac:dyDescent="0.3">
      <c r="A25" s="124" t="s">
        <v>120</v>
      </c>
      <c r="B25" s="153">
        <f t="shared" ref="B25:B32" si="4">SUM(C25:F25)</f>
        <v>651787</v>
      </c>
      <c r="C25" s="135">
        <v>243449</v>
      </c>
      <c r="D25" s="136">
        <v>22062</v>
      </c>
      <c r="E25" s="135">
        <v>5604</v>
      </c>
      <c r="F25" s="139">
        <v>380672</v>
      </c>
      <c r="G25" s="125" t="s">
        <v>36</v>
      </c>
      <c r="H25" s="126"/>
      <c r="I25" s="126"/>
    </row>
    <row r="26" spans="1:9" x14ac:dyDescent="0.3">
      <c r="A26" s="124" t="s">
        <v>121</v>
      </c>
      <c r="B26" s="153">
        <f t="shared" si="4"/>
        <v>179218</v>
      </c>
      <c r="C26" s="135">
        <v>101168</v>
      </c>
      <c r="D26" s="136">
        <v>5095</v>
      </c>
      <c r="E26" s="135">
        <v>5028</v>
      </c>
      <c r="F26" s="139">
        <v>67927</v>
      </c>
      <c r="G26" s="125" t="s">
        <v>37</v>
      </c>
      <c r="H26" s="126"/>
      <c r="I26" s="126"/>
    </row>
    <row r="27" spans="1:9" x14ac:dyDescent="0.3">
      <c r="A27" s="124" t="s">
        <v>122</v>
      </c>
      <c r="B27" s="153">
        <f t="shared" si="4"/>
        <v>787083</v>
      </c>
      <c r="C27" s="135">
        <v>742456</v>
      </c>
      <c r="D27" s="136">
        <v>12072</v>
      </c>
      <c r="E27" s="135">
        <v>2654</v>
      </c>
      <c r="F27" s="139">
        <v>29901</v>
      </c>
      <c r="G27" s="125" t="s">
        <v>38</v>
      </c>
      <c r="H27" s="126"/>
      <c r="I27" s="126"/>
    </row>
    <row r="28" spans="1:9" x14ac:dyDescent="0.3">
      <c r="A28" s="124" t="s">
        <v>123</v>
      </c>
      <c r="B28" s="153">
        <f>SUM(C28:F28)</f>
        <v>204333</v>
      </c>
      <c r="C28" s="135">
        <v>21209</v>
      </c>
      <c r="D28" s="136">
        <v>3762</v>
      </c>
      <c r="E28" s="135">
        <v>5493</v>
      </c>
      <c r="F28" s="139">
        <v>173869</v>
      </c>
      <c r="G28" s="125" t="s">
        <v>39</v>
      </c>
      <c r="H28" s="126"/>
      <c r="I28" s="126"/>
    </row>
    <row r="29" spans="1:9" ht="23.25" customHeight="1" x14ac:dyDescent="0.3">
      <c r="A29" s="127" t="s">
        <v>277</v>
      </c>
      <c r="B29" s="152">
        <f>SUM(C29:F29)</f>
        <v>330895</v>
      </c>
      <c r="C29" s="149">
        <f>SUM(C30:C33)</f>
        <v>263383</v>
      </c>
      <c r="D29" s="150">
        <f t="shared" ref="D29:F29" si="5">SUM(D30:D33)</f>
        <v>9522</v>
      </c>
      <c r="E29" s="149">
        <f t="shared" si="5"/>
        <v>4522</v>
      </c>
      <c r="F29" s="151">
        <f t="shared" si="5"/>
        <v>53468</v>
      </c>
      <c r="G29" s="128" t="s">
        <v>276</v>
      </c>
      <c r="H29" s="126"/>
      <c r="I29" s="126"/>
    </row>
    <row r="30" spans="1:9" x14ac:dyDescent="0.3">
      <c r="A30" s="124" t="s">
        <v>124</v>
      </c>
      <c r="B30" s="153">
        <f t="shared" si="4"/>
        <v>145228</v>
      </c>
      <c r="C30" s="135">
        <v>124893</v>
      </c>
      <c r="D30" s="136">
        <v>4031</v>
      </c>
      <c r="E30" s="135">
        <v>824</v>
      </c>
      <c r="F30" s="139">
        <v>15480</v>
      </c>
      <c r="G30" s="125" t="s">
        <v>40</v>
      </c>
      <c r="H30" s="126"/>
      <c r="I30" s="126"/>
    </row>
    <row r="31" spans="1:9" x14ac:dyDescent="0.3">
      <c r="A31" s="124" t="s">
        <v>125</v>
      </c>
      <c r="B31" s="153">
        <f t="shared" si="4"/>
        <v>23522</v>
      </c>
      <c r="C31" s="135">
        <v>22247</v>
      </c>
      <c r="D31" s="136">
        <v>491</v>
      </c>
      <c r="E31" s="135">
        <v>30</v>
      </c>
      <c r="F31" s="139">
        <v>754</v>
      </c>
      <c r="G31" s="125" t="s">
        <v>41</v>
      </c>
      <c r="H31" s="126"/>
      <c r="I31" s="126"/>
    </row>
    <row r="32" spans="1:9" x14ac:dyDescent="0.3">
      <c r="A32" s="124" t="s">
        <v>126</v>
      </c>
      <c r="B32" s="153">
        <f t="shared" si="4"/>
        <v>38834</v>
      </c>
      <c r="C32" s="135">
        <v>23164</v>
      </c>
      <c r="D32" s="136">
        <v>1526</v>
      </c>
      <c r="E32" s="135">
        <v>77</v>
      </c>
      <c r="F32" s="139">
        <v>14067</v>
      </c>
      <c r="G32" s="125" t="s">
        <v>42</v>
      </c>
      <c r="H32" s="126"/>
      <c r="I32" s="126"/>
    </row>
    <row r="33" spans="1:9" x14ac:dyDescent="0.3">
      <c r="A33" s="124" t="s">
        <v>127</v>
      </c>
      <c r="B33" s="153">
        <f>SUM(C33:F33)</f>
        <v>123311</v>
      </c>
      <c r="C33" s="135">
        <v>93079</v>
      </c>
      <c r="D33" s="136">
        <v>3474</v>
      </c>
      <c r="E33" s="135">
        <v>3591</v>
      </c>
      <c r="F33" s="139">
        <v>23167</v>
      </c>
      <c r="G33" s="125" t="s">
        <v>43</v>
      </c>
      <c r="H33" s="126"/>
      <c r="I33" s="126"/>
    </row>
    <row r="34" spans="1:9" x14ac:dyDescent="0.3">
      <c r="A34" s="161" t="s">
        <v>5</v>
      </c>
      <c r="B34" s="174">
        <f>SUM(C34:F35)</f>
        <v>254900</v>
      </c>
      <c r="C34" s="175">
        <f>SUM(C36:C39)</f>
        <v>150967</v>
      </c>
      <c r="D34" s="176">
        <f>SUM(D36:D39)</f>
        <v>7344</v>
      </c>
      <c r="E34" s="175">
        <f t="shared" ref="E34:F34" si="6">SUM(E36:E39)</f>
        <v>949</v>
      </c>
      <c r="F34" s="173">
        <f t="shared" si="6"/>
        <v>95640</v>
      </c>
      <c r="G34" s="186" t="s">
        <v>44</v>
      </c>
      <c r="H34" s="187"/>
      <c r="I34" s="187"/>
    </row>
    <row r="35" spans="1:9" x14ac:dyDescent="0.3">
      <c r="A35" s="161"/>
      <c r="B35" s="174"/>
      <c r="C35" s="175"/>
      <c r="D35" s="176"/>
      <c r="E35" s="175"/>
      <c r="F35" s="173"/>
      <c r="G35" s="186"/>
      <c r="H35" s="187"/>
      <c r="I35" s="187"/>
    </row>
    <row r="36" spans="1:9" x14ac:dyDescent="0.3">
      <c r="A36" s="124" t="s">
        <v>128</v>
      </c>
      <c r="B36" s="153">
        <f t="shared" ref="B36:B39" si="7">SUM(C36:F36)</f>
        <v>50538</v>
      </c>
      <c r="C36" s="135">
        <v>48756</v>
      </c>
      <c r="D36" s="136">
        <v>916</v>
      </c>
      <c r="E36" s="135">
        <v>124</v>
      </c>
      <c r="F36" s="139">
        <v>742</v>
      </c>
      <c r="G36" s="125" t="s">
        <v>45</v>
      </c>
      <c r="H36" s="126"/>
      <c r="I36" s="126"/>
    </row>
    <row r="37" spans="1:9" x14ac:dyDescent="0.3">
      <c r="A37" s="124" t="s">
        <v>129</v>
      </c>
      <c r="B37" s="153">
        <f>SUM(C37:F37)</f>
        <v>94649</v>
      </c>
      <c r="C37" s="135">
        <v>28233</v>
      </c>
      <c r="D37" s="136">
        <v>2365</v>
      </c>
      <c r="E37" s="135">
        <v>211</v>
      </c>
      <c r="F37" s="139">
        <v>63840</v>
      </c>
      <c r="G37" s="125" t="s">
        <v>46</v>
      </c>
      <c r="H37" s="126"/>
      <c r="I37" s="126"/>
    </row>
    <row r="38" spans="1:9" x14ac:dyDescent="0.3">
      <c r="A38" s="124" t="s">
        <v>130</v>
      </c>
      <c r="B38" s="153">
        <f t="shared" si="7"/>
        <v>41815</v>
      </c>
      <c r="C38" s="135">
        <v>16934</v>
      </c>
      <c r="D38" s="136">
        <v>1519</v>
      </c>
      <c r="E38" s="135">
        <v>463</v>
      </c>
      <c r="F38" s="139">
        <v>22899</v>
      </c>
      <c r="G38" s="125" t="s">
        <v>47</v>
      </c>
      <c r="H38" s="126"/>
      <c r="I38" s="126"/>
    </row>
    <row r="39" spans="1:9" x14ac:dyDescent="0.3">
      <c r="A39" s="124" t="s">
        <v>131</v>
      </c>
      <c r="B39" s="153">
        <f t="shared" si="7"/>
        <v>67898</v>
      </c>
      <c r="C39" s="135">
        <v>57044</v>
      </c>
      <c r="D39" s="136">
        <v>2544</v>
      </c>
      <c r="E39" s="135">
        <v>151</v>
      </c>
      <c r="F39" s="139">
        <v>8159</v>
      </c>
      <c r="G39" s="125" t="s">
        <v>48</v>
      </c>
      <c r="H39" s="126"/>
      <c r="I39" s="126"/>
    </row>
    <row r="40" spans="1:9" x14ac:dyDescent="0.3">
      <c r="A40" s="161" t="s">
        <v>6</v>
      </c>
      <c r="B40" s="174">
        <f>SUM(C40:F41)</f>
        <v>2161344</v>
      </c>
      <c r="C40" s="175">
        <f>SUM(C42:C46)</f>
        <v>1763859</v>
      </c>
      <c r="D40" s="176">
        <f>SUM(D42:D46)</f>
        <v>67975</v>
      </c>
      <c r="E40" s="175">
        <f t="shared" ref="E40:F40" si="8">SUM(E42:E46)</f>
        <v>36099</v>
      </c>
      <c r="F40" s="173">
        <f t="shared" si="8"/>
        <v>293411</v>
      </c>
      <c r="G40" s="186" t="s">
        <v>49</v>
      </c>
      <c r="H40" s="187"/>
      <c r="I40" s="187"/>
    </row>
    <row r="41" spans="1:9" x14ac:dyDescent="0.3">
      <c r="A41" s="161"/>
      <c r="B41" s="174"/>
      <c r="C41" s="175"/>
      <c r="D41" s="176"/>
      <c r="E41" s="175"/>
      <c r="F41" s="173"/>
      <c r="G41" s="186"/>
      <c r="H41" s="187"/>
      <c r="I41" s="187"/>
    </row>
    <row r="42" spans="1:9" x14ac:dyDescent="0.3">
      <c r="A42" s="124" t="s">
        <v>132</v>
      </c>
      <c r="B42" s="153">
        <f t="shared" ref="B42:B46" si="9">SUM(C42:F42)</f>
        <v>1122794</v>
      </c>
      <c r="C42" s="135">
        <v>840810</v>
      </c>
      <c r="D42" s="136">
        <v>41437</v>
      </c>
      <c r="E42" s="135">
        <v>26806</v>
      </c>
      <c r="F42" s="139">
        <v>213741</v>
      </c>
      <c r="G42" s="125" t="s">
        <v>50</v>
      </c>
      <c r="H42" s="126"/>
      <c r="I42" s="126"/>
    </row>
    <row r="43" spans="1:9" x14ac:dyDescent="0.3">
      <c r="A43" s="124" t="s">
        <v>133</v>
      </c>
      <c r="B43" s="153">
        <f t="shared" si="9"/>
        <v>592159</v>
      </c>
      <c r="C43" s="135">
        <v>569607</v>
      </c>
      <c r="D43" s="136">
        <v>12516</v>
      </c>
      <c r="E43" s="135">
        <v>3850</v>
      </c>
      <c r="F43" s="139">
        <v>6186</v>
      </c>
      <c r="G43" s="125" t="s">
        <v>51</v>
      </c>
      <c r="H43" s="126"/>
      <c r="I43" s="126"/>
    </row>
    <row r="44" spans="1:9" x14ac:dyDescent="0.3">
      <c r="A44" s="124" t="s">
        <v>134</v>
      </c>
      <c r="B44" s="153">
        <f t="shared" si="9"/>
        <v>218683</v>
      </c>
      <c r="C44" s="135">
        <v>144277</v>
      </c>
      <c r="D44" s="136">
        <v>7420</v>
      </c>
      <c r="E44" s="135">
        <v>3196</v>
      </c>
      <c r="F44" s="139">
        <v>63790</v>
      </c>
      <c r="G44" s="125" t="s">
        <v>52</v>
      </c>
      <c r="H44" s="126"/>
      <c r="I44" s="126"/>
    </row>
    <row r="45" spans="1:9" x14ac:dyDescent="0.3">
      <c r="A45" s="124" t="s">
        <v>135</v>
      </c>
      <c r="B45" s="153">
        <f t="shared" si="9"/>
        <v>174</v>
      </c>
      <c r="C45" s="135">
        <v>3</v>
      </c>
      <c r="D45" s="136">
        <v>25</v>
      </c>
      <c r="E45" s="135">
        <v>41</v>
      </c>
      <c r="F45" s="140">
        <v>105</v>
      </c>
      <c r="G45" s="125" t="s">
        <v>53</v>
      </c>
      <c r="H45" s="126"/>
      <c r="I45" s="126"/>
    </row>
    <row r="46" spans="1:9" x14ac:dyDescent="0.3">
      <c r="A46" s="124" t="s">
        <v>136</v>
      </c>
      <c r="B46" s="153">
        <f t="shared" si="9"/>
        <v>227534</v>
      </c>
      <c r="C46" s="135">
        <v>209162</v>
      </c>
      <c r="D46" s="136">
        <v>6577</v>
      </c>
      <c r="E46" s="135">
        <v>2206</v>
      </c>
      <c r="F46" s="139">
        <v>9589</v>
      </c>
      <c r="G46" s="125" t="s">
        <v>54</v>
      </c>
      <c r="H46" s="126"/>
      <c r="I46" s="126"/>
    </row>
    <row r="47" spans="1:9" x14ac:dyDescent="0.3">
      <c r="A47" s="161" t="s">
        <v>7</v>
      </c>
      <c r="B47" s="174">
        <f>SUM(C47:F48)</f>
        <v>1078741</v>
      </c>
      <c r="C47" s="175">
        <f>SUM(C49:C53)</f>
        <v>775128</v>
      </c>
      <c r="D47" s="176">
        <f>SUM(D49:D53)</f>
        <v>64493</v>
      </c>
      <c r="E47" s="175">
        <f t="shared" ref="E47:F47" si="10">SUM(E49:E53)</f>
        <v>16102</v>
      </c>
      <c r="F47" s="173">
        <f t="shared" si="10"/>
        <v>223018</v>
      </c>
      <c r="G47" s="186" t="s">
        <v>55</v>
      </c>
      <c r="H47" s="187"/>
      <c r="I47" s="187"/>
    </row>
    <row r="48" spans="1:9" x14ac:dyDescent="0.3">
      <c r="A48" s="161"/>
      <c r="B48" s="174"/>
      <c r="C48" s="175"/>
      <c r="D48" s="176"/>
      <c r="E48" s="175"/>
      <c r="F48" s="173"/>
      <c r="G48" s="186"/>
      <c r="H48" s="187"/>
      <c r="I48" s="187"/>
    </row>
    <row r="49" spans="1:9" x14ac:dyDescent="0.3">
      <c r="A49" s="124" t="s">
        <v>137</v>
      </c>
      <c r="B49" s="153">
        <f t="shared" ref="B49:B52" si="11">SUM(C49:F49)</f>
        <v>555498</v>
      </c>
      <c r="C49" s="135">
        <v>373158</v>
      </c>
      <c r="D49" s="136">
        <v>15003</v>
      </c>
      <c r="E49" s="135">
        <v>7148</v>
      </c>
      <c r="F49" s="139">
        <v>160189</v>
      </c>
      <c r="G49" s="125" t="s">
        <v>56</v>
      </c>
      <c r="H49" s="126"/>
      <c r="I49" s="126"/>
    </row>
    <row r="50" spans="1:9" x14ac:dyDescent="0.3">
      <c r="A50" s="124" t="s">
        <v>138</v>
      </c>
      <c r="B50" s="153">
        <f t="shared" si="11"/>
        <v>408537</v>
      </c>
      <c r="C50" s="135">
        <v>358926</v>
      </c>
      <c r="D50" s="136">
        <v>35745</v>
      </c>
      <c r="E50" s="135">
        <v>8048</v>
      </c>
      <c r="F50" s="139">
        <v>5818</v>
      </c>
      <c r="G50" s="125" t="s">
        <v>57</v>
      </c>
      <c r="H50" s="126"/>
      <c r="I50" s="126"/>
    </row>
    <row r="51" spans="1:9" x14ac:dyDescent="0.3">
      <c r="A51" s="124" t="s">
        <v>139</v>
      </c>
      <c r="B51" s="153">
        <f t="shared" si="11"/>
        <v>83745</v>
      </c>
      <c r="C51" s="135">
        <v>20908</v>
      </c>
      <c r="D51" s="136">
        <v>12962</v>
      </c>
      <c r="E51" s="135">
        <v>835</v>
      </c>
      <c r="F51" s="139">
        <v>49040</v>
      </c>
      <c r="G51" s="125" t="s">
        <v>58</v>
      </c>
      <c r="H51" s="126"/>
      <c r="I51" s="126"/>
    </row>
    <row r="52" spans="1:9" x14ac:dyDescent="0.3">
      <c r="A52" s="124" t="s">
        <v>140</v>
      </c>
      <c r="B52" s="153">
        <f t="shared" si="11"/>
        <v>2385</v>
      </c>
      <c r="C52" s="135">
        <v>1634</v>
      </c>
      <c r="D52" s="136">
        <v>32</v>
      </c>
      <c r="E52" s="135">
        <v>27</v>
      </c>
      <c r="F52" s="139">
        <v>692</v>
      </c>
      <c r="G52" s="125" t="s">
        <v>59</v>
      </c>
      <c r="H52" s="126"/>
      <c r="I52" s="126"/>
    </row>
    <row r="53" spans="1:9" x14ac:dyDescent="0.3">
      <c r="A53" s="124" t="s">
        <v>141</v>
      </c>
      <c r="B53" s="153">
        <f>SUM(C53:F53)</f>
        <v>28576</v>
      </c>
      <c r="C53" s="135">
        <v>20502</v>
      </c>
      <c r="D53" s="136">
        <v>751</v>
      </c>
      <c r="E53" s="135">
        <v>44</v>
      </c>
      <c r="F53" s="139">
        <v>7279</v>
      </c>
      <c r="G53" s="125" t="s">
        <v>60</v>
      </c>
      <c r="H53" s="126"/>
      <c r="I53" s="126"/>
    </row>
    <row r="54" spans="1:9" x14ac:dyDescent="0.3">
      <c r="A54" s="161" t="s">
        <v>8</v>
      </c>
      <c r="B54" s="174">
        <f>SUM(C54:F55)</f>
        <v>8921</v>
      </c>
      <c r="C54" s="175">
        <f>SUM(C56:C60)</f>
        <v>1144</v>
      </c>
      <c r="D54" s="176">
        <f>SUM(D56:D60)</f>
        <v>2467</v>
      </c>
      <c r="E54" s="175">
        <f t="shared" ref="E54:F54" si="12">SUM(E56:E60)</f>
        <v>195</v>
      </c>
      <c r="F54" s="173">
        <f t="shared" si="12"/>
        <v>5115</v>
      </c>
      <c r="G54" s="186" t="s">
        <v>61</v>
      </c>
      <c r="H54" s="187"/>
      <c r="I54" s="187"/>
    </row>
    <row r="55" spans="1:9" x14ac:dyDescent="0.3">
      <c r="A55" s="161"/>
      <c r="B55" s="174"/>
      <c r="C55" s="175"/>
      <c r="D55" s="176"/>
      <c r="E55" s="175"/>
      <c r="F55" s="173"/>
      <c r="G55" s="186"/>
      <c r="H55" s="187"/>
      <c r="I55" s="187"/>
    </row>
    <row r="56" spans="1:9" x14ac:dyDescent="0.3">
      <c r="A56" s="124" t="s">
        <v>142</v>
      </c>
      <c r="B56" s="153">
        <f t="shared" ref="B56:B59" si="13">SUM(C56:F56)</f>
        <v>653</v>
      </c>
      <c r="C56" s="135">
        <v>46</v>
      </c>
      <c r="D56" s="136">
        <v>129</v>
      </c>
      <c r="E56" s="135">
        <v>157</v>
      </c>
      <c r="F56" s="139">
        <v>321</v>
      </c>
      <c r="G56" s="125" t="s">
        <v>62</v>
      </c>
      <c r="H56" s="126"/>
      <c r="I56" s="126"/>
    </row>
    <row r="57" spans="1:9" x14ac:dyDescent="0.3">
      <c r="A57" s="124" t="s">
        <v>143</v>
      </c>
      <c r="B57" s="153">
        <f t="shared" si="13"/>
        <v>5610</v>
      </c>
      <c r="C57" s="135">
        <v>626</v>
      </c>
      <c r="D57" s="136">
        <v>794</v>
      </c>
      <c r="E57" s="135">
        <v>36</v>
      </c>
      <c r="F57" s="139">
        <v>4154</v>
      </c>
      <c r="G57" s="125" t="s">
        <v>63</v>
      </c>
      <c r="H57" s="126"/>
      <c r="I57" s="126"/>
    </row>
    <row r="58" spans="1:9" x14ac:dyDescent="0.3">
      <c r="A58" s="124" t="s">
        <v>144</v>
      </c>
      <c r="B58" s="153">
        <f t="shared" si="13"/>
        <v>0</v>
      </c>
      <c r="C58" s="135" t="s">
        <v>279</v>
      </c>
      <c r="D58" s="136" t="s">
        <v>279</v>
      </c>
      <c r="E58" s="135" t="s">
        <v>279</v>
      </c>
      <c r="F58" s="139" t="s">
        <v>279</v>
      </c>
      <c r="G58" s="125" t="s">
        <v>64</v>
      </c>
      <c r="H58" s="126"/>
      <c r="I58" s="126"/>
    </row>
    <row r="59" spans="1:9" x14ac:dyDescent="0.3">
      <c r="A59" s="124" t="s">
        <v>145</v>
      </c>
      <c r="B59" s="153">
        <f t="shared" si="13"/>
        <v>2277</v>
      </c>
      <c r="C59" s="135">
        <v>329</v>
      </c>
      <c r="D59" s="136">
        <v>1306</v>
      </c>
      <c r="E59" s="135">
        <v>2</v>
      </c>
      <c r="F59" s="139">
        <v>640</v>
      </c>
      <c r="G59" s="125" t="s">
        <v>65</v>
      </c>
      <c r="H59" s="126"/>
      <c r="I59" s="126"/>
    </row>
    <row r="60" spans="1:9" x14ac:dyDescent="0.3">
      <c r="A60" s="124" t="s">
        <v>146</v>
      </c>
      <c r="B60" s="153">
        <f>SUM(C60:F60)</f>
        <v>381</v>
      </c>
      <c r="C60" s="135">
        <v>143</v>
      </c>
      <c r="D60" s="136">
        <v>238</v>
      </c>
      <c r="E60" s="135" t="s">
        <v>279</v>
      </c>
      <c r="F60" s="140" t="s">
        <v>279</v>
      </c>
      <c r="G60" s="125" t="s">
        <v>66</v>
      </c>
      <c r="H60" s="126"/>
      <c r="I60" s="126"/>
    </row>
    <row r="61" spans="1:9" x14ac:dyDescent="0.3">
      <c r="A61" s="161" t="s">
        <v>9</v>
      </c>
      <c r="B61" s="174">
        <f>SUM(C61:F62)</f>
        <v>856065</v>
      </c>
      <c r="C61" s="175">
        <f>SUM(C63:C65)</f>
        <v>430564</v>
      </c>
      <c r="D61" s="176">
        <f>SUM(D63:D65)</f>
        <v>69087</v>
      </c>
      <c r="E61" s="175">
        <f t="shared" ref="E61:F61" si="14">SUM(E63:E65)</f>
        <v>35829</v>
      </c>
      <c r="F61" s="173">
        <f t="shared" si="14"/>
        <v>320585</v>
      </c>
      <c r="G61" s="186" t="s">
        <v>67</v>
      </c>
      <c r="H61" s="187"/>
      <c r="I61" s="187"/>
    </row>
    <row r="62" spans="1:9" x14ac:dyDescent="0.3">
      <c r="A62" s="161"/>
      <c r="B62" s="174"/>
      <c r="C62" s="175"/>
      <c r="D62" s="176"/>
      <c r="E62" s="175"/>
      <c r="F62" s="173"/>
      <c r="G62" s="186"/>
      <c r="H62" s="187"/>
      <c r="I62" s="187"/>
    </row>
    <row r="63" spans="1:9" x14ac:dyDescent="0.3">
      <c r="A63" s="124" t="s">
        <v>147</v>
      </c>
      <c r="B63" s="153">
        <f t="shared" ref="B63:B65" si="15">SUM(C63:F63)</f>
        <v>145052</v>
      </c>
      <c r="C63" s="135">
        <v>24075</v>
      </c>
      <c r="D63" s="136">
        <v>20857</v>
      </c>
      <c r="E63" s="135">
        <v>31021</v>
      </c>
      <c r="F63" s="139">
        <v>69099</v>
      </c>
      <c r="G63" s="125" t="s">
        <v>68</v>
      </c>
      <c r="H63" s="126"/>
      <c r="I63" s="126"/>
    </row>
    <row r="64" spans="1:9" x14ac:dyDescent="0.3">
      <c r="A64" s="124" t="s">
        <v>148</v>
      </c>
      <c r="B64" s="153">
        <f t="shared" si="15"/>
        <v>431980</v>
      </c>
      <c r="C64" s="135">
        <v>256528</v>
      </c>
      <c r="D64" s="136">
        <v>7002</v>
      </c>
      <c r="E64" s="135">
        <v>1846</v>
      </c>
      <c r="F64" s="139">
        <v>166604</v>
      </c>
      <c r="G64" s="125" t="s">
        <v>69</v>
      </c>
      <c r="H64" s="126"/>
      <c r="I64" s="126"/>
    </row>
    <row r="65" spans="1:9" x14ac:dyDescent="0.3">
      <c r="A65" s="124" t="s">
        <v>149</v>
      </c>
      <c r="B65" s="153">
        <f t="shared" si="15"/>
        <v>279033</v>
      </c>
      <c r="C65" s="135">
        <v>149961</v>
      </c>
      <c r="D65" s="136">
        <v>41228</v>
      </c>
      <c r="E65" s="135">
        <v>2962</v>
      </c>
      <c r="F65" s="139">
        <v>84882</v>
      </c>
      <c r="G65" s="125" t="s">
        <v>70</v>
      </c>
      <c r="H65" s="126"/>
      <c r="I65" s="126"/>
    </row>
    <row r="66" spans="1:9" x14ac:dyDescent="0.3">
      <c r="A66" s="161" t="s">
        <v>10</v>
      </c>
      <c r="B66" s="174">
        <f>SUM(C66:F67)</f>
        <v>958759</v>
      </c>
      <c r="C66" s="175">
        <f>SUM(C68:C72)</f>
        <v>69951</v>
      </c>
      <c r="D66" s="176">
        <f>SUM(D68:D72)</f>
        <v>30773</v>
      </c>
      <c r="E66" s="175">
        <f t="shared" ref="E66:F66" si="16">SUM(E68:E72)</f>
        <v>64451</v>
      </c>
      <c r="F66" s="173">
        <f t="shared" si="16"/>
        <v>793584</v>
      </c>
      <c r="G66" s="186" t="s">
        <v>71</v>
      </c>
      <c r="H66" s="187"/>
      <c r="I66" s="187"/>
    </row>
    <row r="67" spans="1:9" x14ac:dyDescent="0.3">
      <c r="A67" s="161"/>
      <c r="B67" s="174"/>
      <c r="C67" s="175"/>
      <c r="D67" s="176"/>
      <c r="E67" s="175"/>
      <c r="F67" s="173"/>
      <c r="G67" s="186"/>
      <c r="H67" s="187"/>
      <c r="I67" s="187"/>
    </row>
    <row r="68" spans="1:9" x14ac:dyDescent="0.3">
      <c r="A68" s="124" t="s">
        <v>150</v>
      </c>
      <c r="B68" s="153">
        <f t="shared" ref="B68:B72" si="17">SUM(C68:F68)</f>
        <v>69346</v>
      </c>
      <c r="C68" s="135">
        <v>22400</v>
      </c>
      <c r="D68" s="136">
        <v>6613</v>
      </c>
      <c r="E68" s="135">
        <v>1741</v>
      </c>
      <c r="F68" s="139">
        <v>38592</v>
      </c>
      <c r="G68" s="125" t="s">
        <v>72</v>
      </c>
      <c r="H68" s="126"/>
      <c r="I68" s="126"/>
    </row>
    <row r="69" spans="1:9" x14ac:dyDescent="0.3">
      <c r="A69" s="124" t="s">
        <v>151</v>
      </c>
      <c r="B69" s="153">
        <f t="shared" si="17"/>
        <v>263141</v>
      </c>
      <c r="C69" s="135">
        <v>10140</v>
      </c>
      <c r="D69" s="136">
        <v>8398</v>
      </c>
      <c r="E69" s="135">
        <v>3661</v>
      </c>
      <c r="F69" s="139">
        <v>240942</v>
      </c>
      <c r="G69" s="125" t="s">
        <v>73</v>
      </c>
      <c r="H69" s="126"/>
      <c r="I69" s="126"/>
    </row>
    <row r="70" spans="1:9" x14ac:dyDescent="0.3">
      <c r="A70" s="124" t="s">
        <v>152</v>
      </c>
      <c r="B70" s="153">
        <f t="shared" si="17"/>
        <v>166564</v>
      </c>
      <c r="C70" s="135">
        <v>16539</v>
      </c>
      <c r="D70" s="136">
        <v>8514</v>
      </c>
      <c r="E70" s="135">
        <v>55906</v>
      </c>
      <c r="F70" s="139">
        <v>85605</v>
      </c>
      <c r="G70" s="125" t="s">
        <v>74</v>
      </c>
      <c r="H70" s="126"/>
      <c r="I70" s="126"/>
    </row>
    <row r="71" spans="1:9" x14ac:dyDescent="0.3">
      <c r="A71" s="124" t="s">
        <v>153</v>
      </c>
      <c r="B71" s="153">
        <f>SUM(C71:F71)</f>
        <v>379024</v>
      </c>
      <c r="C71" s="135">
        <v>6844</v>
      </c>
      <c r="D71" s="136">
        <v>1949</v>
      </c>
      <c r="E71" s="135">
        <v>1750</v>
      </c>
      <c r="F71" s="139">
        <v>368481</v>
      </c>
      <c r="G71" s="125" t="s">
        <v>75</v>
      </c>
      <c r="H71" s="126"/>
      <c r="I71" s="126"/>
    </row>
    <row r="72" spans="1:9" x14ac:dyDescent="0.3">
      <c r="A72" s="124" t="s">
        <v>154</v>
      </c>
      <c r="B72" s="153">
        <f t="shared" si="17"/>
        <v>80684</v>
      </c>
      <c r="C72" s="135">
        <v>14028</v>
      </c>
      <c r="D72" s="136">
        <v>5299</v>
      </c>
      <c r="E72" s="135">
        <v>1393</v>
      </c>
      <c r="F72" s="139">
        <v>59964</v>
      </c>
      <c r="G72" s="125" t="s">
        <v>76</v>
      </c>
      <c r="H72" s="126"/>
      <c r="I72" s="126"/>
    </row>
    <row r="73" spans="1:9" x14ac:dyDescent="0.3">
      <c r="A73" s="161" t="s">
        <v>11</v>
      </c>
      <c r="B73" s="174">
        <f>SUM(C73:F74)</f>
        <v>37794</v>
      </c>
      <c r="C73" s="175">
        <f>SUM(C75:C82)</f>
        <v>5410</v>
      </c>
      <c r="D73" s="176">
        <f>SUM(D75:D82)</f>
        <v>15302</v>
      </c>
      <c r="E73" s="175">
        <f>SUM(E75:E82)</f>
        <v>3374</v>
      </c>
      <c r="F73" s="173">
        <f>SUM(F75:F82)</f>
        <v>13708</v>
      </c>
      <c r="G73" s="186" t="s">
        <v>77</v>
      </c>
      <c r="H73" s="187"/>
      <c r="I73" s="187"/>
    </row>
    <row r="74" spans="1:9" x14ac:dyDescent="0.3">
      <c r="A74" s="161"/>
      <c r="B74" s="174"/>
      <c r="C74" s="175"/>
      <c r="D74" s="176"/>
      <c r="E74" s="175"/>
      <c r="F74" s="173"/>
      <c r="G74" s="186"/>
      <c r="H74" s="187"/>
      <c r="I74" s="187"/>
    </row>
    <row r="75" spans="1:9" x14ac:dyDescent="0.3">
      <c r="A75" s="129" t="s">
        <v>12</v>
      </c>
      <c r="B75" s="153">
        <f t="shared" ref="B75:B82" si="18">SUM(C75:F75)</f>
        <v>0</v>
      </c>
      <c r="C75" s="135" t="s">
        <v>279</v>
      </c>
      <c r="D75" s="136" t="s">
        <v>279</v>
      </c>
      <c r="E75" s="135" t="s">
        <v>279</v>
      </c>
      <c r="F75" s="139" t="s">
        <v>279</v>
      </c>
      <c r="G75" s="125" t="s">
        <v>78</v>
      </c>
      <c r="H75" s="126"/>
      <c r="I75" s="126"/>
    </row>
    <row r="76" spans="1:9" x14ac:dyDescent="0.3">
      <c r="A76" s="129" t="s">
        <v>13</v>
      </c>
      <c r="B76" s="153">
        <f t="shared" si="18"/>
        <v>61</v>
      </c>
      <c r="C76" s="135">
        <v>3</v>
      </c>
      <c r="D76" s="136">
        <v>46</v>
      </c>
      <c r="E76" s="135">
        <v>3</v>
      </c>
      <c r="F76" s="139">
        <v>9</v>
      </c>
      <c r="G76" s="125" t="s">
        <v>79</v>
      </c>
      <c r="H76" s="126"/>
      <c r="I76" s="126"/>
    </row>
    <row r="77" spans="1:9" x14ac:dyDescent="0.3">
      <c r="A77" s="129" t="s">
        <v>14</v>
      </c>
      <c r="B77" s="153">
        <f t="shared" si="18"/>
        <v>0</v>
      </c>
      <c r="C77" s="137" t="s">
        <v>279</v>
      </c>
      <c r="D77" s="138" t="s">
        <v>279</v>
      </c>
      <c r="E77" s="137" t="s">
        <v>279</v>
      </c>
      <c r="F77" s="139" t="s">
        <v>279</v>
      </c>
      <c r="G77" s="125" t="s">
        <v>80</v>
      </c>
      <c r="H77" s="126"/>
      <c r="I77" s="126"/>
    </row>
    <row r="78" spans="1:9" x14ac:dyDescent="0.3">
      <c r="A78" s="129" t="s">
        <v>15</v>
      </c>
      <c r="B78" s="153">
        <f t="shared" si="18"/>
        <v>0</v>
      </c>
      <c r="C78" s="137" t="s">
        <v>279</v>
      </c>
      <c r="D78" s="138" t="s">
        <v>279</v>
      </c>
      <c r="E78" s="137" t="s">
        <v>279</v>
      </c>
      <c r="F78" s="139" t="s">
        <v>279</v>
      </c>
      <c r="G78" s="125" t="s">
        <v>81</v>
      </c>
      <c r="H78" s="126"/>
      <c r="I78" s="126"/>
    </row>
    <row r="79" spans="1:9" x14ac:dyDescent="0.3">
      <c r="A79" s="129" t="s">
        <v>16</v>
      </c>
      <c r="B79" s="153">
        <f t="shared" si="18"/>
        <v>18016</v>
      </c>
      <c r="C79" s="135">
        <v>2299</v>
      </c>
      <c r="D79" s="136">
        <v>7507</v>
      </c>
      <c r="E79" s="135">
        <v>2699</v>
      </c>
      <c r="F79" s="139">
        <v>5511</v>
      </c>
      <c r="G79" s="125" t="s">
        <v>82</v>
      </c>
      <c r="H79" s="126"/>
      <c r="I79" s="126"/>
    </row>
    <row r="80" spans="1:9" x14ac:dyDescent="0.3">
      <c r="A80" s="129" t="s">
        <v>17</v>
      </c>
      <c r="B80" s="153">
        <f t="shared" si="18"/>
        <v>7914</v>
      </c>
      <c r="C80" s="135">
        <v>1682</v>
      </c>
      <c r="D80" s="136">
        <v>4056</v>
      </c>
      <c r="E80" s="135">
        <v>488</v>
      </c>
      <c r="F80" s="139">
        <v>1688</v>
      </c>
      <c r="G80" s="125" t="s">
        <v>83</v>
      </c>
      <c r="H80" s="126"/>
      <c r="I80" s="126"/>
    </row>
    <row r="81" spans="1:9" x14ac:dyDescent="0.3">
      <c r="A81" s="129" t="s">
        <v>18</v>
      </c>
      <c r="B81" s="153">
        <f t="shared" si="18"/>
        <v>0</v>
      </c>
      <c r="C81" s="137" t="s">
        <v>279</v>
      </c>
      <c r="D81" s="138" t="s">
        <v>279</v>
      </c>
      <c r="E81" s="137" t="s">
        <v>279</v>
      </c>
      <c r="F81" s="140" t="s">
        <v>279</v>
      </c>
      <c r="G81" s="125" t="s">
        <v>84</v>
      </c>
      <c r="H81" s="126"/>
      <c r="I81" s="126"/>
    </row>
    <row r="82" spans="1:9" x14ac:dyDescent="0.3">
      <c r="A82" s="129" t="s">
        <v>19</v>
      </c>
      <c r="B82" s="153">
        <f t="shared" si="18"/>
        <v>11803</v>
      </c>
      <c r="C82" s="135">
        <v>1426</v>
      </c>
      <c r="D82" s="136">
        <v>3693</v>
      </c>
      <c r="E82" s="135">
        <v>184</v>
      </c>
      <c r="F82" s="139">
        <v>6500</v>
      </c>
      <c r="G82" s="125" t="s">
        <v>85</v>
      </c>
      <c r="H82" s="126"/>
      <c r="I82" s="126"/>
    </row>
    <row r="83" spans="1:9" x14ac:dyDescent="0.3">
      <c r="A83" s="161" t="s">
        <v>20</v>
      </c>
      <c r="B83" s="174">
        <f>SUM(C83:F84)</f>
        <v>48899</v>
      </c>
      <c r="C83" s="175">
        <f>SUM(C85:C89)</f>
        <v>7345</v>
      </c>
      <c r="D83" s="176">
        <f>SUM(D85:D89)</f>
        <v>3765</v>
      </c>
      <c r="E83" s="175">
        <f t="shared" ref="E83:F83" si="19">SUM(E85:E89)</f>
        <v>508</v>
      </c>
      <c r="F83" s="173">
        <f t="shared" si="19"/>
        <v>37281</v>
      </c>
      <c r="G83" s="186" t="s">
        <v>86</v>
      </c>
      <c r="H83" s="187"/>
      <c r="I83" s="187"/>
    </row>
    <row r="84" spans="1:9" x14ac:dyDescent="0.3">
      <c r="A84" s="161"/>
      <c r="B84" s="174"/>
      <c r="C84" s="175"/>
      <c r="D84" s="176"/>
      <c r="E84" s="175"/>
      <c r="F84" s="173"/>
      <c r="G84" s="186"/>
      <c r="H84" s="187"/>
      <c r="I84" s="187"/>
    </row>
    <row r="85" spans="1:9" x14ac:dyDescent="0.3">
      <c r="A85" s="124" t="s">
        <v>155</v>
      </c>
      <c r="B85" s="153">
        <f>SUM(C85:F85)</f>
        <v>36378</v>
      </c>
      <c r="C85" s="135">
        <v>5629</v>
      </c>
      <c r="D85" s="136">
        <v>1971</v>
      </c>
      <c r="E85" s="135">
        <v>497</v>
      </c>
      <c r="F85" s="139">
        <v>28281</v>
      </c>
      <c r="G85" s="125" t="s">
        <v>87</v>
      </c>
      <c r="H85" s="126"/>
      <c r="I85" s="126"/>
    </row>
    <row r="86" spans="1:9" x14ac:dyDescent="0.3">
      <c r="A86" s="124" t="s">
        <v>156</v>
      </c>
      <c r="B86" s="153">
        <f t="shared" ref="B86:B89" si="20">SUM(C86:F86)</f>
        <v>1793</v>
      </c>
      <c r="C86" s="135">
        <v>399</v>
      </c>
      <c r="D86" s="136">
        <v>1067</v>
      </c>
      <c r="E86" s="135">
        <v>10</v>
      </c>
      <c r="F86" s="139">
        <v>317</v>
      </c>
      <c r="G86" s="125" t="s">
        <v>88</v>
      </c>
      <c r="H86" s="126"/>
      <c r="I86" s="126"/>
    </row>
    <row r="87" spans="1:9" x14ac:dyDescent="0.3">
      <c r="A87" s="124" t="s">
        <v>157</v>
      </c>
      <c r="B87" s="153">
        <f t="shared" si="20"/>
        <v>189</v>
      </c>
      <c r="C87" s="135">
        <v>64</v>
      </c>
      <c r="D87" s="136">
        <v>41</v>
      </c>
      <c r="E87" s="135" t="s">
        <v>279</v>
      </c>
      <c r="F87" s="139">
        <v>84</v>
      </c>
      <c r="G87" s="125" t="s">
        <v>89</v>
      </c>
      <c r="H87" s="126"/>
      <c r="I87" s="126"/>
    </row>
    <row r="88" spans="1:9" x14ac:dyDescent="0.3">
      <c r="A88" s="124" t="s">
        <v>158</v>
      </c>
      <c r="B88" s="153">
        <f t="shared" si="20"/>
        <v>2207</v>
      </c>
      <c r="C88" s="135">
        <v>531</v>
      </c>
      <c r="D88" s="136">
        <v>374</v>
      </c>
      <c r="E88" s="135" t="s">
        <v>279</v>
      </c>
      <c r="F88" s="139">
        <v>1302</v>
      </c>
      <c r="G88" s="125" t="s">
        <v>90</v>
      </c>
      <c r="H88" s="126"/>
      <c r="I88" s="126"/>
    </row>
    <row r="89" spans="1:9" x14ac:dyDescent="0.3">
      <c r="A89" s="124" t="s">
        <v>159</v>
      </c>
      <c r="B89" s="153">
        <f t="shared" si="20"/>
        <v>8332</v>
      </c>
      <c r="C89" s="135">
        <v>722</v>
      </c>
      <c r="D89" s="136">
        <v>312</v>
      </c>
      <c r="E89" s="135">
        <v>1</v>
      </c>
      <c r="F89" s="139">
        <v>7297</v>
      </c>
      <c r="G89" s="125" t="s">
        <v>91</v>
      </c>
      <c r="H89" s="126"/>
      <c r="I89" s="126"/>
    </row>
    <row r="90" spans="1:9" x14ac:dyDescent="0.3">
      <c r="A90" s="161" t="s">
        <v>21</v>
      </c>
      <c r="B90" s="174">
        <f>SUM(C90:F91)</f>
        <v>25550</v>
      </c>
      <c r="C90" s="175">
        <f>SUM(C92:C104)</f>
        <v>9470</v>
      </c>
      <c r="D90" s="176">
        <f>SUM(D92:D104)</f>
        <v>6211</v>
      </c>
      <c r="E90" s="175">
        <f t="shared" ref="E90:F90" si="21">SUM(E92:E104)</f>
        <v>1541</v>
      </c>
      <c r="F90" s="173">
        <f t="shared" si="21"/>
        <v>8328</v>
      </c>
      <c r="G90" s="186" t="s">
        <v>92</v>
      </c>
      <c r="H90" s="187"/>
      <c r="I90" s="187"/>
    </row>
    <row r="91" spans="1:9" x14ac:dyDescent="0.3">
      <c r="A91" s="161"/>
      <c r="B91" s="174"/>
      <c r="C91" s="175"/>
      <c r="D91" s="176"/>
      <c r="E91" s="175"/>
      <c r="F91" s="173"/>
      <c r="G91" s="186"/>
      <c r="H91" s="187"/>
      <c r="I91" s="187"/>
    </row>
    <row r="92" spans="1:9" x14ac:dyDescent="0.3">
      <c r="A92" s="124" t="s">
        <v>160</v>
      </c>
      <c r="B92" s="153">
        <f t="shared" ref="B92:B104" si="22">SUM(C92:F92)</f>
        <v>632</v>
      </c>
      <c r="C92" s="135">
        <v>149</v>
      </c>
      <c r="D92" s="136">
        <v>227</v>
      </c>
      <c r="E92" s="135">
        <v>23</v>
      </c>
      <c r="F92" s="139">
        <v>233</v>
      </c>
      <c r="G92" s="125" t="s">
        <v>93</v>
      </c>
      <c r="H92" s="126"/>
      <c r="I92" s="126"/>
    </row>
    <row r="93" spans="1:9" x14ac:dyDescent="0.3">
      <c r="A93" s="124" t="s">
        <v>161</v>
      </c>
      <c r="B93" s="153">
        <f t="shared" si="22"/>
        <v>1640</v>
      </c>
      <c r="C93" s="135">
        <v>517</v>
      </c>
      <c r="D93" s="136">
        <v>715</v>
      </c>
      <c r="E93" s="135">
        <v>99</v>
      </c>
      <c r="F93" s="139">
        <v>309</v>
      </c>
      <c r="G93" s="125" t="s">
        <v>94</v>
      </c>
      <c r="H93" s="126"/>
      <c r="I93" s="126"/>
    </row>
    <row r="94" spans="1:9" x14ac:dyDescent="0.3">
      <c r="A94" s="124" t="s">
        <v>162</v>
      </c>
      <c r="B94" s="153">
        <f t="shared" si="22"/>
        <v>622</v>
      </c>
      <c r="C94" s="135">
        <v>132</v>
      </c>
      <c r="D94" s="136">
        <v>484</v>
      </c>
      <c r="E94" s="135" t="s">
        <v>279</v>
      </c>
      <c r="F94" s="139">
        <v>6</v>
      </c>
      <c r="G94" s="125" t="s">
        <v>95</v>
      </c>
      <c r="H94" s="126"/>
      <c r="I94" s="126"/>
    </row>
    <row r="95" spans="1:9" x14ac:dyDescent="0.3">
      <c r="A95" s="124" t="s">
        <v>163</v>
      </c>
      <c r="B95" s="153">
        <f t="shared" si="22"/>
        <v>1423</v>
      </c>
      <c r="C95" s="135">
        <v>264</v>
      </c>
      <c r="D95" s="136">
        <v>810</v>
      </c>
      <c r="E95" s="135">
        <v>24</v>
      </c>
      <c r="F95" s="139">
        <v>325</v>
      </c>
      <c r="G95" s="125" t="s">
        <v>96</v>
      </c>
      <c r="H95" s="126"/>
      <c r="I95" s="126"/>
    </row>
    <row r="96" spans="1:9" x14ac:dyDescent="0.3">
      <c r="A96" s="124" t="s">
        <v>164</v>
      </c>
      <c r="B96" s="153">
        <f t="shared" si="22"/>
        <v>242</v>
      </c>
      <c r="C96" s="135">
        <v>154</v>
      </c>
      <c r="D96" s="136">
        <v>74</v>
      </c>
      <c r="E96" s="135" t="s">
        <v>279</v>
      </c>
      <c r="F96" s="139">
        <v>14</v>
      </c>
      <c r="G96" s="125" t="s">
        <v>97</v>
      </c>
      <c r="H96" s="126"/>
      <c r="I96" s="126"/>
    </row>
    <row r="97" spans="1:9" x14ac:dyDescent="0.3">
      <c r="A97" s="124" t="s">
        <v>165</v>
      </c>
      <c r="B97" s="153">
        <f t="shared" si="22"/>
        <v>1912</v>
      </c>
      <c r="C97" s="135">
        <v>50</v>
      </c>
      <c r="D97" s="136">
        <v>140</v>
      </c>
      <c r="E97" s="135">
        <v>111</v>
      </c>
      <c r="F97" s="139">
        <v>1611</v>
      </c>
      <c r="G97" s="125" t="s">
        <v>98</v>
      </c>
      <c r="H97" s="126"/>
      <c r="I97" s="126"/>
    </row>
    <row r="98" spans="1:9" x14ac:dyDescent="0.3">
      <c r="A98" s="124" t="s">
        <v>166</v>
      </c>
      <c r="B98" s="153">
        <f t="shared" si="22"/>
        <v>2049</v>
      </c>
      <c r="C98" s="135">
        <v>531</v>
      </c>
      <c r="D98" s="136">
        <v>957</v>
      </c>
      <c r="E98" s="135">
        <v>239</v>
      </c>
      <c r="F98" s="139">
        <v>322</v>
      </c>
      <c r="G98" s="125" t="s">
        <v>99</v>
      </c>
      <c r="H98" s="126"/>
      <c r="I98" s="126"/>
    </row>
    <row r="99" spans="1:9" x14ac:dyDescent="0.3">
      <c r="A99" s="124" t="s">
        <v>167</v>
      </c>
      <c r="B99" s="153">
        <f t="shared" si="22"/>
        <v>708</v>
      </c>
      <c r="C99" s="135">
        <v>213</v>
      </c>
      <c r="D99" s="136">
        <v>269</v>
      </c>
      <c r="E99" s="135">
        <v>67</v>
      </c>
      <c r="F99" s="139">
        <v>159</v>
      </c>
      <c r="G99" s="125" t="s">
        <v>100</v>
      </c>
      <c r="H99" s="126"/>
      <c r="I99" s="126"/>
    </row>
    <row r="100" spans="1:9" x14ac:dyDescent="0.3">
      <c r="A100" s="124" t="s">
        <v>168</v>
      </c>
      <c r="B100" s="153">
        <f t="shared" si="22"/>
        <v>40</v>
      </c>
      <c r="C100" s="135">
        <v>3</v>
      </c>
      <c r="D100" s="136">
        <v>13</v>
      </c>
      <c r="E100" s="135">
        <v>13</v>
      </c>
      <c r="F100" s="139">
        <v>11</v>
      </c>
      <c r="G100" s="125" t="s">
        <v>101</v>
      </c>
      <c r="H100" s="126"/>
      <c r="I100" s="126"/>
    </row>
    <row r="101" spans="1:9" x14ac:dyDescent="0.3">
      <c r="A101" s="124" t="s">
        <v>169</v>
      </c>
      <c r="B101" s="153">
        <f t="shared" si="22"/>
        <v>6167</v>
      </c>
      <c r="C101" s="135">
        <v>4498</v>
      </c>
      <c r="D101" s="136">
        <v>699</v>
      </c>
      <c r="E101" s="135">
        <v>269</v>
      </c>
      <c r="F101" s="139">
        <v>701</v>
      </c>
      <c r="G101" s="125" t="s">
        <v>102</v>
      </c>
      <c r="H101" s="126"/>
      <c r="I101" s="126"/>
    </row>
    <row r="102" spans="1:9" x14ac:dyDescent="0.3">
      <c r="A102" s="124" t="s">
        <v>170</v>
      </c>
      <c r="B102" s="153">
        <f t="shared" si="22"/>
        <v>582</v>
      </c>
      <c r="C102" s="135">
        <v>107</v>
      </c>
      <c r="D102" s="136">
        <v>327</v>
      </c>
      <c r="E102" s="135">
        <v>36</v>
      </c>
      <c r="F102" s="139">
        <v>112</v>
      </c>
      <c r="G102" s="125" t="s">
        <v>103</v>
      </c>
      <c r="H102" s="126"/>
      <c r="I102" s="126"/>
    </row>
    <row r="103" spans="1:9" x14ac:dyDescent="0.3">
      <c r="A103" s="124" t="s">
        <v>171</v>
      </c>
      <c r="B103" s="153">
        <f t="shared" si="22"/>
        <v>8590</v>
      </c>
      <c r="C103" s="135">
        <v>2756</v>
      </c>
      <c r="D103" s="136">
        <v>1260</v>
      </c>
      <c r="E103" s="135">
        <v>648</v>
      </c>
      <c r="F103" s="139">
        <v>3926</v>
      </c>
      <c r="G103" s="125" t="s">
        <v>104</v>
      </c>
      <c r="H103" s="126"/>
      <c r="I103" s="126"/>
    </row>
    <row r="104" spans="1:9" x14ac:dyDescent="0.3">
      <c r="A104" s="124" t="s">
        <v>172</v>
      </c>
      <c r="B104" s="153">
        <f t="shared" si="22"/>
        <v>943</v>
      </c>
      <c r="C104" s="135">
        <v>96</v>
      </c>
      <c r="D104" s="136">
        <v>236</v>
      </c>
      <c r="E104" s="135">
        <v>12</v>
      </c>
      <c r="F104" s="139">
        <v>599</v>
      </c>
      <c r="G104" s="125" t="s">
        <v>105</v>
      </c>
      <c r="H104" s="126"/>
      <c r="I104" s="126"/>
    </row>
    <row r="105" spans="1:9" x14ac:dyDescent="0.3">
      <c r="A105" s="161" t="s">
        <v>22</v>
      </c>
      <c r="B105" s="174">
        <f>SUM(C105:F106)</f>
        <v>597193</v>
      </c>
      <c r="C105" s="175">
        <f>SUM(C107:C110)</f>
        <v>24506</v>
      </c>
      <c r="D105" s="176">
        <f>SUM(D107:D110)</f>
        <v>51393</v>
      </c>
      <c r="E105" s="175">
        <f t="shared" ref="E105:F105" si="23">SUM(E107:E110)</f>
        <v>31854</v>
      </c>
      <c r="F105" s="173">
        <f t="shared" si="23"/>
        <v>489440</v>
      </c>
      <c r="G105" s="186" t="s">
        <v>106</v>
      </c>
      <c r="H105" s="187"/>
      <c r="I105" s="187"/>
    </row>
    <row r="106" spans="1:9" x14ac:dyDescent="0.3">
      <c r="A106" s="161"/>
      <c r="B106" s="174"/>
      <c r="C106" s="175"/>
      <c r="D106" s="176"/>
      <c r="E106" s="175"/>
      <c r="F106" s="173"/>
      <c r="G106" s="186"/>
      <c r="H106" s="187"/>
      <c r="I106" s="187"/>
    </row>
    <row r="107" spans="1:9" x14ac:dyDescent="0.3">
      <c r="A107" s="124" t="s">
        <v>173</v>
      </c>
      <c r="B107" s="153">
        <f>SUM(C107:F107)</f>
        <v>296938</v>
      </c>
      <c r="C107" s="135">
        <v>10758</v>
      </c>
      <c r="D107" s="136">
        <v>16910</v>
      </c>
      <c r="E107" s="135">
        <v>27121</v>
      </c>
      <c r="F107" s="139">
        <v>242149</v>
      </c>
      <c r="G107" s="125" t="s">
        <v>107</v>
      </c>
      <c r="H107" s="126"/>
      <c r="I107" s="126"/>
    </row>
    <row r="108" spans="1:9" x14ac:dyDescent="0.3">
      <c r="A108" s="124" t="s">
        <v>174</v>
      </c>
      <c r="B108" s="153">
        <f t="shared" ref="B108:B110" si="24">SUM(C108:F108)</f>
        <v>99822</v>
      </c>
      <c r="C108" s="135">
        <v>2256</v>
      </c>
      <c r="D108" s="136">
        <v>20961</v>
      </c>
      <c r="E108" s="135">
        <v>1143</v>
      </c>
      <c r="F108" s="139">
        <v>75462</v>
      </c>
      <c r="G108" s="125" t="s">
        <v>108</v>
      </c>
      <c r="H108" s="126"/>
      <c r="I108" s="126"/>
    </row>
    <row r="109" spans="1:9" x14ac:dyDescent="0.3">
      <c r="A109" s="124" t="s">
        <v>175</v>
      </c>
      <c r="B109" s="153">
        <f t="shared" si="24"/>
        <v>53709</v>
      </c>
      <c r="C109" s="135">
        <v>3531</v>
      </c>
      <c r="D109" s="136">
        <v>4711</v>
      </c>
      <c r="E109" s="135">
        <v>1766</v>
      </c>
      <c r="F109" s="139">
        <v>43701</v>
      </c>
      <c r="G109" s="125" t="s">
        <v>109</v>
      </c>
      <c r="H109" s="126"/>
      <c r="I109" s="126"/>
    </row>
    <row r="110" spans="1:9" ht="15" thickBot="1" x14ac:dyDescent="0.35">
      <c r="A110" s="130" t="s">
        <v>176</v>
      </c>
      <c r="B110" s="154">
        <f t="shared" si="24"/>
        <v>146724</v>
      </c>
      <c r="C110" s="141">
        <v>7961</v>
      </c>
      <c r="D110" s="142">
        <v>8811</v>
      </c>
      <c r="E110" s="141">
        <v>1824</v>
      </c>
      <c r="F110" s="143">
        <v>128128</v>
      </c>
      <c r="G110" s="131" t="s">
        <v>110</v>
      </c>
      <c r="H110" s="132"/>
      <c r="I110" s="132"/>
    </row>
    <row r="112" spans="1:9" x14ac:dyDescent="0.3">
      <c r="A112" s="190"/>
      <c r="B112" s="190"/>
      <c r="C112" s="190"/>
      <c r="E112" s="190"/>
      <c r="F112" s="190"/>
      <c r="G112" s="190"/>
      <c r="H112" s="190"/>
      <c r="I112" s="190"/>
    </row>
  </sheetData>
  <mergeCells count="101">
    <mergeCell ref="C105:C106"/>
    <mergeCell ref="B105:B106"/>
    <mergeCell ref="D105:D106"/>
    <mergeCell ref="E105:E106"/>
    <mergeCell ref="F105:F106"/>
    <mergeCell ref="D73:D74"/>
    <mergeCell ref="E73:E74"/>
    <mergeCell ref="F73:F74"/>
    <mergeCell ref="C83:C84"/>
    <mergeCell ref="B83:B84"/>
    <mergeCell ref="C90:C91"/>
    <mergeCell ref="B90:B91"/>
    <mergeCell ref="D90:D91"/>
    <mergeCell ref="E90:E91"/>
    <mergeCell ref="F90:F91"/>
    <mergeCell ref="E54:E55"/>
    <mergeCell ref="F54:F55"/>
    <mergeCell ref="C73:C74"/>
    <mergeCell ref="B73:B74"/>
    <mergeCell ref="C66:C67"/>
    <mergeCell ref="B66:B67"/>
    <mergeCell ref="D66:D67"/>
    <mergeCell ref="E66:E67"/>
    <mergeCell ref="D83:D84"/>
    <mergeCell ref="E83:E84"/>
    <mergeCell ref="F83:F84"/>
    <mergeCell ref="D61:D62"/>
    <mergeCell ref="E61:E62"/>
    <mergeCell ref="F61:F62"/>
    <mergeCell ref="F66:F67"/>
    <mergeCell ref="A2:I2"/>
    <mergeCell ref="A3:I3"/>
    <mergeCell ref="A4:I4"/>
    <mergeCell ref="A112:C112"/>
    <mergeCell ref="E112:I112"/>
    <mergeCell ref="B10:B11"/>
    <mergeCell ref="C10:C11"/>
    <mergeCell ref="D10:D11"/>
    <mergeCell ref="E10:E11"/>
    <mergeCell ref="F20:F21"/>
    <mergeCell ref="C34:C35"/>
    <mergeCell ref="B34:B35"/>
    <mergeCell ref="D34:D35"/>
    <mergeCell ref="E34:E35"/>
    <mergeCell ref="F34:F35"/>
    <mergeCell ref="B40:B41"/>
    <mergeCell ref="C40:C41"/>
    <mergeCell ref="D40:D41"/>
    <mergeCell ref="E40:E41"/>
    <mergeCell ref="F40:F41"/>
    <mergeCell ref="C61:C62"/>
    <mergeCell ref="B61:B62"/>
    <mergeCell ref="C54:C55"/>
    <mergeCell ref="D54:D55"/>
    <mergeCell ref="A54:A55"/>
    <mergeCell ref="A61:A62"/>
    <mergeCell ref="A66:A67"/>
    <mergeCell ref="A73:A74"/>
    <mergeCell ref="A83:A84"/>
    <mergeCell ref="A90:A91"/>
    <mergeCell ref="A105:A106"/>
    <mergeCell ref="G6:I9"/>
    <mergeCell ref="G10:I11"/>
    <mergeCell ref="G12:I13"/>
    <mergeCell ref="G20:I21"/>
    <mergeCell ref="G34:I35"/>
    <mergeCell ref="G40:I41"/>
    <mergeCell ref="G47:I48"/>
    <mergeCell ref="G54:I55"/>
    <mergeCell ref="G61:I62"/>
    <mergeCell ref="G66:I67"/>
    <mergeCell ref="G73:I74"/>
    <mergeCell ref="G83:I84"/>
    <mergeCell ref="G90:I91"/>
    <mergeCell ref="G105:I106"/>
    <mergeCell ref="B54:B55"/>
    <mergeCell ref="C47:C48"/>
    <mergeCell ref="B47:B48"/>
    <mergeCell ref="A47:A48"/>
    <mergeCell ref="D47:D48"/>
    <mergeCell ref="E47:E48"/>
    <mergeCell ref="F47:F48"/>
    <mergeCell ref="B12:B13"/>
    <mergeCell ref="C12:C13"/>
    <mergeCell ref="D12:D13"/>
    <mergeCell ref="E12:E13"/>
    <mergeCell ref="F12:F13"/>
    <mergeCell ref="A6:A9"/>
    <mergeCell ref="A10:A11"/>
    <mergeCell ref="A12:A13"/>
    <mergeCell ref="C6:F6"/>
    <mergeCell ref="C7:F7"/>
    <mergeCell ref="B6:B8"/>
    <mergeCell ref="A20:A21"/>
    <mergeCell ref="A34:A35"/>
    <mergeCell ref="A40:A41"/>
    <mergeCell ref="F10:F11"/>
    <mergeCell ref="B20:B21"/>
    <mergeCell ref="C20:C21"/>
    <mergeCell ref="D20:D21"/>
    <mergeCell ref="E20:E21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List of Regions</vt:lpstr>
      <vt:lpstr>ΠΙΝΑΚΑΣ 6α ΠΟΤΙΣΤΙΚΕΣ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2015-05-13T11:12:06Z</dcterms:created>
  <dcterms:modified xsi:type="dcterms:W3CDTF">2026-06-23T09:27:54Z</dcterms:modified>
</cp:coreProperties>
</file>