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48" windowWidth="14856" windowHeight="4968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A109" i="1"/>
  <c r="A108"/>
  <c r="A107"/>
  <c r="A106"/>
  <c r="A103"/>
  <c r="A102"/>
  <c r="A101"/>
  <c r="A100"/>
  <c r="A99"/>
  <c r="A98"/>
  <c r="A97"/>
  <c r="A96"/>
  <c r="A95"/>
  <c r="A94"/>
  <c r="A93"/>
  <c r="A92"/>
  <c r="A91"/>
  <c r="A88"/>
  <c r="A87"/>
  <c r="A86"/>
  <c r="A85"/>
  <c r="A84"/>
  <c r="A71"/>
  <c r="A70"/>
  <c r="A69"/>
  <c r="A68"/>
  <c r="A67"/>
  <c r="A64"/>
  <c r="A63"/>
  <c r="A62"/>
  <c r="A59"/>
  <c r="A58"/>
  <c r="A57"/>
  <c r="A56"/>
  <c r="A55"/>
  <c r="A52"/>
  <c r="A51"/>
  <c r="A50"/>
  <c r="A49"/>
  <c r="A48"/>
  <c r="A45"/>
  <c r="A44"/>
  <c r="A43"/>
  <c r="A42"/>
  <c r="A41"/>
  <c r="A38"/>
  <c r="A37"/>
  <c r="A36"/>
  <c r="A35"/>
  <c r="A32"/>
  <c r="A31"/>
  <c r="A30"/>
  <c r="A29"/>
  <c r="A28"/>
  <c r="A27"/>
  <c r="A26"/>
  <c r="A25"/>
  <c r="A24"/>
  <c r="A23"/>
  <c r="A22"/>
  <c r="A19"/>
  <c r="A18"/>
  <c r="A17"/>
  <c r="A16"/>
  <c r="A15"/>
  <c r="A14"/>
</calcChain>
</file>

<file path=xl/sharedStrings.xml><?xml version="1.0" encoding="utf-8"?>
<sst xmlns="http://schemas.openxmlformats.org/spreadsheetml/2006/main" count="352" uniqueCount="131">
  <si>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</si>
  <si>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</si>
  <si>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</si>
  <si>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</si>
  <si>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</si>
  <si>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</si>
  <si>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</si>
  <si>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</si>
  <si>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</si>
  <si>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</si>
  <si>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</si>
  <si>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</si>
  <si>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</si>
  <si>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</si>
  <si>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</si>
  <si>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</si>
  <si>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</si>
  <si>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</si>
  <si>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</si>
  <si>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</si>
  <si>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</si>
  <si>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</si>
  <si>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</si>
  <si>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</si>
  <si>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</si>
  <si>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</si>
  <si>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</si>
  <si>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</si>
  <si>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</si>
  <si>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</si>
  <si>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</si>
  <si>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</si>
  <si>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</si>
  <si>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</si>
  <si>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</si>
  <si>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</si>
  <si>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</si>
  <si>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</si>
  <si>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</si>
  <si>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</si>
  <si>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</si>
  <si>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</si>
  <si>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</si>
  <si>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</si>
  <si>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</si>
  <si>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</si>
  <si>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</si>
  <si>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</si>
  <si>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</si>
  <si>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</si>
  <si>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</si>
  <si>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</si>
  <si>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</si>
  <si>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</si>
  <si>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</si>
  <si>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</si>
  <si>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</si>
  <si>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</si>
  <si>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</si>
  <si>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</si>
  <si>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</si>
  <si>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</si>
  <si>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</si>
  <si>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</si>
  <si>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</si>
  <si>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</si>
  <si>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</si>
  <si>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</si>
  <si>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</si>
  <si>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</si>
  <si>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</si>
  <si>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</si>
  <si>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</si>
  <si>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</si>
  <si>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</si>
  <si>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</si>
  <si>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</si>
  <si>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</si>
  <si>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</si>
  <si>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</si>
  <si>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</si>
  <si>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</si>
  <si>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</si>
  <si>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</si>
  <si>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</si>
  <si>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</si>
  <si>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</si>
  <si>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</si>
  <si>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</si>
  <si>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</si>
  <si>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</si>
  <si>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</si>
  <si>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</si>
  <si>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</si>
  <si>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</si>
  <si>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</si>
  <si>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</si>
  <si>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</si>
  <si>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</si>
  <si>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</si>
  <si>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</si>
  <si>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</si>
  <si>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</si>
  <si>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</si>
  <si>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</si>
  <si>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</si>
  <si>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</si>
  <si>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</si>
  <si>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</si>
  <si>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</si>
  <si>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</si>
  <si>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</si>
  <si>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―</t>
  </si>
  <si>
    <t>Πίνακας 2. Βόδια, ταύροι, δαμάλια, αγελάδες και βουβάλια (όλων των ηλικιών) στις 31.12.2011, κατά Περιφέρεια και Περιφερειακή Ενότητα</t>
  </si>
  <si>
    <t>Table 2. Oxen, bulls, heifers, cows and buffaloes (all ages) on 31st December 2011, by Region and Regional Unity</t>
  </si>
  <si>
    <t xml:space="preserve">Άρρενα           </t>
  </si>
  <si>
    <t>Male</t>
  </si>
  <si>
    <t xml:space="preserve">Θήλεα       </t>
  </si>
  <si>
    <t>Female</t>
  </si>
  <si>
    <t>Total</t>
  </si>
  <si>
    <t xml:space="preserve">Σύνολο </t>
  </si>
  <si>
    <t xml:space="preserve">Εγχώρια αβελτίωτα                   </t>
  </si>
  <si>
    <t>Local unimproved</t>
  </si>
  <si>
    <t xml:space="preserve">Εγχώρια βελτιωμένα                     </t>
  </si>
  <si>
    <t>Local improved</t>
  </si>
  <si>
    <t xml:space="preserve">Ξενικά                                             </t>
  </si>
  <si>
    <t>Foreign</t>
  </si>
  <si>
    <t xml:space="preserve"> Oxen, bulls, heifers, cows</t>
  </si>
  <si>
    <t>Βόδια, ταύροι, δαμάλια, αγελάδες</t>
  </si>
  <si>
    <t>Buffaloes</t>
  </si>
  <si>
    <t>Βουβάλια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</si>
</sst>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161"/>
      <scheme val="minor"/>
    </font>
    <font>
      <sz val="8"/>
      <color theme="1"/>
      <name val="Arial"/>
      <family val="2"/>
      <charset val="161"/>
    </font>
    <font>
      <b/>
      <sz val="11"/>
      <name val="Arial"/>
      <family val="2"/>
      <charset val="161"/>
    </font>
    <font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Font="1" applyBorder="1" applyAlignment="1">
      <alignment vertical="center"/>
    </xf>
    <xf numFmtId="0" fontId="5" fillId="0" borderId="1" xfId="0" applyNumberFormat="1" applyFont="1" applyFill="1" applyBorder="1" applyAlignment="1" applyProtection="1">
      <alignment horizontal="left"/>
    </xf>
    <xf numFmtId="0" fontId="5" fillId="0" borderId="1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1" fillId="0" borderId="0" xfId="0" applyFont="1" applyBorder="1"/>
    <xf numFmtId="49" fontId="5" fillId="0" borderId="0" xfId="0" applyNumberFormat="1" applyFont="1" applyFill="1" applyBorder="1" applyAlignment="1" applyProtection="1">
      <alignment horizontal="left" wrapText="1" indent="2"/>
    </xf>
    <xf numFmtId="3" fontId="5" fillId="0" borderId="4" xfId="0" quotePrefix="1" applyNumberFormat="1" applyFont="1" applyFill="1" applyBorder="1" applyAlignment="1" applyProtection="1">
      <alignment horizontal="right"/>
    </xf>
    <xf numFmtId="3" fontId="5" fillId="0" borderId="8" xfId="0" quotePrefix="1" applyNumberFormat="1" applyFont="1" applyFill="1" applyBorder="1" applyAlignment="1" applyProtection="1">
      <alignment horizontal="right"/>
    </xf>
    <xf numFmtId="0" fontId="1" fillId="0" borderId="0" xfId="0" applyFont="1" applyBorder="1" applyAlignment="1">
      <alignment horizontal="left"/>
    </xf>
    <xf numFmtId="49" fontId="8" fillId="0" borderId="0" xfId="0" applyNumberFormat="1" applyFont="1" applyBorder="1" applyAlignment="1" applyProtection="1">
      <alignment horizontal="left" vertical="center" wrapText="1" indent="2"/>
      <protection locked="0"/>
    </xf>
    <xf numFmtId="49" fontId="5" fillId="0" borderId="1" xfId="0" applyNumberFormat="1" applyFont="1" applyFill="1" applyBorder="1" applyAlignment="1" applyProtection="1">
      <alignment horizontal="left" wrapText="1" indent="2"/>
    </xf>
    <xf numFmtId="0" fontId="1" fillId="0" borderId="1" xfId="0" applyFont="1" applyBorder="1" applyAlignment="1">
      <alignment horizontal="left"/>
    </xf>
    <xf numFmtId="49" fontId="5" fillId="0" borderId="2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49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 applyProtection="1">
      <alignment horizontal="left" indent="2"/>
    </xf>
    <xf numFmtId="0" fontId="5" fillId="0" borderId="0" xfId="0" applyFont="1" applyFill="1" applyBorder="1" applyAlignment="1" applyProtection="1">
      <alignment horizontal="left" indent="2"/>
    </xf>
    <xf numFmtId="0" fontId="9" fillId="0" borderId="0" xfId="0" applyFont="1" applyBorder="1" applyAlignment="1">
      <alignment horizontal="center"/>
    </xf>
    <xf numFmtId="49" fontId="4" fillId="0" borderId="0" xfId="0" applyNumberFormat="1" applyFont="1" applyFill="1" applyBorder="1" applyAlignment="1" applyProtection="1">
      <alignment horizontal="left" indent="2"/>
    </xf>
    <xf numFmtId="49" fontId="1" fillId="0" borderId="0" xfId="0" applyNumberFormat="1" applyFont="1" applyBorder="1"/>
    <xf numFmtId="0" fontId="10" fillId="0" borderId="0" xfId="0" applyNumberFormat="1" applyFont="1" applyFill="1" applyBorder="1" applyAlignment="1" applyProtection="1"/>
    <xf numFmtId="0" fontId="1" fillId="0" borderId="0" xfId="0" applyFont="1" applyBorder="1" applyAlignment="1">
      <alignment horizontal="left" indent="2"/>
    </xf>
    <xf numFmtId="49" fontId="1" fillId="0" borderId="0" xfId="0" applyNumberFormat="1" applyFont="1"/>
    <xf numFmtId="0" fontId="1" fillId="0" borderId="1" xfId="0" applyFont="1" applyBorder="1" applyAlignment="1">
      <alignment horizontal="left" indent="2"/>
    </xf>
    <xf numFmtId="3" fontId="5" fillId="0" borderId="10" xfId="0" quotePrefix="1" applyNumberFormat="1" applyFont="1" applyFill="1" applyBorder="1" applyAlignment="1" applyProtection="1">
      <alignment horizontal="right"/>
    </xf>
    <xf numFmtId="3" fontId="5" fillId="0" borderId="11" xfId="0" quotePrefix="1" applyNumberFormat="1" applyFont="1" applyFill="1" applyBorder="1" applyAlignment="1" applyProtection="1">
      <alignment horizontal="right"/>
    </xf>
    <xf numFmtId="3" fontId="5" fillId="0" borderId="8" xfId="0" applyNumberFormat="1" applyFont="1" applyFill="1" applyBorder="1" applyAlignment="1" applyProtection="1">
      <alignment horizontal="right"/>
    </xf>
    <xf numFmtId="3" fontId="5" fillId="0" borderId="9" xfId="0" applyNumberFormat="1" applyFont="1" applyFill="1" applyBorder="1" applyAlignment="1" applyProtection="1">
      <alignment horizontal="right"/>
    </xf>
    <xf numFmtId="3" fontId="5" fillId="0" borderId="9" xfId="0" quotePrefix="1" applyNumberFormat="1" applyFont="1" applyFill="1" applyBorder="1" applyAlignment="1" applyProtection="1">
      <alignment horizontal="right"/>
    </xf>
    <xf numFmtId="3" fontId="5" fillId="0" borderId="11" xfId="0" applyNumberFormat="1" applyFont="1" applyFill="1" applyBorder="1" applyAlignment="1" applyProtection="1">
      <alignment horizontal="right"/>
    </xf>
    <xf numFmtId="3" fontId="5" fillId="0" borderId="15" xfId="0" quotePrefix="1" applyNumberFormat="1" applyFont="1" applyFill="1" applyBorder="1" applyAlignment="1" applyProtection="1">
      <alignment horizontal="right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 applyBorder="1" applyAlignment="1">
      <alignment horizontal="left" vertical="center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right" vertical="center"/>
    </xf>
    <xf numFmtId="0" fontId="5" fillId="0" borderId="0" xfId="0" applyNumberFormat="1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 wrapText="1" indent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3" fontId="4" fillId="0" borderId="8" xfId="0" applyNumberFormat="1" applyFont="1" applyFill="1" applyBorder="1" applyAlignment="1" applyProtection="1">
      <alignment horizontal="right" vertical="center"/>
    </xf>
    <xf numFmtId="3" fontId="4" fillId="0" borderId="9" xfId="0" applyNumberFormat="1" applyFont="1" applyFill="1" applyBorder="1" applyAlignment="1" applyProtection="1">
      <alignment horizontal="right" vertical="center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3" fontId="6" fillId="0" borderId="12" xfId="0" applyNumberFormat="1" applyFont="1" applyBorder="1" applyAlignment="1">
      <alignment horizontal="right" vertical="center"/>
    </xf>
    <xf numFmtId="3" fontId="6" fillId="0" borderId="8" xfId="0" applyNumberFormat="1" applyFont="1" applyBorder="1" applyAlignment="1">
      <alignment horizontal="right" vertical="center"/>
    </xf>
    <xf numFmtId="3" fontId="4" fillId="0" borderId="5" xfId="0" applyNumberFormat="1" applyFont="1" applyFill="1" applyBorder="1" applyAlignment="1" applyProtection="1">
      <alignment horizontal="right" vertical="center"/>
    </xf>
    <xf numFmtId="0" fontId="7" fillId="0" borderId="0" xfId="0" applyFont="1" applyBorder="1" applyAlignment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3" fontId="6" fillId="0" borderId="9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 vertical="center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right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3" fontId="4" fillId="0" borderId="8" xfId="0" applyNumberFormat="1" applyFont="1" applyFill="1" applyBorder="1" applyAlignment="1" applyProtection="1">
      <alignment horizontal="right" vertical="center" wrapText="1"/>
    </xf>
    <xf numFmtId="3" fontId="4" fillId="0" borderId="9" xfId="0" applyNumberFormat="1" applyFont="1" applyFill="1" applyBorder="1" applyAlignment="1" applyProtection="1">
      <alignment horizontal="right" vertical="center" wrapText="1"/>
    </xf>
    <xf numFmtId="49" fontId="4" fillId="0" borderId="7" xfId="0" applyNumberFormat="1" applyFont="1" applyFill="1" applyBorder="1" applyAlignment="1" applyProtection="1">
      <alignment horizontal="left" vertical="center" wrapText="1" indent="1"/>
    </xf>
    <xf numFmtId="49" fontId="4" fillId="0" borderId="0" xfId="0" applyNumberFormat="1" applyFont="1" applyFill="1" applyBorder="1" applyAlignment="1" applyProtection="1">
      <alignment horizontal="left" vertical="center" wrapText="1" indent="1"/>
    </xf>
    <xf numFmtId="3" fontId="4" fillId="0" borderId="4" xfId="0" applyNumberFormat="1" applyFont="1" applyFill="1" applyBorder="1" applyAlignment="1" applyProtection="1">
      <alignment horizontal="right" vertical="center" wrapText="1"/>
    </xf>
    <xf numFmtId="3" fontId="4" fillId="0" borderId="5" xfId="0" applyNumberFormat="1" applyFont="1" applyFill="1" applyBorder="1" applyAlignment="1" applyProtection="1">
      <alignment horizontal="right" vertical="center" wrapText="1"/>
    </xf>
    <xf numFmtId="0" fontId="5" fillId="0" borderId="16" xfId="0" applyNumberFormat="1" applyFont="1" applyFill="1" applyBorder="1" applyAlignment="1" applyProtection="1">
      <alignment horizontal="center" vertical="center" wrapText="1"/>
    </xf>
    <xf numFmtId="0" fontId="5" fillId="0" borderId="18" xfId="0" applyNumberFormat="1" applyFont="1" applyFill="1" applyBorder="1" applyAlignment="1" applyProtection="1">
      <alignment horizontal="center" vertical="center" wrapText="1"/>
    </xf>
    <xf numFmtId="0" fontId="5" fillId="0" borderId="20" xfId="0" applyNumberFormat="1" applyFont="1" applyFill="1" applyBorder="1" applyAlignment="1" applyProtection="1">
      <alignment horizontal="center" vertical="center" wrapText="1"/>
    </xf>
    <xf numFmtId="0" fontId="5" fillId="0" borderId="21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5" fillId="0" borderId="23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wrapText="1"/>
    </xf>
    <xf numFmtId="0" fontId="5" fillId="0" borderId="18" xfId="0" applyNumberFormat="1" applyFont="1" applyFill="1" applyBorder="1" applyAlignment="1" applyProtection="1">
      <alignment horizontal="center" vertical="top" wrapText="1"/>
    </xf>
    <xf numFmtId="0" fontId="5" fillId="0" borderId="14" xfId="0" applyNumberFormat="1" applyFont="1" applyFill="1" applyBorder="1" applyAlignment="1" applyProtection="1">
      <alignment horizontal="center" wrapText="1"/>
    </xf>
    <xf numFmtId="0" fontId="5" fillId="0" borderId="6" xfId="0" applyNumberFormat="1" applyFont="1" applyFill="1" applyBorder="1" applyAlignment="1" applyProtection="1">
      <alignment horizontal="center" vertical="top" wrapText="1"/>
    </xf>
    <xf numFmtId="0" fontId="5" fillId="0" borderId="16" xfId="0" applyNumberFormat="1" applyFont="1" applyFill="1" applyBorder="1" applyAlignment="1" applyProtection="1">
      <alignment horizontal="center" wrapText="1"/>
    </xf>
    <xf numFmtId="0" fontId="5" fillId="0" borderId="17" xfId="0" applyNumberFormat="1" applyFont="1" applyFill="1" applyBorder="1" applyAlignment="1" applyProtection="1">
      <alignment horizontal="center" vertical="center" wrapText="1"/>
    </xf>
    <xf numFmtId="0" fontId="5" fillId="0" borderId="24" xfId="0" applyNumberFormat="1" applyFont="1" applyFill="1" applyBorder="1" applyAlignment="1" applyProtection="1">
      <alignment horizontal="center" wrapText="1"/>
    </xf>
    <xf numFmtId="0" fontId="5" fillId="0" borderId="17" xfId="0" applyNumberFormat="1" applyFont="1" applyFill="1" applyBorder="1" applyAlignment="1" applyProtection="1">
      <alignment horizontal="center" vertical="top" wrapText="1"/>
    </xf>
    <xf numFmtId="0" fontId="5" fillId="0" borderId="6" xfId="0" applyNumberFormat="1" applyFont="1" applyFill="1" applyBorder="1" applyAlignment="1" applyProtection="1">
      <alignment horizontal="center" vertical="top" wrapText="1"/>
    </xf>
    <xf numFmtId="0" fontId="5" fillId="0" borderId="21" xfId="0" applyNumberFormat="1" applyFont="1" applyFill="1" applyBorder="1" applyAlignment="1" applyProtection="1">
      <alignment horizontal="center" vertical="top" wrapText="1"/>
    </xf>
    <xf numFmtId="0" fontId="5" fillId="0" borderId="25" xfId="0" applyNumberFormat="1" applyFont="1" applyFill="1" applyBorder="1" applyAlignment="1" applyProtection="1">
      <alignment horizontal="center" wrapText="1"/>
    </xf>
    <xf numFmtId="0" fontId="5" fillId="0" borderId="26" xfId="0" applyNumberFormat="1" applyFont="1" applyFill="1" applyBorder="1" applyAlignment="1" applyProtection="1">
      <alignment horizontal="center" vertical="top" wrapText="1"/>
    </xf>
    <xf numFmtId="0" fontId="5" fillId="0" borderId="14" xfId="0" applyNumberFormat="1" applyFont="1" applyFill="1" applyBorder="1" applyAlignment="1" applyProtection="1">
      <alignment horizontal="center" wrapText="1"/>
    </xf>
    <xf numFmtId="0" fontId="5" fillId="0" borderId="19" xfId="0" applyNumberFormat="1" applyFont="1" applyFill="1" applyBorder="1" applyAlignment="1" applyProtection="1">
      <alignment horizontal="center" vertical="center" wrapText="1"/>
    </xf>
    <xf numFmtId="49" fontId="4" fillId="0" borderId="19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.spyroulis/&#917;&#960;&#953;&#966;&#940;&#957;&#949;&#953;&#945;%20&#949;&#961;&#947;&#945;&#963;&#943;&#945;&#962;/&#916;&#925;&#931;&#919;_&#928;&#929;&#937;&#932;&#927;&#915;_&#917;&#923;&#931;&#932;&#913;&#932;/&#917;&#932;&#919;&#931;&#921;&#913;%20&#915;&#917;&#937;&#929;&#915;&#921;&#922;&#919;%20&#917;&#929;&#917;&#933;&#925;&#913;/&#913;&#925;&#913;&#923;&#933;&#932;&#921;&#922;&#913;%20&#917;&#915;&#917;%20&#928;&#929;&#927;&#931;%20&#916;&#919;&#924;&#927;&#931;&#921;&#917;&#933;&#931;&#919;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(α)"/>
    </sheetNames>
    <sheetDataSet>
      <sheetData sheetId="0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5"/>
  <sheetViews>
    <sheetView showGridLines="0" tabSelected="1" zoomScale="130" zoomScaleNormal="130" workbookViewId="0">
      <selection activeCell="C20" sqref="C20:C21"/>
    </sheetView>
  </sheetViews>
  <sheetFormatPr defaultRowHeight="10.199999999999999"/>
  <cols>
    <col min="1" max="1" width="25" style="1" customWidth="1"/>
    <col min="2" max="11" width="11.77734375" style="1" customWidth="1"/>
    <col min="12" max="12" width="9.6640625" style="1" customWidth="1"/>
    <col min="13" max="13" width="7.109375" style="1" customWidth="1"/>
    <col min="14" max="14" width="6" style="1" customWidth="1"/>
    <col min="15" max="15" width="10.109375" style="1" customWidth="1"/>
    <col min="16" max="16384" width="8.88671875" style="1"/>
  </cols>
  <sheetData>
    <row r="1" spans="1:15" ht="14.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4"/>
    </row>
    <row r="2" spans="1:15" ht="22.2" customHeight="1">
      <c r="A2" s="38" t="s">
        <v>113</v>
      </c>
      <c r="B2" s="38"/>
      <c r="C2" s="38"/>
      <c r="D2" s="38"/>
      <c r="E2" s="38"/>
      <c r="F2" s="38"/>
      <c r="G2" s="38" t="s">
        <v>114</v>
      </c>
      <c r="H2" s="38"/>
      <c r="I2" s="38"/>
      <c r="J2" s="38"/>
      <c r="K2" s="38"/>
      <c r="L2" s="38"/>
      <c r="M2" s="38"/>
      <c r="N2" s="38"/>
      <c r="O2" s="4"/>
    </row>
    <row r="3" spans="1:15" ht="10.8" thickBot="1">
      <c r="A3" s="5" t="s">
        <v>110</v>
      </c>
      <c r="B3" s="5"/>
      <c r="C3" s="5"/>
      <c r="D3" s="5"/>
      <c r="E3" s="5"/>
      <c r="F3" s="5"/>
      <c r="G3" s="65"/>
      <c r="H3" s="65"/>
      <c r="I3" s="65"/>
      <c r="J3" s="65"/>
      <c r="K3" s="65"/>
      <c r="L3" s="6"/>
      <c r="M3" s="65" t="s">
        <v>111</v>
      </c>
      <c r="N3" s="65"/>
      <c r="O3" s="7"/>
    </row>
    <row r="4" spans="1:15" ht="14.4" customHeight="1">
      <c r="A4" s="64" t="s">
        <v>0</v>
      </c>
      <c r="B4" s="77" t="s">
        <v>128</v>
      </c>
      <c r="C4" s="64"/>
      <c r="D4" s="64"/>
      <c r="E4" s="64"/>
      <c r="F4" s="64"/>
      <c r="G4" s="64"/>
      <c r="H4" s="64"/>
      <c r="I4" s="78"/>
      <c r="J4" s="42" t="s">
        <v>130</v>
      </c>
      <c r="K4" s="43"/>
      <c r="L4" s="64" t="s">
        <v>1</v>
      </c>
      <c r="M4" s="64"/>
      <c r="N4" s="64"/>
      <c r="O4" s="8"/>
    </row>
    <row r="5" spans="1:15" ht="14.4" customHeight="1">
      <c r="A5" s="48"/>
      <c r="B5" s="84" t="s">
        <v>127</v>
      </c>
      <c r="C5" s="74"/>
      <c r="D5" s="74"/>
      <c r="E5" s="74"/>
      <c r="F5" s="74"/>
      <c r="G5" s="74"/>
      <c r="H5" s="74"/>
      <c r="I5" s="40"/>
      <c r="J5" s="75" t="s">
        <v>129</v>
      </c>
      <c r="K5" s="76"/>
      <c r="L5" s="48"/>
      <c r="M5" s="48"/>
      <c r="N5" s="48"/>
      <c r="O5" s="8"/>
    </row>
    <row r="6" spans="1:15">
      <c r="A6" s="48"/>
      <c r="B6" s="85" t="s">
        <v>120</v>
      </c>
      <c r="C6" s="81"/>
      <c r="D6" s="79" t="s">
        <v>121</v>
      </c>
      <c r="E6" s="81"/>
      <c r="F6" s="79" t="s">
        <v>123</v>
      </c>
      <c r="G6" s="81"/>
      <c r="H6" s="79" t="s">
        <v>125</v>
      </c>
      <c r="I6" s="81"/>
      <c r="J6" s="39" t="s">
        <v>115</v>
      </c>
      <c r="K6" s="92" t="s">
        <v>117</v>
      </c>
      <c r="L6" s="48"/>
      <c r="M6" s="48"/>
      <c r="N6" s="48"/>
      <c r="O6" s="8"/>
    </row>
    <row r="7" spans="1:15">
      <c r="A7" s="48"/>
      <c r="B7" s="86" t="s">
        <v>119</v>
      </c>
      <c r="C7" s="82"/>
      <c r="D7" s="80" t="s">
        <v>122</v>
      </c>
      <c r="E7" s="82"/>
      <c r="F7" s="80" t="s">
        <v>124</v>
      </c>
      <c r="G7" s="82"/>
      <c r="H7" s="80" t="s">
        <v>126</v>
      </c>
      <c r="I7" s="82"/>
      <c r="J7" s="73"/>
      <c r="K7" s="92"/>
      <c r="L7" s="48"/>
      <c r="M7" s="48"/>
      <c r="N7" s="48"/>
      <c r="O7" s="8"/>
    </row>
    <row r="8" spans="1:15">
      <c r="A8" s="48"/>
      <c r="B8" s="89" t="s">
        <v>115</v>
      </c>
      <c r="C8" s="83" t="s">
        <v>117</v>
      </c>
      <c r="D8" s="91" t="s">
        <v>115</v>
      </c>
      <c r="E8" s="83" t="s">
        <v>117</v>
      </c>
      <c r="F8" s="91" t="s">
        <v>115</v>
      </c>
      <c r="G8" s="83" t="s">
        <v>117</v>
      </c>
      <c r="H8" s="91" t="s">
        <v>115</v>
      </c>
      <c r="I8" s="83" t="s">
        <v>117</v>
      </c>
      <c r="J8" s="73"/>
      <c r="K8" s="92"/>
      <c r="L8" s="48"/>
      <c r="M8" s="48"/>
      <c r="N8" s="48"/>
      <c r="O8" s="8"/>
    </row>
    <row r="9" spans="1:15">
      <c r="A9" s="37"/>
      <c r="B9" s="90" t="s">
        <v>116</v>
      </c>
      <c r="C9" s="87" t="s">
        <v>118</v>
      </c>
      <c r="D9" s="87" t="s">
        <v>116</v>
      </c>
      <c r="E9" s="87" t="s">
        <v>118</v>
      </c>
      <c r="F9" s="87" t="s">
        <v>116</v>
      </c>
      <c r="G9" s="87" t="s">
        <v>118</v>
      </c>
      <c r="H9" s="87" t="s">
        <v>116</v>
      </c>
      <c r="I9" s="87" t="s">
        <v>118</v>
      </c>
      <c r="J9" s="87" t="s">
        <v>116</v>
      </c>
      <c r="K9" s="88" t="s">
        <v>118</v>
      </c>
      <c r="L9" s="37"/>
      <c r="M9" s="37"/>
      <c r="N9" s="37"/>
      <c r="O9" s="8"/>
    </row>
    <row r="10" spans="1:15">
      <c r="A10" s="69" t="s">
        <v>2</v>
      </c>
      <c r="B10" s="71">
        <v>165201</v>
      </c>
      <c r="C10" s="67">
        <v>459651</v>
      </c>
      <c r="D10" s="72">
        <v>31689</v>
      </c>
      <c r="E10" s="67">
        <v>125794</v>
      </c>
      <c r="F10" s="67">
        <v>92224</v>
      </c>
      <c r="G10" s="67">
        <v>242306</v>
      </c>
      <c r="H10" s="67">
        <v>40549</v>
      </c>
      <c r="I10" s="67">
        <v>90153</v>
      </c>
      <c r="J10" s="67">
        <v>739</v>
      </c>
      <c r="K10" s="68">
        <v>1398</v>
      </c>
      <c r="L10" s="66" t="s">
        <v>3</v>
      </c>
      <c r="M10" s="66"/>
      <c r="N10" s="66"/>
      <c r="O10" s="8"/>
    </row>
    <row r="11" spans="1:15">
      <c r="A11" s="70"/>
      <c r="B11" s="71"/>
      <c r="C11" s="67"/>
      <c r="D11" s="72"/>
      <c r="E11" s="67"/>
      <c r="F11" s="67"/>
      <c r="G11" s="67"/>
      <c r="H11" s="67"/>
      <c r="I11" s="67"/>
      <c r="J11" s="67"/>
      <c r="K11" s="68"/>
      <c r="L11" s="38"/>
      <c r="M11" s="38"/>
      <c r="N11" s="38"/>
      <c r="O11" s="8"/>
    </row>
    <row r="12" spans="1:15">
      <c r="A12" s="93" t="s">
        <v>4</v>
      </c>
      <c r="B12" s="57">
        <v>22192</v>
      </c>
      <c r="C12" s="58">
        <v>75833</v>
      </c>
      <c r="D12" s="63">
        <v>4745</v>
      </c>
      <c r="E12" s="58">
        <v>16917</v>
      </c>
      <c r="F12" s="58">
        <v>12428</v>
      </c>
      <c r="G12" s="58">
        <v>42685</v>
      </c>
      <c r="H12" s="58">
        <v>4988</v>
      </c>
      <c r="I12" s="58">
        <v>16191</v>
      </c>
      <c r="J12" s="58">
        <v>31</v>
      </c>
      <c r="K12" s="62">
        <v>40</v>
      </c>
      <c r="L12" s="61" t="s">
        <v>5</v>
      </c>
      <c r="M12" s="61"/>
      <c r="N12" s="61"/>
      <c r="O12" s="8"/>
    </row>
    <row r="13" spans="1:15">
      <c r="A13" s="93"/>
      <c r="B13" s="57"/>
      <c r="C13" s="58"/>
      <c r="D13" s="63"/>
      <c r="E13" s="58"/>
      <c r="F13" s="58"/>
      <c r="G13" s="58"/>
      <c r="H13" s="58"/>
      <c r="I13" s="58"/>
      <c r="J13" s="58"/>
      <c r="K13" s="62"/>
      <c r="L13" s="61"/>
      <c r="M13" s="61"/>
      <c r="N13" s="61"/>
      <c r="O13" s="8"/>
    </row>
    <row r="14" spans="1:15">
      <c r="A14" s="9" t="str">
        <f>VLOOKUP([1]ListOfRegions!$A$1,[1]ListOfRegions!$A$1:B75,2,0)</f>
        <v xml:space="preserve">  Ροδόπης</v>
      </c>
      <c r="B14" s="10">
        <v>5932</v>
      </c>
      <c r="C14" s="11">
        <v>16695</v>
      </c>
      <c r="D14" s="32">
        <v>2676</v>
      </c>
      <c r="E14" s="32">
        <v>7780</v>
      </c>
      <c r="F14" s="32">
        <v>2187</v>
      </c>
      <c r="G14" s="32">
        <v>6142</v>
      </c>
      <c r="H14" s="32">
        <v>1039</v>
      </c>
      <c r="I14" s="32">
        <v>2739</v>
      </c>
      <c r="J14" s="32">
        <v>30</v>
      </c>
      <c r="K14" s="33">
        <v>34</v>
      </c>
      <c r="L14" s="27" t="s">
        <v>6</v>
      </c>
      <c r="M14" s="12"/>
      <c r="N14" s="12"/>
      <c r="O14" s="8"/>
    </row>
    <row r="15" spans="1:15">
      <c r="A15" s="9" t="str">
        <f>VLOOKUP([1]ListOfRegions!$A$2,[1]ListOfRegions!$A$2:B76,2,0)</f>
        <v xml:space="preserve">  Δράμας</v>
      </c>
      <c r="B15" s="10">
        <v>6058</v>
      </c>
      <c r="C15" s="11">
        <v>20913</v>
      </c>
      <c r="D15" s="32">
        <v>729</v>
      </c>
      <c r="E15" s="32">
        <v>2897</v>
      </c>
      <c r="F15" s="32">
        <v>4515</v>
      </c>
      <c r="G15" s="32">
        <v>15414</v>
      </c>
      <c r="H15" s="32">
        <v>814</v>
      </c>
      <c r="I15" s="32">
        <v>2600</v>
      </c>
      <c r="J15" s="11" t="s">
        <v>112</v>
      </c>
      <c r="K15" s="33">
        <v>2</v>
      </c>
      <c r="L15" s="27" t="s">
        <v>7</v>
      </c>
      <c r="M15" s="12"/>
      <c r="N15" s="12"/>
      <c r="O15" s="8"/>
    </row>
    <row r="16" spans="1:15">
      <c r="A16" s="9" t="str">
        <f>VLOOKUP([1]ListOfRegions!A3,[1]ListOfRegions!A3:B77,2,0)</f>
        <v xml:space="preserve">  Έβρου</v>
      </c>
      <c r="B16" s="10">
        <v>3078</v>
      </c>
      <c r="C16" s="11">
        <v>10909</v>
      </c>
      <c r="D16" s="32">
        <v>471</v>
      </c>
      <c r="E16" s="32">
        <v>1910</v>
      </c>
      <c r="F16" s="32">
        <v>1579</v>
      </c>
      <c r="G16" s="32">
        <v>6287</v>
      </c>
      <c r="H16" s="32">
        <v>1027</v>
      </c>
      <c r="I16" s="32">
        <v>2708</v>
      </c>
      <c r="J16" s="32">
        <v>1</v>
      </c>
      <c r="K16" s="33">
        <v>4</v>
      </c>
      <c r="L16" s="27" t="s">
        <v>8</v>
      </c>
      <c r="M16" s="12"/>
      <c r="N16" s="12"/>
      <c r="O16" s="8"/>
    </row>
    <row r="17" spans="1:15">
      <c r="A17" s="9" t="str">
        <f>VLOOKUP([1]ListOfRegions!A4,[1]ListOfRegions!A4:B78,2,0)</f>
        <v xml:space="preserve">  Θάσου</v>
      </c>
      <c r="B17" s="10">
        <v>27</v>
      </c>
      <c r="C17" s="11">
        <v>42</v>
      </c>
      <c r="D17" s="32">
        <v>27</v>
      </c>
      <c r="E17" s="32">
        <v>42</v>
      </c>
      <c r="F17" s="11" t="s">
        <v>112</v>
      </c>
      <c r="G17" s="11" t="s">
        <v>112</v>
      </c>
      <c r="H17" s="11" t="s">
        <v>112</v>
      </c>
      <c r="I17" s="11" t="s">
        <v>112</v>
      </c>
      <c r="J17" s="11" t="s">
        <v>112</v>
      </c>
      <c r="K17" s="34" t="s">
        <v>112</v>
      </c>
      <c r="L17" s="27" t="s">
        <v>9</v>
      </c>
      <c r="M17" s="12"/>
      <c r="N17" s="12"/>
      <c r="O17" s="8"/>
    </row>
    <row r="18" spans="1:15">
      <c r="A18" s="9" t="str">
        <f>VLOOKUP([1]ListOfRegions!A5,[1]ListOfRegions!A5:B79,2,0)</f>
        <v xml:space="preserve">  Καβάλας</v>
      </c>
      <c r="B18" s="10">
        <v>2052</v>
      </c>
      <c r="C18" s="11">
        <v>5449</v>
      </c>
      <c r="D18" s="32">
        <v>29</v>
      </c>
      <c r="E18" s="32">
        <v>190</v>
      </c>
      <c r="F18" s="32">
        <v>1806</v>
      </c>
      <c r="G18" s="32">
        <v>5123</v>
      </c>
      <c r="H18" s="32">
        <v>217</v>
      </c>
      <c r="I18" s="32">
        <v>136</v>
      </c>
      <c r="J18" s="11" t="s">
        <v>112</v>
      </c>
      <c r="K18" s="34" t="s">
        <v>112</v>
      </c>
      <c r="L18" s="27" t="s">
        <v>10</v>
      </c>
      <c r="M18" s="12"/>
      <c r="N18" s="12"/>
      <c r="O18" s="8"/>
    </row>
    <row r="19" spans="1:15">
      <c r="A19" s="9" t="str">
        <f>VLOOKUP([1]ListOfRegions!A6,[1]ListOfRegions!A6:B80,2,0)</f>
        <v xml:space="preserve">  Ξάνθης</v>
      </c>
      <c r="B19" s="10">
        <v>5045</v>
      </c>
      <c r="C19" s="11">
        <v>21825</v>
      </c>
      <c r="D19" s="32">
        <v>813</v>
      </c>
      <c r="E19" s="32">
        <v>4098</v>
      </c>
      <c r="F19" s="32">
        <v>2341</v>
      </c>
      <c r="G19" s="32">
        <v>9719</v>
      </c>
      <c r="H19" s="32">
        <v>1891</v>
      </c>
      <c r="I19" s="32">
        <v>8008</v>
      </c>
      <c r="J19" s="11" t="s">
        <v>112</v>
      </c>
      <c r="K19" s="34" t="s">
        <v>112</v>
      </c>
      <c r="L19" s="27" t="s">
        <v>11</v>
      </c>
      <c r="M19" s="12"/>
      <c r="N19" s="12"/>
      <c r="O19" s="8"/>
    </row>
    <row r="20" spans="1:15">
      <c r="A20" s="56" t="s">
        <v>12</v>
      </c>
      <c r="B20" s="57">
        <v>77114</v>
      </c>
      <c r="C20" s="58">
        <v>164527</v>
      </c>
      <c r="D20" s="59">
        <v>5143</v>
      </c>
      <c r="E20" s="54">
        <v>17250</v>
      </c>
      <c r="F20" s="54">
        <v>46209</v>
      </c>
      <c r="G20" s="54">
        <v>103695</v>
      </c>
      <c r="H20" s="54">
        <v>25063</v>
      </c>
      <c r="I20" s="54">
        <v>42276</v>
      </c>
      <c r="J20" s="54">
        <v>699</v>
      </c>
      <c r="K20" s="55">
        <v>1306</v>
      </c>
      <c r="L20" s="60" t="s">
        <v>13</v>
      </c>
      <c r="M20" s="60"/>
      <c r="N20" s="60"/>
      <c r="O20" s="8"/>
    </row>
    <row r="21" spans="1:15">
      <c r="A21" s="56"/>
      <c r="B21" s="57"/>
      <c r="C21" s="58"/>
      <c r="D21" s="59"/>
      <c r="E21" s="54"/>
      <c r="F21" s="54"/>
      <c r="G21" s="54"/>
      <c r="H21" s="54"/>
      <c r="I21" s="54"/>
      <c r="J21" s="54"/>
      <c r="K21" s="55"/>
      <c r="L21" s="60"/>
      <c r="M21" s="60"/>
      <c r="N21" s="60"/>
      <c r="O21" s="8"/>
    </row>
    <row r="22" spans="1:15">
      <c r="A22" s="9" t="str">
        <f>VLOOKUP([1]ListOfRegions!A7,[1]ListOfRegions!A7:B81,2,0)</f>
        <v xml:space="preserve">  Θεσσαλονίκης</v>
      </c>
      <c r="B22" s="10">
        <v>16456</v>
      </c>
      <c r="C22" s="11">
        <v>54308</v>
      </c>
      <c r="D22" s="32">
        <v>2520</v>
      </c>
      <c r="E22" s="32">
        <v>8084</v>
      </c>
      <c r="F22" s="32">
        <v>10051</v>
      </c>
      <c r="G22" s="32">
        <v>33556</v>
      </c>
      <c r="H22" s="32">
        <v>3802</v>
      </c>
      <c r="I22" s="32">
        <v>12186</v>
      </c>
      <c r="J22" s="32">
        <v>83</v>
      </c>
      <c r="K22" s="33">
        <v>482</v>
      </c>
      <c r="L22" s="27" t="s">
        <v>14</v>
      </c>
      <c r="M22" s="12"/>
      <c r="N22" s="12"/>
      <c r="O22" s="8"/>
    </row>
    <row r="23" spans="1:15">
      <c r="A23" s="9" t="str">
        <f>VLOOKUP([1]ListOfRegions!A8,[1]ListOfRegions!A8:B82,2,0)</f>
        <v xml:space="preserve">  Ημαθίας</v>
      </c>
      <c r="B23" s="10">
        <v>11198</v>
      </c>
      <c r="C23" s="11">
        <v>5140</v>
      </c>
      <c r="D23" s="32">
        <v>45</v>
      </c>
      <c r="E23" s="32">
        <v>514</v>
      </c>
      <c r="F23" s="32">
        <v>3637</v>
      </c>
      <c r="G23" s="32">
        <v>3285</v>
      </c>
      <c r="H23" s="32">
        <v>7516</v>
      </c>
      <c r="I23" s="32">
        <v>1341</v>
      </c>
      <c r="J23" s="11" t="s">
        <v>112</v>
      </c>
      <c r="K23" s="34" t="s">
        <v>112</v>
      </c>
      <c r="L23" s="27" t="s">
        <v>15</v>
      </c>
      <c r="M23" s="12"/>
      <c r="N23" s="12"/>
      <c r="O23" s="8"/>
    </row>
    <row r="24" spans="1:15">
      <c r="A24" s="9" t="str">
        <f>VLOOKUP([1]ListOfRegions!A9,[1]ListOfRegions!A9:B83,2,0)</f>
        <v xml:space="preserve">  Κιλκίς</v>
      </c>
      <c r="B24" s="10">
        <v>7951</v>
      </c>
      <c r="C24" s="11">
        <v>17250</v>
      </c>
      <c r="D24" s="11" t="s">
        <v>112</v>
      </c>
      <c r="E24" s="32">
        <v>25</v>
      </c>
      <c r="F24" s="32">
        <v>3583</v>
      </c>
      <c r="G24" s="32">
        <v>7746</v>
      </c>
      <c r="H24" s="32">
        <v>4368</v>
      </c>
      <c r="I24" s="32">
        <v>9479</v>
      </c>
      <c r="J24" s="11" t="s">
        <v>112</v>
      </c>
      <c r="K24" s="34" t="s">
        <v>112</v>
      </c>
      <c r="L24" s="27" t="s">
        <v>16</v>
      </c>
      <c r="M24" s="12"/>
      <c r="N24" s="12"/>
      <c r="O24" s="8"/>
    </row>
    <row r="25" spans="1:15">
      <c r="A25" s="9" t="str">
        <f>VLOOKUP([1]ListOfRegions!A10,[1]ListOfRegions!A10:B84,2,0)</f>
        <v xml:space="preserve">  Πέλλας</v>
      </c>
      <c r="B25" s="10">
        <v>7994</v>
      </c>
      <c r="C25" s="11">
        <v>15831</v>
      </c>
      <c r="D25" s="32">
        <v>127</v>
      </c>
      <c r="E25" s="32">
        <v>486</v>
      </c>
      <c r="F25" s="32">
        <v>4673</v>
      </c>
      <c r="G25" s="32">
        <v>10346</v>
      </c>
      <c r="H25" s="32">
        <v>3192</v>
      </c>
      <c r="I25" s="32">
        <v>4991</v>
      </c>
      <c r="J25" s="32">
        <v>2</v>
      </c>
      <c r="K25" s="33">
        <v>8</v>
      </c>
      <c r="L25" s="27" t="s">
        <v>17</v>
      </c>
      <c r="M25" s="12"/>
      <c r="N25" s="12"/>
      <c r="O25" s="8"/>
    </row>
    <row r="26" spans="1:15">
      <c r="A26" s="9" t="str">
        <f>VLOOKUP([1]ListOfRegions!A11,[1]ListOfRegions!A11:B85,2,0)</f>
        <v xml:space="preserve">  Πιερίας</v>
      </c>
      <c r="B26" s="10">
        <v>6372</v>
      </c>
      <c r="C26" s="11">
        <v>7529</v>
      </c>
      <c r="D26" s="32">
        <v>29</v>
      </c>
      <c r="E26" s="32">
        <v>272</v>
      </c>
      <c r="F26" s="32">
        <v>6250</v>
      </c>
      <c r="G26" s="32">
        <v>7021</v>
      </c>
      <c r="H26" s="32">
        <v>93</v>
      </c>
      <c r="I26" s="32">
        <v>236</v>
      </c>
      <c r="J26" s="11" t="s">
        <v>112</v>
      </c>
      <c r="K26" s="34" t="s">
        <v>112</v>
      </c>
      <c r="L26" s="27" t="s">
        <v>18</v>
      </c>
      <c r="M26" s="12"/>
      <c r="N26" s="12"/>
      <c r="O26" s="8"/>
    </row>
    <row r="27" spans="1:15">
      <c r="A27" s="9" t="str">
        <f>VLOOKUP([1]ListOfRegions!A12,[1]ListOfRegions!A12:B86,2,0)</f>
        <v xml:space="preserve">  Σερρών</v>
      </c>
      <c r="B27" s="10">
        <v>13431</v>
      </c>
      <c r="C27" s="11">
        <v>30359</v>
      </c>
      <c r="D27" s="32">
        <v>298</v>
      </c>
      <c r="E27" s="32">
        <v>872</v>
      </c>
      <c r="F27" s="32">
        <v>8778</v>
      </c>
      <c r="G27" s="32">
        <v>19593</v>
      </c>
      <c r="H27" s="32">
        <v>3766</v>
      </c>
      <c r="I27" s="32">
        <v>9149</v>
      </c>
      <c r="J27" s="32">
        <v>589</v>
      </c>
      <c r="K27" s="33">
        <v>745</v>
      </c>
      <c r="L27" s="27" t="s">
        <v>19</v>
      </c>
      <c r="M27" s="12"/>
      <c r="N27" s="12"/>
      <c r="O27" s="8"/>
    </row>
    <row r="28" spans="1:15">
      <c r="A28" s="9" t="str">
        <f>VLOOKUP([1]ListOfRegions!A13,[1]ListOfRegions!A13:B87,2,0)</f>
        <v xml:space="preserve">  Χαλκιδικής</v>
      </c>
      <c r="B28" s="10">
        <v>2108</v>
      </c>
      <c r="C28" s="11">
        <v>3983</v>
      </c>
      <c r="D28" s="32">
        <v>396</v>
      </c>
      <c r="E28" s="32">
        <v>1548</v>
      </c>
      <c r="F28" s="32">
        <v>835</v>
      </c>
      <c r="G28" s="32">
        <v>1947</v>
      </c>
      <c r="H28" s="32">
        <v>877</v>
      </c>
      <c r="I28" s="32">
        <v>488</v>
      </c>
      <c r="J28" s="11" t="s">
        <v>112</v>
      </c>
      <c r="K28" s="34" t="s">
        <v>112</v>
      </c>
      <c r="L28" s="27" t="s">
        <v>20</v>
      </c>
      <c r="M28" s="12"/>
      <c r="N28" s="12"/>
      <c r="O28" s="8"/>
    </row>
    <row r="29" spans="1:15">
      <c r="A29" s="9" t="str">
        <f>VLOOKUP([1]ListOfRegions!A14,[1]ListOfRegions!A14:B88,2,0)</f>
        <v xml:space="preserve">  Κοζάνης</v>
      </c>
      <c r="B29" s="10">
        <v>4535</v>
      </c>
      <c r="C29" s="11">
        <v>10652</v>
      </c>
      <c r="D29" s="32">
        <v>1206</v>
      </c>
      <c r="E29" s="32">
        <v>3045</v>
      </c>
      <c r="F29" s="32">
        <v>3295</v>
      </c>
      <c r="G29" s="32">
        <v>7005</v>
      </c>
      <c r="H29" s="32">
        <v>34</v>
      </c>
      <c r="I29" s="32">
        <v>602</v>
      </c>
      <c r="J29" s="11" t="s">
        <v>112</v>
      </c>
      <c r="K29" s="34" t="s">
        <v>112</v>
      </c>
      <c r="L29" s="27" t="s">
        <v>21</v>
      </c>
      <c r="M29" s="12"/>
      <c r="N29" s="12"/>
      <c r="O29" s="8"/>
    </row>
    <row r="30" spans="1:15">
      <c r="A30" s="9" t="str">
        <f>VLOOKUP([1]ListOfRegions!A15,[1]ListOfRegions!A15:B89,2,0)</f>
        <v xml:space="preserve">  Γρεβενών</v>
      </c>
      <c r="B30" s="10">
        <v>1032</v>
      </c>
      <c r="C30" s="11">
        <v>3046</v>
      </c>
      <c r="D30" s="32">
        <v>191</v>
      </c>
      <c r="E30" s="32">
        <v>841</v>
      </c>
      <c r="F30" s="32">
        <v>211</v>
      </c>
      <c r="G30" s="32">
        <v>787</v>
      </c>
      <c r="H30" s="32">
        <v>630</v>
      </c>
      <c r="I30" s="32">
        <v>1418</v>
      </c>
      <c r="J30" s="11" t="s">
        <v>112</v>
      </c>
      <c r="K30" s="34" t="s">
        <v>112</v>
      </c>
      <c r="L30" s="27" t="s">
        <v>22</v>
      </c>
      <c r="M30" s="12"/>
      <c r="N30" s="12"/>
      <c r="O30" s="8"/>
    </row>
    <row r="31" spans="1:15">
      <c r="A31" s="9" t="str">
        <f>VLOOKUP([1]ListOfRegions!A16,[1]ListOfRegions!A16:B90,2,0)</f>
        <v xml:space="preserve">  Καστοριάς</v>
      </c>
      <c r="B31" s="10">
        <v>508</v>
      </c>
      <c r="C31" s="11">
        <v>1847</v>
      </c>
      <c r="D31" s="32">
        <v>154</v>
      </c>
      <c r="E31" s="32">
        <v>724</v>
      </c>
      <c r="F31" s="32">
        <v>339</v>
      </c>
      <c r="G31" s="32">
        <v>1046</v>
      </c>
      <c r="H31" s="32">
        <v>15</v>
      </c>
      <c r="I31" s="32">
        <v>77</v>
      </c>
      <c r="J31" s="11" t="s">
        <v>112</v>
      </c>
      <c r="K31" s="34" t="s">
        <v>112</v>
      </c>
      <c r="L31" s="27" t="s">
        <v>23</v>
      </c>
      <c r="M31" s="12"/>
      <c r="N31" s="12"/>
      <c r="O31" s="8"/>
    </row>
    <row r="32" spans="1:15">
      <c r="A32" s="9" t="str">
        <f>VLOOKUP([1]ListOfRegions!A17,[1]ListOfRegions!A17:B91,2,0)</f>
        <v xml:space="preserve">  Φλώρινας</v>
      </c>
      <c r="B32" s="10">
        <v>5529</v>
      </c>
      <c r="C32" s="11">
        <v>14582</v>
      </c>
      <c r="D32" s="32">
        <v>177</v>
      </c>
      <c r="E32" s="32">
        <v>839</v>
      </c>
      <c r="F32" s="32">
        <v>4557</v>
      </c>
      <c r="G32" s="32">
        <v>11363</v>
      </c>
      <c r="H32" s="32">
        <v>770</v>
      </c>
      <c r="I32" s="32">
        <v>2309</v>
      </c>
      <c r="J32" s="32">
        <v>25</v>
      </c>
      <c r="K32" s="33">
        <v>71</v>
      </c>
      <c r="L32" s="27" t="s">
        <v>24</v>
      </c>
      <c r="M32" s="12"/>
      <c r="N32" s="12"/>
      <c r="O32" s="8"/>
    </row>
    <row r="33" spans="1:15">
      <c r="A33" s="56" t="s">
        <v>25</v>
      </c>
      <c r="B33" s="57">
        <v>8427</v>
      </c>
      <c r="C33" s="58">
        <v>48063</v>
      </c>
      <c r="D33" s="59">
        <v>5379</v>
      </c>
      <c r="E33" s="54">
        <v>33754</v>
      </c>
      <c r="F33" s="54">
        <v>1868</v>
      </c>
      <c r="G33" s="54">
        <v>9132</v>
      </c>
      <c r="H33" s="54">
        <v>1175</v>
      </c>
      <c r="I33" s="54">
        <v>5177</v>
      </c>
      <c r="J33" s="54">
        <v>5</v>
      </c>
      <c r="K33" s="55">
        <v>0</v>
      </c>
      <c r="L33" s="53" t="s">
        <v>26</v>
      </c>
      <c r="M33" s="53"/>
      <c r="N33" s="53"/>
      <c r="O33" s="8"/>
    </row>
    <row r="34" spans="1:15">
      <c r="A34" s="56"/>
      <c r="B34" s="57"/>
      <c r="C34" s="58"/>
      <c r="D34" s="59"/>
      <c r="E34" s="54"/>
      <c r="F34" s="54"/>
      <c r="G34" s="54"/>
      <c r="H34" s="54"/>
      <c r="I34" s="54"/>
      <c r="J34" s="54"/>
      <c r="K34" s="55"/>
      <c r="L34" s="53"/>
      <c r="M34" s="53"/>
      <c r="N34" s="53"/>
      <c r="O34" s="8"/>
    </row>
    <row r="35" spans="1:15">
      <c r="A35" s="9" t="str">
        <f>VLOOKUP([1]ListOfRegions!A18,[1]ListOfRegions!A18:B92,2,0)</f>
        <v xml:space="preserve">  Ιωαννίνων</v>
      </c>
      <c r="B35" s="10">
        <v>2219</v>
      </c>
      <c r="C35" s="11">
        <v>13399</v>
      </c>
      <c r="D35" s="32">
        <v>1712</v>
      </c>
      <c r="E35" s="32">
        <v>7633</v>
      </c>
      <c r="F35" s="32">
        <v>343</v>
      </c>
      <c r="G35" s="32">
        <v>3641</v>
      </c>
      <c r="H35" s="32">
        <v>164</v>
      </c>
      <c r="I35" s="32">
        <v>2125</v>
      </c>
      <c r="J35" s="11" t="s">
        <v>112</v>
      </c>
      <c r="K35" s="34" t="s">
        <v>112</v>
      </c>
      <c r="L35" s="27" t="s">
        <v>27</v>
      </c>
      <c r="M35" s="12"/>
      <c r="N35" s="12"/>
      <c r="O35" s="8"/>
    </row>
    <row r="36" spans="1:15">
      <c r="A36" s="9" t="str">
        <f>VLOOKUP([1]ListOfRegions!A19,[1]ListOfRegions!A19:B93,2,0)</f>
        <v xml:space="preserve">  Άρτας</v>
      </c>
      <c r="B36" s="10">
        <v>391</v>
      </c>
      <c r="C36" s="11">
        <v>3569</v>
      </c>
      <c r="D36" s="32">
        <v>111</v>
      </c>
      <c r="E36" s="32">
        <v>1364</v>
      </c>
      <c r="F36" s="32">
        <v>271</v>
      </c>
      <c r="G36" s="32">
        <v>1955</v>
      </c>
      <c r="H36" s="32">
        <v>9</v>
      </c>
      <c r="I36" s="32">
        <v>250</v>
      </c>
      <c r="J36" s="11" t="s">
        <v>112</v>
      </c>
      <c r="K36" s="34" t="s">
        <v>112</v>
      </c>
      <c r="L36" s="27" t="s">
        <v>28</v>
      </c>
      <c r="M36" s="12"/>
      <c r="N36" s="12"/>
      <c r="O36" s="8"/>
    </row>
    <row r="37" spans="1:15">
      <c r="A37" s="9" t="str">
        <f>VLOOKUP([1]ListOfRegions!A20,[1]ListOfRegions!A20:B94,2,0)</f>
        <v xml:space="preserve">  Θεσπρωτίας</v>
      </c>
      <c r="B37" s="10">
        <v>2836</v>
      </c>
      <c r="C37" s="11">
        <v>16718</v>
      </c>
      <c r="D37" s="32">
        <v>2359</v>
      </c>
      <c r="E37" s="32">
        <v>15044</v>
      </c>
      <c r="F37" s="32">
        <v>475</v>
      </c>
      <c r="G37" s="32">
        <v>1656</v>
      </c>
      <c r="H37" s="32">
        <v>2</v>
      </c>
      <c r="I37" s="32">
        <v>18</v>
      </c>
      <c r="J37" s="11" t="s">
        <v>112</v>
      </c>
      <c r="K37" s="34" t="s">
        <v>112</v>
      </c>
      <c r="L37" s="27" t="s">
        <v>29</v>
      </c>
      <c r="M37" s="12"/>
      <c r="N37" s="12"/>
      <c r="O37" s="8"/>
    </row>
    <row r="38" spans="1:15">
      <c r="A38" s="9" t="str">
        <f>VLOOKUP([1]ListOfRegions!A21,[1]ListOfRegions!A21:B95,2,0)</f>
        <v xml:space="preserve">  Πρέβεζας</v>
      </c>
      <c r="B38" s="10">
        <v>2981</v>
      </c>
      <c r="C38" s="11">
        <v>14377</v>
      </c>
      <c r="D38" s="32">
        <v>1197</v>
      </c>
      <c r="E38" s="32">
        <v>9713</v>
      </c>
      <c r="F38" s="32">
        <v>779</v>
      </c>
      <c r="G38" s="32">
        <v>1880</v>
      </c>
      <c r="H38" s="32">
        <v>1000</v>
      </c>
      <c r="I38" s="32">
        <v>2784</v>
      </c>
      <c r="J38" s="32">
        <v>5</v>
      </c>
      <c r="K38" s="34" t="s">
        <v>112</v>
      </c>
      <c r="L38" s="27" t="s">
        <v>30</v>
      </c>
      <c r="M38" s="12"/>
      <c r="N38" s="12"/>
      <c r="O38" s="8"/>
    </row>
    <row r="39" spans="1:15">
      <c r="A39" s="56" t="s">
        <v>31</v>
      </c>
      <c r="B39" s="57">
        <v>22134</v>
      </c>
      <c r="C39" s="58">
        <v>74907</v>
      </c>
      <c r="D39" s="59">
        <v>6170</v>
      </c>
      <c r="E39" s="54">
        <v>18059</v>
      </c>
      <c r="F39" s="54">
        <v>12851</v>
      </c>
      <c r="G39" s="54">
        <v>46587</v>
      </c>
      <c r="H39" s="54">
        <v>3112</v>
      </c>
      <c r="I39" s="54">
        <v>10261</v>
      </c>
      <c r="J39" s="54">
        <v>1</v>
      </c>
      <c r="K39" s="55">
        <v>0</v>
      </c>
      <c r="L39" s="53" t="s">
        <v>32</v>
      </c>
      <c r="M39" s="53"/>
      <c r="N39" s="53"/>
      <c r="O39" s="8"/>
    </row>
    <row r="40" spans="1:15">
      <c r="A40" s="56"/>
      <c r="B40" s="57"/>
      <c r="C40" s="58"/>
      <c r="D40" s="59"/>
      <c r="E40" s="54"/>
      <c r="F40" s="54"/>
      <c r="G40" s="54"/>
      <c r="H40" s="54"/>
      <c r="I40" s="54"/>
      <c r="J40" s="54"/>
      <c r="K40" s="55"/>
      <c r="L40" s="53"/>
      <c r="M40" s="53"/>
      <c r="N40" s="53"/>
      <c r="O40" s="8"/>
    </row>
    <row r="41" spans="1:15">
      <c r="A41" s="9" t="str">
        <f>VLOOKUP([1]ListOfRegions!A22,[1]ListOfRegions!A22:B96,2,0)</f>
        <v xml:space="preserve">  Λάρισας</v>
      </c>
      <c r="B41" s="10">
        <v>10320</v>
      </c>
      <c r="C41" s="11">
        <v>34485</v>
      </c>
      <c r="D41" s="32">
        <v>2326</v>
      </c>
      <c r="E41" s="32">
        <v>5969</v>
      </c>
      <c r="F41" s="32">
        <v>5918</v>
      </c>
      <c r="G41" s="32">
        <v>21003</v>
      </c>
      <c r="H41" s="32">
        <v>2076</v>
      </c>
      <c r="I41" s="32">
        <v>7513</v>
      </c>
      <c r="J41" s="11" t="s">
        <v>112</v>
      </c>
      <c r="K41" s="34" t="s">
        <v>112</v>
      </c>
      <c r="L41" s="27" t="s">
        <v>33</v>
      </c>
      <c r="M41" s="12"/>
      <c r="N41" s="12"/>
      <c r="O41" s="8"/>
    </row>
    <row r="42" spans="1:15">
      <c r="A42" s="9" t="str">
        <f>VLOOKUP([1]ListOfRegions!A23,[1]ListOfRegions!A23:B97,2,0)</f>
        <v xml:space="preserve">  Καρδίτσας</v>
      </c>
      <c r="B42" s="10">
        <v>2040</v>
      </c>
      <c r="C42" s="11">
        <v>5231</v>
      </c>
      <c r="D42" s="32">
        <v>170</v>
      </c>
      <c r="E42" s="32">
        <v>346</v>
      </c>
      <c r="F42" s="32">
        <v>1520</v>
      </c>
      <c r="G42" s="32">
        <v>4518</v>
      </c>
      <c r="H42" s="32">
        <v>350</v>
      </c>
      <c r="I42" s="32">
        <v>367</v>
      </c>
      <c r="J42" s="11" t="s">
        <v>112</v>
      </c>
      <c r="K42" s="34" t="s">
        <v>112</v>
      </c>
      <c r="L42" s="27" t="s">
        <v>34</v>
      </c>
      <c r="M42" s="12"/>
      <c r="N42" s="12"/>
      <c r="O42" s="8"/>
    </row>
    <row r="43" spans="1:15">
      <c r="A43" s="9" t="str">
        <f>VLOOKUP([1]ListOfRegions!A24,[1]ListOfRegions!A24:B98,2,0)</f>
        <v xml:space="preserve">  Μαγνησίας</v>
      </c>
      <c r="B43" s="10">
        <v>3210</v>
      </c>
      <c r="C43" s="11">
        <v>14404</v>
      </c>
      <c r="D43" s="32">
        <v>616</v>
      </c>
      <c r="E43" s="32">
        <v>2910</v>
      </c>
      <c r="F43" s="32">
        <v>2543</v>
      </c>
      <c r="G43" s="32">
        <v>10807</v>
      </c>
      <c r="H43" s="32">
        <v>51</v>
      </c>
      <c r="I43" s="32">
        <v>687</v>
      </c>
      <c r="J43" s="11" t="s">
        <v>112</v>
      </c>
      <c r="K43" s="34" t="s">
        <v>112</v>
      </c>
      <c r="L43" s="27" t="s">
        <v>35</v>
      </c>
      <c r="M43" s="12"/>
      <c r="N43" s="12"/>
      <c r="O43" s="8"/>
    </row>
    <row r="44" spans="1:15">
      <c r="A44" s="9" t="str">
        <f>VLOOKUP([1]ListOfRegions!A25,[1]ListOfRegions!A25:B99,2,0)</f>
        <v xml:space="preserve">  Σποράδων</v>
      </c>
      <c r="B44" s="10">
        <v>4</v>
      </c>
      <c r="C44" s="11">
        <v>0</v>
      </c>
      <c r="D44" s="11" t="s">
        <v>112</v>
      </c>
      <c r="E44" s="11" t="s">
        <v>112</v>
      </c>
      <c r="F44" s="32">
        <v>4</v>
      </c>
      <c r="G44" s="11" t="s">
        <v>112</v>
      </c>
      <c r="H44" s="11" t="s">
        <v>112</v>
      </c>
      <c r="I44" s="11" t="s">
        <v>112</v>
      </c>
      <c r="J44" s="11" t="s">
        <v>112</v>
      </c>
      <c r="K44" s="34" t="s">
        <v>112</v>
      </c>
      <c r="L44" s="27" t="s">
        <v>36</v>
      </c>
      <c r="M44" s="12"/>
      <c r="N44" s="12"/>
      <c r="O44" s="8"/>
    </row>
    <row r="45" spans="1:15">
      <c r="A45" s="9" t="str">
        <f>VLOOKUP([1]ListOfRegions!A26,[1]ListOfRegions!A26:B100,2,0)</f>
        <v xml:space="preserve">  Τρικάλων</v>
      </c>
      <c r="B45" s="10">
        <v>6560</v>
      </c>
      <c r="C45" s="11">
        <v>20787</v>
      </c>
      <c r="D45" s="32">
        <v>3058</v>
      </c>
      <c r="E45" s="32">
        <v>8834</v>
      </c>
      <c r="F45" s="32">
        <v>2866</v>
      </c>
      <c r="G45" s="32">
        <v>10259</v>
      </c>
      <c r="H45" s="32">
        <v>635</v>
      </c>
      <c r="I45" s="32">
        <v>1694</v>
      </c>
      <c r="J45" s="32">
        <v>1</v>
      </c>
      <c r="K45" s="34" t="s">
        <v>112</v>
      </c>
      <c r="L45" s="27" t="s">
        <v>37</v>
      </c>
      <c r="M45" s="12"/>
      <c r="N45" s="12"/>
      <c r="O45" s="8"/>
    </row>
    <row r="46" spans="1:15">
      <c r="A46" s="56" t="s">
        <v>38</v>
      </c>
      <c r="B46" s="57">
        <v>3874</v>
      </c>
      <c r="C46" s="58">
        <v>18883</v>
      </c>
      <c r="D46" s="59">
        <v>2098</v>
      </c>
      <c r="E46" s="54">
        <v>11300</v>
      </c>
      <c r="F46" s="54">
        <v>1216</v>
      </c>
      <c r="G46" s="54">
        <v>5646</v>
      </c>
      <c r="H46" s="54">
        <v>557</v>
      </c>
      <c r="I46" s="54">
        <v>1885</v>
      </c>
      <c r="J46" s="54">
        <v>3</v>
      </c>
      <c r="K46" s="55">
        <v>52</v>
      </c>
      <c r="L46" s="53" t="s">
        <v>39</v>
      </c>
      <c r="M46" s="53"/>
      <c r="N46" s="53"/>
      <c r="O46" s="8"/>
    </row>
    <row r="47" spans="1:15">
      <c r="A47" s="56"/>
      <c r="B47" s="57"/>
      <c r="C47" s="58"/>
      <c r="D47" s="59"/>
      <c r="E47" s="54"/>
      <c r="F47" s="54"/>
      <c r="G47" s="54"/>
      <c r="H47" s="54"/>
      <c r="I47" s="54"/>
      <c r="J47" s="54"/>
      <c r="K47" s="55"/>
      <c r="L47" s="53"/>
      <c r="M47" s="53"/>
      <c r="N47" s="53"/>
      <c r="O47" s="8"/>
    </row>
    <row r="48" spans="1:15">
      <c r="A48" s="9" t="str">
        <f>VLOOKUP([1]ListOfRegions!A27,[1]ListOfRegions!A27:B101,2,0)</f>
        <v xml:space="preserve">  Φθιώτιδας</v>
      </c>
      <c r="B48" s="10">
        <v>743</v>
      </c>
      <c r="C48" s="11">
        <v>5362</v>
      </c>
      <c r="D48" s="32">
        <v>379</v>
      </c>
      <c r="E48" s="32">
        <v>3450</v>
      </c>
      <c r="F48" s="32">
        <v>180</v>
      </c>
      <c r="G48" s="32">
        <v>1352</v>
      </c>
      <c r="H48" s="32">
        <v>181</v>
      </c>
      <c r="I48" s="32">
        <v>508</v>
      </c>
      <c r="J48" s="32">
        <v>3</v>
      </c>
      <c r="K48" s="33">
        <v>52</v>
      </c>
      <c r="L48" s="27" t="s">
        <v>40</v>
      </c>
      <c r="M48" s="12"/>
      <c r="N48" s="12"/>
      <c r="O48" s="8"/>
    </row>
    <row r="49" spans="1:15">
      <c r="A49" s="9" t="str">
        <f>VLOOKUP([1]ListOfRegions!A28,[1]ListOfRegions!A28:B102,2,0)</f>
        <v xml:space="preserve">  Βοιωτίας</v>
      </c>
      <c r="B49" s="10">
        <v>850</v>
      </c>
      <c r="C49" s="11">
        <v>5172</v>
      </c>
      <c r="D49" s="32">
        <v>512</v>
      </c>
      <c r="E49" s="32">
        <v>2073</v>
      </c>
      <c r="F49" s="32">
        <v>155</v>
      </c>
      <c r="G49" s="32">
        <v>2135</v>
      </c>
      <c r="H49" s="32">
        <v>183</v>
      </c>
      <c r="I49" s="32">
        <v>964</v>
      </c>
      <c r="J49" s="11" t="s">
        <v>112</v>
      </c>
      <c r="K49" s="34" t="s">
        <v>112</v>
      </c>
      <c r="L49" s="27" t="s">
        <v>41</v>
      </c>
      <c r="M49" s="12"/>
      <c r="N49" s="12"/>
      <c r="O49" s="8"/>
    </row>
    <row r="50" spans="1:15">
      <c r="A50" s="9" t="str">
        <f>VLOOKUP([1]ListOfRegions!A29,[1]ListOfRegions!A29:B103,2,0)</f>
        <v xml:space="preserve">  Εύβοιας</v>
      </c>
      <c r="B50" s="10">
        <v>789</v>
      </c>
      <c r="C50" s="11">
        <v>1499</v>
      </c>
      <c r="D50" s="32">
        <v>84</v>
      </c>
      <c r="E50" s="32">
        <v>330</v>
      </c>
      <c r="F50" s="32">
        <v>607</v>
      </c>
      <c r="G50" s="32">
        <v>880</v>
      </c>
      <c r="H50" s="32">
        <v>98</v>
      </c>
      <c r="I50" s="32">
        <v>289</v>
      </c>
      <c r="J50" s="11" t="s">
        <v>112</v>
      </c>
      <c r="K50" s="34" t="s">
        <v>112</v>
      </c>
      <c r="L50" s="27" t="s">
        <v>42</v>
      </c>
      <c r="M50" s="12"/>
      <c r="N50" s="12"/>
      <c r="O50" s="8"/>
    </row>
    <row r="51" spans="1:15">
      <c r="A51" s="9" t="str">
        <f>VLOOKUP([1]ListOfRegions!A30,[1]ListOfRegions!A30:B104,2,0)</f>
        <v xml:space="preserve">  Ευρυτανίας</v>
      </c>
      <c r="B51" s="10">
        <v>378</v>
      </c>
      <c r="C51" s="11">
        <v>2431</v>
      </c>
      <c r="D51" s="32">
        <v>296</v>
      </c>
      <c r="E51" s="32">
        <v>1891</v>
      </c>
      <c r="F51" s="32">
        <v>78</v>
      </c>
      <c r="G51" s="32">
        <v>530</v>
      </c>
      <c r="H51" s="32">
        <v>4</v>
      </c>
      <c r="I51" s="32">
        <v>10</v>
      </c>
      <c r="J51" s="11" t="s">
        <v>112</v>
      </c>
      <c r="K51" s="34" t="s">
        <v>112</v>
      </c>
      <c r="L51" s="27" t="s">
        <v>43</v>
      </c>
      <c r="M51" s="12"/>
      <c r="N51" s="12"/>
      <c r="O51" s="8"/>
    </row>
    <row r="52" spans="1:15">
      <c r="A52" s="9" t="str">
        <f>VLOOKUP([1]ListOfRegions!A31,[1]ListOfRegions!A31:B105,2,0)</f>
        <v xml:space="preserve">  Φωκίδας</v>
      </c>
      <c r="B52" s="10">
        <v>1114</v>
      </c>
      <c r="C52" s="11">
        <v>4419</v>
      </c>
      <c r="D52" s="32">
        <v>827</v>
      </c>
      <c r="E52" s="32">
        <v>3556</v>
      </c>
      <c r="F52" s="32">
        <v>196</v>
      </c>
      <c r="G52" s="32">
        <v>749</v>
      </c>
      <c r="H52" s="32">
        <v>91</v>
      </c>
      <c r="I52" s="32">
        <v>114</v>
      </c>
      <c r="J52" s="11" t="s">
        <v>112</v>
      </c>
      <c r="K52" s="34" t="s">
        <v>112</v>
      </c>
      <c r="L52" s="27" t="s">
        <v>44</v>
      </c>
      <c r="M52" s="12"/>
      <c r="N52" s="12"/>
      <c r="O52" s="8"/>
    </row>
    <row r="53" spans="1:15">
      <c r="A53" s="56" t="s">
        <v>45</v>
      </c>
      <c r="B53" s="57">
        <v>1940</v>
      </c>
      <c r="C53" s="58">
        <v>2713</v>
      </c>
      <c r="D53" s="59">
        <v>755</v>
      </c>
      <c r="E53" s="54">
        <v>1322</v>
      </c>
      <c r="F53" s="54">
        <v>1135</v>
      </c>
      <c r="G53" s="54">
        <v>1278</v>
      </c>
      <c r="H53" s="54">
        <v>50</v>
      </c>
      <c r="I53" s="54">
        <v>113</v>
      </c>
      <c r="J53" s="54">
        <v>0</v>
      </c>
      <c r="K53" s="55">
        <v>0</v>
      </c>
      <c r="L53" s="53" t="s">
        <v>46</v>
      </c>
      <c r="M53" s="53"/>
      <c r="N53" s="53"/>
      <c r="O53" s="8"/>
    </row>
    <row r="54" spans="1:15">
      <c r="A54" s="56"/>
      <c r="B54" s="57"/>
      <c r="C54" s="58"/>
      <c r="D54" s="59"/>
      <c r="E54" s="54"/>
      <c r="F54" s="54"/>
      <c r="G54" s="54"/>
      <c r="H54" s="54"/>
      <c r="I54" s="54"/>
      <c r="J54" s="54"/>
      <c r="K54" s="55"/>
      <c r="L54" s="53"/>
      <c r="M54" s="53"/>
      <c r="N54" s="53"/>
      <c r="O54" s="8"/>
    </row>
    <row r="55" spans="1:15">
      <c r="A55" s="9" t="str">
        <f>VLOOKUP([1]ListOfRegions!A32,[1]ListOfRegions!A32:B106,2,0)</f>
        <v xml:space="preserve">  Κέρκυρας</v>
      </c>
      <c r="B55" s="10">
        <v>321</v>
      </c>
      <c r="C55" s="11">
        <v>397</v>
      </c>
      <c r="D55" s="32">
        <v>3</v>
      </c>
      <c r="E55" s="32">
        <v>2</v>
      </c>
      <c r="F55" s="32">
        <v>297</v>
      </c>
      <c r="G55" s="32">
        <v>338</v>
      </c>
      <c r="H55" s="32">
        <v>21</v>
      </c>
      <c r="I55" s="32">
        <v>57</v>
      </c>
      <c r="J55" s="11" t="s">
        <v>112</v>
      </c>
      <c r="K55" s="34" t="s">
        <v>112</v>
      </c>
      <c r="L55" s="27" t="s">
        <v>47</v>
      </c>
      <c r="M55" s="12"/>
      <c r="N55" s="12"/>
      <c r="O55" s="8"/>
    </row>
    <row r="56" spans="1:15">
      <c r="A56" s="9" t="str">
        <f>VLOOKUP([1]ListOfRegions!A33,[1]ListOfRegions!A33:B107,2,0)</f>
        <v xml:space="preserve">  Ζακύνθου</v>
      </c>
      <c r="B56" s="10">
        <v>681</v>
      </c>
      <c r="C56" s="11">
        <v>695</v>
      </c>
      <c r="D56" s="32">
        <v>94</v>
      </c>
      <c r="E56" s="32">
        <v>202</v>
      </c>
      <c r="F56" s="32">
        <v>559</v>
      </c>
      <c r="G56" s="32">
        <v>451</v>
      </c>
      <c r="H56" s="32">
        <v>28</v>
      </c>
      <c r="I56" s="32">
        <v>42</v>
      </c>
      <c r="J56" s="11" t="s">
        <v>112</v>
      </c>
      <c r="K56" s="34" t="s">
        <v>112</v>
      </c>
      <c r="L56" s="27" t="s">
        <v>48</v>
      </c>
      <c r="M56" s="12"/>
      <c r="N56" s="12"/>
      <c r="O56" s="8"/>
    </row>
    <row r="57" spans="1:15">
      <c r="A57" s="9" t="str">
        <f>VLOOKUP([1]ListOfRegions!A34,[1]ListOfRegions!A34:B108,2,0)</f>
        <v xml:space="preserve">  Ιθάκης</v>
      </c>
      <c r="B57" s="10">
        <v>11</v>
      </c>
      <c r="C57" s="11">
        <v>40</v>
      </c>
      <c r="D57" s="11" t="s">
        <v>112</v>
      </c>
      <c r="E57" s="11" t="s">
        <v>112</v>
      </c>
      <c r="F57" s="32">
        <v>11</v>
      </c>
      <c r="G57" s="32">
        <v>40</v>
      </c>
      <c r="H57" s="11" t="s">
        <v>112</v>
      </c>
      <c r="I57" s="11" t="s">
        <v>112</v>
      </c>
      <c r="J57" s="11" t="s">
        <v>112</v>
      </c>
      <c r="K57" s="34" t="s">
        <v>112</v>
      </c>
      <c r="L57" s="27" t="s">
        <v>49</v>
      </c>
      <c r="M57" s="12"/>
      <c r="N57" s="12"/>
      <c r="O57" s="8"/>
    </row>
    <row r="58" spans="1:15">
      <c r="A58" s="9" t="str">
        <f>VLOOKUP([1]ListOfRegions!A35,[1]ListOfRegions!A35:B109,2,0)</f>
        <v xml:space="preserve">  Κεφαλληνίας</v>
      </c>
      <c r="B58" s="10">
        <v>808</v>
      </c>
      <c r="C58" s="11">
        <v>1410</v>
      </c>
      <c r="D58" s="32">
        <v>643</v>
      </c>
      <c r="E58" s="32">
        <v>1058</v>
      </c>
      <c r="F58" s="32">
        <v>164</v>
      </c>
      <c r="G58" s="32">
        <v>338</v>
      </c>
      <c r="H58" s="32">
        <v>1</v>
      </c>
      <c r="I58" s="32">
        <v>14</v>
      </c>
      <c r="J58" s="11" t="s">
        <v>112</v>
      </c>
      <c r="K58" s="34" t="s">
        <v>112</v>
      </c>
      <c r="L58" s="27" t="s">
        <v>50</v>
      </c>
      <c r="M58" s="12"/>
      <c r="N58" s="12"/>
      <c r="O58" s="8"/>
    </row>
    <row r="59" spans="1:15">
      <c r="A59" s="9" t="str">
        <f>VLOOKUP([1]ListOfRegions!A36,[1]ListOfRegions!A36:B110,2,0)</f>
        <v xml:space="preserve">  Λευκάδας</v>
      </c>
      <c r="B59" s="10">
        <v>119</v>
      </c>
      <c r="C59" s="11">
        <v>171</v>
      </c>
      <c r="D59" s="32">
        <v>15</v>
      </c>
      <c r="E59" s="32">
        <v>60</v>
      </c>
      <c r="F59" s="32">
        <v>104</v>
      </c>
      <c r="G59" s="32">
        <v>111</v>
      </c>
      <c r="H59" s="11" t="s">
        <v>112</v>
      </c>
      <c r="I59" s="11" t="s">
        <v>112</v>
      </c>
      <c r="J59" s="11" t="s">
        <v>112</v>
      </c>
      <c r="K59" s="34" t="s">
        <v>112</v>
      </c>
      <c r="L59" s="27" t="s">
        <v>51</v>
      </c>
      <c r="M59" s="12"/>
      <c r="N59" s="12"/>
      <c r="O59" s="8"/>
    </row>
    <row r="60" spans="1:15">
      <c r="A60" s="56" t="s">
        <v>52</v>
      </c>
      <c r="B60" s="57">
        <v>11657</v>
      </c>
      <c r="C60" s="58">
        <v>34683</v>
      </c>
      <c r="D60" s="59">
        <v>4432</v>
      </c>
      <c r="E60" s="54">
        <v>19956</v>
      </c>
      <c r="F60" s="54">
        <v>4716</v>
      </c>
      <c r="G60" s="54">
        <v>9249</v>
      </c>
      <c r="H60" s="54">
        <v>2509</v>
      </c>
      <c r="I60" s="54">
        <v>5478</v>
      </c>
      <c r="J60" s="54">
        <v>0</v>
      </c>
      <c r="K60" s="55">
        <v>0</v>
      </c>
      <c r="L60" s="53" t="s">
        <v>53</v>
      </c>
      <c r="M60" s="53"/>
      <c r="N60" s="53"/>
      <c r="O60" s="8"/>
    </row>
    <row r="61" spans="1:15">
      <c r="A61" s="56"/>
      <c r="B61" s="57"/>
      <c r="C61" s="58"/>
      <c r="D61" s="59"/>
      <c r="E61" s="54"/>
      <c r="F61" s="54"/>
      <c r="G61" s="54"/>
      <c r="H61" s="54"/>
      <c r="I61" s="54"/>
      <c r="J61" s="54"/>
      <c r="K61" s="55"/>
      <c r="L61" s="53"/>
      <c r="M61" s="53"/>
      <c r="N61" s="53"/>
      <c r="O61" s="8"/>
    </row>
    <row r="62" spans="1:15">
      <c r="A62" s="9" t="str">
        <f>VLOOKUP([1]ListOfRegions!A37,[1]ListOfRegions!A37:B111,2,0)</f>
        <v xml:space="preserve">  Αχαϊας</v>
      </c>
      <c r="B62" s="10">
        <v>1503</v>
      </c>
      <c r="C62" s="11">
        <v>5487</v>
      </c>
      <c r="D62" s="32">
        <v>417</v>
      </c>
      <c r="E62" s="32">
        <v>1672</v>
      </c>
      <c r="F62" s="32">
        <v>915</v>
      </c>
      <c r="G62" s="32">
        <v>3031</v>
      </c>
      <c r="H62" s="32">
        <v>171</v>
      </c>
      <c r="I62" s="32">
        <v>784</v>
      </c>
      <c r="J62" s="11" t="s">
        <v>112</v>
      </c>
      <c r="K62" s="34" t="s">
        <v>112</v>
      </c>
      <c r="L62" s="27" t="s">
        <v>54</v>
      </c>
      <c r="M62" s="12"/>
      <c r="N62" s="12"/>
      <c r="O62" s="8"/>
    </row>
    <row r="63" spans="1:15">
      <c r="A63" s="9" t="str">
        <f>VLOOKUP([1]ListOfRegions!A38,[1]ListOfRegions!A38:B112,2,0)</f>
        <v xml:space="preserve">  Αιτωλ/νανίας</v>
      </c>
      <c r="B63" s="10">
        <v>5096</v>
      </c>
      <c r="C63" s="11">
        <v>20413</v>
      </c>
      <c r="D63" s="32">
        <v>3785</v>
      </c>
      <c r="E63" s="32">
        <v>17898</v>
      </c>
      <c r="F63" s="32">
        <v>498</v>
      </c>
      <c r="G63" s="32">
        <v>2047</v>
      </c>
      <c r="H63" s="32">
        <v>813</v>
      </c>
      <c r="I63" s="32">
        <v>468</v>
      </c>
      <c r="J63" s="11" t="s">
        <v>112</v>
      </c>
      <c r="K63" s="34" t="s">
        <v>112</v>
      </c>
      <c r="L63" s="27" t="s">
        <v>55</v>
      </c>
      <c r="M63" s="12"/>
      <c r="N63" s="12"/>
      <c r="O63" s="8"/>
    </row>
    <row r="64" spans="1:15">
      <c r="A64" s="9" t="str">
        <f>VLOOKUP([1]ListOfRegions!A39,[1]ListOfRegions!A39:B113,2,0)</f>
        <v xml:space="preserve">  Ηλείας</v>
      </c>
      <c r="B64" s="10">
        <v>5058</v>
      </c>
      <c r="C64" s="11">
        <v>8783</v>
      </c>
      <c r="D64" s="32">
        <v>230</v>
      </c>
      <c r="E64" s="32">
        <v>386</v>
      </c>
      <c r="F64" s="32">
        <v>3303</v>
      </c>
      <c r="G64" s="32">
        <v>4171</v>
      </c>
      <c r="H64" s="32">
        <v>1525</v>
      </c>
      <c r="I64" s="32">
        <v>4226</v>
      </c>
      <c r="J64" s="11" t="s">
        <v>112</v>
      </c>
      <c r="K64" s="34" t="s">
        <v>112</v>
      </c>
      <c r="L64" s="27" t="s">
        <v>56</v>
      </c>
      <c r="M64" s="12"/>
      <c r="N64" s="12"/>
      <c r="O64" s="8"/>
    </row>
    <row r="65" spans="1:15">
      <c r="A65" s="56" t="s">
        <v>57</v>
      </c>
      <c r="B65" s="57">
        <v>3952</v>
      </c>
      <c r="C65" s="58">
        <v>9663</v>
      </c>
      <c r="D65" s="59">
        <v>1224</v>
      </c>
      <c r="E65" s="54">
        <v>3591</v>
      </c>
      <c r="F65" s="54">
        <v>2442</v>
      </c>
      <c r="G65" s="54">
        <v>5270</v>
      </c>
      <c r="H65" s="54">
        <v>286</v>
      </c>
      <c r="I65" s="54">
        <v>802</v>
      </c>
      <c r="J65" s="54">
        <v>0</v>
      </c>
      <c r="K65" s="55">
        <v>0</v>
      </c>
      <c r="L65" s="53" t="s">
        <v>58</v>
      </c>
      <c r="M65" s="53"/>
      <c r="N65" s="53"/>
      <c r="O65" s="8"/>
    </row>
    <row r="66" spans="1:15">
      <c r="A66" s="56"/>
      <c r="B66" s="57"/>
      <c r="C66" s="58"/>
      <c r="D66" s="59"/>
      <c r="E66" s="54"/>
      <c r="F66" s="54"/>
      <c r="G66" s="54"/>
      <c r="H66" s="54"/>
      <c r="I66" s="54"/>
      <c r="J66" s="54"/>
      <c r="K66" s="55"/>
      <c r="L66" s="53"/>
      <c r="M66" s="53"/>
      <c r="N66" s="53"/>
      <c r="O66" s="8"/>
    </row>
    <row r="67" spans="1:15">
      <c r="A67" s="9" t="str">
        <f>VLOOKUP([1]ListOfRegions!A40,[1]ListOfRegions!A40:B114,2,0)</f>
        <v xml:space="preserve">  Αρκαδίας</v>
      </c>
      <c r="B67" s="10">
        <v>334</v>
      </c>
      <c r="C67" s="11">
        <v>1313</v>
      </c>
      <c r="D67" s="32">
        <v>112</v>
      </c>
      <c r="E67" s="32">
        <v>455</v>
      </c>
      <c r="F67" s="32">
        <v>178</v>
      </c>
      <c r="G67" s="32">
        <v>528</v>
      </c>
      <c r="H67" s="32">
        <v>44</v>
      </c>
      <c r="I67" s="32">
        <v>330</v>
      </c>
      <c r="J67" s="11" t="s">
        <v>112</v>
      </c>
      <c r="K67" s="34" t="s">
        <v>112</v>
      </c>
      <c r="L67" s="27" t="s">
        <v>59</v>
      </c>
      <c r="M67" s="12"/>
      <c r="N67" s="12"/>
      <c r="O67" s="8"/>
    </row>
    <row r="68" spans="1:15">
      <c r="A68" s="9" t="str">
        <f>VLOOKUP([1]ListOfRegions!A41,[1]ListOfRegions!A41:B115,2,0)</f>
        <v xml:space="preserve">  Αργολίδας</v>
      </c>
      <c r="B68" s="10">
        <v>349</v>
      </c>
      <c r="C68" s="11">
        <v>1056</v>
      </c>
      <c r="D68" s="32">
        <v>7</v>
      </c>
      <c r="E68" s="32">
        <v>25</v>
      </c>
      <c r="F68" s="32">
        <v>323</v>
      </c>
      <c r="G68" s="32">
        <v>968</v>
      </c>
      <c r="H68" s="32">
        <v>19</v>
      </c>
      <c r="I68" s="32">
        <v>63</v>
      </c>
      <c r="J68" s="11" t="s">
        <v>112</v>
      </c>
      <c r="K68" s="34" t="s">
        <v>112</v>
      </c>
      <c r="L68" s="27" t="s">
        <v>60</v>
      </c>
      <c r="M68" s="12"/>
      <c r="N68" s="12"/>
      <c r="O68" s="8"/>
    </row>
    <row r="69" spans="1:15">
      <c r="A69" s="9" t="str">
        <f>VLOOKUP([1]ListOfRegions!A42,[1]ListOfRegions!A42:B116,2,0)</f>
        <v xml:space="preserve">  Κορινθίας</v>
      </c>
      <c r="B69" s="10">
        <v>270</v>
      </c>
      <c r="C69" s="11">
        <v>401</v>
      </c>
      <c r="D69" s="32">
        <v>19</v>
      </c>
      <c r="E69" s="32">
        <v>48</v>
      </c>
      <c r="F69" s="32">
        <v>151</v>
      </c>
      <c r="G69" s="32">
        <v>353</v>
      </c>
      <c r="H69" s="32">
        <v>100</v>
      </c>
      <c r="I69" s="11" t="s">
        <v>112</v>
      </c>
      <c r="J69" s="11" t="s">
        <v>112</v>
      </c>
      <c r="K69" s="34" t="s">
        <v>112</v>
      </c>
      <c r="L69" s="27" t="s">
        <v>61</v>
      </c>
      <c r="M69" s="12"/>
      <c r="N69" s="12"/>
      <c r="O69" s="8"/>
    </row>
    <row r="70" spans="1:15">
      <c r="A70" s="9" t="str">
        <f>VLOOKUP([1]ListOfRegions!A43,[1]ListOfRegions!A43:B117,2,0)</f>
        <v xml:space="preserve">  Λακωνίας</v>
      </c>
      <c r="B70" s="10">
        <v>1749</v>
      </c>
      <c r="C70" s="11">
        <v>4269</v>
      </c>
      <c r="D70" s="32">
        <v>795</v>
      </c>
      <c r="E70" s="32">
        <v>2427</v>
      </c>
      <c r="F70" s="32">
        <v>846</v>
      </c>
      <c r="G70" s="32">
        <v>1480</v>
      </c>
      <c r="H70" s="32">
        <v>108</v>
      </c>
      <c r="I70" s="32">
        <v>362</v>
      </c>
      <c r="J70" s="11" t="s">
        <v>112</v>
      </c>
      <c r="K70" s="34" t="s">
        <v>112</v>
      </c>
      <c r="L70" s="27" t="s">
        <v>62</v>
      </c>
      <c r="M70" s="12"/>
      <c r="N70" s="12"/>
      <c r="O70" s="8"/>
    </row>
    <row r="71" spans="1:15">
      <c r="A71" s="9" t="str">
        <f>VLOOKUP([1]ListOfRegions!A44,[1]ListOfRegions!A44:B118,2,0)</f>
        <v xml:space="preserve">  Μεσσηνίας</v>
      </c>
      <c r="B71" s="10">
        <v>1250</v>
      </c>
      <c r="C71" s="11">
        <v>2624</v>
      </c>
      <c r="D71" s="32">
        <v>291</v>
      </c>
      <c r="E71" s="32">
        <v>636</v>
      </c>
      <c r="F71" s="32">
        <v>944</v>
      </c>
      <c r="G71" s="32">
        <v>1941</v>
      </c>
      <c r="H71" s="32">
        <v>15</v>
      </c>
      <c r="I71" s="32">
        <v>47</v>
      </c>
      <c r="J71" s="11" t="s">
        <v>112</v>
      </c>
      <c r="K71" s="34" t="s">
        <v>112</v>
      </c>
      <c r="L71" s="27" t="s">
        <v>63</v>
      </c>
      <c r="M71" s="12"/>
      <c r="N71" s="12"/>
      <c r="O71" s="8"/>
    </row>
    <row r="72" spans="1:15">
      <c r="A72" s="56" t="s">
        <v>64</v>
      </c>
      <c r="B72" s="57">
        <v>1111</v>
      </c>
      <c r="C72" s="58">
        <v>4752</v>
      </c>
      <c r="D72" s="59">
        <v>24</v>
      </c>
      <c r="E72" s="54">
        <v>54</v>
      </c>
      <c r="F72" s="54">
        <v>535</v>
      </c>
      <c r="G72" s="54">
        <v>1134</v>
      </c>
      <c r="H72" s="54">
        <v>552</v>
      </c>
      <c r="I72" s="54">
        <v>3564</v>
      </c>
      <c r="J72" s="54">
        <v>0</v>
      </c>
      <c r="K72" s="55">
        <v>0</v>
      </c>
      <c r="L72" s="53" t="s">
        <v>65</v>
      </c>
      <c r="M72" s="53"/>
      <c r="N72" s="53"/>
      <c r="O72" s="8"/>
    </row>
    <row r="73" spans="1:15">
      <c r="A73" s="56"/>
      <c r="B73" s="57"/>
      <c r="C73" s="58"/>
      <c r="D73" s="59"/>
      <c r="E73" s="54"/>
      <c r="F73" s="54"/>
      <c r="G73" s="54"/>
      <c r="H73" s="54"/>
      <c r="I73" s="54"/>
      <c r="J73" s="54"/>
      <c r="K73" s="55"/>
      <c r="L73" s="53"/>
      <c r="M73" s="53"/>
      <c r="N73" s="53"/>
      <c r="O73" s="8"/>
    </row>
    <row r="74" spans="1:15" ht="20.399999999999999">
      <c r="A74" s="13" t="s">
        <v>66</v>
      </c>
      <c r="B74" s="10">
        <v>0</v>
      </c>
      <c r="C74" s="11">
        <v>0</v>
      </c>
      <c r="D74" s="11" t="s">
        <v>112</v>
      </c>
      <c r="E74" s="11" t="s">
        <v>112</v>
      </c>
      <c r="F74" s="11" t="s">
        <v>112</v>
      </c>
      <c r="G74" s="11" t="s">
        <v>112</v>
      </c>
      <c r="H74" s="11" t="s">
        <v>112</v>
      </c>
      <c r="I74" s="11" t="s">
        <v>112</v>
      </c>
      <c r="J74" s="11" t="s">
        <v>112</v>
      </c>
      <c r="K74" s="34" t="s">
        <v>112</v>
      </c>
      <c r="L74" s="27" t="s">
        <v>67</v>
      </c>
      <c r="M74" s="12"/>
      <c r="N74" s="12"/>
      <c r="O74" s="8"/>
    </row>
    <row r="75" spans="1:15">
      <c r="A75" s="13" t="s">
        <v>68</v>
      </c>
      <c r="B75" s="10">
        <v>2</v>
      </c>
      <c r="C75" s="11">
        <v>2</v>
      </c>
      <c r="D75" s="11" t="s">
        <v>112</v>
      </c>
      <c r="E75" s="11" t="s">
        <v>112</v>
      </c>
      <c r="F75" s="32">
        <v>2</v>
      </c>
      <c r="G75" s="32">
        <v>2</v>
      </c>
      <c r="H75" s="11" t="s">
        <v>112</v>
      </c>
      <c r="I75" s="11" t="s">
        <v>112</v>
      </c>
      <c r="J75" s="11" t="s">
        <v>112</v>
      </c>
      <c r="K75" s="34" t="s">
        <v>112</v>
      </c>
      <c r="L75" s="27" t="s">
        <v>69</v>
      </c>
      <c r="M75" s="12"/>
      <c r="N75" s="12"/>
      <c r="O75" s="8"/>
    </row>
    <row r="76" spans="1:15">
      <c r="A76" s="13" t="s">
        <v>70</v>
      </c>
      <c r="B76" s="10">
        <v>0</v>
      </c>
      <c r="C76" s="11">
        <v>0</v>
      </c>
      <c r="D76" s="11" t="s">
        <v>112</v>
      </c>
      <c r="E76" s="11" t="s">
        <v>112</v>
      </c>
      <c r="F76" s="11" t="s">
        <v>112</v>
      </c>
      <c r="G76" s="11" t="s">
        <v>112</v>
      </c>
      <c r="H76" s="11" t="s">
        <v>112</v>
      </c>
      <c r="I76" s="11" t="s">
        <v>112</v>
      </c>
      <c r="J76" s="11" t="s">
        <v>112</v>
      </c>
      <c r="K76" s="34" t="s">
        <v>112</v>
      </c>
      <c r="L76" s="27" t="s">
        <v>71</v>
      </c>
      <c r="M76" s="12"/>
      <c r="N76" s="12"/>
      <c r="O76" s="8"/>
    </row>
    <row r="77" spans="1:15">
      <c r="A77" s="13" t="s">
        <v>72</v>
      </c>
      <c r="B77" s="10">
        <v>0</v>
      </c>
      <c r="C77" s="11">
        <v>0</v>
      </c>
      <c r="D77" s="11" t="s">
        <v>112</v>
      </c>
      <c r="E77" s="11" t="s">
        <v>112</v>
      </c>
      <c r="F77" s="11" t="s">
        <v>112</v>
      </c>
      <c r="G77" s="11" t="s">
        <v>112</v>
      </c>
      <c r="H77" s="11" t="s">
        <v>112</v>
      </c>
      <c r="I77" s="11" t="s">
        <v>112</v>
      </c>
      <c r="J77" s="11" t="s">
        <v>112</v>
      </c>
      <c r="K77" s="34" t="s">
        <v>112</v>
      </c>
      <c r="L77" s="27" t="s">
        <v>73</v>
      </c>
      <c r="M77" s="12"/>
      <c r="N77" s="12"/>
      <c r="O77" s="8"/>
    </row>
    <row r="78" spans="1:15">
      <c r="A78" s="13" t="s">
        <v>74</v>
      </c>
      <c r="B78" s="10">
        <v>478</v>
      </c>
      <c r="C78" s="11">
        <v>1018</v>
      </c>
      <c r="D78" s="11" t="s">
        <v>112</v>
      </c>
      <c r="E78" s="11" t="s">
        <v>112</v>
      </c>
      <c r="F78" s="32">
        <v>373</v>
      </c>
      <c r="G78" s="32">
        <v>772</v>
      </c>
      <c r="H78" s="32">
        <v>105</v>
      </c>
      <c r="I78" s="32">
        <v>246</v>
      </c>
      <c r="J78" s="11" t="s">
        <v>112</v>
      </c>
      <c r="K78" s="34" t="s">
        <v>112</v>
      </c>
      <c r="L78" s="27" t="s">
        <v>75</v>
      </c>
      <c r="M78" s="12"/>
      <c r="N78" s="12"/>
      <c r="O78" s="8"/>
    </row>
    <row r="79" spans="1:15">
      <c r="A79" s="13" t="s">
        <v>76</v>
      </c>
      <c r="B79" s="10">
        <v>117</v>
      </c>
      <c r="C79" s="11">
        <v>2656</v>
      </c>
      <c r="D79" s="11" t="s">
        <v>112</v>
      </c>
      <c r="E79" s="11" t="s">
        <v>112</v>
      </c>
      <c r="F79" s="32">
        <v>1</v>
      </c>
      <c r="G79" s="32">
        <v>6</v>
      </c>
      <c r="H79" s="32">
        <v>116</v>
      </c>
      <c r="I79" s="32">
        <v>2650</v>
      </c>
      <c r="J79" s="11" t="s">
        <v>112</v>
      </c>
      <c r="K79" s="34" t="s">
        <v>112</v>
      </c>
      <c r="L79" s="27" t="s">
        <v>77</v>
      </c>
      <c r="M79" s="12"/>
      <c r="N79" s="12"/>
      <c r="O79" s="8"/>
    </row>
    <row r="80" spans="1:15">
      <c r="A80" s="13" t="s">
        <v>78</v>
      </c>
      <c r="B80" s="10">
        <v>0</v>
      </c>
      <c r="C80" s="11">
        <v>0</v>
      </c>
      <c r="D80" s="11" t="s">
        <v>112</v>
      </c>
      <c r="E80" s="11" t="s">
        <v>112</v>
      </c>
      <c r="F80" s="11" t="s">
        <v>112</v>
      </c>
      <c r="G80" s="11" t="s">
        <v>112</v>
      </c>
      <c r="H80" s="11" t="s">
        <v>112</v>
      </c>
      <c r="I80" s="11" t="s">
        <v>112</v>
      </c>
      <c r="J80" s="11" t="s">
        <v>112</v>
      </c>
      <c r="K80" s="34" t="s">
        <v>112</v>
      </c>
      <c r="L80" s="27" t="s">
        <v>79</v>
      </c>
      <c r="M80" s="12"/>
      <c r="N80" s="12"/>
      <c r="O80" s="8"/>
    </row>
    <row r="81" spans="1:15">
      <c r="A81" s="13" t="s">
        <v>80</v>
      </c>
      <c r="B81" s="10">
        <v>514</v>
      </c>
      <c r="C81" s="11">
        <v>1076</v>
      </c>
      <c r="D81" s="32">
        <v>24</v>
      </c>
      <c r="E81" s="32">
        <v>54</v>
      </c>
      <c r="F81" s="32">
        <v>159</v>
      </c>
      <c r="G81" s="32">
        <v>354</v>
      </c>
      <c r="H81" s="32">
        <v>331</v>
      </c>
      <c r="I81" s="32">
        <v>668</v>
      </c>
      <c r="J81" s="11" t="s">
        <v>112</v>
      </c>
      <c r="K81" s="34" t="s">
        <v>112</v>
      </c>
      <c r="L81" s="27" t="s">
        <v>81</v>
      </c>
      <c r="M81" s="12"/>
      <c r="N81" s="12"/>
      <c r="O81" s="8"/>
    </row>
    <row r="82" spans="1:15">
      <c r="A82" s="56" t="s">
        <v>82</v>
      </c>
      <c r="B82" s="57">
        <v>4068</v>
      </c>
      <c r="C82" s="58">
        <v>7402</v>
      </c>
      <c r="D82" s="59">
        <v>1255</v>
      </c>
      <c r="E82" s="54">
        <v>2657</v>
      </c>
      <c r="F82" s="54">
        <v>2040</v>
      </c>
      <c r="G82" s="54">
        <v>3624</v>
      </c>
      <c r="H82" s="54">
        <v>773</v>
      </c>
      <c r="I82" s="54">
        <v>1121</v>
      </c>
      <c r="J82" s="54">
        <v>0</v>
      </c>
      <c r="K82" s="55">
        <v>0</v>
      </c>
      <c r="L82" s="53" t="s">
        <v>83</v>
      </c>
      <c r="M82" s="53"/>
      <c r="N82" s="53"/>
      <c r="O82" s="8"/>
    </row>
    <row r="83" spans="1:15">
      <c r="A83" s="56"/>
      <c r="B83" s="57"/>
      <c r="C83" s="58"/>
      <c r="D83" s="59"/>
      <c r="E83" s="54"/>
      <c r="F83" s="54"/>
      <c r="G83" s="54"/>
      <c r="H83" s="54"/>
      <c r="I83" s="54"/>
      <c r="J83" s="54"/>
      <c r="K83" s="55"/>
      <c r="L83" s="53"/>
      <c r="M83" s="53"/>
      <c r="N83" s="53"/>
      <c r="O83" s="8"/>
    </row>
    <row r="84" spans="1:15">
      <c r="A84" s="9" t="str">
        <f>VLOOKUP([1]ListOfRegions!A53,[1]ListOfRegions!A53:B127,2,0)</f>
        <v xml:space="preserve">  Λέσβου</v>
      </c>
      <c r="B84" s="10">
        <v>2463</v>
      </c>
      <c r="C84" s="11">
        <v>3778</v>
      </c>
      <c r="D84" s="32">
        <v>921</v>
      </c>
      <c r="E84" s="32">
        <v>1904</v>
      </c>
      <c r="F84" s="32">
        <v>1196</v>
      </c>
      <c r="G84" s="32">
        <v>1481</v>
      </c>
      <c r="H84" s="32">
        <v>346</v>
      </c>
      <c r="I84" s="32">
        <v>393</v>
      </c>
      <c r="J84" s="11" t="s">
        <v>112</v>
      </c>
      <c r="K84" s="34" t="s">
        <v>112</v>
      </c>
      <c r="L84" s="27" t="s">
        <v>84</v>
      </c>
      <c r="M84" s="12"/>
      <c r="N84" s="12"/>
      <c r="O84" s="8"/>
    </row>
    <row r="85" spans="1:15">
      <c r="A85" s="9" t="str">
        <f>VLOOKUP([1]ListOfRegions!A54,[1]ListOfRegions!A54:B128,2,0)</f>
        <v xml:space="preserve">  Ικαρίας</v>
      </c>
      <c r="B85" s="10">
        <v>123</v>
      </c>
      <c r="C85" s="11">
        <v>378</v>
      </c>
      <c r="D85" s="32">
        <v>51</v>
      </c>
      <c r="E85" s="32">
        <v>139</v>
      </c>
      <c r="F85" s="32">
        <v>58</v>
      </c>
      <c r="G85" s="32">
        <v>198</v>
      </c>
      <c r="H85" s="32">
        <v>14</v>
      </c>
      <c r="I85" s="32">
        <v>41</v>
      </c>
      <c r="J85" s="11" t="s">
        <v>112</v>
      </c>
      <c r="K85" s="34" t="s">
        <v>112</v>
      </c>
      <c r="L85" s="27" t="s">
        <v>85</v>
      </c>
      <c r="M85" s="12"/>
      <c r="N85" s="12"/>
      <c r="O85" s="8"/>
    </row>
    <row r="86" spans="1:15">
      <c r="A86" s="9" t="str">
        <f>VLOOKUP([1]ListOfRegions!A55,[1]ListOfRegions!A55:B129,2,0)</f>
        <v xml:space="preserve">  Λήμνου</v>
      </c>
      <c r="B86" s="10">
        <v>513</v>
      </c>
      <c r="C86" s="11">
        <v>1047</v>
      </c>
      <c r="D86" s="32">
        <v>209</v>
      </c>
      <c r="E86" s="32">
        <v>408</v>
      </c>
      <c r="F86" s="32">
        <v>278</v>
      </c>
      <c r="G86" s="32">
        <v>496</v>
      </c>
      <c r="H86" s="32">
        <v>26</v>
      </c>
      <c r="I86" s="32">
        <v>143</v>
      </c>
      <c r="J86" s="11" t="s">
        <v>112</v>
      </c>
      <c r="K86" s="34" t="s">
        <v>112</v>
      </c>
      <c r="L86" s="27" t="s">
        <v>86</v>
      </c>
      <c r="M86" s="12"/>
      <c r="N86" s="12"/>
      <c r="O86" s="8"/>
    </row>
    <row r="87" spans="1:15">
      <c r="A87" s="9" t="str">
        <f>VLOOKUP([1]ListOfRegions!A56,[1]ListOfRegions!A56:B130,2,0)</f>
        <v xml:space="preserve">  Σάμου.</v>
      </c>
      <c r="B87" s="10">
        <v>217</v>
      </c>
      <c r="C87" s="11">
        <v>394</v>
      </c>
      <c r="D87" s="32">
        <v>25</v>
      </c>
      <c r="E87" s="32">
        <v>73</v>
      </c>
      <c r="F87" s="32">
        <v>84</v>
      </c>
      <c r="G87" s="32">
        <v>158</v>
      </c>
      <c r="H87" s="32">
        <v>108</v>
      </c>
      <c r="I87" s="32">
        <v>163</v>
      </c>
      <c r="J87" s="11" t="s">
        <v>112</v>
      </c>
      <c r="K87" s="34" t="s">
        <v>112</v>
      </c>
      <c r="L87" s="27" t="s">
        <v>87</v>
      </c>
      <c r="M87" s="12"/>
      <c r="N87" s="12"/>
      <c r="O87" s="8"/>
    </row>
    <row r="88" spans="1:15">
      <c r="A88" s="9" t="str">
        <f>VLOOKUP([1]ListOfRegions!A57,[1]ListOfRegions!A57:B131,2,0)</f>
        <v xml:space="preserve">  Χίου</v>
      </c>
      <c r="B88" s="10">
        <v>752</v>
      </c>
      <c r="C88" s="11">
        <v>1805</v>
      </c>
      <c r="D88" s="32">
        <v>49</v>
      </c>
      <c r="E88" s="32">
        <v>133</v>
      </c>
      <c r="F88" s="32">
        <v>424</v>
      </c>
      <c r="G88" s="32">
        <v>1291</v>
      </c>
      <c r="H88" s="32">
        <v>279</v>
      </c>
      <c r="I88" s="32">
        <v>381</v>
      </c>
      <c r="J88" s="11" t="s">
        <v>112</v>
      </c>
      <c r="K88" s="34" t="s">
        <v>112</v>
      </c>
      <c r="L88" s="27" t="s">
        <v>88</v>
      </c>
      <c r="M88" s="12"/>
      <c r="N88" s="12"/>
      <c r="O88" s="8"/>
    </row>
    <row r="89" spans="1:15">
      <c r="A89" s="56" t="s">
        <v>89</v>
      </c>
      <c r="B89" s="57">
        <v>7940</v>
      </c>
      <c r="C89" s="58">
        <v>17153</v>
      </c>
      <c r="D89" s="59">
        <v>170</v>
      </c>
      <c r="E89" s="54">
        <v>447</v>
      </c>
      <c r="F89" s="54">
        <v>6467</v>
      </c>
      <c r="G89" s="54">
        <v>13742</v>
      </c>
      <c r="H89" s="54">
        <v>1303</v>
      </c>
      <c r="I89" s="54">
        <v>2964</v>
      </c>
      <c r="J89" s="54">
        <v>0</v>
      </c>
      <c r="K89" s="55">
        <v>0</v>
      </c>
      <c r="L89" s="53" t="s">
        <v>90</v>
      </c>
      <c r="M89" s="53"/>
      <c r="N89" s="53"/>
      <c r="O89" s="8"/>
    </row>
    <row r="90" spans="1:15">
      <c r="A90" s="56"/>
      <c r="B90" s="57"/>
      <c r="C90" s="58"/>
      <c r="D90" s="59"/>
      <c r="E90" s="54"/>
      <c r="F90" s="54"/>
      <c r="G90" s="54"/>
      <c r="H90" s="54"/>
      <c r="I90" s="54"/>
      <c r="J90" s="54"/>
      <c r="K90" s="55"/>
      <c r="L90" s="53"/>
      <c r="M90" s="53"/>
      <c r="N90" s="53"/>
      <c r="O90" s="8"/>
    </row>
    <row r="91" spans="1:15">
      <c r="A91" s="9" t="str">
        <f>VLOOKUP([1]ListOfRegions!A58,[1]ListOfRegions!A58:B132,2,0)</f>
        <v xml:space="preserve">  Σύρου</v>
      </c>
      <c r="B91" s="10">
        <v>80</v>
      </c>
      <c r="C91" s="11">
        <v>265</v>
      </c>
      <c r="D91" s="11" t="s">
        <v>112</v>
      </c>
      <c r="E91" s="11" t="s">
        <v>112</v>
      </c>
      <c r="F91" s="32">
        <v>80</v>
      </c>
      <c r="G91" s="32">
        <v>265</v>
      </c>
      <c r="H91" s="11" t="s">
        <v>112</v>
      </c>
      <c r="I91" s="11" t="s">
        <v>112</v>
      </c>
      <c r="J91" s="11" t="s">
        <v>112</v>
      </c>
      <c r="K91" s="34" t="s">
        <v>112</v>
      </c>
      <c r="L91" s="27" t="s">
        <v>91</v>
      </c>
      <c r="M91" s="12"/>
      <c r="N91" s="12"/>
      <c r="O91" s="8"/>
    </row>
    <row r="92" spans="1:15">
      <c r="A92" s="9" t="str">
        <f>VLOOKUP([1]ListOfRegions!A59,[1]ListOfRegions!A59:B133,2,0)</f>
        <v xml:space="preserve">  Άνδρου</v>
      </c>
      <c r="B92" s="10">
        <v>579</v>
      </c>
      <c r="C92" s="11">
        <v>1213</v>
      </c>
      <c r="D92" s="11" t="s">
        <v>112</v>
      </c>
      <c r="E92" s="11" t="s">
        <v>112</v>
      </c>
      <c r="F92" s="32">
        <v>548</v>
      </c>
      <c r="G92" s="32">
        <v>1140</v>
      </c>
      <c r="H92" s="32">
        <v>31</v>
      </c>
      <c r="I92" s="32">
        <v>73</v>
      </c>
      <c r="J92" s="11" t="s">
        <v>112</v>
      </c>
      <c r="K92" s="34" t="s">
        <v>112</v>
      </c>
      <c r="L92" s="27" t="s">
        <v>92</v>
      </c>
      <c r="M92" s="12"/>
      <c r="N92" s="12"/>
      <c r="O92" s="8"/>
    </row>
    <row r="93" spans="1:15">
      <c r="A93" s="9" t="str">
        <f>VLOOKUP([1]ListOfRegions!A60,[1]ListOfRegions!A60:B134,2,0)</f>
        <v xml:space="preserve">  Θήρας</v>
      </c>
      <c r="B93" s="10">
        <v>95</v>
      </c>
      <c r="C93" s="11">
        <v>211</v>
      </c>
      <c r="D93" s="32">
        <v>15</v>
      </c>
      <c r="E93" s="32">
        <v>36</v>
      </c>
      <c r="F93" s="32">
        <v>77</v>
      </c>
      <c r="G93" s="32">
        <v>163</v>
      </c>
      <c r="H93" s="32">
        <v>3</v>
      </c>
      <c r="I93" s="32">
        <v>12</v>
      </c>
      <c r="J93" s="11" t="s">
        <v>112</v>
      </c>
      <c r="K93" s="34" t="s">
        <v>112</v>
      </c>
      <c r="L93" s="27" t="s">
        <v>93</v>
      </c>
      <c r="M93" s="12"/>
      <c r="N93" s="12"/>
      <c r="O93" s="8"/>
    </row>
    <row r="94" spans="1:15">
      <c r="A94" s="9" t="str">
        <f>VLOOKUP([1]ListOfRegions!A61,[1]ListOfRegions!A61:B135,2,0)</f>
        <v xml:space="preserve">  Καλύμνου</v>
      </c>
      <c r="B94" s="10">
        <v>178</v>
      </c>
      <c r="C94" s="11">
        <v>405</v>
      </c>
      <c r="D94" s="32">
        <v>47</v>
      </c>
      <c r="E94" s="32">
        <v>94</v>
      </c>
      <c r="F94" s="32">
        <v>36</v>
      </c>
      <c r="G94" s="32">
        <v>101</v>
      </c>
      <c r="H94" s="32">
        <v>95</v>
      </c>
      <c r="I94" s="32">
        <v>210</v>
      </c>
      <c r="J94" s="11" t="s">
        <v>112</v>
      </c>
      <c r="K94" s="34" t="s">
        <v>112</v>
      </c>
      <c r="L94" s="27" t="s">
        <v>94</v>
      </c>
      <c r="M94" s="12"/>
      <c r="N94" s="12"/>
      <c r="O94" s="8"/>
    </row>
    <row r="95" spans="1:15">
      <c r="A95" s="9" t="str">
        <f>VLOOKUP([1]ListOfRegions!A62,[1]ListOfRegions!A62:B136,2,0)</f>
        <v xml:space="preserve">  Καρπάθου</v>
      </c>
      <c r="B95" s="10">
        <v>2</v>
      </c>
      <c r="C95" s="11">
        <v>10</v>
      </c>
      <c r="D95" s="32">
        <v>2</v>
      </c>
      <c r="E95" s="32">
        <v>10</v>
      </c>
      <c r="F95" s="11" t="s">
        <v>112</v>
      </c>
      <c r="G95" s="11" t="s">
        <v>112</v>
      </c>
      <c r="H95" s="11" t="s">
        <v>112</v>
      </c>
      <c r="I95" s="11" t="s">
        <v>112</v>
      </c>
      <c r="J95" s="11" t="s">
        <v>112</v>
      </c>
      <c r="K95" s="34" t="s">
        <v>112</v>
      </c>
      <c r="L95" s="27" t="s">
        <v>95</v>
      </c>
      <c r="M95" s="12"/>
      <c r="N95" s="12"/>
      <c r="O95" s="8"/>
    </row>
    <row r="96" spans="1:15">
      <c r="A96" s="9" t="str">
        <f>VLOOKUP([1]ListOfRegions!A63,[1]ListOfRegions!A63:B137,2,0)</f>
        <v xml:space="preserve">  Κύθνου</v>
      </c>
      <c r="B96" s="10">
        <v>2319</v>
      </c>
      <c r="C96" s="11">
        <v>3437</v>
      </c>
      <c r="D96" s="11" t="s">
        <v>112</v>
      </c>
      <c r="E96" s="11" t="s">
        <v>112</v>
      </c>
      <c r="F96" s="32">
        <v>2259</v>
      </c>
      <c r="G96" s="32">
        <v>3362</v>
      </c>
      <c r="H96" s="32">
        <v>60</v>
      </c>
      <c r="I96" s="32">
        <v>75</v>
      </c>
      <c r="J96" s="11" t="s">
        <v>112</v>
      </c>
      <c r="K96" s="34" t="s">
        <v>112</v>
      </c>
      <c r="L96" s="27" t="s">
        <v>96</v>
      </c>
      <c r="M96" s="12"/>
      <c r="N96" s="12"/>
      <c r="O96" s="8"/>
    </row>
    <row r="97" spans="1:15">
      <c r="A97" s="9" t="str">
        <f>VLOOKUP([1]ListOfRegions!A64,[1]ListOfRegions!A64:B138,2,0)</f>
        <v xml:space="preserve">  Κω</v>
      </c>
      <c r="B97" s="10">
        <v>782</v>
      </c>
      <c r="C97" s="11">
        <v>2063</v>
      </c>
      <c r="D97" s="32">
        <v>21</v>
      </c>
      <c r="E97" s="32">
        <v>78</v>
      </c>
      <c r="F97" s="32">
        <v>649</v>
      </c>
      <c r="G97" s="32">
        <v>1856</v>
      </c>
      <c r="H97" s="32">
        <v>112</v>
      </c>
      <c r="I97" s="32">
        <v>129</v>
      </c>
      <c r="J97" s="11" t="s">
        <v>112</v>
      </c>
      <c r="K97" s="34" t="s">
        <v>112</v>
      </c>
      <c r="L97" s="27" t="s">
        <v>97</v>
      </c>
      <c r="M97" s="12"/>
      <c r="N97" s="12"/>
      <c r="O97" s="8"/>
    </row>
    <row r="98" spans="1:15">
      <c r="A98" s="9" t="str">
        <f>VLOOKUP([1]ListOfRegions!A65,[1]ListOfRegions!A65:B139,2,0)</f>
        <v xml:space="preserve">  Μήλου</v>
      </c>
      <c r="B98" s="10">
        <v>64</v>
      </c>
      <c r="C98" s="11">
        <v>120</v>
      </c>
      <c r="D98" s="11" t="s">
        <v>112</v>
      </c>
      <c r="E98" s="32">
        <v>4</v>
      </c>
      <c r="F98" s="32">
        <v>64</v>
      </c>
      <c r="G98" s="32">
        <v>116</v>
      </c>
      <c r="H98" s="11" t="s">
        <v>112</v>
      </c>
      <c r="I98" s="11" t="s">
        <v>112</v>
      </c>
      <c r="J98" s="11" t="s">
        <v>112</v>
      </c>
      <c r="K98" s="34" t="s">
        <v>112</v>
      </c>
      <c r="L98" s="27" t="s">
        <v>98</v>
      </c>
      <c r="M98" s="12"/>
      <c r="N98" s="12"/>
      <c r="O98" s="8"/>
    </row>
    <row r="99" spans="1:15">
      <c r="A99" s="9" t="str">
        <f>VLOOKUP([1]ListOfRegions!A66,[1]ListOfRegions!A66:B140,2,0)</f>
        <v xml:space="preserve">  Μυκόνου.</v>
      </c>
      <c r="B99" s="10">
        <v>313</v>
      </c>
      <c r="C99" s="11">
        <v>633</v>
      </c>
      <c r="D99" s="11" t="s">
        <v>112</v>
      </c>
      <c r="E99" s="11" t="s">
        <v>112</v>
      </c>
      <c r="F99" s="32">
        <v>313</v>
      </c>
      <c r="G99" s="32">
        <v>633</v>
      </c>
      <c r="H99" s="11" t="s">
        <v>112</v>
      </c>
      <c r="I99" s="11" t="s">
        <v>112</v>
      </c>
      <c r="J99" s="11" t="s">
        <v>112</v>
      </c>
      <c r="K99" s="34" t="s">
        <v>112</v>
      </c>
      <c r="L99" s="27" t="s">
        <v>99</v>
      </c>
      <c r="M99" s="12"/>
      <c r="N99" s="12"/>
      <c r="O99" s="8"/>
    </row>
    <row r="100" spans="1:15">
      <c r="A100" s="9" t="str">
        <f>VLOOKUP([1]ListOfRegions!A67,[1]ListOfRegions!A67:B141,2,0)</f>
        <v xml:space="preserve">  Νάξου</v>
      </c>
      <c r="B100" s="10">
        <v>1896</v>
      </c>
      <c r="C100" s="11">
        <v>5571</v>
      </c>
      <c r="D100" s="32">
        <v>56</v>
      </c>
      <c r="E100" s="32">
        <v>153</v>
      </c>
      <c r="F100" s="32">
        <v>1250</v>
      </c>
      <c r="G100" s="32">
        <v>3561</v>
      </c>
      <c r="H100" s="32">
        <v>590</v>
      </c>
      <c r="I100" s="32">
        <v>1857</v>
      </c>
      <c r="J100" s="11" t="s">
        <v>112</v>
      </c>
      <c r="K100" s="34" t="s">
        <v>112</v>
      </c>
      <c r="L100" s="27" t="s">
        <v>100</v>
      </c>
      <c r="M100" s="12"/>
      <c r="N100" s="12"/>
      <c r="O100" s="8"/>
    </row>
    <row r="101" spans="1:15">
      <c r="A101" s="9" t="str">
        <f>VLOOKUP([1]ListOfRegions!A68,[1]ListOfRegions!A68:B142,2,0)</f>
        <v xml:space="preserve">  Πάρου</v>
      </c>
      <c r="B101" s="10">
        <v>414</v>
      </c>
      <c r="C101" s="11">
        <v>695</v>
      </c>
      <c r="D101" s="32">
        <v>9</v>
      </c>
      <c r="E101" s="32">
        <v>18</v>
      </c>
      <c r="F101" s="32">
        <v>405</v>
      </c>
      <c r="G101" s="32">
        <v>677</v>
      </c>
      <c r="H101" s="11" t="s">
        <v>112</v>
      </c>
      <c r="I101" s="11" t="s">
        <v>112</v>
      </c>
      <c r="J101" s="11" t="s">
        <v>112</v>
      </c>
      <c r="K101" s="34" t="s">
        <v>112</v>
      </c>
      <c r="L101" s="27" t="s">
        <v>101</v>
      </c>
      <c r="M101" s="12"/>
      <c r="N101" s="12"/>
      <c r="O101" s="8"/>
    </row>
    <row r="102" spans="1:15">
      <c r="A102" s="9" t="str">
        <f>VLOOKUP([1]ListOfRegions!A69,[1]ListOfRegions!A69:B143,2,0)</f>
        <v xml:space="preserve">  Ρόδου</v>
      </c>
      <c r="B102" s="10">
        <v>931</v>
      </c>
      <c r="C102" s="11">
        <v>1865</v>
      </c>
      <c r="D102" s="32">
        <v>20</v>
      </c>
      <c r="E102" s="32">
        <v>54</v>
      </c>
      <c r="F102" s="32">
        <v>500</v>
      </c>
      <c r="G102" s="32">
        <v>1205</v>
      </c>
      <c r="H102" s="32">
        <v>411</v>
      </c>
      <c r="I102" s="32">
        <v>606</v>
      </c>
      <c r="J102" s="11" t="s">
        <v>112</v>
      </c>
      <c r="K102" s="34" t="s">
        <v>112</v>
      </c>
      <c r="L102" s="27" t="s">
        <v>102</v>
      </c>
      <c r="M102" s="12"/>
      <c r="N102" s="12"/>
      <c r="O102" s="8"/>
    </row>
    <row r="103" spans="1:15">
      <c r="A103" s="9" t="str">
        <f>VLOOKUP([1]ListOfRegions!A70,[1]ListOfRegions!A70:B144,2,0)</f>
        <v xml:space="preserve">  Τήνου</v>
      </c>
      <c r="B103" s="10">
        <v>287</v>
      </c>
      <c r="C103" s="11">
        <v>665</v>
      </c>
      <c r="D103" s="11" t="s">
        <v>112</v>
      </c>
      <c r="E103" s="11" t="s">
        <v>112</v>
      </c>
      <c r="F103" s="32">
        <v>286</v>
      </c>
      <c r="G103" s="32">
        <v>663</v>
      </c>
      <c r="H103" s="32">
        <v>1</v>
      </c>
      <c r="I103" s="32">
        <v>2</v>
      </c>
      <c r="J103" s="11" t="s">
        <v>112</v>
      </c>
      <c r="K103" s="34" t="s">
        <v>112</v>
      </c>
      <c r="L103" s="27" t="s">
        <v>103</v>
      </c>
      <c r="M103" s="12"/>
      <c r="N103" s="12"/>
      <c r="O103" s="8"/>
    </row>
    <row r="104" spans="1:15">
      <c r="A104" s="56" t="s">
        <v>104</v>
      </c>
      <c r="B104" s="57">
        <v>792</v>
      </c>
      <c r="C104" s="58">
        <v>1072</v>
      </c>
      <c r="D104" s="59">
        <v>294</v>
      </c>
      <c r="E104" s="54">
        <v>487</v>
      </c>
      <c r="F104" s="54">
        <v>317</v>
      </c>
      <c r="G104" s="54">
        <v>264</v>
      </c>
      <c r="H104" s="54">
        <v>181</v>
      </c>
      <c r="I104" s="54">
        <v>321</v>
      </c>
      <c r="J104" s="54">
        <v>0</v>
      </c>
      <c r="K104" s="55">
        <v>0</v>
      </c>
      <c r="L104" s="53" t="s">
        <v>105</v>
      </c>
      <c r="M104" s="53"/>
      <c r="N104" s="53"/>
      <c r="O104" s="8"/>
    </row>
    <row r="105" spans="1:15">
      <c r="A105" s="56"/>
      <c r="B105" s="57"/>
      <c r="C105" s="58"/>
      <c r="D105" s="59"/>
      <c r="E105" s="54"/>
      <c r="F105" s="54"/>
      <c r="G105" s="54"/>
      <c r="H105" s="54"/>
      <c r="I105" s="54"/>
      <c r="J105" s="54"/>
      <c r="K105" s="55"/>
      <c r="L105" s="53"/>
      <c r="M105" s="53"/>
      <c r="N105" s="53"/>
      <c r="O105" s="8"/>
    </row>
    <row r="106" spans="1:15">
      <c r="A106" s="9" t="str">
        <f>VLOOKUP([1]ListOfRegions!A71,[1]ListOfRegions!A71:B145,2,0)</f>
        <v xml:space="preserve">  Ηρακλείου</v>
      </c>
      <c r="B106" s="10">
        <v>579</v>
      </c>
      <c r="C106" s="11">
        <v>683</v>
      </c>
      <c r="D106" s="32">
        <v>245</v>
      </c>
      <c r="E106" s="32">
        <v>390</v>
      </c>
      <c r="F106" s="32">
        <v>242</v>
      </c>
      <c r="G106" s="32">
        <v>165</v>
      </c>
      <c r="H106" s="32">
        <v>92</v>
      </c>
      <c r="I106" s="32">
        <v>128</v>
      </c>
      <c r="J106" s="11" t="s">
        <v>112</v>
      </c>
      <c r="K106" s="34" t="s">
        <v>112</v>
      </c>
      <c r="L106" s="27" t="s">
        <v>106</v>
      </c>
      <c r="M106" s="12"/>
      <c r="N106" s="12"/>
      <c r="O106" s="8"/>
    </row>
    <row r="107" spans="1:15">
      <c r="A107" s="9" t="str">
        <f>VLOOKUP([1]ListOfRegions!A72,[1]ListOfRegions!A72:B146,2,0)</f>
        <v xml:space="preserve">  Λασιθίου</v>
      </c>
      <c r="B107" s="10">
        <v>45</v>
      </c>
      <c r="C107" s="11">
        <v>66</v>
      </c>
      <c r="D107" s="32">
        <v>22</v>
      </c>
      <c r="E107" s="32">
        <v>30</v>
      </c>
      <c r="F107" s="32">
        <v>23</v>
      </c>
      <c r="G107" s="32">
        <v>36</v>
      </c>
      <c r="H107" s="11" t="s">
        <v>112</v>
      </c>
      <c r="I107" s="11" t="s">
        <v>112</v>
      </c>
      <c r="J107" s="11" t="s">
        <v>112</v>
      </c>
      <c r="K107" s="34" t="s">
        <v>112</v>
      </c>
      <c r="L107" s="27" t="s">
        <v>107</v>
      </c>
      <c r="M107" s="12"/>
      <c r="N107" s="12"/>
      <c r="O107" s="8"/>
    </row>
    <row r="108" spans="1:15">
      <c r="A108" s="9" t="str">
        <f>VLOOKUP([1]ListOfRegions!A73,[1]ListOfRegions!A73:B147,2,0)</f>
        <v xml:space="preserve">  Ρεθύμνης</v>
      </c>
      <c r="B108" s="10">
        <v>92</v>
      </c>
      <c r="C108" s="11">
        <v>144</v>
      </c>
      <c r="D108" s="32">
        <v>25</v>
      </c>
      <c r="E108" s="32">
        <v>65</v>
      </c>
      <c r="F108" s="32">
        <v>52</v>
      </c>
      <c r="G108" s="32">
        <v>57</v>
      </c>
      <c r="H108" s="32">
        <v>15</v>
      </c>
      <c r="I108" s="32">
        <v>22</v>
      </c>
      <c r="J108" s="11" t="s">
        <v>112</v>
      </c>
      <c r="K108" s="34" t="s">
        <v>112</v>
      </c>
      <c r="L108" s="27" t="s">
        <v>108</v>
      </c>
      <c r="M108" s="12"/>
      <c r="N108" s="12"/>
      <c r="O108" s="8"/>
    </row>
    <row r="109" spans="1:15" ht="10.8" thickBot="1">
      <c r="A109" s="14" t="str">
        <f>VLOOKUP([1]ListOfRegions!A74,[1]ListOfRegions!A74:B148,2,0)</f>
        <v xml:space="preserve">  Χανίων</v>
      </c>
      <c r="B109" s="30">
        <v>76</v>
      </c>
      <c r="C109" s="31">
        <v>179</v>
      </c>
      <c r="D109" s="35">
        <v>2</v>
      </c>
      <c r="E109" s="35">
        <v>2</v>
      </c>
      <c r="F109" s="31" t="s">
        <v>112</v>
      </c>
      <c r="G109" s="35">
        <v>6</v>
      </c>
      <c r="H109" s="35">
        <v>74</v>
      </c>
      <c r="I109" s="35">
        <v>171</v>
      </c>
      <c r="J109" s="31" t="s">
        <v>112</v>
      </c>
      <c r="K109" s="36" t="s">
        <v>112</v>
      </c>
      <c r="L109" s="29" t="s">
        <v>109</v>
      </c>
      <c r="M109" s="15"/>
      <c r="N109" s="15"/>
      <c r="O109" s="8"/>
    </row>
    <row r="110" spans="1:15">
      <c r="A110" s="16"/>
      <c r="K110" s="4"/>
      <c r="M110" s="49"/>
      <c r="N110" s="49"/>
    </row>
    <row r="111" spans="1:15">
      <c r="A111" s="17"/>
      <c r="K111" s="18"/>
      <c r="L111" s="17"/>
      <c r="M111" s="17"/>
      <c r="N111" s="17"/>
    </row>
    <row r="112" spans="1:15" ht="10.199999999999999" customHeight="1">
      <c r="A112" s="19"/>
      <c r="B112" s="20"/>
      <c r="C112" s="20"/>
      <c r="D112" s="20"/>
      <c r="E112" s="20"/>
      <c r="L112" s="20"/>
      <c r="M112" s="20"/>
      <c r="N112" s="20"/>
    </row>
    <row r="113" spans="1:14" ht="10.199999999999999" customHeight="1">
      <c r="A113" s="19"/>
      <c r="B113" s="20"/>
      <c r="C113" s="20"/>
      <c r="D113" s="20"/>
      <c r="E113" s="20"/>
      <c r="L113" s="20"/>
      <c r="M113" s="20"/>
      <c r="N113" s="20"/>
    </row>
    <row r="114" spans="1:14" ht="10.199999999999999" customHeight="1">
      <c r="A114" s="50"/>
      <c r="B114" s="50"/>
      <c r="C114" s="50"/>
      <c r="D114" s="50"/>
      <c r="E114" s="50"/>
      <c r="L114" s="50"/>
      <c r="M114" s="50"/>
      <c r="N114" s="50"/>
    </row>
    <row r="115" spans="1:14">
      <c r="A115" s="50"/>
      <c r="B115" s="50"/>
      <c r="C115" s="50"/>
      <c r="D115" s="50"/>
      <c r="E115" s="50"/>
      <c r="L115" s="50"/>
      <c r="M115" s="50"/>
      <c r="N115" s="50"/>
    </row>
    <row r="116" spans="1:14">
      <c r="A116" s="8"/>
    </row>
    <row r="117" spans="1:14">
      <c r="A117" s="8"/>
    </row>
    <row r="118" spans="1:14">
      <c r="A118" s="8"/>
    </row>
    <row r="119" spans="1:14">
      <c r="A119" s="8"/>
    </row>
    <row r="120" spans="1:14">
      <c r="A120" s="8"/>
    </row>
    <row r="121" spans="1:14">
      <c r="A121" s="8"/>
    </row>
    <row r="122" spans="1:14">
      <c r="A122" s="8"/>
    </row>
    <row r="123" spans="1:14">
      <c r="A123" s="8"/>
    </row>
    <row r="124" spans="1:14">
      <c r="A124" s="21"/>
    </row>
    <row r="125" spans="1:14" s="8" customFormat="1">
      <c r="A125" s="51"/>
      <c r="B125" s="51"/>
      <c r="C125" s="51"/>
      <c r="D125" s="51"/>
      <c r="E125" s="51"/>
      <c r="F125" s="51"/>
      <c r="G125" s="52"/>
      <c r="H125" s="52"/>
      <c r="I125" s="52"/>
      <c r="J125" s="52"/>
      <c r="K125" s="52"/>
    </row>
    <row r="126" spans="1:14" s="8" customFormat="1">
      <c r="A126" s="51"/>
      <c r="B126" s="51"/>
      <c r="C126" s="51"/>
      <c r="D126" s="51"/>
      <c r="E126" s="51"/>
      <c r="F126" s="51"/>
      <c r="G126" s="52"/>
      <c r="H126" s="52"/>
      <c r="I126" s="52"/>
      <c r="J126" s="52"/>
      <c r="K126" s="52"/>
    </row>
    <row r="127" spans="1:14" s="8" customFormat="1">
      <c r="A127" s="51"/>
      <c r="B127" s="51"/>
      <c r="C127" s="51"/>
      <c r="D127" s="51"/>
      <c r="E127" s="51"/>
      <c r="F127" s="51"/>
      <c r="G127" s="52"/>
      <c r="H127" s="52"/>
      <c r="I127" s="52"/>
      <c r="J127" s="52"/>
      <c r="K127" s="52"/>
    </row>
    <row r="128" spans="1:14" s="8" customFormat="1">
      <c r="A128" s="22"/>
      <c r="F128" s="46"/>
      <c r="G128" s="46"/>
      <c r="H128" s="46"/>
      <c r="I128" s="46"/>
      <c r="J128" s="46"/>
      <c r="K128" s="46"/>
    </row>
    <row r="129" spans="1:11" s="8" customFormat="1">
      <c r="A129" s="47"/>
      <c r="B129" s="48"/>
      <c r="C129" s="48"/>
      <c r="D129" s="48"/>
      <c r="E129" s="48"/>
      <c r="F129" s="48"/>
      <c r="G129" s="48"/>
      <c r="H129" s="48"/>
      <c r="I129" s="48"/>
      <c r="J129" s="48"/>
      <c r="K129" s="48"/>
    </row>
    <row r="130" spans="1:11" s="8" customFormat="1">
      <c r="A130" s="47"/>
      <c r="B130" s="48"/>
      <c r="C130" s="48"/>
      <c r="D130" s="48"/>
      <c r="E130" s="48"/>
      <c r="F130" s="48"/>
      <c r="G130" s="48"/>
      <c r="H130" s="48"/>
      <c r="I130" s="48"/>
      <c r="J130" s="48"/>
      <c r="K130" s="48"/>
    </row>
    <row r="131" spans="1:11" s="8" customFormat="1">
      <c r="A131" s="47"/>
      <c r="B131" s="48"/>
      <c r="C131" s="48"/>
      <c r="D131" s="48"/>
      <c r="E131" s="48"/>
      <c r="F131" s="48"/>
      <c r="G131" s="48"/>
      <c r="H131" s="48"/>
      <c r="I131" s="48"/>
      <c r="J131" s="48"/>
      <c r="K131" s="48"/>
    </row>
    <row r="132" spans="1:11" s="8" customFormat="1">
      <c r="A132" s="47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1:11" s="8" customFormat="1">
      <c r="A133" s="24"/>
    </row>
    <row r="134" spans="1:11" s="8" customFormat="1">
      <c r="A134" s="25"/>
    </row>
    <row r="135" spans="1:11" s="8" customFormat="1">
      <c r="A135" s="44"/>
      <c r="B135" s="45"/>
      <c r="C135" s="45"/>
      <c r="D135" s="45"/>
      <c r="E135" s="45"/>
      <c r="F135" s="45"/>
      <c r="G135" s="45"/>
      <c r="H135" s="45"/>
      <c r="I135" s="45"/>
      <c r="J135" s="45"/>
      <c r="K135" s="45"/>
    </row>
    <row r="136" spans="1:11" s="8" customFormat="1">
      <c r="A136" s="44"/>
      <c r="B136" s="45"/>
      <c r="C136" s="45"/>
      <c r="D136" s="45"/>
      <c r="E136" s="45"/>
      <c r="F136" s="45"/>
      <c r="G136" s="45"/>
      <c r="H136" s="45"/>
      <c r="I136" s="45"/>
      <c r="J136" s="45"/>
      <c r="K136" s="45"/>
    </row>
    <row r="137" spans="1:11" s="8" customFormat="1">
      <c r="A137" s="44"/>
      <c r="B137" s="45"/>
      <c r="C137" s="45"/>
      <c r="D137" s="45"/>
      <c r="E137" s="45"/>
      <c r="F137" s="45"/>
      <c r="G137" s="45"/>
      <c r="H137" s="45"/>
      <c r="I137" s="45"/>
      <c r="J137" s="45"/>
      <c r="K137" s="45"/>
    </row>
    <row r="138" spans="1:11" s="8" customFormat="1">
      <c r="A138" s="25"/>
      <c r="F138" s="26"/>
      <c r="G138" s="26"/>
    </row>
    <row r="139" spans="1:11" s="8" customFormat="1">
      <c r="A139" s="25"/>
      <c r="F139" s="26"/>
      <c r="G139" s="26"/>
    </row>
    <row r="140" spans="1:11" s="8" customFormat="1">
      <c r="A140" s="25"/>
      <c r="F140" s="26"/>
      <c r="G140" s="26"/>
    </row>
    <row r="141" spans="1:11" s="8" customFormat="1">
      <c r="A141" s="25"/>
      <c r="F141" s="26"/>
      <c r="G141" s="26"/>
    </row>
    <row r="142" spans="1:11" s="8" customFormat="1">
      <c r="A142" s="25"/>
      <c r="F142" s="26"/>
      <c r="G142" s="26"/>
    </row>
    <row r="143" spans="1:11" s="8" customFormat="1">
      <c r="A143" s="25"/>
      <c r="F143" s="26"/>
      <c r="G143" s="26"/>
    </row>
    <row r="144" spans="1:11" s="8" customFormat="1">
      <c r="A144" s="44"/>
    </row>
    <row r="145" spans="1:7" s="8" customFormat="1">
      <c r="A145" s="44"/>
    </row>
    <row r="146" spans="1:7" s="8" customFormat="1">
      <c r="A146" s="25"/>
      <c r="F146" s="26"/>
      <c r="G146" s="26"/>
    </row>
    <row r="147" spans="1:7" s="8" customFormat="1">
      <c r="A147" s="25"/>
      <c r="F147" s="26"/>
      <c r="G147" s="26"/>
    </row>
    <row r="148" spans="1:7" s="8" customFormat="1">
      <c r="A148" s="25"/>
      <c r="F148" s="26"/>
      <c r="G148" s="26"/>
    </row>
    <row r="149" spans="1:7" s="8" customFormat="1">
      <c r="A149" s="25"/>
      <c r="F149" s="26"/>
      <c r="G149" s="26"/>
    </row>
    <row r="150" spans="1:7" s="8" customFormat="1">
      <c r="A150" s="25"/>
      <c r="F150" s="26"/>
      <c r="G150" s="26"/>
    </row>
    <row r="151" spans="1:7" s="8" customFormat="1">
      <c r="A151" s="25"/>
      <c r="F151" s="26"/>
      <c r="G151" s="26"/>
    </row>
    <row r="152" spans="1:7" s="8" customFormat="1">
      <c r="A152" s="25"/>
      <c r="F152" s="26"/>
      <c r="G152" s="26"/>
    </row>
    <row r="153" spans="1:7" s="8" customFormat="1">
      <c r="A153" s="25"/>
      <c r="F153" s="26"/>
      <c r="G153" s="26"/>
    </row>
    <row r="154" spans="1:7" s="8" customFormat="1">
      <c r="A154" s="25"/>
      <c r="F154" s="26"/>
      <c r="G154" s="26"/>
    </row>
    <row r="155" spans="1:7" s="8" customFormat="1">
      <c r="A155" s="25"/>
      <c r="F155" s="26"/>
      <c r="G155" s="26"/>
    </row>
    <row r="156" spans="1:7" s="8" customFormat="1">
      <c r="A156" s="25"/>
      <c r="F156" s="26"/>
      <c r="G156" s="26"/>
    </row>
    <row r="157" spans="1:7" s="8" customFormat="1">
      <c r="A157" s="41"/>
    </row>
    <row r="158" spans="1:7" s="8" customFormat="1">
      <c r="A158" s="41"/>
    </row>
    <row r="159" spans="1:7" s="8" customFormat="1">
      <c r="A159" s="25"/>
      <c r="F159" s="26"/>
      <c r="G159" s="26"/>
    </row>
    <row r="160" spans="1:7" s="8" customFormat="1">
      <c r="A160" s="25"/>
      <c r="F160" s="26"/>
      <c r="G160" s="26"/>
    </row>
    <row r="161" spans="1:7" s="8" customFormat="1">
      <c r="A161" s="25"/>
      <c r="F161" s="26"/>
      <c r="G161" s="26"/>
    </row>
    <row r="162" spans="1:7" s="8" customFormat="1">
      <c r="A162" s="25"/>
      <c r="F162" s="26"/>
      <c r="G162" s="26"/>
    </row>
    <row r="163" spans="1:7" s="8" customFormat="1">
      <c r="A163" s="41"/>
    </row>
    <row r="164" spans="1:7" s="8" customFormat="1">
      <c r="A164" s="41"/>
    </row>
    <row r="165" spans="1:7" s="8" customFormat="1">
      <c r="A165" s="25"/>
      <c r="F165" s="26"/>
      <c r="G165" s="26"/>
    </row>
    <row r="166" spans="1:7" s="8" customFormat="1">
      <c r="A166" s="25"/>
      <c r="F166" s="26"/>
      <c r="G166" s="26"/>
    </row>
    <row r="167" spans="1:7" s="8" customFormat="1">
      <c r="A167" s="25"/>
      <c r="F167" s="26"/>
      <c r="G167" s="26"/>
    </row>
    <row r="168" spans="1:7" s="8" customFormat="1">
      <c r="A168" s="25"/>
      <c r="F168" s="26"/>
      <c r="G168" s="26"/>
    </row>
    <row r="169" spans="1:7" s="8" customFormat="1">
      <c r="A169" s="25"/>
      <c r="F169" s="26"/>
      <c r="G169" s="26"/>
    </row>
    <row r="170" spans="1:7" s="8" customFormat="1">
      <c r="A170" s="41"/>
    </row>
    <row r="171" spans="1:7" s="8" customFormat="1">
      <c r="A171" s="41"/>
    </row>
    <row r="172" spans="1:7" s="8" customFormat="1">
      <c r="A172" s="25"/>
      <c r="F172" s="26"/>
      <c r="G172" s="26"/>
    </row>
    <row r="173" spans="1:7" s="8" customFormat="1">
      <c r="A173" s="25"/>
      <c r="F173" s="26"/>
      <c r="G173" s="26"/>
    </row>
    <row r="174" spans="1:7" s="8" customFormat="1">
      <c r="A174" s="25"/>
      <c r="F174" s="26"/>
      <c r="G174" s="26"/>
    </row>
    <row r="175" spans="1:7" s="8" customFormat="1">
      <c r="A175" s="25"/>
      <c r="F175" s="26"/>
      <c r="G175" s="26"/>
    </row>
    <row r="176" spans="1:7" s="8" customFormat="1">
      <c r="A176" s="25"/>
      <c r="F176" s="26"/>
      <c r="G176" s="26"/>
    </row>
    <row r="177" spans="1:7" s="8" customFormat="1">
      <c r="A177" s="41"/>
    </row>
    <row r="178" spans="1:7" s="8" customFormat="1">
      <c r="A178" s="41"/>
    </row>
    <row r="179" spans="1:7" s="8" customFormat="1">
      <c r="A179" s="25"/>
      <c r="F179" s="26"/>
      <c r="G179" s="26"/>
    </row>
    <row r="180" spans="1:7" s="8" customFormat="1">
      <c r="A180" s="25"/>
      <c r="F180" s="26"/>
      <c r="G180" s="26"/>
    </row>
    <row r="181" spans="1:7" s="8" customFormat="1">
      <c r="A181" s="25"/>
      <c r="F181" s="26"/>
      <c r="G181" s="26"/>
    </row>
    <row r="182" spans="1:7" s="8" customFormat="1">
      <c r="A182" s="25"/>
      <c r="F182" s="26"/>
      <c r="G182" s="26"/>
    </row>
    <row r="183" spans="1:7" s="8" customFormat="1">
      <c r="A183" s="25"/>
      <c r="F183" s="26"/>
      <c r="G183" s="26"/>
    </row>
    <row r="184" spans="1:7" s="8" customFormat="1">
      <c r="A184" s="41"/>
    </row>
    <row r="185" spans="1:7" s="8" customFormat="1">
      <c r="A185" s="41"/>
    </row>
    <row r="186" spans="1:7" s="8" customFormat="1">
      <c r="A186" s="25"/>
      <c r="F186" s="26"/>
      <c r="G186" s="26"/>
    </row>
    <row r="187" spans="1:7" s="8" customFormat="1">
      <c r="A187" s="25"/>
      <c r="F187" s="26"/>
      <c r="G187" s="26"/>
    </row>
    <row r="188" spans="1:7" s="8" customFormat="1">
      <c r="A188" s="25"/>
      <c r="F188" s="26"/>
      <c r="G188" s="26"/>
    </row>
    <row r="189" spans="1:7" s="8" customFormat="1">
      <c r="A189" s="41"/>
    </row>
    <row r="190" spans="1:7" s="8" customFormat="1">
      <c r="A190" s="41"/>
    </row>
    <row r="191" spans="1:7" s="8" customFormat="1">
      <c r="A191" s="25"/>
      <c r="F191" s="26"/>
      <c r="G191" s="26"/>
    </row>
    <row r="192" spans="1:7" s="8" customFormat="1">
      <c r="A192" s="25"/>
      <c r="F192" s="26"/>
      <c r="G192" s="26"/>
    </row>
    <row r="193" spans="1:7" s="8" customFormat="1">
      <c r="A193" s="25"/>
      <c r="F193" s="26"/>
      <c r="G193" s="26"/>
    </row>
    <row r="194" spans="1:7" s="8" customFormat="1">
      <c r="A194" s="25"/>
      <c r="F194" s="26"/>
      <c r="G194" s="26"/>
    </row>
    <row r="195" spans="1:7" s="8" customFormat="1">
      <c r="A195" s="25"/>
      <c r="F195" s="26"/>
      <c r="G195" s="26"/>
    </row>
    <row r="196" spans="1:7" s="8" customFormat="1">
      <c r="A196" s="41"/>
    </row>
    <row r="197" spans="1:7" s="8" customFormat="1">
      <c r="A197" s="41"/>
    </row>
    <row r="198" spans="1:7" s="8" customFormat="1">
      <c r="A198" s="25"/>
      <c r="F198" s="26"/>
      <c r="G198" s="26"/>
    </row>
    <row r="199" spans="1:7" s="8" customFormat="1">
      <c r="A199" s="25"/>
      <c r="F199" s="26"/>
      <c r="G199" s="26"/>
    </row>
    <row r="200" spans="1:7" s="8" customFormat="1">
      <c r="A200" s="25"/>
      <c r="F200" s="26"/>
      <c r="G200" s="26"/>
    </row>
    <row r="201" spans="1:7" s="8" customFormat="1">
      <c r="A201" s="25"/>
      <c r="F201" s="26"/>
      <c r="G201" s="26"/>
    </row>
    <row r="202" spans="1:7" s="8" customFormat="1">
      <c r="A202" s="25"/>
      <c r="F202" s="26"/>
      <c r="G202" s="26"/>
    </row>
    <row r="203" spans="1:7" s="8" customFormat="1">
      <c r="A203" s="25"/>
      <c r="F203" s="26"/>
      <c r="G203" s="26"/>
    </row>
    <row r="204" spans="1:7" s="8" customFormat="1">
      <c r="A204" s="25"/>
      <c r="F204" s="26"/>
      <c r="G204" s="26"/>
    </row>
    <row r="205" spans="1:7" s="8" customFormat="1">
      <c r="A205" s="25"/>
      <c r="F205" s="26"/>
      <c r="G205" s="26"/>
    </row>
    <row r="206" spans="1:7" s="8" customFormat="1">
      <c r="A206" s="41"/>
    </row>
    <row r="207" spans="1:7" s="8" customFormat="1">
      <c r="A207" s="41"/>
    </row>
    <row r="208" spans="1:7" s="8" customFormat="1">
      <c r="A208" s="25"/>
      <c r="F208" s="26"/>
      <c r="G208" s="26"/>
    </row>
    <row r="209" spans="1:7" s="8" customFormat="1">
      <c r="A209" s="25"/>
      <c r="F209" s="26"/>
      <c r="G209" s="26"/>
    </row>
    <row r="210" spans="1:7" s="8" customFormat="1">
      <c r="A210" s="25"/>
      <c r="F210" s="26"/>
      <c r="G210" s="26"/>
    </row>
    <row r="211" spans="1:7" s="8" customFormat="1">
      <c r="A211" s="25"/>
      <c r="F211" s="26"/>
      <c r="G211" s="26"/>
    </row>
    <row r="212" spans="1:7" s="8" customFormat="1">
      <c r="A212" s="25"/>
      <c r="F212" s="26"/>
      <c r="G212" s="26"/>
    </row>
    <row r="213" spans="1:7" s="8" customFormat="1">
      <c r="A213" s="41"/>
    </row>
    <row r="214" spans="1:7" s="8" customFormat="1">
      <c r="A214" s="41"/>
    </row>
    <row r="215" spans="1:7" s="8" customFormat="1">
      <c r="A215" s="25"/>
      <c r="F215" s="26"/>
      <c r="G215" s="26"/>
    </row>
    <row r="216" spans="1:7" s="8" customFormat="1">
      <c r="A216" s="25"/>
      <c r="F216" s="26"/>
      <c r="G216" s="26"/>
    </row>
    <row r="217" spans="1:7" s="8" customFormat="1">
      <c r="A217" s="25"/>
      <c r="F217" s="26"/>
      <c r="G217" s="26"/>
    </row>
    <row r="218" spans="1:7" s="8" customFormat="1">
      <c r="A218" s="25"/>
      <c r="F218" s="26"/>
      <c r="G218" s="26"/>
    </row>
    <row r="219" spans="1:7" s="8" customFormat="1">
      <c r="A219" s="25"/>
      <c r="F219" s="26"/>
      <c r="G219" s="26"/>
    </row>
    <row r="220" spans="1:7" s="8" customFormat="1">
      <c r="A220" s="25"/>
      <c r="F220" s="26"/>
      <c r="G220" s="26"/>
    </row>
    <row r="221" spans="1:7" s="8" customFormat="1">
      <c r="A221" s="25"/>
      <c r="F221" s="26"/>
      <c r="G221" s="26"/>
    </row>
    <row r="222" spans="1:7" s="8" customFormat="1">
      <c r="A222" s="25"/>
      <c r="F222" s="26"/>
      <c r="G222" s="26"/>
    </row>
    <row r="223" spans="1:7" s="8" customFormat="1">
      <c r="A223" s="25"/>
      <c r="F223" s="26"/>
      <c r="G223" s="26"/>
    </row>
    <row r="224" spans="1:7" s="8" customFormat="1">
      <c r="A224" s="25"/>
      <c r="F224" s="26"/>
      <c r="G224" s="26"/>
    </row>
    <row r="225" spans="1:7" s="8" customFormat="1">
      <c r="A225" s="25"/>
      <c r="F225" s="26"/>
      <c r="G225" s="26"/>
    </row>
    <row r="226" spans="1:7" s="8" customFormat="1">
      <c r="A226" s="25"/>
      <c r="F226" s="26"/>
      <c r="G226" s="26"/>
    </row>
    <row r="227" spans="1:7" s="8" customFormat="1">
      <c r="A227" s="25"/>
      <c r="F227" s="26"/>
      <c r="G227" s="26"/>
    </row>
    <row r="228" spans="1:7" s="8" customFormat="1">
      <c r="A228" s="41"/>
    </row>
    <row r="229" spans="1:7" s="8" customFormat="1">
      <c r="A229" s="41"/>
    </row>
    <row r="230" spans="1:7" s="8" customFormat="1">
      <c r="A230" s="25"/>
      <c r="F230" s="26"/>
      <c r="G230" s="26"/>
    </row>
    <row r="231" spans="1:7" s="8" customFormat="1">
      <c r="A231" s="25"/>
      <c r="F231" s="26"/>
      <c r="G231" s="26"/>
    </row>
    <row r="232" spans="1:7" s="8" customFormat="1">
      <c r="A232" s="25"/>
      <c r="F232" s="26"/>
      <c r="G232" s="26"/>
    </row>
    <row r="233" spans="1:7" s="8" customFormat="1">
      <c r="A233" s="25"/>
      <c r="F233" s="26"/>
      <c r="G233" s="26"/>
    </row>
    <row r="234" spans="1:7" s="8" customFormat="1">
      <c r="A234" s="25"/>
    </row>
    <row r="235" spans="1:7">
      <c r="A235" s="28"/>
    </row>
  </sheetData>
  <mergeCells count="213">
    <mergeCell ref="L4:N8"/>
    <mergeCell ref="G3:K3"/>
    <mergeCell ref="M3:N3"/>
    <mergeCell ref="A4:A8"/>
    <mergeCell ref="L10:N11"/>
    <mergeCell ref="G10:G11"/>
    <mergeCell ref="H10:H11"/>
    <mergeCell ref="I10:I11"/>
    <mergeCell ref="J10:J11"/>
    <mergeCell ref="K10:K11"/>
    <mergeCell ref="A10:A11"/>
    <mergeCell ref="B10:B11"/>
    <mergeCell ref="C10:C11"/>
    <mergeCell ref="D10:D11"/>
    <mergeCell ref="E10:E11"/>
    <mergeCell ref="F10:F11"/>
    <mergeCell ref="B6:C6"/>
    <mergeCell ref="B7:C7"/>
    <mergeCell ref="D7:E7"/>
    <mergeCell ref="F7:G7"/>
    <mergeCell ref="H7:I7"/>
    <mergeCell ref="B5:I5"/>
    <mergeCell ref="J5:K5"/>
    <mergeCell ref="L12:N13"/>
    <mergeCell ref="G12:G13"/>
    <mergeCell ref="H12:H13"/>
    <mergeCell ref="I12:I13"/>
    <mergeCell ref="J12:J13"/>
    <mergeCell ref="K12:K13"/>
    <mergeCell ref="A12:A13"/>
    <mergeCell ref="B12:B13"/>
    <mergeCell ref="C12:C13"/>
    <mergeCell ref="D12:D13"/>
    <mergeCell ref="E12:E13"/>
    <mergeCell ref="F12:F13"/>
    <mergeCell ref="L20:N21"/>
    <mergeCell ref="G20:G21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L33:N34"/>
    <mergeCell ref="G33:G34"/>
    <mergeCell ref="H33:H34"/>
    <mergeCell ref="I33:I34"/>
    <mergeCell ref="J33:J34"/>
    <mergeCell ref="K33:K34"/>
    <mergeCell ref="A33:A34"/>
    <mergeCell ref="B33:B34"/>
    <mergeCell ref="C33:C34"/>
    <mergeCell ref="D33:D34"/>
    <mergeCell ref="E33:E34"/>
    <mergeCell ref="F33:F34"/>
    <mergeCell ref="L39:N40"/>
    <mergeCell ref="G39:G40"/>
    <mergeCell ref="H39:H40"/>
    <mergeCell ref="I39:I40"/>
    <mergeCell ref="J39:J40"/>
    <mergeCell ref="K39:K40"/>
    <mergeCell ref="A39:A40"/>
    <mergeCell ref="B39:B40"/>
    <mergeCell ref="C39:C40"/>
    <mergeCell ref="D39:D40"/>
    <mergeCell ref="E39:E40"/>
    <mergeCell ref="F39:F40"/>
    <mergeCell ref="L46:N47"/>
    <mergeCell ref="G46:G47"/>
    <mergeCell ref="H46:H47"/>
    <mergeCell ref="I46:I47"/>
    <mergeCell ref="J46:J47"/>
    <mergeCell ref="K46:K47"/>
    <mergeCell ref="A46:A47"/>
    <mergeCell ref="B46:B47"/>
    <mergeCell ref="C46:C47"/>
    <mergeCell ref="D46:D47"/>
    <mergeCell ref="E46:E47"/>
    <mergeCell ref="F46:F47"/>
    <mergeCell ref="L53:N54"/>
    <mergeCell ref="G53:G54"/>
    <mergeCell ref="H53:H54"/>
    <mergeCell ref="I53:I54"/>
    <mergeCell ref="J53:J54"/>
    <mergeCell ref="K53:K54"/>
    <mergeCell ref="A53:A54"/>
    <mergeCell ref="B53:B54"/>
    <mergeCell ref="C53:C54"/>
    <mergeCell ref="D53:D54"/>
    <mergeCell ref="E53:E54"/>
    <mergeCell ref="F53:F54"/>
    <mergeCell ref="L60:N61"/>
    <mergeCell ref="G60:G61"/>
    <mergeCell ref="H60:H61"/>
    <mergeCell ref="I60:I61"/>
    <mergeCell ref="J60:J61"/>
    <mergeCell ref="K60:K61"/>
    <mergeCell ref="A60:A61"/>
    <mergeCell ref="B60:B61"/>
    <mergeCell ref="C60:C61"/>
    <mergeCell ref="D60:D61"/>
    <mergeCell ref="E60:E61"/>
    <mergeCell ref="F60:F61"/>
    <mergeCell ref="L65:N66"/>
    <mergeCell ref="G65:G66"/>
    <mergeCell ref="H65:H66"/>
    <mergeCell ref="I65:I66"/>
    <mergeCell ref="J65:J66"/>
    <mergeCell ref="K65:K66"/>
    <mergeCell ref="A65:A66"/>
    <mergeCell ref="B65:B66"/>
    <mergeCell ref="C65:C66"/>
    <mergeCell ref="D65:D66"/>
    <mergeCell ref="E65:E66"/>
    <mergeCell ref="F65:F66"/>
    <mergeCell ref="L72:N73"/>
    <mergeCell ref="G72:G73"/>
    <mergeCell ref="H72:H73"/>
    <mergeCell ref="I72:I73"/>
    <mergeCell ref="J72:J73"/>
    <mergeCell ref="K72:K73"/>
    <mergeCell ref="A72:A73"/>
    <mergeCell ref="B72:B73"/>
    <mergeCell ref="C72:C73"/>
    <mergeCell ref="D72:D73"/>
    <mergeCell ref="E72:E73"/>
    <mergeCell ref="F72:F73"/>
    <mergeCell ref="L82:N83"/>
    <mergeCell ref="G82:G83"/>
    <mergeCell ref="H82:H83"/>
    <mergeCell ref="I82:I83"/>
    <mergeCell ref="J82:J83"/>
    <mergeCell ref="K82:K83"/>
    <mergeCell ref="A82:A83"/>
    <mergeCell ref="B82:B83"/>
    <mergeCell ref="C82:C83"/>
    <mergeCell ref="D82:D83"/>
    <mergeCell ref="E82:E83"/>
    <mergeCell ref="F82:F83"/>
    <mergeCell ref="L89:N90"/>
    <mergeCell ref="G89:G90"/>
    <mergeCell ref="H89:H90"/>
    <mergeCell ref="I89:I90"/>
    <mergeCell ref="J89:J90"/>
    <mergeCell ref="K89:K90"/>
    <mergeCell ref="A89:A90"/>
    <mergeCell ref="B89:B90"/>
    <mergeCell ref="C89:C90"/>
    <mergeCell ref="D89:D90"/>
    <mergeCell ref="E89:E90"/>
    <mergeCell ref="F89:F90"/>
    <mergeCell ref="M110:N110"/>
    <mergeCell ref="A114:E114"/>
    <mergeCell ref="L114:N114"/>
    <mergeCell ref="A115:E115"/>
    <mergeCell ref="L115:N115"/>
    <mergeCell ref="A125:F127"/>
    <mergeCell ref="G125:K127"/>
    <mergeCell ref="L104:N105"/>
    <mergeCell ref="G104:G105"/>
    <mergeCell ref="H104:H105"/>
    <mergeCell ref="I104:I105"/>
    <mergeCell ref="J104:J105"/>
    <mergeCell ref="K104:K105"/>
    <mergeCell ref="A104:A105"/>
    <mergeCell ref="B104:B105"/>
    <mergeCell ref="C104:C105"/>
    <mergeCell ref="D104:D105"/>
    <mergeCell ref="E104:E105"/>
    <mergeCell ref="F104:F105"/>
    <mergeCell ref="K135:K137"/>
    <mergeCell ref="A135:A137"/>
    <mergeCell ref="B135:B137"/>
    <mergeCell ref="C135:C137"/>
    <mergeCell ref="D135:D137"/>
    <mergeCell ref="E135:E137"/>
    <mergeCell ref="F135:F137"/>
    <mergeCell ref="F128:K128"/>
    <mergeCell ref="A129:A132"/>
    <mergeCell ref="B129:E130"/>
    <mergeCell ref="F129:G131"/>
    <mergeCell ref="H129:I131"/>
    <mergeCell ref="J129:K131"/>
    <mergeCell ref="B131:C131"/>
    <mergeCell ref="D131:E131"/>
    <mergeCell ref="A2:F2"/>
    <mergeCell ref="G2:N2"/>
    <mergeCell ref="K6:K8"/>
    <mergeCell ref="J6:J8"/>
    <mergeCell ref="A213:A214"/>
    <mergeCell ref="A228:A229"/>
    <mergeCell ref="B4:I4"/>
    <mergeCell ref="J4:K4"/>
    <mergeCell ref="H6:I6"/>
    <mergeCell ref="F6:G6"/>
    <mergeCell ref="D6:E6"/>
    <mergeCell ref="A189:A190"/>
    <mergeCell ref="A196:A197"/>
    <mergeCell ref="A206:A207"/>
    <mergeCell ref="A170:A171"/>
    <mergeCell ref="A177:A178"/>
    <mergeCell ref="A184:A185"/>
    <mergeCell ref="A144:A145"/>
    <mergeCell ref="A157:A158"/>
    <mergeCell ref="A163:A164"/>
    <mergeCell ref="G135:G137"/>
    <mergeCell ref="H135:H137"/>
    <mergeCell ref="I135:I137"/>
    <mergeCell ref="J135:J137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2015-05-15T06:35:45Z</cp:lastPrinted>
  <dcterms:created xsi:type="dcterms:W3CDTF">2015-05-15T06:27:06Z</dcterms:created>
  <dcterms:modified xsi:type="dcterms:W3CDTF">2016-09-02T08:51:54Z</dcterms:modified>
</cp:coreProperties>
</file>