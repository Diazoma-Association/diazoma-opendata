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08" windowWidth="15144" windowHeight="5208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24519"/>
</workbook>
</file>

<file path=xl/calcChain.xml><?xml version="1.0" encoding="utf-8"?>
<calcChain xmlns="http://schemas.openxmlformats.org/spreadsheetml/2006/main">
  <c r="A107" i="1"/>
  <c r="A106"/>
  <c r="A105"/>
  <c r="A104"/>
  <c r="A101"/>
  <c r="A100"/>
  <c r="A99"/>
  <c r="A98"/>
  <c r="A97"/>
  <c r="A96"/>
  <c r="A95"/>
  <c r="A94"/>
  <c r="A93"/>
  <c r="A92"/>
  <c r="A91"/>
  <c r="A90"/>
  <c r="A89"/>
  <c r="A86"/>
  <c r="A85"/>
  <c r="A84"/>
  <c r="A83"/>
  <c r="A82"/>
  <c r="A69"/>
  <c r="A68"/>
  <c r="A67"/>
  <c r="A66"/>
  <c r="A65"/>
  <c r="A62"/>
  <c r="A61"/>
  <c r="A60"/>
  <c r="A57"/>
  <c r="A56"/>
  <c r="A55"/>
  <c r="A54"/>
  <c r="A53"/>
  <c r="A50"/>
  <c r="A49"/>
  <c r="A48"/>
  <c r="A47"/>
  <c r="A46"/>
  <c r="A43"/>
  <c r="A42"/>
  <c r="A41"/>
  <c r="A40"/>
  <c r="A39"/>
  <c r="A36"/>
  <c r="A35"/>
  <c r="A34"/>
  <c r="A33"/>
  <c r="A30"/>
  <c r="A29"/>
  <c r="A28"/>
  <c r="A27"/>
  <c r="A26"/>
  <c r="A25"/>
  <c r="A24"/>
  <c r="A23"/>
  <c r="A22"/>
  <c r="A21"/>
  <c r="A20"/>
  <c r="A17"/>
  <c r="A16"/>
  <c r="A15"/>
  <c r="A14"/>
  <c r="A13"/>
  <c r="A12"/>
</calcChain>
</file>

<file path=xl/sharedStrings.xml><?xml version="1.0" encoding="utf-8"?>
<sst xmlns="http://schemas.openxmlformats.org/spreadsheetml/2006/main" count="360" uniqueCount="137">
  <si>
    <t>Κεφάλια</t>
  </si>
  <si>
    <t>Heads</t>
  </si>
  <si>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</si>
  <si>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</si>
  <si>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</si>
  <si>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</si>
  <si>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</si>
  <si>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</si>
  <si>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</si>
  <si>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</si>
  <si>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</si>
  <si>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</si>
  <si>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</si>
  <si>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</si>
  <si>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</si>
  <si>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</si>
  <si>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</si>
  <si>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</si>
  <si>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</si>
  <si>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</si>
  <si>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</si>
  <si>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</si>
  <si>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</si>
  <si>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</si>
  <si>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</si>
  <si>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</si>
  <si>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</si>
  <si>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</si>
  <si>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</si>
  <si>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</si>
  <si>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</si>
  <si>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</si>
  <si>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</si>
  <si>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</si>
  <si>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</si>
  <si>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</si>
  <si>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</si>
  <si>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</si>
  <si>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</si>
  <si>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</si>
  <si>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</si>
  <si>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</si>
  <si>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</si>
  <si>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</si>
  <si>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</si>
  <si>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</si>
  <si>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</si>
  <si>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</si>
  <si>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</si>
  <si>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</si>
  <si>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</si>
  <si>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</si>
  <si>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</si>
  <si>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</si>
  <si>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</si>
  <si>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</si>
  <si>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</si>
  <si>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</si>
  <si>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</si>
  <si>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</si>
  <si>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</si>
  <si>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</si>
  <si>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</si>
  <si>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</si>
  <si>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</si>
  <si>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</si>
  <si>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</si>
  <si>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</si>
  <si>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</si>
  <si>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</si>
  <si>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</si>
  <si>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</si>
  <si>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</si>
  <si>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</si>
  <si>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</si>
  <si>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</si>
  <si>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</si>
  <si>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</si>
  <si>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</si>
  <si>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</si>
  <si>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</si>
  <si>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</si>
  <si>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</si>
  <si>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</si>
  <si>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</si>
  <si>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</si>
  <si>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</si>
  <si>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</si>
  <si>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</si>
  <si>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</si>
  <si>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</si>
  <si>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</si>
  <si>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</si>
  <si>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</si>
  <si>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</si>
  <si>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</si>
  <si>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</si>
  <si>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</si>
  <si>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</si>
  <si>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</si>
  <si>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</si>
  <si>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</si>
  <si>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</si>
  <si>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</si>
  <si>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</si>
  <si>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</si>
  <si>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</si>
  <si>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</si>
  <si>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</si>
  <si>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</si>
  <si>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</si>
  <si>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</si>
  <si>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Πρόβατα - Sheep,</t>
  </si>
  <si>
    <t>Αίγες - Goats</t>
  </si>
  <si>
    <t>―</t>
  </si>
  <si>
    <t>Αγελάδες - Cows</t>
  </si>
  <si>
    <t xml:space="preserve">Σύνολο           </t>
  </si>
  <si>
    <t>Total</t>
  </si>
  <si>
    <t xml:space="preserve">Εγχώριες </t>
  </si>
  <si>
    <t>Local</t>
  </si>
  <si>
    <t xml:space="preserve">Βελτιωμένες </t>
  </si>
  <si>
    <t>Improved</t>
  </si>
  <si>
    <t xml:space="preserve">Ξενικές </t>
  </si>
  <si>
    <t>Foreign</t>
  </si>
  <si>
    <t xml:space="preserve">Βουβάλια </t>
  </si>
  <si>
    <t>Buffaloes</t>
  </si>
  <si>
    <t xml:space="preserve">Οικόσιτα </t>
  </si>
  <si>
    <t>Domestic</t>
  </si>
  <si>
    <t xml:space="preserve">Κοπαδιάρικα      </t>
  </si>
  <si>
    <t>In flock</t>
  </si>
  <si>
    <t xml:space="preserve">Νομαδικά </t>
  </si>
  <si>
    <t>Nomadic</t>
  </si>
  <si>
    <t xml:space="preserve">Οικόσιτες </t>
  </si>
  <si>
    <t xml:space="preserve">Κοπαδιάρικες     </t>
  </si>
  <si>
    <t xml:space="preserve">Νομαδικές </t>
  </si>
  <si>
    <t>Πίνακας 6. Ζώα που αρμέχτηκαν όλο το έτος 2011, Περιφέρεια και Περιφερειακή Ενότητα</t>
  </si>
  <si>
    <t>Table 6. Animals milked during the year 2011, by Region and Regional Unity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</si>
</sst>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charset val="161"/>
      <scheme val="minor"/>
    </font>
    <font>
      <sz val="8"/>
      <color theme="1"/>
      <name val="Arial"/>
      <family val="2"/>
      <charset val="161"/>
    </font>
    <font>
      <b/>
      <sz val="8"/>
      <name val="Arial"/>
      <family val="2"/>
      <charset val="161"/>
    </font>
    <font>
      <sz val="8"/>
      <name val="Arial"/>
      <family val="2"/>
      <charset val="161"/>
    </font>
    <font>
      <b/>
      <sz val="8"/>
      <color indexed="8"/>
      <name val="Arial"/>
      <family val="2"/>
      <charset val="161"/>
    </font>
    <font>
      <b/>
      <sz val="8"/>
      <color theme="1"/>
      <name val="Arial"/>
      <family val="2"/>
      <charset val="161"/>
    </font>
    <font>
      <sz val="8"/>
      <color rgb="FF000000"/>
      <name val="Arial"/>
      <family val="2"/>
      <charset val="161"/>
    </font>
    <font>
      <sz val="8"/>
      <color indexed="8"/>
      <name val="Arial"/>
      <family val="2"/>
      <charset val="161"/>
    </font>
    <font>
      <sz val="8"/>
      <name val="Tahoma"/>
      <family val="2"/>
      <charset val="161"/>
    </font>
    <font>
      <b/>
      <sz val="10"/>
      <name val="Arial"/>
      <family val="2"/>
      <charset val="161"/>
    </font>
    <font>
      <sz val="10"/>
      <name val="Arial"/>
      <family val="2"/>
      <charset val="161"/>
    </font>
    <font>
      <sz val="10"/>
      <color theme="1"/>
      <name val="Arial"/>
      <family val="2"/>
      <charset val="161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0" borderId="0" xfId="0" applyFont="1"/>
    <xf numFmtId="0" fontId="3" fillId="0" borderId="1" xfId="0" applyNumberFormat="1" applyFont="1" applyFill="1" applyBorder="1" applyAlignment="1" applyProtection="1">
      <alignment horizontal="left"/>
    </xf>
    <xf numFmtId="0" fontId="3" fillId="0" borderId="1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0" fontId="1" fillId="0" borderId="0" xfId="0" applyFont="1" applyBorder="1"/>
    <xf numFmtId="49" fontId="3" fillId="0" borderId="0" xfId="0" applyNumberFormat="1" applyFont="1" applyFill="1" applyBorder="1" applyAlignment="1" applyProtection="1">
      <alignment horizontal="left" wrapText="1" indent="2"/>
    </xf>
    <xf numFmtId="3" fontId="3" fillId="0" borderId="7" xfId="0" quotePrefix="1" applyNumberFormat="1" applyFont="1" applyFill="1" applyBorder="1" applyAlignment="1" applyProtection="1">
      <alignment horizontal="right"/>
    </xf>
    <xf numFmtId="0" fontId="1" fillId="0" borderId="0" xfId="0" applyFont="1" applyBorder="1" applyAlignment="1">
      <alignment horizontal="left" indent="2"/>
    </xf>
    <xf numFmtId="0" fontId="1" fillId="0" borderId="0" xfId="0" applyFont="1" applyBorder="1" applyAlignment="1">
      <alignment horizontal="left"/>
    </xf>
    <xf numFmtId="49" fontId="6" fillId="0" borderId="0" xfId="0" applyNumberFormat="1" applyFont="1" applyBorder="1" applyAlignment="1" applyProtection="1">
      <alignment horizontal="left" vertical="center" wrapText="1" indent="2"/>
      <protection locked="0"/>
    </xf>
    <xf numFmtId="49" fontId="3" fillId="0" borderId="1" xfId="0" applyNumberFormat="1" applyFont="1" applyFill="1" applyBorder="1" applyAlignment="1" applyProtection="1">
      <alignment horizontal="left" wrapText="1" indent="2"/>
    </xf>
    <xf numFmtId="3" fontId="3" fillId="0" borderId="10" xfId="0" quotePrefix="1" applyNumberFormat="1" applyFont="1" applyFill="1" applyBorder="1" applyAlignment="1" applyProtection="1">
      <alignment horizontal="right"/>
    </xf>
    <xf numFmtId="0" fontId="1" fillId="0" borderId="1" xfId="0" applyFont="1" applyBorder="1" applyAlignment="1">
      <alignment horizontal="left" indent="2"/>
    </xf>
    <xf numFmtId="0" fontId="1" fillId="0" borderId="1" xfId="0" applyFont="1" applyBorder="1" applyAlignment="1">
      <alignment horizontal="left"/>
    </xf>
    <xf numFmtId="49" fontId="3" fillId="0" borderId="2" xfId="0" applyNumberFormat="1" applyFont="1" applyFill="1" applyBorder="1" applyAlignment="1">
      <alignment vertical="center"/>
    </xf>
    <xf numFmtId="49" fontId="3" fillId="0" borderId="0" xfId="0" applyNumberFormat="1" applyFont="1" applyFill="1" applyBorder="1" applyAlignment="1">
      <alignment vertical="center"/>
    </xf>
    <xf numFmtId="49" fontId="3" fillId="0" borderId="0" xfId="0" applyNumberFormat="1" applyFont="1" applyFill="1" applyBorder="1" applyAlignment="1"/>
    <xf numFmtId="49" fontId="3" fillId="0" borderId="0" xfId="0" applyNumberFormat="1" applyFont="1" applyFill="1" applyBorder="1" applyAlignment="1">
      <alignment wrapText="1"/>
    </xf>
    <xf numFmtId="0" fontId="3" fillId="0" borderId="0" xfId="0" applyNumberFormat="1" applyFont="1" applyFill="1" applyBorder="1" applyAlignment="1" applyProtection="1">
      <alignment horizontal="left" indent="2"/>
    </xf>
    <xf numFmtId="0" fontId="3" fillId="0" borderId="0" xfId="0" applyFont="1" applyFill="1" applyBorder="1" applyAlignment="1" applyProtection="1">
      <alignment horizontal="left" indent="2"/>
    </xf>
    <xf numFmtId="0" fontId="7" fillId="0" borderId="0" xfId="0" applyFont="1" applyBorder="1" applyAlignment="1">
      <alignment horizontal="center"/>
    </xf>
    <xf numFmtId="49" fontId="2" fillId="0" borderId="0" xfId="0" applyNumberFormat="1" applyFont="1" applyFill="1" applyBorder="1" applyAlignment="1" applyProtection="1">
      <alignment horizontal="left" indent="2"/>
    </xf>
    <xf numFmtId="49" fontId="1" fillId="0" borderId="0" xfId="0" applyNumberFormat="1" applyFont="1" applyBorder="1"/>
    <xf numFmtId="0" fontId="8" fillId="0" borderId="0" xfId="0" applyNumberFormat="1" applyFont="1" applyFill="1" applyBorder="1" applyAlignment="1" applyProtection="1"/>
    <xf numFmtId="49" fontId="1" fillId="0" borderId="0" xfId="0" applyNumberFormat="1" applyFont="1"/>
    <xf numFmtId="49" fontId="5" fillId="0" borderId="0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 wrapText="1"/>
    </xf>
    <xf numFmtId="0" fontId="3" fillId="0" borderId="0" xfId="0" applyFont="1" applyFill="1" applyBorder="1" applyAlignment="1" applyProtection="1">
      <alignment horizontal="center" vertical="center" wrapText="1"/>
    </xf>
    <xf numFmtId="3" fontId="3" fillId="0" borderId="8" xfId="0" applyNumberFormat="1" applyFont="1" applyFill="1" applyBorder="1" applyAlignment="1" applyProtection="1">
      <alignment horizontal="right"/>
    </xf>
    <xf numFmtId="3" fontId="3" fillId="0" borderId="8" xfId="0" quotePrefix="1" applyNumberFormat="1" applyFont="1" applyFill="1" applyBorder="1" applyAlignment="1" applyProtection="1">
      <alignment horizontal="right"/>
    </xf>
    <xf numFmtId="3" fontId="3" fillId="0" borderId="11" xfId="0" applyNumberFormat="1" applyFont="1" applyFill="1" applyBorder="1" applyAlignment="1" applyProtection="1">
      <alignment horizontal="right"/>
    </xf>
    <xf numFmtId="3" fontId="3" fillId="0" borderId="0" xfId="0" quotePrefix="1" applyNumberFormat="1" applyFont="1" applyFill="1" applyBorder="1" applyAlignment="1" applyProtection="1">
      <alignment horizontal="right"/>
    </xf>
    <xf numFmtId="3" fontId="3" fillId="0" borderId="0" xfId="0" applyNumberFormat="1" applyFont="1" applyFill="1" applyBorder="1" applyAlignment="1" applyProtection="1">
      <alignment horizontal="right"/>
    </xf>
    <xf numFmtId="3" fontId="3" fillId="0" borderId="1" xfId="0" applyNumberFormat="1" applyFont="1" applyFill="1" applyBorder="1" applyAlignment="1" applyProtection="1">
      <alignment horizontal="right"/>
    </xf>
    <xf numFmtId="3" fontId="3" fillId="0" borderId="18" xfId="0" applyNumberFormat="1" applyFont="1" applyFill="1" applyBorder="1" applyAlignment="1" applyProtection="1">
      <alignment horizontal="right"/>
    </xf>
    <xf numFmtId="3" fontId="3" fillId="0" borderId="9" xfId="0" applyNumberFormat="1" applyFont="1" applyFill="1" applyBorder="1" applyAlignment="1" applyProtection="1">
      <alignment horizontal="right"/>
    </xf>
    <xf numFmtId="3" fontId="3" fillId="0" borderId="9" xfId="0" quotePrefix="1" applyNumberFormat="1" applyFont="1" applyFill="1" applyBorder="1" applyAlignment="1" applyProtection="1">
      <alignment horizontal="right"/>
    </xf>
    <xf numFmtId="3" fontId="3" fillId="0" borderId="18" xfId="0" quotePrefix="1" applyNumberFormat="1" applyFont="1" applyFill="1" applyBorder="1" applyAlignment="1" applyProtection="1">
      <alignment horizontal="right"/>
    </xf>
    <xf numFmtId="3" fontId="3" fillId="0" borderId="11" xfId="0" quotePrefix="1" applyNumberFormat="1" applyFont="1" applyFill="1" applyBorder="1" applyAlignment="1" applyProtection="1">
      <alignment horizontal="right"/>
    </xf>
    <xf numFmtId="3" fontId="3" fillId="0" borderId="20" xfId="0" applyNumberFormat="1" applyFont="1" applyFill="1" applyBorder="1" applyAlignment="1" applyProtection="1">
      <alignment horizontal="right"/>
    </xf>
    <xf numFmtId="3" fontId="3" fillId="0" borderId="20" xfId="0" quotePrefix="1" applyNumberFormat="1" applyFont="1" applyFill="1" applyBorder="1" applyAlignment="1" applyProtection="1">
      <alignment horizontal="right"/>
    </xf>
    <xf numFmtId="3" fontId="3" fillId="0" borderId="21" xfId="0" applyNumberFormat="1" applyFont="1" applyFill="1" applyBorder="1" applyAlignment="1" applyProtection="1">
      <alignment horizontal="right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3" fontId="4" fillId="0" borderId="7" xfId="0" applyNumberFormat="1" applyFont="1" applyBorder="1" applyAlignment="1">
      <alignment horizontal="right" vertical="center"/>
    </xf>
    <xf numFmtId="3" fontId="2" fillId="0" borderId="9" xfId="0" applyNumberFormat="1" applyFont="1" applyFill="1" applyBorder="1" applyAlignment="1" applyProtection="1">
      <alignment horizontal="right" vertical="center"/>
    </xf>
    <xf numFmtId="0" fontId="3" fillId="0" borderId="13" xfId="0" applyNumberFormat="1" applyFont="1" applyFill="1" applyBorder="1" applyAlignment="1" applyProtection="1">
      <alignment horizontal="center" vertical="center" wrapText="1"/>
    </xf>
    <xf numFmtId="0" fontId="3" fillId="0" borderId="3" xfId="0" applyNumberFormat="1" applyFont="1" applyFill="1" applyBorder="1" applyAlignment="1" applyProtection="1">
      <alignment horizontal="center" vertical="center" wrapText="1"/>
    </xf>
    <xf numFmtId="0" fontId="3" fillId="0" borderId="17" xfId="0" applyNumberFormat="1" applyFont="1" applyFill="1" applyBorder="1" applyAlignment="1" applyProtection="1">
      <alignment horizontal="center" vertical="center" wrapText="1"/>
    </xf>
    <xf numFmtId="3" fontId="4" fillId="0" borderId="8" xfId="0" applyNumberFormat="1" applyFont="1" applyBorder="1" applyAlignment="1">
      <alignment horizontal="right" vertical="center"/>
    </xf>
    <xf numFmtId="3" fontId="2" fillId="0" borderId="9" xfId="0" applyNumberFormat="1" applyFont="1" applyFill="1" applyBorder="1" applyAlignment="1" applyProtection="1">
      <alignment horizontal="right" vertical="center" wrapText="1"/>
    </xf>
    <xf numFmtId="3" fontId="2" fillId="0" borderId="8" xfId="0" applyNumberFormat="1" applyFont="1" applyFill="1" applyBorder="1" applyAlignment="1" applyProtection="1">
      <alignment horizontal="right" vertical="center" wrapText="1"/>
    </xf>
    <xf numFmtId="49" fontId="5" fillId="0" borderId="0" xfId="0" applyNumberFormat="1" applyFont="1" applyBorder="1" applyAlignment="1">
      <alignment horizontal="left" vertical="center"/>
    </xf>
    <xf numFmtId="3" fontId="2" fillId="0" borderId="8" xfId="0" applyNumberFormat="1" applyFont="1" applyFill="1" applyBorder="1" applyAlignment="1" applyProtection="1">
      <alignment horizontal="right" vertical="center"/>
    </xf>
    <xf numFmtId="3" fontId="2" fillId="0" borderId="20" xfId="0" applyNumberFormat="1" applyFont="1" applyFill="1" applyBorder="1" applyAlignment="1" applyProtection="1">
      <alignment horizontal="right" vertical="center"/>
    </xf>
    <xf numFmtId="49" fontId="5" fillId="0" borderId="0" xfId="0" applyNumberFormat="1" applyFont="1" applyBorder="1" applyAlignment="1">
      <alignment horizontal="left" vertical="center" wrapText="1"/>
    </xf>
    <xf numFmtId="0" fontId="5" fillId="0" borderId="0" xfId="0" applyFont="1" applyBorder="1" applyAlignment="1">
      <alignment horizontal="righ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0" borderId="0" xfId="0" applyNumberFormat="1" applyFont="1" applyFill="1" applyBorder="1" applyAlignment="1" applyProtection="1">
      <alignment horizontal="right"/>
    </xf>
    <xf numFmtId="0" fontId="3" fillId="0" borderId="0" xfId="0" applyFont="1" applyFill="1" applyBorder="1" applyAlignment="1" applyProtection="1">
      <alignment horizontal="center" vertical="center" wrapText="1"/>
    </xf>
    <xf numFmtId="0" fontId="3" fillId="0" borderId="0" xfId="0" applyNumberFormat="1" applyFont="1" applyFill="1" applyBorder="1" applyAlignment="1" applyProtection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Border="1" applyAlignment="1">
      <alignment horizontal="left" wrapText="1" indent="1"/>
    </xf>
    <xf numFmtId="0" fontId="5" fillId="0" borderId="0" xfId="0" applyFont="1" applyBorder="1" applyAlignment="1">
      <alignment horizontal="left" vertical="center"/>
    </xf>
    <xf numFmtId="49" fontId="2" fillId="0" borderId="0" xfId="0" applyNumberFormat="1" applyFont="1" applyFill="1" applyBorder="1" applyAlignment="1" applyProtection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2" fillId="0" borderId="0" xfId="0" applyNumberFormat="1" applyFont="1" applyFill="1" applyBorder="1" applyAlignment="1" applyProtection="1">
      <alignment horizontal="left" vertical="center" wrapText="1"/>
    </xf>
    <xf numFmtId="49" fontId="2" fillId="0" borderId="0" xfId="0" applyNumberFormat="1" applyFont="1" applyFill="1" applyBorder="1" applyAlignment="1" applyProtection="1">
      <alignment horizontal="center" vertical="center" wrapText="1"/>
    </xf>
    <xf numFmtId="3" fontId="4" fillId="0" borderId="20" xfId="0" applyNumberFormat="1" applyFont="1" applyBorder="1" applyAlignment="1">
      <alignment horizontal="right" vertical="center"/>
    </xf>
    <xf numFmtId="3" fontId="4" fillId="0" borderId="9" xfId="0" applyNumberFormat="1" applyFont="1" applyBorder="1" applyAlignment="1">
      <alignment horizontal="right" vertical="center"/>
    </xf>
    <xf numFmtId="49" fontId="2" fillId="0" borderId="6" xfId="0" applyNumberFormat="1" applyFont="1" applyFill="1" applyBorder="1" applyAlignment="1" applyProtection="1">
      <alignment horizontal="left" vertical="center" wrapText="1" indent="1"/>
    </xf>
    <xf numFmtId="49" fontId="2" fillId="0" borderId="0" xfId="0" applyNumberFormat="1" applyFont="1" applyFill="1" applyBorder="1" applyAlignment="1" applyProtection="1">
      <alignment horizontal="left" vertical="center" wrapText="1" indent="1"/>
    </xf>
    <xf numFmtId="0" fontId="3" fillId="0" borderId="1" xfId="0" applyNumberFormat="1" applyFont="1" applyFill="1" applyBorder="1" applyAlignment="1" applyProtection="1">
      <alignment horizontal="right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2" fillId="0" borderId="6" xfId="0" applyNumberFormat="1" applyFont="1" applyFill="1" applyBorder="1" applyAlignment="1" applyProtection="1">
      <alignment horizontal="center" vertical="center" wrapText="1"/>
    </xf>
    <xf numFmtId="3" fontId="2" fillId="0" borderId="20" xfId="0" applyNumberFormat="1" applyFont="1" applyFill="1" applyBorder="1" applyAlignment="1" applyProtection="1">
      <alignment horizontal="right" vertical="center" wrapText="1"/>
    </xf>
    <xf numFmtId="0" fontId="3" fillId="0" borderId="12" xfId="0" applyNumberFormat="1" applyFont="1" applyFill="1" applyBorder="1" applyAlignment="1" applyProtection="1">
      <alignment horizontal="center" vertical="center" wrapText="1"/>
    </xf>
    <xf numFmtId="0" fontId="3" fillId="0" borderId="4" xfId="0" applyNumberFormat="1" applyFont="1" applyFill="1" applyBorder="1" applyAlignment="1" applyProtection="1">
      <alignment horizontal="center" vertical="center" wrapText="1"/>
    </xf>
    <xf numFmtId="0" fontId="3" fillId="0" borderId="19" xfId="0" applyNumberFormat="1" applyFont="1" applyFill="1" applyBorder="1" applyAlignment="1" applyProtection="1">
      <alignment horizontal="center" vertical="center" wrapText="1"/>
    </xf>
    <xf numFmtId="3" fontId="2" fillId="0" borderId="7" xfId="0" applyNumberFormat="1" applyFont="1" applyFill="1" applyBorder="1" applyAlignment="1" applyProtection="1">
      <alignment horizontal="right" vertical="center" wrapText="1"/>
    </xf>
    <xf numFmtId="0" fontId="3" fillId="0" borderId="7" xfId="0" applyNumberFormat="1" applyFont="1" applyFill="1" applyBorder="1" applyAlignment="1" applyProtection="1">
      <alignment horizontal="center" vertical="center" wrapText="1"/>
    </xf>
    <xf numFmtId="0" fontId="3" fillId="0" borderId="25" xfId="0" applyNumberFormat="1" applyFont="1" applyFill="1" applyBorder="1" applyAlignment="1" applyProtection="1">
      <alignment horizontal="center" vertical="center" wrapText="1"/>
    </xf>
    <xf numFmtId="0" fontId="3" fillId="0" borderId="16" xfId="0" applyNumberFormat="1" applyFont="1" applyFill="1" applyBorder="1" applyAlignment="1" applyProtection="1">
      <alignment horizontal="center" wrapText="1"/>
    </xf>
    <xf numFmtId="0" fontId="3" fillId="0" borderId="14" xfId="0" applyNumberFormat="1" applyFont="1" applyFill="1" applyBorder="1" applyAlignment="1" applyProtection="1">
      <alignment horizontal="center" wrapText="1"/>
    </xf>
    <xf numFmtId="0" fontId="3" fillId="0" borderId="5" xfId="0" applyNumberFormat="1" applyFont="1" applyFill="1" applyBorder="1" applyAlignment="1" applyProtection="1">
      <alignment horizontal="center" wrapText="1"/>
    </xf>
    <xf numFmtId="0" fontId="3" fillId="0" borderId="7" xfId="0" applyNumberFormat="1" applyFont="1" applyFill="1" applyBorder="1" applyAlignment="1" applyProtection="1">
      <alignment horizontal="center" wrapText="1"/>
    </xf>
    <xf numFmtId="0" fontId="3" fillId="0" borderId="8" xfId="0" applyNumberFormat="1" applyFont="1" applyFill="1" applyBorder="1" applyAlignment="1" applyProtection="1">
      <alignment horizontal="center" wrapText="1"/>
    </xf>
    <xf numFmtId="0" fontId="3" fillId="0" borderId="22" xfId="0" applyNumberFormat="1" applyFont="1" applyFill="1" applyBorder="1" applyAlignment="1" applyProtection="1">
      <alignment horizontal="center" wrapText="1"/>
    </xf>
    <xf numFmtId="0" fontId="3" fillId="0" borderId="24" xfId="0" applyNumberFormat="1" applyFont="1" applyFill="1" applyBorder="1" applyAlignment="1" applyProtection="1">
      <alignment horizontal="center" wrapText="1"/>
    </xf>
    <xf numFmtId="0" fontId="3" fillId="0" borderId="25" xfId="0" applyNumberFormat="1" applyFont="1" applyFill="1" applyBorder="1" applyAlignment="1" applyProtection="1">
      <alignment horizontal="center" wrapText="1"/>
    </xf>
    <xf numFmtId="0" fontId="3" fillId="0" borderId="26" xfId="0" applyNumberFormat="1" applyFont="1" applyFill="1" applyBorder="1" applyAlignment="1" applyProtection="1">
      <alignment horizontal="center" wrapText="1"/>
    </xf>
    <xf numFmtId="0" fontId="3" fillId="0" borderId="23" xfId="0" applyNumberFormat="1" applyFont="1" applyFill="1" applyBorder="1" applyAlignment="1" applyProtection="1">
      <alignment horizontal="center" vertical="top" wrapText="1"/>
    </xf>
    <xf numFmtId="0" fontId="3" fillId="0" borderId="15" xfId="0" applyNumberFormat="1" applyFont="1" applyFill="1" applyBorder="1" applyAlignment="1" applyProtection="1">
      <alignment horizontal="center" vertical="top" wrapText="1"/>
    </xf>
    <xf numFmtId="0" fontId="3" fillId="0" borderId="17" xfId="0" applyNumberFormat="1" applyFont="1" applyFill="1" applyBorder="1" applyAlignment="1" applyProtection="1">
      <alignment horizontal="center" vertical="top" wrapText="1"/>
    </xf>
    <xf numFmtId="0" fontId="3" fillId="0" borderId="27" xfId="0" applyNumberFormat="1" applyFont="1" applyFill="1" applyBorder="1" applyAlignment="1" applyProtection="1">
      <alignment horizontal="center" vertical="top" wrapText="1"/>
    </xf>
    <xf numFmtId="0" fontId="3" fillId="0" borderId="23" xfId="0" applyNumberFormat="1" applyFont="1" applyFill="1" applyBorder="1" applyAlignment="1" applyProtection="1">
      <alignment horizontal="center" vertical="center" wrapText="1"/>
    </xf>
    <xf numFmtId="0" fontId="3" fillId="0" borderId="28" xfId="0" applyNumberFormat="1" applyFont="1" applyFill="1" applyBorder="1" applyAlignment="1" applyProtection="1">
      <alignment horizontal="center" vertical="center" wrapText="1"/>
    </xf>
    <xf numFmtId="0" fontId="3" fillId="0" borderId="27" xfId="0" applyNumberFormat="1" applyFont="1" applyFill="1" applyBorder="1" applyAlignment="1" applyProtection="1">
      <alignment horizontal="center" vertical="center" wrapText="1"/>
    </xf>
    <xf numFmtId="0" fontId="9" fillId="0" borderId="0" xfId="0" applyNumberFormat="1" applyFont="1" applyFill="1" applyBorder="1" applyAlignment="1" applyProtection="1"/>
    <xf numFmtId="0" fontId="9" fillId="0" borderId="0" xfId="0" applyNumberFormat="1" applyFont="1" applyFill="1" applyBorder="1" applyAlignment="1" applyProtection="1">
      <alignment horizontal="center" vertical="center" wrapText="1"/>
    </xf>
    <xf numFmtId="0" fontId="10" fillId="0" borderId="0" xfId="0" applyNumberFormat="1" applyFont="1" applyFill="1" applyBorder="1" applyAlignment="1" applyProtection="1">
      <alignment vertical="center"/>
    </xf>
    <xf numFmtId="0" fontId="11" fillId="0" borderId="0" xfId="0" applyFont="1" applyBorder="1" applyAlignment="1">
      <alignment vertical="center"/>
    </xf>
    <xf numFmtId="0" fontId="11" fillId="0" borderId="0" xfId="0" applyFont="1"/>
    <xf numFmtId="0" fontId="9" fillId="0" borderId="0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nts%20and%20Settings\s.spyroulis\&#917;&#960;&#953;&#966;&#940;&#957;&#949;&#953;&#945;%20&#949;&#961;&#947;&#945;&#963;&#943;&#945;&#962;\&#916;&#925;&#931;&#919;_&#928;&#929;&#937;&#932;&#927;&#915;_&#917;&#923;&#931;&#932;&#913;&#932;\&#917;&#932;&#919;&#931;&#921;&#913;%20&#915;&#917;&#937;&#929;&#915;&#921;&#922;&#919;%20&#917;&#929;&#917;&#933;&#925;&#913;\&#913;&#925;&#913;&#923;&#933;&#932;&#921;&#922;&#913;%20&#917;&#915;&#917;%20&#928;&#929;&#927;&#931;%20&#916;&#919;&#924;&#927;&#931;&#921;&#917;&#933;&#931;&#919;\&#917;&#915;&#917;%20&#913;&#929;&#927;&#932;&#929;&#913;&#921;&#917;&#931;%202011%20&#913;&#925;&#913;&#923;&#933;&#932;&#921;&#922;&#927;&#921;%20&#928;&#921;&#925;&#913;&#922;&#917;&#931;\&#928;&#921;&#925;&#913;&#922;&#913;&#931;%202(&#945;)%20&#913;&#929;&#927;&#932;&#929;&#913;&#921;&#917;&#931;%20&#931;&#921;&#932;&#919;&#929;&#913;%20&#915;&#921;&#913;%20&#922;&#913;&#929;&#928;&#927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istOfRegions"/>
      <sheetName val="Πίνακας2(α)"/>
    </sheetNames>
    <sheetDataSet>
      <sheetData sheetId="0">
        <row r="1">
          <cell r="A1" t="str">
            <v>01</v>
          </cell>
          <cell r="B1" t="str">
            <v xml:space="preserve">  Ροδόπης</v>
          </cell>
        </row>
        <row r="2">
          <cell r="A2" t="str">
            <v>02</v>
          </cell>
          <cell r="B2" t="str">
            <v xml:space="preserve">  Δράμας</v>
          </cell>
        </row>
        <row r="3">
          <cell r="A3" t="str">
            <v>03</v>
          </cell>
          <cell r="B3" t="str">
            <v xml:space="preserve">  Έβρου</v>
          </cell>
        </row>
        <row r="4">
          <cell r="A4" t="str">
            <v>04</v>
          </cell>
          <cell r="B4" t="str">
            <v xml:space="preserve">  Θάσου</v>
          </cell>
        </row>
        <row r="5">
          <cell r="A5" t="str">
            <v>05</v>
          </cell>
          <cell r="B5" t="str">
            <v xml:space="preserve">  Καβάλας</v>
          </cell>
        </row>
        <row r="6">
          <cell r="A6" t="str">
            <v>06</v>
          </cell>
          <cell r="B6" t="str">
            <v xml:space="preserve">  Ξάνθης</v>
          </cell>
        </row>
        <row r="7">
          <cell r="A7" t="str">
            <v>07</v>
          </cell>
          <cell r="B7" t="str">
            <v xml:space="preserve">  Θεσσαλονίκης</v>
          </cell>
        </row>
        <row r="8">
          <cell r="A8" t="str">
            <v>08</v>
          </cell>
          <cell r="B8" t="str">
            <v xml:space="preserve">  Ημαθίας</v>
          </cell>
        </row>
        <row r="9">
          <cell r="A9" t="str">
            <v>09</v>
          </cell>
          <cell r="B9" t="str">
            <v xml:space="preserve">  Κιλκίς</v>
          </cell>
        </row>
        <row r="10">
          <cell r="A10" t="str">
            <v>10</v>
          </cell>
          <cell r="B10" t="str">
            <v xml:space="preserve">  Πέλλας</v>
          </cell>
        </row>
        <row r="11">
          <cell r="A11" t="str">
            <v>11</v>
          </cell>
          <cell r="B11" t="str">
            <v xml:space="preserve">  Πιερίας</v>
          </cell>
        </row>
        <row r="12">
          <cell r="A12" t="str">
            <v>12</v>
          </cell>
          <cell r="B12" t="str">
            <v xml:space="preserve">  Σερρών</v>
          </cell>
        </row>
        <row r="13">
          <cell r="A13" t="str">
            <v>13</v>
          </cell>
          <cell r="B13" t="str">
            <v xml:space="preserve">  Χαλκιδικής</v>
          </cell>
        </row>
        <row r="14">
          <cell r="A14" t="str">
            <v>14</v>
          </cell>
          <cell r="B14" t="str">
            <v xml:space="preserve">  Κοζάνης</v>
          </cell>
        </row>
        <row r="15">
          <cell r="A15" t="str">
            <v>15</v>
          </cell>
          <cell r="B15" t="str">
            <v xml:space="preserve">  Γρεβενών</v>
          </cell>
        </row>
        <row r="16">
          <cell r="A16" t="str">
            <v>16</v>
          </cell>
          <cell r="B16" t="str">
            <v xml:space="preserve">  Καστοριάς</v>
          </cell>
        </row>
        <row r="17">
          <cell r="A17" t="str">
            <v>17</v>
          </cell>
          <cell r="B17" t="str">
            <v xml:space="preserve">  Φλώρινας</v>
          </cell>
        </row>
        <row r="18">
          <cell r="A18" t="str">
            <v>18</v>
          </cell>
          <cell r="B18" t="str">
            <v xml:space="preserve">  Ιωαννίνων</v>
          </cell>
        </row>
        <row r="19">
          <cell r="A19" t="str">
            <v>19</v>
          </cell>
          <cell r="B19" t="str">
            <v xml:space="preserve">  Άρτας</v>
          </cell>
        </row>
        <row r="20">
          <cell r="A20" t="str">
            <v>20</v>
          </cell>
          <cell r="B20" t="str">
            <v xml:space="preserve">  Θεσπρωτίας</v>
          </cell>
        </row>
        <row r="21">
          <cell r="A21" t="str">
            <v>21</v>
          </cell>
          <cell r="B21" t="str">
            <v xml:space="preserve">  Πρέβεζας</v>
          </cell>
        </row>
        <row r="22">
          <cell r="A22" t="str">
            <v>22</v>
          </cell>
          <cell r="B22" t="str">
            <v xml:space="preserve">  Λάρισας</v>
          </cell>
        </row>
        <row r="23">
          <cell r="A23" t="str">
            <v>23</v>
          </cell>
          <cell r="B23" t="str">
            <v xml:space="preserve">  Καρδίτσας</v>
          </cell>
        </row>
        <row r="24">
          <cell r="A24" t="str">
            <v>24</v>
          </cell>
          <cell r="B24" t="str">
            <v xml:space="preserve">  Μαγνησίας</v>
          </cell>
        </row>
        <row r="25">
          <cell r="A25" t="str">
            <v>25</v>
          </cell>
          <cell r="B25" t="str">
            <v xml:space="preserve">  Σποράδων</v>
          </cell>
        </row>
        <row r="26">
          <cell r="A26" t="str">
            <v>26</v>
          </cell>
          <cell r="B26" t="str">
            <v xml:space="preserve">  Τρικάλων</v>
          </cell>
        </row>
        <row r="27">
          <cell r="A27" t="str">
            <v>27</v>
          </cell>
          <cell r="B27" t="str">
            <v xml:space="preserve">  Φθιώτιδας</v>
          </cell>
        </row>
        <row r="28">
          <cell r="A28" t="str">
            <v>28</v>
          </cell>
          <cell r="B28" t="str">
            <v xml:space="preserve">  Βοιωτίας</v>
          </cell>
        </row>
        <row r="29">
          <cell r="A29" t="str">
            <v>29</v>
          </cell>
          <cell r="B29" t="str">
            <v xml:space="preserve">  Εύβοιας</v>
          </cell>
        </row>
        <row r="30">
          <cell r="A30" t="str">
            <v>30</v>
          </cell>
          <cell r="B30" t="str">
            <v xml:space="preserve">  Ευρυτανίας</v>
          </cell>
        </row>
        <row r="31">
          <cell r="A31" t="str">
            <v>31</v>
          </cell>
          <cell r="B31" t="str">
            <v xml:space="preserve">  Φωκίδας</v>
          </cell>
        </row>
        <row r="32">
          <cell r="A32" t="str">
            <v>32</v>
          </cell>
          <cell r="B32" t="str">
            <v xml:space="preserve">  Κέρκυρας</v>
          </cell>
        </row>
        <row r="33">
          <cell r="A33" t="str">
            <v>33</v>
          </cell>
          <cell r="B33" t="str">
            <v xml:space="preserve">  Ζακύνθου</v>
          </cell>
        </row>
        <row r="34">
          <cell r="A34" t="str">
            <v>34</v>
          </cell>
          <cell r="B34" t="str">
            <v xml:space="preserve">  Ιθάκης</v>
          </cell>
        </row>
        <row r="35">
          <cell r="A35" t="str">
            <v>35</v>
          </cell>
          <cell r="B35" t="str">
            <v xml:space="preserve">  Κεφαλληνίας</v>
          </cell>
        </row>
        <row r="36">
          <cell r="A36" t="str">
            <v>36</v>
          </cell>
          <cell r="B36" t="str">
            <v xml:space="preserve">  Λευκάδας</v>
          </cell>
        </row>
        <row r="37">
          <cell r="A37" t="str">
            <v>37</v>
          </cell>
          <cell r="B37" t="str">
            <v xml:space="preserve">  Αχαϊας</v>
          </cell>
        </row>
        <row r="38">
          <cell r="A38" t="str">
            <v>38</v>
          </cell>
          <cell r="B38" t="str">
            <v xml:space="preserve">  Αιτωλ/νανίας</v>
          </cell>
        </row>
        <row r="39">
          <cell r="A39" t="str">
            <v>39</v>
          </cell>
          <cell r="B39" t="str">
            <v xml:space="preserve">  Ηλείας</v>
          </cell>
        </row>
        <row r="40">
          <cell r="A40" t="str">
            <v>40</v>
          </cell>
          <cell r="B40" t="str">
            <v xml:space="preserve">  Αρκαδίας</v>
          </cell>
        </row>
        <row r="41">
          <cell r="A41" t="str">
            <v>41</v>
          </cell>
          <cell r="B41" t="str">
            <v xml:space="preserve">  Αργολίδας</v>
          </cell>
        </row>
        <row r="42">
          <cell r="A42" t="str">
            <v>42</v>
          </cell>
          <cell r="B42" t="str">
            <v xml:space="preserve">  Κορινθίας</v>
          </cell>
        </row>
        <row r="43">
          <cell r="A43" t="str">
            <v>43</v>
          </cell>
          <cell r="B43" t="str">
            <v xml:space="preserve">  Λακωνίας</v>
          </cell>
        </row>
        <row r="44">
          <cell r="A44" t="str">
            <v>44</v>
          </cell>
          <cell r="B44" t="str">
            <v xml:space="preserve">  Μεσσηνίας</v>
          </cell>
        </row>
        <row r="45">
          <cell r="A45" t="str">
            <v>45</v>
          </cell>
          <cell r="B45" t="str">
            <v xml:space="preserve">  Κεντρικού Τομέα Αθηνών</v>
          </cell>
        </row>
        <row r="46">
          <cell r="A46" t="str">
            <v>46</v>
          </cell>
          <cell r="B46" t="str">
            <v xml:space="preserve"> Βορείου Τομέα Αθηνών</v>
          </cell>
        </row>
        <row r="47">
          <cell r="A47" t="str">
            <v>47</v>
          </cell>
          <cell r="B47" t="str">
            <v xml:space="preserve">  Δυτικού Τομέα Αθηνών</v>
          </cell>
        </row>
        <row r="48">
          <cell r="A48" t="str">
            <v>48</v>
          </cell>
          <cell r="B48" t="str">
            <v xml:space="preserve">  Νοτίου Τομέα Αθηνών</v>
          </cell>
        </row>
        <row r="49">
          <cell r="A49" t="str">
            <v>49</v>
          </cell>
          <cell r="B49" t="str">
            <v xml:space="preserve">  Ανατολικής Αττικής</v>
          </cell>
        </row>
        <row r="50">
          <cell r="A50" t="str">
            <v>50</v>
          </cell>
          <cell r="B50" t="str">
            <v xml:space="preserve">  Δυτικής Αττικής</v>
          </cell>
        </row>
        <row r="51">
          <cell r="A51" t="str">
            <v>51</v>
          </cell>
          <cell r="B51" t="str">
            <v xml:space="preserve">  Πειραιώς</v>
          </cell>
        </row>
        <row r="52">
          <cell r="A52" t="str">
            <v>52</v>
          </cell>
          <cell r="B52" t="str">
            <v xml:space="preserve">  Νήσων</v>
          </cell>
        </row>
        <row r="53">
          <cell r="A53" t="str">
            <v>53</v>
          </cell>
          <cell r="B53" t="str">
            <v xml:space="preserve">  Λέσβου</v>
          </cell>
        </row>
        <row r="54">
          <cell r="A54" t="str">
            <v>54</v>
          </cell>
          <cell r="B54" t="str">
            <v xml:space="preserve">  Ικαρίας</v>
          </cell>
        </row>
        <row r="55">
          <cell r="A55" t="str">
            <v>55</v>
          </cell>
          <cell r="B55" t="str">
            <v xml:space="preserve">  Λήμνου</v>
          </cell>
        </row>
        <row r="56">
          <cell r="A56" t="str">
            <v>56</v>
          </cell>
          <cell r="B56" t="str">
            <v xml:space="preserve">  Σάμου.</v>
          </cell>
        </row>
        <row r="57">
          <cell r="A57" t="str">
            <v>57</v>
          </cell>
          <cell r="B57" t="str">
            <v xml:space="preserve">  Χίου</v>
          </cell>
        </row>
        <row r="58">
          <cell r="A58" t="str">
            <v>58</v>
          </cell>
          <cell r="B58" t="str">
            <v xml:space="preserve">  Σύρου</v>
          </cell>
        </row>
        <row r="59">
          <cell r="A59" t="str">
            <v>59</v>
          </cell>
          <cell r="B59" t="str">
            <v xml:space="preserve">  Άνδρου</v>
          </cell>
        </row>
        <row r="60">
          <cell r="A60" t="str">
            <v>60</v>
          </cell>
          <cell r="B60" t="str">
            <v xml:space="preserve">  Θήρας</v>
          </cell>
        </row>
        <row r="61">
          <cell r="A61" t="str">
            <v>61</v>
          </cell>
          <cell r="B61" t="str">
            <v xml:space="preserve">  Καλύμνου</v>
          </cell>
        </row>
        <row r="62">
          <cell r="A62" t="str">
            <v>62</v>
          </cell>
          <cell r="B62" t="str">
            <v xml:space="preserve">  Καρπάθου</v>
          </cell>
        </row>
        <row r="63">
          <cell r="A63" t="str">
            <v>63</v>
          </cell>
          <cell r="B63" t="str">
            <v xml:space="preserve">  Κύθνου</v>
          </cell>
        </row>
        <row r="64">
          <cell r="A64" t="str">
            <v>64</v>
          </cell>
          <cell r="B64" t="str">
            <v xml:space="preserve">  Κω</v>
          </cell>
        </row>
        <row r="65">
          <cell r="A65" t="str">
            <v>65</v>
          </cell>
          <cell r="B65" t="str">
            <v xml:space="preserve">  Μήλου</v>
          </cell>
        </row>
        <row r="66">
          <cell r="A66" t="str">
            <v>66</v>
          </cell>
          <cell r="B66" t="str">
            <v xml:space="preserve">  Μυκόνου.</v>
          </cell>
        </row>
        <row r="67">
          <cell r="A67" t="str">
            <v>67</v>
          </cell>
          <cell r="B67" t="str">
            <v xml:space="preserve">  Νάξου</v>
          </cell>
        </row>
        <row r="68">
          <cell r="A68" t="str">
            <v>68</v>
          </cell>
          <cell r="B68" t="str">
            <v xml:space="preserve">  Πάρου</v>
          </cell>
        </row>
        <row r="69">
          <cell r="A69" t="str">
            <v>69</v>
          </cell>
          <cell r="B69" t="str">
            <v xml:space="preserve">  Ρόδου</v>
          </cell>
        </row>
        <row r="70">
          <cell r="A70" t="str">
            <v>70</v>
          </cell>
          <cell r="B70" t="str">
            <v xml:space="preserve">  Τήνου</v>
          </cell>
        </row>
        <row r="71">
          <cell r="A71" t="str">
            <v>71</v>
          </cell>
          <cell r="B71" t="str">
            <v xml:space="preserve">  Ηρακλείου</v>
          </cell>
        </row>
        <row r="72">
          <cell r="A72" t="str">
            <v>72</v>
          </cell>
          <cell r="B72" t="str">
            <v xml:space="preserve">  Λασιθίου</v>
          </cell>
        </row>
        <row r="73">
          <cell r="A73" t="str">
            <v>73</v>
          </cell>
          <cell r="B73" t="str">
            <v xml:space="preserve">  Ρεθύμνης</v>
          </cell>
        </row>
        <row r="74">
          <cell r="A74" t="str">
            <v>74</v>
          </cell>
          <cell r="B74" t="str">
            <v xml:space="preserve">  Χανίων</v>
          </cell>
        </row>
        <row r="75">
          <cell r="A75" t="str">
            <v>99</v>
          </cell>
          <cell r="B75" t="str">
            <v xml:space="preserve">  Αγίου Όρους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33"/>
  <sheetViews>
    <sheetView showGridLines="0" tabSelected="1" zoomScale="130" zoomScaleNormal="130" workbookViewId="0">
      <selection activeCell="D8" sqref="D8:D9"/>
    </sheetView>
  </sheetViews>
  <sheetFormatPr defaultRowHeight="10.199999999999999"/>
  <cols>
    <col min="1" max="1" width="18.5546875" style="1" customWidth="1"/>
    <col min="2" max="2" width="10.44140625" style="1" customWidth="1"/>
    <col min="3" max="3" width="10" style="1" customWidth="1"/>
    <col min="4" max="4" width="10.88671875" style="1" customWidth="1"/>
    <col min="5" max="5" width="10" style="1" customWidth="1"/>
    <col min="6" max="14" width="11.77734375" style="1" customWidth="1"/>
    <col min="15" max="15" width="9.6640625" style="1" customWidth="1"/>
    <col min="16" max="16" width="7.109375" style="1" customWidth="1"/>
    <col min="17" max="17" width="6" style="1" customWidth="1"/>
    <col min="18" max="18" width="10.109375" style="1" customWidth="1"/>
    <col min="19" max="16384" width="8.88671875" style="1"/>
  </cols>
  <sheetData>
    <row r="1" spans="1:18" s="103" customFormat="1" ht="13.2">
      <c r="A1" s="99"/>
      <c r="B1" s="99"/>
      <c r="C1" s="99"/>
      <c r="D1" s="99"/>
      <c r="E1" s="100" t="s">
        <v>135</v>
      </c>
      <c r="F1" s="100"/>
      <c r="G1" s="100"/>
      <c r="H1" s="100"/>
      <c r="I1" s="100"/>
      <c r="J1" s="100"/>
      <c r="K1" s="100"/>
      <c r="L1" s="100"/>
      <c r="M1" s="99"/>
      <c r="N1" s="99"/>
      <c r="O1" s="101"/>
      <c r="P1" s="101"/>
      <c r="Q1" s="101"/>
      <c r="R1" s="102"/>
    </row>
    <row r="2" spans="1:18" s="103" customFormat="1" ht="13.2">
      <c r="F2" s="100" t="s">
        <v>136</v>
      </c>
      <c r="G2" s="100"/>
      <c r="H2" s="100"/>
      <c r="I2" s="100"/>
      <c r="J2" s="100"/>
      <c r="K2" s="100"/>
      <c r="L2" s="104"/>
      <c r="M2" s="104"/>
      <c r="N2" s="104"/>
      <c r="R2" s="102"/>
    </row>
    <row r="3" spans="1:18" ht="10.8" thickBot="1">
      <c r="A3" s="2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73"/>
      <c r="M3" s="73"/>
      <c r="N3" s="73"/>
      <c r="O3" s="3"/>
      <c r="P3" s="73" t="s">
        <v>1</v>
      </c>
      <c r="Q3" s="73"/>
      <c r="R3" s="4"/>
    </row>
    <row r="4" spans="1:18" ht="14.4" customHeight="1">
      <c r="A4" s="97" t="s">
        <v>2</v>
      </c>
      <c r="B4" s="46" t="s">
        <v>115</v>
      </c>
      <c r="C4" s="47"/>
      <c r="D4" s="47"/>
      <c r="E4" s="47"/>
      <c r="F4" s="91" t="s">
        <v>124</v>
      </c>
      <c r="G4" s="77" t="s">
        <v>112</v>
      </c>
      <c r="H4" s="47"/>
      <c r="I4" s="47"/>
      <c r="J4" s="78"/>
      <c r="K4" s="47" t="s">
        <v>113</v>
      </c>
      <c r="L4" s="47"/>
      <c r="M4" s="47"/>
      <c r="N4" s="79"/>
      <c r="O4" s="46" t="s">
        <v>3</v>
      </c>
      <c r="P4" s="74"/>
      <c r="Q4" s="74"/>
      <c r="R4" s="5"/>
    </row>
    <row r="5" spans="1:18">
      <c r="A5" s="82"/>
      <c r="B5" s="83" t="s">
        <v>116</v>
      </c>
      <c r="C5" s="84" t="s">
        <v>118</v>
      </c>
      <c r="D5" s="85" t="s">
        <v>120</v>
      </c>
      <c r="E5" s="84" t="s">
        <v>122</v>
      </c>
      <c r="F5" s="87"/>
      <c r="G5" s="84" t="s">
        <v>116</v>
      </c>
      <c r="H5" s="85" t="s">
        <v>126</v>
      </c>
      <c r="I5" s="84" t="s">
        <v>128</v>
      </c>
      <c r="J5" s="85" t="s">
        <v>130</v>
      </c>
      <c r="K5" s="84" t="s">
        <v>116</v>
      </c>
      <c r="L5" s="85" t="s">
        <v>132</v>
      </c>
      <c r="M5" s="84" t="s">
        <v>133</v>
      </c>
      <c r="N5" s="89" t="s">
        <v>134</v>
      </c>
      <c r="O5" s="81"/>
      <c r="P5" s="61"/>
      <c r="Q5" s="61"/>
      <c r="R5" s="5"/>
    </row>
    <row r="6" spans="1:18">
      <c r="A6" s="82"/>
      <c r="B6" s="86"/>
      <c r="C6" s="87"/>
      <c r="D6" s="88"/>
      <c r="E6" s="87"/>
      <c r="F6" s="87"/>
      <c r="G6" s="87"/>
      <c r="H6" s="88"/>
      <c r="I6" s="87"/>
      <c r="J6" s="88"/>
      <c r="K6" s="87"/>
      <c r="L6" s="88"/>
      <c r="M6" s="87"/>
      <c r="N6" s="90"/>
      <c r="O6" s="81"/>
      <c r="P6" s="61"/>
      <c r="Q6" s="61"/>
      <c r="R6" s="5"/>
    </row>
    <row r="7" spans="1:18">
      <c r="A7" s="98"/>
      <c r="B7" s="94" t="s">
        <v>117</v>
      </c>
      <c r="C7" s="93" t="s">
        <v>119</v>
      </c>
      <c r="D7" s="92" t="s">
        <v>121</v>
      </c>
      <c r="E7" s="93" t="s">
        <v>123</v>
      </c>
      <c r="F7" s="92" t="s">
        <v>125</v>
      </c>
      <c r="G7" s="93" t="s">
        <v>117</v>
      </c>
      <c r="H7" s="92" t="s">
        <v>127</v>
      </c>
      <c r="I7" s="93" t="s">
        <v>129</v>
      </c>
      <c r="J7" s="92" t="s">
        <v>131</v>
      </c>
      <c r="K7" s="93" t="s">
        <v>117</v>
      </c>
      <c r="L7" s="92" t="s">
        <v>127</v>
      </c>
      <c r="M7" s="93" t="s">
        <v>129</v>
      </c>
      <c r="N7" s="95" t="s">
        <v>131</v>
      </c>
      <c r="O7" s="48"/>
      <c r="P7" s="96"/>
      <c r="Q7" s="96"/>
      <c r="R7" s="5"/>
    </row>
    <row r="8" spans="1:18">
      <c r="A8" s="71" t="s">
        <v>4</v>
      </c>
      <c r="B8" s="80">
        <v>202367</v>
      </c>
      <c r="C8" s="51">
        <v>13940</v>
      </c>
      <c r="D8" s="51">
        <v>123805</v>
      </c>
      <c r="E8" s="51">
        <v>64622</v>
      </c>
      <c r="F8" s="50">
        <v>172</v>
      </c>
      <c r="G8" s="50">
        <v>7013018</v>
      </c>
      <c r="H8" s="51">
        <v>469803</v>
      </c>
      <c r="I8" s="50">
        <v>6125141</v>
      </c>
      <c r="J8" s="51">
        <v>418074</v>
      </c>
      <c r="K8" s="51">
        <v>3810167</v>
      </c>
      <c r="L8" s="51">
        <v>457418</v>
      </c>
      <c r="M8" s="51">
        <v>3182753</v>
      </c>
      <c r="N8" s="76">
        <v>169996</v>
      </c>
      <c r="O8" s="75" t="s">
        <v>5</v>
      </c>
      <c r="P8" s="75"/>
      <c r="Q8" s="75"/>
      <c r="R8" s="5"/>
    </row>
    <row r="9" spans="1:18">
      <c r="A9" s="72"/>
      <c r="B9" s="80"/>
      <c r="C9" s="51"/>
      <c r="D9" s="51"/>
      <c r="E9" s="51"/>
      <c r="F9" s="50"/>
      <c r="G9" s="50"/>
      <c r="H9" s="51"/>
      <c r="I9" s="50"/>
      <c r="J9" s="51"/>
      <c r="K9" s="51"/>
      <c r="L9" s="51"/>
      <c r="M9" s="51"/>
      <c r="N9" s="76"/>
      <c r="O9" s="43"/>
      <c r="P9" s="43"/>
      <c r="Q9" s="43"/>
      <c r="R9" s="5"/>
    </row>
    <row r="10" spans="1:18">
      <c r="A10" s="68" t="s">
        <v>6</v>
      </c>
      <c r="B10" s="44">
        <v>34527</v>
      </c>
      <c r="C10" s="49">
        <v>5830</v>
      </c>
      <c r="D10" s="49">
        <v>19242</v>
      </c>
      <c r="E10" s="49">
        <v>9455</v>
      </c>
      <c r="F10" s="70">
        <v>0</v>
      </c>
      <c r="G10" s="49">
        <v>459120</v>
      </c>
      <c r="H10" s="49">
        <v>4017</v>
      </c>
      <c r="I10" s="49">
        <v>454483</v>
      </c>
      <c r="J10" s="49">
        <v>620</v>
      </c>
      <c r="K10" s="49">
        <v>335408</v>
      </c>
      <c r="L10" s="49">
        <v>4292</v>
      </c>
      <c r="M10" s="49">
        <v>327801</v>
      </c>
      <c r="N10" s="69">
        <v>3315</v>
      </c>
      <c r="O10" s="67" t="s">
        <v>7</v>
      </c>
      <c r="P10" s="67"/>
      <c r="Q10" s="67"/>
      <c r="R10" s="5"/>
    </row>
    <row r="11" spans="1:18" ht="18" customHeight="1">
      <c r="A11" s="68"/>
      <c r="B11" s="44"/>
      <c r="C11" s="49"/>
      <c r="D11" s="49"/>
      <c r="E11" s="49"/>
      <c r="F11" s="70"/>
      <c r="G11" s="49"/>
      <c r="H11" s="49"/>
      <c r="I11" s="49"/>
      <c r="J11" s="49"/>
      <c r="K11" s="49"/>
      <c r="L11" s="49"/>
      <c r="M11" s="49"/>
      <c r="N11" s="69"/>
      <c r="O11" s="67"/>
      <c r="P11" s="67"/>
      <c r="Q11" s="67"/>
      <c r="R11" s="5"/>
    </row>
    <row r="12" spans="1:18" ht="11.4" customHeight="1">
      <c r="A12" s="6" t="str">
        <f>VLOOKUP([1]ListOfRegions!$A$1,[1]ListOfRegions!$A$1:B75,2,0)</f>
        <v xml:space="preserve">  Ροδόπης</v>
      </c>
      <c r="B12" s="7">
        <v>8004</v>
      </c>
      <c r="C12" s="29">
        <v>3512</v>
      </c>
      <c r="D12" s="33">
        <v>3215</v>
      </c>
      <c r="E12" s="29">
        <v>1277</v>
      </c>
      <c r="F12" s="37" t="s">
        <v>114</v>
      </c>
      <c r="G12" s="37">
        <v>136853</v>
      </c>
      <c r="H12" s="29">
        <v>30</v>
      </c>
      <c r="I12" s="33">
        <v>136203</v>
      </c>
      <c r="J12" s="29">
        <v>620</v>
      </c>
      <c r="K12" s="29">
        <v>109887</v>
      </c>
      <c r="L12" s="33">
        <v>179</v>
      </c>
      <c r="M12" s="29">
        <v>109058</v>
      </c>
      <c r="N12" s="40">
        <v>650</v>
      </c>
      <c r="O12" s="8" t="s">
        <v>8</v>
      </c>
      <c r="P12" s="9"/>
      <c r="Q12" s="9"/>
      <c r="R12" s="5"/>
    </row>
    <row r="13" spans="1:18">
      <c r="A13" s="6" t="str">
        <f>VLOOKUP([1]ListOfRegions!$A$2,[1]ListOfRegions!$A$2:B76,2,0)</f>
        <v xml:space="preserve">  Δράμας</v>
      </c>
      <c r="B13" s="7">
        <v>6722</v>
      </c>
      <c r="C13" s="29">
        <v>350</v>
      </c>
      <c r="D13" s="33">
        <v>4643</v>
      </c>
      <c r="E13" s="29">
        <v>1729</v>
      </c>
      <c r="F13" s="37" t="s">
        <v>114</v>
      </c>
      <c r="G13" s="37">
        <v>77796</v>
      </c>
      <c r="H13" s="29">
        <v>681</v>
      </c>
      <c r="I13" s="33">
        <v>77115</v>
      </c>
      <c r="J13" s="30" t="s">
        <v>114</v>
      </c>
      <c r="K13" s="29">
        <v>61466</v>
      </c>
      <c r="L13" s="33">
        <v>464</v>
      </c>
      <c r="M13" s="29">
        <v>59502</v>
      </c>
      <c r="N13" s="40">
        <v>1500</v>
      </c>
      <c r="O13" s="8" t="s">
        <v>9</v>
      </c>
      <c r="P13" s="9"/>
      <c r="Q13" s="9"/>
      <c r="R13" s="5"/>
    </row>
    <row r="14" spans="1:18">
      <c r="A14" s="6" t="str">
        <f>VLOOKUP([1]ListOfRegions!A3,[1]ListOfRegions!A3:B77,2,0)</f>
        <v xml:space="preserve">  Έβρου</v>
      </c>
      <c r="B14" s="7">
        <v>6073</v>
      </c>
      <c r="C14" s="29">
        <v>1169</v>
      </c>
      <c r="D14" s="33">
        <v>2811</v>
      </c>
      <c r="E14" s="29">
        <v>2093</v>
      </c>
      <c r="F14" s="37" t="s">
        <v>114</v>
      </c>
      <c r="G14" s="37">
        <v>93725</v>
      </c>
      <c r="H14" s="29">
        <v>2821</v>
      </c>
      <c r="I14" s="33">
        <v>90904</v>
      </c>
      <c r="J14" s="30" t="s">
        <v>114</v>
      </c>
      <c r="K14" s="29">
        <v>64141</v>
      </c>
      <c r="L14" s="33">
        <v>2478</v>
      </c>
      <c r="M14" s="29">
        <v>61663</v>
      </c>
      <c r="N14" s="41" t="s">
        <v>114</v>
      </c>
      <c r="O14" s="8" t="s">
        <v>10</v>
      </c>
      <c r="P14" s="9"/>
      <c r="Q14" s="9"/>
      <c r="R14" s="5"/>
    </row>
    <row r="15" spans="1:18">
      <c r="A15" s="6" t="str">
        <f>VLOOKUP([1]ListOfRegions!A4,[1]ListOfRegions!A4:B78,2,0)</f>
        <v xml:space="preserve">  Θάσου</v>
      </c>
      <c r="B15" s="7">
        <v>0</v>
      </c>
      <c r="C15" s="30" t="s">
        <v>114</v>
      </c>
      <c r="D15" s="32" t="s">
        <v>114</v>
      </c>
      <c r="E15" s="30" t="s">
        <v>114</v>
      </c>
      <c r="F15" s="37" t="s">
        <v>114</v>
      </c>
      <c r="G15" s="37">
        <v>21181</v>
      </c>
      <c r="H15" s="29">
        <v>121</v>
      </c>
      <c r="I15" s="33">
        <v>21060</v>
      </c>
      <c r="J15" s="30" t="s">
        <v>114</v>
      </c>
      <c r="K15" s="29">
        <v>14121</v>
      </c>
      <c r="L15" s="33">
        <v>81</v>
      </c>
      <c r="M15" s="29">
        <v>14040</v>
      </c>
      <c r="N15" s="41" t="s">
        <v>114</v>
      </c>
      <c r="O15" s="8" t="s">
        <v>11</v>
      </c>
      <c r="P15" s="9"/>
      <c r="Q15" s="9"/>
      <c r="R15" s="5"/>
    </row>
    <row r="16" spans="1:18">
      <c r="A16" s="6" t="str">
        <f>VLOOKUP([1]ListOfRegions!A5,[1]ListOfRegions!A5:B79,2,0)</f>
        <v xml:space="preserve">  Καβάλας</v>
      </c>
      <c r="B16" s="7">
        <v>4202</v>
      </c>
      <c r="C16" s="29">
        <v>168</v>
      </c>
      <c r="D16" s="33">
        <v>3938</v>
      </c>
      <c r="E16" s="29">
        <v>96</v>
      </c>
      <c r="F16" s="37" t="s">
        <v>114</v>
      </c>
      <c r="G16" s="37">
        <v>50492</v>
      </c>
      <c r="H16" s="29">
        <v>364</v>
      </c>
      <c r="I16" s="33">
        <v>50128</v>
      </c>
      <c r="J16" s="30" t="s">
        <v>114</v>
      </c>
      <c r="K16" s="29">
        <v>49626</v>
      </c>
      <c r="L16" s="33">
        <v>758</v>
      </c>
      <c r="M16" s="29">
        <v>47703</v>
      </c>
      <c r="N16" s="40">
        <v>1165</v>
      </c>
      <c r="O16" s="8" t="s">
        <v>12</v>
      </c>
      <c r="P16" s="9"/>
      <c r="Q16" s="9"/>
      <c r="R16" s="5"/>
    </row>
    <row r="17" spans="1:18">
      <c r="A17" s="6" t="str">
        <f>VLOOKUP([1]ListOfRegions!A6,[1]ListOfRegions!A6:B80,2,0)</f>
        <v xml:space="preserve">  Ξάνθης</v>
      </c>
      <c r="B17" s="7">
        <v>9526</v>
      </c>
      <c r="C17" s="29">
        <v>631</v>
      </c>
      <c r="D17" s="33">
        <v>4635</v>
      </c>
      <c r="E17" s="29">
        <v>4260</v>
      </c>
      <c r="F17" s="37" t="s">
        <v>114</v>
      </c>
      <c r="G17" s="37">
        <v>79073</v>
      </c>
      <c r="H17" s="30" t="s">
        <v>114</v>
      </c>
      <c r="I17" s="33">
        <v>79073</v>
      </c>
      <c r="J17" s="30" t="s">
        <v>114</v>
      </c>
      <c r="K17" s="29">
        <v>36167</v>
      </c>
      <c r="L17" s="33">
        <v>332</v>
      </c>
      <c r="M17" s="29">
        <v>35835</v>
      </c>
      <c r="N17" s="41" t="s">
        <v>114</v>
      </c>
      <c r="O17" s="8" t="s">
        <v>13</v>
      </c>
      <c r="P17" s="9"/>
      <c r="Q17" s="9"/>
      <c r="R17" s="5"/>
    </row>
    <row r="18" spans="1:18">
      <c r="A18" s="65" t="s">
        <v>14</v>
      </c>
      <c r="B18" s="44">
        <v>92085</v>
      </c>
      <c r="C18" s="45">
        <v>1947</v>
      </c>
      <c r="D18" s="45">
        <v>61437</v>
      </c>
      <c r="E18" s="45">
        <v>28701</v>
      </c>
      <c r="F18" s="45">
        <v>156</v>
      </c>
      <c r="G18" s="49">
        <v>1136535</v>
      </c>
      <c r="H18" s="45">
        <v>7632</v>
      </c>
      <c r="I18" s="45">
        <v>1126767</v>
      </c>
      <c r="J18" s="53">
        <v>2136</v>
      </c>
      <c r="K18" s="49">
        <v>668195</v>
      </c>
      <c r="L18" s="53">
        <v>20813</v>
      </c>
      <c r="M18" s="53">
        <v>636572</v>
      </c>
      <c r="N18" s="54">
        <v>10810</v>
      </c>
      <c r="O18" s="66" t="s">
        <v>15</v>
      </c>
      <c r="P18" s="66"/>
      <c r="Q18" s="66"/>
      <c r="R18" s="5"/>
    </row>
    <row r="19" spans="1:18">
      <c r="A19" s="65"/>
      <c r="B19" s="44"/>
      <c r="C19" s="45"/>
      <c r="D19" s="45"/>
      <c r="E19" s="45"/>
      <c r="F19" s="45"/>
      <c r="G19" s="49"/>
      <c r="H19" s="45"/>
      <c r="I19" s="45"/>
      <c r="J19" s="53"/>
      <c r="K19" s="49"/>
      <c r="L19" s="53"/>
      <c r="M19" s="53"/>
      <c r="N19" s="54"/>
      <c r="O19" s="66"/>
      <c r="P19" s="66"/>
      <c r="Q19" s="66"/>
      <c r="R19" s="5"/>
    </row>
    <row r="20" spans="1:18">
      <c r="A20" s="6" t="str">
        <f>VLOOKUP([1]ListOfRegions!A7,[1]ListOfRegions!A7:B81,2,0)</f>
        <v xml:space="preserve">  Θεσσαλονίκης</v>
      </c>
      <c r="B20" s="7">
        <v>27535</v>
      </c>
      <c r="C20" s="30" t="s">
        <v>114</v>
      </c>
      <c r="D20" s="33">
        <v>19991</v>
      </c>
      <c r="E20" s="29">
        <v>7544</v>
      </c>
      <c r="F20" s="33">
        <v>150</v>
      </c>
      <c r="G20" s="37">
        <v>136479</v>
      </c>
      <c r="H20" s="29">
        <v>819</v>
      </c>
      <c r="I20" s="33">
        <v>135150</v>
      </c>
      <c r="J20" s="29">
        <v>510</v>
      </c>
      <c r="K20" s="29">
        <v>114556</v>
      </c>
      <c r="L20" s="33">
        <v>1557</v>
      </c>
      <c r="M20" s="29">
        <v>104369</v>
      </c>
      <c r="N20" s="40">
        <v>8630</v>
      </c>
      <c r="O20" s="8" t="s">
        <v>16</v>
      </c>
      <c r="P20" s="9"/>
      <c r="Q20" s="9"/>
      <c r="R20" s="5"/>
    </row>
    <row r="21" spans="1:18">
      <c r="A21" s="6" t="str">
        <f>VLOOKUP([1]ListOfRegions!A8,[1]ListOfRegions!A8:B82,2,0)</f>
        <v xml:space="preserve">  Ημαθίας</v>
      </c>
      <c r="B21" s="7">
        <v>3578</v>
      </c>
      <c r="C21" s="29">
        <v>26</v>
      </c>
      <c r="D21" s="33">
        <v>2831</v>
      </c>
      <c r="E21" s="29">
        <v>721</v>
      </c>
      <c r="F21" s="32" t="s">
        <v>114</v>
      </c>
      <c r="G21" s="37">
        <v>58175</v>
      </c>
      <c r="H21" s="29">
        <v>756</v>
      </c>
      <c r="I21" s="33">
        <v>57419</v>
      </c>
      <c r="J21" s="30" t="s">
        <v>114</v>
      </c>
      <c r="K21" s="29">
        <v>26477</v>
      </c>
      <c r="L21" s="33">
        <v>872</v>
      </c>
      <c r="M21" s="29">
        <v>25465</v>
      </c>
      <c r="N21" s="40">
        <v>140</v>
      </c>
      <c r="O21" s="8" t="s">
        <v>17</v>
      </c>
      <c r="P21" s="9"/>
      <c r="Q21" s="9"/>
      <c r="R21" s="5"/>
    </row>
    <row r="22" spans="1:18">
      <c r="A22" s="6" t="str">
        <f>VLOOKUP([1]ListOfRegions!A9,[1]ListOfRegions!A9:B83,2,0)</f>
        <v xml:space="preserve">  Κιλκίς</v>
      </c>
      <c r="B22" s="7">
        <v>11519</v>
      </c>
      <c r="C22" s="29">
        <v>20</v>
      </c>
      <c r="D22" s="33">
        <v>4954</v>
      </c>
      <c r="E22" s="29">
        <v>6545</v>
      </c>
      <c r="F22" s="32" t="s">
        <v>114</v>
      </c>
      <c r="G22" s="37">
        <v>104799</v>
      </c>
      <c r="H22" s="29">
        <v>72</v>
      </c>
      <c r="I22" s="33">
        <v>104727</v>
      </c>
      <c r="J22" s="30" t="s">
        <v>114</v>
      </c>
      <c r="K22" s="29">
        <v>44381</v>
      </c>
      <c r="L22" s="33">
        <v>152</v>
      </c>
      <c r="M22" s="29">
        <v>44189</v>
      </c>
      <c r="N22" s="40">
        <v>40</v>
      </c>
      <c r="O22" s="8" t="s">
        <v>18</v>
      </c>
      <c r="P22" s="9"/>
      <c r="Q22" s="9"/>
      <c r="R22" s="5"/>
    </row>
    <row r="23" spans="1:18">
      <c r="A23" s="6" t="str">
        <f>VLOOKUP([1]ListOfRegions!A10,[1]ListOfRegions!A10:B84,2,0)</f>
        <v xml:space="preserve">  Πέλλας</v>
      </c>
      <c r="B23" s="7">
        <v>9528</v>
      </c>
      <c r="C23" s="29">
        <v>47</v>
      </c>
      <c r="D23" s="33">
        <v>6186</v>
      </c>
      <c r="E23" s="29">
        <v>3295</v>
      </c>
      <c r="F23" s="33">
        <v>6</v>
      </c>
      <c r="G23" s="37">
        <v>156227</v>
      </c>
      <c r="H23" s="29">
        <v>1679</v>
      </c>
      <c r="I23" s="33">
        <v>152922</v>
      </c>
      <c r="J23" s="29">
        <v>1626</v>
      </c>
      <c r="K23" s="29">
        <v>64551</v>
      </c>
      <c r="L23" s="33">
        <v>2922</v>
      </c>
      <c r="M23" s="29">
        <v>61629</v>
      </c>
      <c r="N23" s="41" t="s">
        <v>114</v>
      </c>
      <c r="O23" s="8" t="s">
        <v>19</v>
      </c>
      <c r="P23" s="9"/>
      <c r="Q23" s="9"/>
      <c r="R23" s="5"/>
    </row>
    <row r="24" spans="1:18">
      <c r="A24" s="6" t="str">
        <f>VLOOKUP([1]ListOfRegions!A11,[1]ListOfRegions!A11:B85,2,0)</f>
        <v xml:space="preserve">  Πιερίας</v>
      </c>
      <c r="B24" s="7">
        <v>4758</v>
      </c>
      <c r="C24" s="29">
        <v>252</v>
      </c>
      <c r="D24" s="33">
        <v>4331</v>
      </c>
      <c r="E24" s="29">
        <v>175</v>
      </c>
      <c r="F24" s="32" t="s">
        <v>114</v>
      </c>
      <c r="G24" s="37">
        <v>150062</v>
      </c>
      <c r="H24" s="29">
        <v>2496</v>
      </c>
      <c r="I24" s="33">
        <v>147566</v>
      </c>
      <c r="J24" s="30" t="s">
        <v>114</v>
      </c>
      <c r="K24" s="29">
        <v>64442</v>
      </c>
      <c r="L24" s="33">
        <v>7407</v>
      </c>
      <c r="M24" s="29">
        <v>57035</v>
      </c>
      <c r="N24" s="41" t="s">
        <v>114</v>
      </c>
      <c r="O24" s="8" t="s">
        <v>20</v>
      </c>
      <c r="P24" s="9"/>
      <c r="Q24" s="9"/>
      <c r="R24" s="5"/>
    </row>
    <row r="25" spans="1:18">
      <c r="A25" s="6" t="str">
        <f>VLOOKUP([1]ListOfRegions!A12,[1]ListOfRegions!A12:B86,2,0)</f>
        <v xml:space="preserve">  Σερρών</v>
      </c>
      <c r="B25" s="7">
        <v>13143</v>
      </c>
      <c r="C25" s="29">
        <v>73</v>
      </c>
      <c r="D25" s="33">
        <v>7104</v>
      </c>
      <c r="E25" s="29">
        <v>5966</v>
      </c>
      <c r="F25" s="32" t="s">
        <v>114</v>
      </c>
      <c r="G25" s="37">
        <v>163601</v>
      </c>
      <c r="H25" s="29">
        <v>451</v>
      </c>
      <c r="I25" s="33">
        <v>163150</v>
      </c>
      <c r="J25" s="30" t="s">
        <v>114</v>
      </c>
      <c r="K25" s="29">
        <v>99280</v>
      </c>
      <c r="L25" s="33">
        <v>2268</v>
      </c>
      <c r="M25" s="29">
        <v>97012</v>
      </c>
      <c r="N25" s="41" t="s">
        <v>114</v>
      </c>
      <c r="O25" s="8" t="s">
        <v>21</v>
      </c>
      <c r="P25" s="9"/>
      <c r="Q25" s="9"/>
      <c r="R25" s="5"/>
    </row>
    <row r="26" spans="1:18">
      <c r="A26" s="6" t="str">
        <f>VLOOKUP([1]ListOfRegions!A13,[1]ListOfRegions!A13:B87,2,0)</f>
        <v xml:space="preserve">  Χαλκιδικής</v>
      </c>
      <c r="B26" s="7">
        <v>1453</v>
      </c>
      <c r="C26" s="29">
        <v>65</v>
      </c>
      <c r="D26" s="33">
        <v>658</v>
      </c>
      <c r="E26" s="29">
        <v>730</v>
      </c>
      <c r="F26" s="32" t="s">
        <v>114</v>
      </c>
      <c r="G26" s="37">
        <v>48317</v>
      </c>
      <c r="H26" s="29">
        <v>765</v>
      </c>
      <c r="I26" s="33">
        <v>47552</v>
      </c>
      <c r="J26" s="30" t="s">
        <v>114</v>
      </c>
      <c r="K26" s="29">
        <v>115033</v>
      </c>
      <c r="L26" s="33">
        <v>2570</v>
      </c>
      <c r="M26" s="29">
        <v>110463</v>
      </c>
      <c r="N26" s="40">
        <v>2000</v>
      </c>
      <c r="O26" s="8" t="s">
        <v>22</v>
      </c>
      <c r="P26" s="9"/>
      <c r="Q26" s="9"/>
      <c r="R26" s="5"/>
    </row>
    <row r="27" spans="1:18">
      <c r="A27" s="6" t="str">
        <f>VLOOKUP([1]ListOfRegions!A14,[1]ListOfRegions!A14:B88,2,0)</f>
        <v xml:space="preserve">  Κοζάνης</v>
      </c>
      <c r="B27" s="7">
        <v>5213</v>
      </c>
      <c r="C27" s="29">
        <v>630</v>
      </c>
      <c r="D27" s="33">
        <v>4084</v>
      </c>
      <c r="E27" s="29">
        <v>499</v>
      </c>
      <c r="F27" s="32" t="s">
        <v>114</v>
      </c>
      <c r="G27" s="37">
        <v>128716</v>
      </c>
      <c r="H27" s="29">
        <v>252</v>
      </c>
      <c r="I27" s="33">
        <v>128464</v>
      </c>
      <c r="J27" s="30" t="s">
        <v>114</v>
      </c>
      <c r="K27" s="29">
        <v>69679</v>
      </c>
      <c r="L27" s="33">
        <v>2005</v>
      </c>
      <c r="M27" s="29">
        <v>67674</v>
      </c>
      <c r="N27" s="41" t="s">
        <v>114</v>
      </c>
      <c r="O27" s="8" t="s">
        <v>23</v>
      </c>
      <c r="P27" s="9"/>
      <c r="Q27" s="9"/>
      <c r="R27" s="5"/>
    </row>
    <row r="28" spans="1:18">
      <c r="A28" s="6" t="str">
        <f>VLOOKUP([1]ListOfRegions!A15,[1]ListOfRegions!A15:B89,2,0)</f>
        <v xml:space="preserve">  Γρεβενών</v>
      </c>
      <c r="B28" s="7">
        <v>1338</v>
      </c>
      <c r="C28" s="29">
        <v>2</v>
      </c>
      <c r="D28" s="33">
        <v>335</v>
      </c>
      <c r="E28" s="29">
        <v>1001</v>
      </c>
      <c r="F28" s="32" t="s">
        <v>114</v>
      </c>
      <c r="G28" s="37">
        <v>52649</v>
      </c>
      <c r="H28" s="29">
        <v>215</v>
      </c>
      <c r="I28" s="33">
        <v>52434</v>
      </c>
      <c r="J28" s="30" t="s">
        <v>114</v>
      </c>
      <c r="K28" s="29">
        <v>34734</v>
      </c>
      <c r="L28" s="33">
        <v>690</v>
      </c>
      <c r="M28" s="29">
        <v>34044</v>
      </c>
      <c r="N28" s="41" t="s">
        <v>114</v>
      </c>
      <c r="O28" s="8" t="s">
        <v>24</v>
      </c>
      <c r="P28" s="9"/>
      <c r="Q28" s="9"/>
      <c r="R28" s="5"/>
    </row>
    <row r="29" spans="1:18">
      <c r="A29" s="6" t="str">
        <f>VLOOKUP([1]ListOfRegions!A16,[1]ListOfRegions!A16:B90,2,0)</f>
        <v xml:space="preserve">  Καστοριάς</v>
      </c>
      <c r="B29" s="7">
        <v>921</v>
      </c>
      <c r="C29" s="29">
        <v>152</v>
      </c>
      <c r="D29" s="33">
        <v>718</v>
      </c>
      <c r="E29" s="29">
        <v>51</v>
      </c>
      <c r="F29" s="32" t="s">
        <v>114</v>
      </c>
      <c r="G29" s="37">
        <v>58957</v>
      </c>
      <c r="H29" s="29">
        <v>127</v>
      </c>
      <c r="I29" s="33">
        <v>58830</v>
      </c>
      <c r="J29" s="30" t="s">
        <v>114</v>
      </c>
      <c r="K29" s="29">
        <v>15559</v>
      </c>
      <c r="L29" s="33">
        <v>242</v>
      </c>
      <c r="M29" s="29">
        <v>15317</v>
      </c>
      <c r="N29" s="41" t="s">
        <v>114</v>
      </c>
      <c r="O29" s="8" t="s">
        <v>25</v>
      </c>
      <c r="P29" s="9"/>
      <c r="Q29" s="9"/>
      <c r="R29" s="5"/>
    </row>
    <row r="30" spans="1:18">
      <c r="A30" s="6" t="str">
        <f>VLOOKUP([1]ListOfRegions!A17,[1]ListOfRegions!A17:B91,2,0)</f>
        <v xml:space="preserve">  Φλώρινας</v>
      </c>
      <c r="B30" s="7">
        <v>13099</v>
      </c>
      <c r="C30" s="29">
        <v>680</v>
      </c>
      <c r="D30" s="33">
        <v>10245</v>
      </c>
      <c r="E30" s="29">
        <v>2174</v>
      </c>
      <c r="F30" s="32" t="s">
        <v>114</v>
      </c>
      <c r="G30" s="37">
        <v>78553</v>
      </c>
      <c r="H30" s="30" t="s">
        <v>114</v>
      </c>
      <c r="I30" s="33">
        <v>78553</v>
      </c>
      <c r="J30" s="30" t="s">
        <v>114</v>
      </c>
      <c r="K30" s="29">
        <v>19503</v>
      </c>
      <c r="L30" s="33">
        <v>128</v>
      </c>
      <c r="M30" s="29">
        <v>19375</v>
      </c>
      <c r="N30" s="41" t="s">
        <v>114</v>
      </c>
      <c r="O30" s="8" t="s">
        <v>26</v>
      </c>
      <c r="P30" s="9"/>
      <c r="Q30" s="9"/>
      <c r="R30" s="5"/>
    </row>
    <row r="31" spans="1:18">
      <c r="A31" s="65" t="s">
        <v>27</v>
      </c>
      <c r="B31" s="44">
        <v>9298</v>
      </c>
      <c r="C31" s="45">
        <v>1404</v>
      </c>
      <c r="D31" s="45">
        <v>3705</v>
      </c>
      <c r="E31" s="45">
        <v>4189</v>
      </c>
      <c r="F31" s="45">
        <v>0</v>
      </c>
      <c r="G31" s="49">
        <v>650502</v>
      </c>
      <c r="H31" s="45">
        <v>51625</v>
      </c>
      <c r="I31" s="45">
        <v>543819</v>
      </c>
      <c r="J31" s="53">
        <v>55058</v>
      </c>
      <c r="K31" s="49">
        <v>201109</v>
      </c>
      <c r="L31" s="53">
        <v>31096</v>
      </c>
      <c r="M31" s="53">
        <v>154411</v>
      </c>
      <c r="N31" s="54">
        <v>15602</v>
      </c>
      <c r="O31" s="64" t="s">
        <v>28</v>
      </c>
      <c r="P31" s="64"/>
      <c r="Q31" s="64"/>
      <c r="R31" s="5"/>
    </row>
    <row r="32" spans="1:18">
      <c r="A32" s="65"/>
      <c r="B32" s="44"/>
      <c r="C32" s="45"/>
      <c r="D32" s="45"/>
      <c r="E32" s="45"/>
      <c r="F32" s="45"/>
      <c r="G32" s="49"/>
      <c r="H32" s="45"/>
      <c r="I32" s="45"/>
      <c r="J32" s="53"/>
      <c r="K32" s="49"/>
      <c r="L32" s="53"/>
      <c r="M32" s="53"/>
      <c r="N32" s="54"/>
      <c r="O32" s="64"/>
      <c r="P32" s="64"/>
      <c r="Q32" s="64"/>
      <c r="R32" s="5"/>
    </row>
    <row r="33" spans="1:18">
      <c r="A33" s="6" t="str">
        <f>VLOOKUP([1]ListOfRegions!A18,[1]ListOfRegions!A18:B92,2,0)</f>
        <v xml:space="preserve">  Ιωαννίνων</v>
      </c>
      <c r="B33" s="7">
        <v>3409</v>
      </c>
      <c r="C33" s="29">
        <v>543</v>
      </c>
      <c r="D33" s="33">
        <v>1222</v>
      </c>
      <c r="E33" s="29">
        <v>1644</v>
      </c>
      <c r="F33" s="37" t="s">
        <v>114</v>
      </c>
      <c r="G33" s="37">
        <v>234492</v>
      </c>
      <c r="H33" s="29">
        <v>7431</v>
      </c>
      <c r="I33" s="33">
        <v>221261</v>
      </c>
      <c r="J33" s="29">
        <v>5800</v>
      </c>
      <c r="K33" s="29">
        <v>60517</v>
      </c>
      <c r="L33" s="33">
        <v>5670</v>
      </c>
      <c r="M33" s="29">
        <v>50547</v>
      </c>
      <c r="N33" s="40">
        <v>4300</v>
      </c>
      <c r="O33" s="8" t="s">
        <v>29</v>
      </c>
      <c r="P33" s="9"/>
      <c r="Q33" s="9"/>
      <c r="R33" s="5"/>
    </row>
    <row r="34" spans="1:18">
      <c r="A34" s="6" t="str">
        <f>VLOOKUP([1]ListOfRegions!A19,[1]ListOfRegions!A19:B93,2,0)</f>
        <v xml:space="preserve">  Άρτας</v>
      </c>
      <c r="B34" s="7">
        <v>1169</v>
      </c>
      <c r="C34" s="29">
        <v>30</v>
      </c>
      <c r="D34" s="33">
        <v>939</v>
      </c>
      <c r="E34" s="29">
        <v>200</v>
      </c>
      <c r="F34" s="37" t="s">
        <v>114</v>
      </c>
      <c r="G34" s="37">
        <v>154391</v>
      </c>
      <c r="H34" s="29">
        <v>32101</v>
      </c>
      <c r="I34" s="33">
        <v>99513</v>
      </c>
      <c r="J34" s="29">
        <v>22777</v>
      </c>
      <c r="K34" s="29">
        <v>38288</v>
      </c>
      <c r="L34" s="33">
        <v>16266</v>
      </c>
      <c r="M34" s="29">
        <v>18479</v>
      </c>
      <c r="N34" s="40">
        <v>3543</v>
      </c>
      <c r="O34" s="8" t="s">
        <v>30</v>
      </c>
      <c r="P34" s="9"/>
      <c r="Q34" s="9"/>
      <c r="R34" s="5"/>
    </row>
    <row r="35" spans="1:18">
      <c r="A35" s="6" t="str">
        <f>VLOOKUP([1]ListOfRegions!A20,[1]ListOfRegions!A20:B94,2,0)</f>
        <v xml:space="preserve">  Θεσπρωτίας</v>
      </c>
      <c r="B35" s="7">
        <v>677</v>
      </c>
      <c r="C35" s="29">
        <v>371</v>
      </c>
      <c r="D35" s="33">
        <v>288</v>
      </c>
      <c r="E35" s="29">
        <v>18</v>
      </c>
      <c r="F35" s="37" t="s">
        <v>114</v>
      </c>
      <c r="G35" s="37">
        <v>113037</v>
      </c>
      <c r="H35" s="29">
        <v>7750</v>
      </c>
      <c r="I35" s="33">
        <v>84666</v>
      </c>
      <c r="J35" s="29">
        <v>20621</v>
      </c>
      <c r="K35" s="29">
        <v>62235</v>
      </c>
      <c r="L35" s="33">
        <v>3273</v>
      </c>
      <c r="M35" s="29">
        <v>51623</v>
      </c>
      <c r="N35" s="40">
        <v>7339</v>
      </c>
      <c r="O35" s="8" t="s">
        <v>31</v>
      </c>
      <c r="P35" s="9"/>
      <c r="Q35" s="9"/>
      <c r="R35" s="5"/>
    </row>
    <row r="36" spans="1:18">
      <c r="A36" s="6" t="str">
        <f>VLOOKUP([1]ListOfRegions!A21,[1]ListOfRegions!A21:B95,2,0)</f>
        <v xml:space="preserve">  Πρέβεζας</v>
      </c>
      <c r="B36" s="7">
        <v>4043</v>
      </c>
      <c r="C36" s="29">
        <v>460</v>
      </c>
      <c r="D36" s="33">
        <v>1256</v>
      </c>
      <c r="E36" s="29">
        <v>2327</v>
      </c>
      <c r="F36" s="37" t="s">
        <v>114</v>
      </c>
      <c r="G36" s="37">
        <v>148582</v>
      </c>
      <c r="H36" s="29">
        <v>4343</v>
      </c>
      <c r="I36" s="33">
        <v>138379</v>
      </c>
      <c r="J36" s="29">
        <v>5860</v>
      </c>
      <c r="K36" s="29">
        <v>40069</v>
      </c>
      <c r="L36" s="33">
        <v>5887</v>
      </c>
      <c r="M36" s="29">
        <v>33762</v>
      </c>
      <c r="N36" s="40">
        <v>420</v>
      </c>
      <c r="O36" s="8" t="s">
        <v>32</v>
      </c>
      <c r="P36" s="9"/>
      <c r="Q36" s="9"/>
      <c r="R36" s="5"/>
    </row>
    <row r="37" spans="1:18">
      <c r="A37" s="65" t="s">
        <v>33</v>
      </c>
      <c r="B37" s="44">
        <v>25338</v>
      </c>
      <c r="C37" s="45">
        <v>1040</v>
      </c>
      <c r="D37" s="45">
        <v>15223</v>
      </c>
      <c r="E37" s="45">
        <v>9075</v>
      </c>
      <c r="F37" s="45">
        <v>0</v>
      </c>
      <c r="G37" s="49">
        <v>993095</v>
      </c>
      <c r="H37" s="45">
        <v>10542</v>
      </c>
      <c r="I37" s="45">
        <v>813278</v>
      </c>
      <c r="J37" s="53">
        <v>169275</v>
      </c>
      <c r="K37" s="49">
        <v>384507</v>
      </c>
      <c r="L37" s="53">
        <v>15369</v>
      </c>
      <c r="M37" s="53">
        <v>317264</v>
      </c>
      <c r="N37" s="54">
        <v>51874</v>
      </c>
      <c r="O37" s="64" t="s">
        <v>34</v>
      </c>
      <c r="P37" s="64"/>
      <c r="Q37" s="64"/>
      <c r="R37" s="5"/>
    </row>
    <row r="38" spans="1:18">
      <c r="A38" s="65"/>
      <c r="B38" s="44"/>
      <c r="C38" s="45"/>
      <c r="D38" s="45"/>
      <c r="E38" s="45"/>
      <c r="F38" s="45"/>
      <c r="G38" s="49"/>
      <c r="H38" s="45"/>
      <c r="I38" s="45"/>
      <c r="J38" s="53"/>
      <c r="K38" s="49"/>
      <c r="L38" s="53"/>
      <c r="M38" s="53"/>
      <c r="N38" s="54"/>
      <c r="O38" s="64"/>
      <c r="P38" s="64"/>
      <c r="Q38" s="64"/>
      <c r="R38" s="5"/>
    </row>
    <row r="39" spans="1:18">
      <c r="A39" s="6" t="str">
        <f>VLOOKUP([1]ListOfRegions!A22,[1]ListOfRegions!A22:B96,2,0)</f>
        <v xml:space="preserve">  Λάρισας</v>
      </c>
      <c r="B39" s="7">
        <v>15803</v>
      </c>
      <c r="C39" s="29">
        <v>59</v>
      </c>
      <c r="D39" s="33">
        <v>8582</v>
      </c>
      <c r="E39" s="29">
        <v>7162</v>
      </c>
      <c r="F39" s="37" t="s">
        <v>114</v>
      </c>
      <c r="G39" s="37">
        <v>565259</v>
      </c>
      <c r="H39" s="29">
        <v>2158</v>
      </c>
      <c r="I39" s="33">
        <v>442750</v>
      </c>
      <c r="J39" s="29">
        <v>120351</v>
      </c>
      <c r="K39" s="29">
        <v>198585</v>
      </c>
      <c r="L39" s="33">
        <v>4201</v>
      </c>
      <c r="M39" s="29">
        <v>160038</v>
      </c>
      <c r="N39" s="40">
        <v>34346</v>
      </c>
      <c r="O39" s="8" t="s">
        <v>35</v>
      </c>
      <c r="P39" s="9"/>
      <c r="Q39" s="9"/>
      <c r="R39" s="5"/>
    </row>
    <row r="40" spans="1:18">
      <c r="A40" s="6" t="str">
        <f>VLOOKUP([1]ListOfRegions!A23,[1]ListOfRegions!A23:B97,2,0)</f>
        <v xml:space="preserve">  Καρδίτσας</v>
      </c>
      <c r="B40" s="7">
        <v>2329</v>
      </c>
      <c r="C40" s="29">
        <v>25</v>
      </c>
      <c r="D40" s="33">
        <v>2171</v>
      </c>
      <c r="E40" s="29">
        <v>133</v>
      </c>
      <c r="F40" s="37" t="s">
        <v>114</v>
      </c>
      <c r="G40" s="37">
        <v>135178</v>
      </c>
      <c r="H40" s="29">
        <v>1773</v>
      </c>
      <c r="I40" s="33">
        <v>119335</v>
      </c>
      <c r="J40" s="29">
        <v>14070</v>
      </c>
      <c r="K40" s="29">
        <v>26432</v>
      </c>
      <c r="L40" s="33">
        <v>1739</v>
      </c>
      <c r="M40" s="29">
        <v>22788</v>
      </c>
      <c r="N40" s="40">
        <v>1905</v>
      </c>
      <c r="O40" s="8" t="s">
        <v>36</v>
      </c>
      <c r="P40" s="9"/>
      <c r="Q40" s="9"/>
      <c r="R40" s="5"/>
    </row>
    <row r="41" spans="1:18">
      <c r="A41" s="6" t="str">
        <f>VLOOKUP([1]ListOfRegions!A24,[1]ListOfRegions!A24:B98,2,0)</f>
        <v xml:space="preserve">  Μαγνησίας</v>
      </c>
      <c r="B41" s="7">
        <v>1694</v>
      </c>
      <c r="C41" s="30" t="s">
        <v>114</v>
      </c>
      <c r="D41" s="33">
        <v>1111</v>
      </c>
      <c r="E41" s="29">
        <v>583</v>
      </c>
      <c r="F41" s="37" t="s">
        <v>114</v>
      </c>
      <c r="G41" s="37">
        <v>109763</v>
      </c>
      <c r="H41" s="29">
        <v>5167</v>
      </c>
      <c r="I41" s="33">
        <v>104596</v>
      </c>
      <c r="J41" s="30" t="s">
        <v>114</v>
      </c>
      <c r="K41" s="29">
        <v>79893</v>
      </c>
      <c r="L41" s="33">
        <v>6743</v>
      </c>
      <c r="M41" s="29">
        <v>73150</v>
      </c>
      <c r="N41" s="41" t="s">
        <v>114</v>
      </c>
      <c r="O41" s="8" t="s">
        <v>37</v>
      </c>
      <c r="P41" s="9"/>
      <c r="Q41" s="9"/>
      <c r="R41" s="5"/>
    </row>
    <row r="42" spans="1:18">
      <c r="A42" s="6" t="str">
        <f>VLOOKUP([1]ListOfRegions!A25,[1]ListOfRegions!A25:B99,2,0)</f>
        <v xml:space="preserve">  Σποράδων</v>
      </c>
      <c r="B42" s="7">
        <v>0</v>
      </c>
      <c r="C42" s="30" t="s">
        <v>114</v>
      </c>
      <c r="D42" s="32" t="s">
        <v>114</v>
      </c>
      <c r="E42" s="30" t="s">
        <v>114</v>
      </c>
      <c r="F42" s="37" t="s">
        <v>114</v>
      </c>
      <c r="G42" s="37">
        <v>1472</v>
      </c>
      <c r="H42" s="29">
        <v>302</v>
      </c>
      <c r="I42" s="33">
        <v>1170</v>
      </c>
      <c r="J42" s="30" t="s">
        <v>114</v>
      </c>
      <c r="K42" s="29">
        <v>5407</v>
      </c>
      <c r="L42" s="33">
        <v>442</v>
      </c>
      <c r="M42" s="29">
        <v>4965</v>
      </c>
      <c r="N42" s="41" t="s">
        <v>114</v>
      </c>
      <c r="O42" s="8" t="s">
        <v>38</v>
      </c>
      <c r="P42" s="9"/>
      <c r="Q42" s="9"/>
      <c r="R42" s="5"/>
    </row>
    <row r="43" spans="1:18">
      <c r="A43" s="6" t="str">
        <f>VLOOKUP([1]ListOfRegions!A26,[1]ListOfRegions!A26:B100,2,0)</f>
        <v xml:space="preserve">  Τρικάλων</v>
      </c>
      <c r="B43" s="7">
        <v>5512</v>
      </c>
      <c r="C43" s="29">
        <v>956</v>
      </c>
      <c r="D43" s="33">
        <v>3359</v>
      </c>
      <c r="E43" s="29">
        <v>1197</v>
      </c>
      <c r="F43" s="37" t="s">
        <v>114</v>
      </c>
      <c r="G43" s="37">
        <v>181423</v>
      </c>
      <c r="H43" s="29">
        <v>1142</v>
      </c>
      <c r="I43" s="33">
        <v>145427</v>
      </c>
      <c r="J43" s="29">
        <v>34854</v>
      </c>
      <c r="K43" s="29">
        <v>74190</v>
      </c>
      <c r="L43" s="33">
        <v>2244</v>
      </c>
      <c r="M43" s="29">
        <v>56323</v>
      </c>
      <c r="N43" s="40">
        <v>15623</v>
      </c>
      <c r="O43" s="8" t="s">
        <v>39</v>
      </c>
      <c r="P43" s="9"/>
      <c r="Q43" s="9"/>
      <c r="R43" s="5"/>
    </row>
    <row r="44" spans="1:18">
      <c r="A44" s="65" t="s">
        <v>40</v>
      </c>
      <c r="B44" s="44">
        <v>5054</v>
      </c>
      <c r="C44" s="45">
        <v>1123</v>
      </c>
      <c r="D44" s="45">
        <v>2504</v>
      </c>
      <c r="E44" s="45">
        <v>1427</v>
      </c>
      <c r="F44" s="45">
        <v>16</v>
      </c>
      <c r="G44" s="49">
        <v>452316</v>
      </c>
      <c r="H44" s="45">
        <v>50810</v>
      </c>
      <c r="I44" s="45">
        <v>387529</v>
      </c>
      <c r="J44" s="53">
        <v>13977</v>
      </c>
      <c r="K44" s="49">
        <v>373509</v>
      </c>
      <c r="L44" s="53">
        <v>52949</v>
      </c>
      <c r="M44" s="53">
        <v>317545</v>
      </c>
      <c r="N44" s="54">
        <v>3015</v>
      </c>
      <c r="O44" s="64" t="s">
        <v>41</v>
      </c>
      <c r="P44" s="64"/>
      <c r="Q44" s="64"/>
      <c r="R44" s="5"/>
    </row>
    <row r="45" spans="1:18">
      <c r="A45" s="65"/>
      <c r="B45" s="44"/>
      <c r="C45" s="45"/>
      <c r="D45" s="45"/>
      <c r="E45" s="45"/>
      <c r="F45" s="45"/>
      <c r="G45" s="49"/>
      <c r="H45" s="45"/>
      <c r="I45" s="45"/>
      <c r="J45" s="53"/>
      <c r="K45" s="49"/>
      <c r="L45" s="53"/>
      <c r="M45" s="53"/>
      <c r="N45" s="54"/>
      <c r="O45" s="64"/>
      <c r="P45" s="64"/>
      <c r="Q45" s="64"/>
      <c r="R45" s="5"/>
    </row>
    <row r="46" spans="1:18">
      <c r="A46" s="6" t="str">
        <f>VLOOKUP([1]ListOfRegions!A27,[1]ListOfRegions!A27:B101,2,0)</f>
        <v xml:space="preserve">  Φθιώτιδας</v>
      </c>
      <c r="B46" s="7">
        <v>1845</v>
      </c>
      <c r="C46" s="29">
        <v>532</v>
      </c>
      <c r="D46" s="33">
        <v>850</v>
      </c>
      <c r="E46" s="29">
        <v>463</v>
      </c>
      <c r="F46" s="33">
        <v>16</v>
      </c>
      <c r="G46" s="37">
        <v>134520</v>
      </c>
      <c r="H46" s="29">
        <v>15380</v>
      </c>
      <c r="I46" s="33">
        <v>114170</v>
      </c>
      <c r="J46" s="29">
        <v>4970</v>
      </c>
      <c r="K46" s="29">
        <v>84439</v>
      </c>
      <c r="L46" s="33">
        <v>14611</v>
      </c>
      <c r="M46" s="29">
        <v>68928</v>
      </c>
      <c r="N46" s="40">
        <v>900</v>
      </c>
      <c r="O46" s="8" t="s">
        <v>42</v>
      </c>
      <c r="P46" s="9"/>
      <c r="Q46" s="9"/>
      <c r="R46" s="5"/>
    </row>
    <row r="47" spans="1:18">
      <c r="A47" s="6" t="str">
        <f>VLOOKUP([1]ListOfRegions!A28,[1]ListOfRegions!A28:B102,2,0)</f>
        <v xml:space="preserve">  Βοιωτίας</v>
      </c>
      <c r="B47" s="7">
        <v>2387</v>
      </c>
      <c r="C47" s="29">
        <v>529</v>
      </c>
      <c r="D47" s="33">
        <v>1250</v>
      </c>
      <c r="E47" s="29">
        <v>608</v>
      </c>
      <c r="F47" s="32" t="s">
        <v>114</v>
      </c>
      <c r="G47" s="37">
        <v>101779</v>
      </c>
      <c r="H47" s="29">
        <v>5412</v>
      </c>
      <c r="I47" s="33">
        <v>92235</v>
      </c>
      <c r="J47" s="29">
        <v>4132</v>
      </c>
      <c r="K47" s="29">
        <v>81492</v>
      </c>
      <c r="L47" s="33">
        <v>4052</v>
      </c>
      <c r="M47" s="29">
        <v>76795</v>
      </c>
      <c r="N47" s="40">
        <v>645</v>
      </c>
      <c r="O47" s="8" t="s">
        <v>43</v>
      </c>
      <c r="P47" s="9"/>
      <c r="Q47" s="9"/>
      <c r="R47" s="5"/>
    </row>
    <row r="48" spans="1:18">
      <c r="A48" s="6" t="str">
        <f>VLOOKUP([1]ListOfRegions!A29,[1]ListOfRegions!A29:B103,2,0)</f>
        <v xml:space="preserve">  Εύβοιας</v>
      </c>
      <c r="B48" s="7">
        <v>675</v>
      </c>
      <c r="C48" s="29">
        <v>59</v>
      </c>
      <c r="D48" s="33">
        <v>332</v>
      </c>
      <c r="E48" s="29">
        <v>284</v>
      </c>
      <c r="F48" s="32" t="s">
        <v>114</v>
      </c>
      <c r="G48" s="37">
        <v>122951</v>
      </c>
      <c r="H48" s="29">
        <v>23661</v>
      </c>
      <c r="I48" s="33">
        <v>95005</v>
      </c>
      <c r="J48" s="29">
        <v>4285</v>
      </c>
      <c r="K48" s="29">
        <v>135018</v>
      </c>
      <c r="L48" s="33">
        <v>26909</v>
      </c>
      <c r="M48" s="29">
        <v>107039</v>
      </c>
      <c r="N48" s="40">
        <v>1070</v>
      </c>
      <c r="O48" s="8" t="s">
        <v>44</v>
      </c>
      <c r="P48" s="9"/>
      <c r="Q48" s="9"/>
      <c r="R48" s="5"/>
    </row>
    <row r="49" spans="1:18">
      <c r="A49" s="6" t="str">
        <f>VLOOKUP([1]ListOfRegions!A30,[1]ListOfRegions!A30:B104,2,0)</f>
        <v xml:space="preserve">  Ευρυτανίας</v>
      </c>
      <c r="B49" s="7">
        <v>8</v>
      </c>
      <c r="C49" s="29">
        <v>3</v>
      </c>
      <c r="D49" s="33">
        <v>5</v>
      </c>
      <c r="E49" s="30" t="s">
        <v>114</v>
      </c>
      <c r="F49" s="32" t="s">
        <v>114</v>
      </c>
      <c r="G49" s="37">
        <v>36646</v>
      </c>
      <c r="H49" s="29">
        <v>2683</v>
      </c>
      <c r="I49" s="33">
        <v>33963</v>
      </c>
      <c r="J49" s="30" t="s">
        <v>114</v>
      </c>
      <c r="K49" s="29">
        <v>30456</v>
      </c>
      <c r="L49" s="33">
        <v>4236</v>
      </c>
      <c r="M49" s="29">
        <v>26220</v>
      </c>
      <c r="N49" s="41" t="s">
        <v>114</v>
      </c>
      <c r="O49" s="8" t="s">
        <v>45</v>
      </c>
      <c r="P49" s="9"/>
      <c r="Q49" s="9"/>
      <c r="R49" s="5"/>
    </row>
    <row r="50" spans="1:18">
      <c r="A50" s="6" t="str">
        <f>VLOOKUP([1]ListOfRegions!A31,[1]ListOfRegions!A31:B105,2,0)</f>
        <v xml:space="preserve">  Φωκίδας</v>
      </c>
      <c r="B50" s="7">
        <v>139</v>
      </c>
      <c r="C50" s="30" t="s">
        <v>114</v>
      </c>
      <c r="D50" s="33">
        <v>67</v>
      </c>
      <c r="E50" s="29">
        <v>72</v>
      </c>
      <c r="F50" s="32" t="s">
        <v>114</v>
      </c>
      <c r="G50" s="37">
        <v>56420</v>
      </c>
      <c r="H50" s="29">
        <v>3674</v>
      </c>
      <c r="I50" s="33">
        <v>52156</v>
      </c>
      <c r="J50" s="29">
        <v>590</v>
      </c>
      <c r="K50" s="29">
        <v>42104</v>
      </c>
      <c r="L50" s="33">
        <v>3141</v>
      </c>
      <c r="M50" s="29">
        <v>38563</v>
      </c>
      <c r="N50" s="40">
        <v>400</v>
      </c>
      <c r="O50" s="8" t="s">
        <v>46</v>
      </c>
      <c r="P50" s="9"/>
      <c r="Q50" s="9"/>
      <c r="R50" s="5"/>
    </row>
    <row r="51" spans="1:18">
      <c r="A51" s="65" t="s">
        <v>47</v>
      </c>
      <c r="B51" s="44">
        <v>1050</v>
      </c>
      <c r="C51" s="45">
        <v>148</v>
      </c>
      <c r="D51" s="45">
        <v>815</v>
      </c>
      <c r="E51" s="45">
        <v>87</v>
      </c>
      <c r="F51" s="45">
        <v>0</v>
      </c>
      <c r="G51" s="49">
        <v>101114</v>
      </c>
      <c r="H51" s="45">
        <v>14078</v>
      </c>
      <c r="I51" s="45">
        <v>87036</v>
      </c>
      <c r="J51" s="53">
        <v>0</v>
      </c>
      <c r="K51" s="49">
        <v>100782</v>
      </c>
      <c r="L51" s="53">
        <v>13996</v>
      </c>
      <c r="M51" s="53">
        <v>86786</v>
      </c>
      <c r="N51" s="54">
        <v>0</v>
      </c>
      <c r="O51" s="64" t="s">
        <v>48</v>
      </c>
      <c r="P51" s="64"/>
      <c r="Q51" s="64"/>
      <c r="R51" s="5"/>
    </row>
    <row r="52" spans="1:18">
      <c r="A52" s="65"/>
      <c r="B52" s="44"/>
      <c r="C52" s="45"/>
      <c r="D52" s="45"/>
      <c r="E52" s="45"/>
      <c r="F52" s="45"/>
      <c r="G52" s="49"/>
      <c r="H52" s="45"/>
      <c r="I52" s="45"/>
      <c r="J52" s="53"/>
      <c r="K52" s="49"/>
      <c r="L52" s="53"/>
      <c r="M52" s="53"/>
      <c r="N52" s="54"/>
      <c r="O52" s="64"/>
      <c r="P52" s="64"/>
      <c r="Q52" s="64"/>
      <c r="R52" s="5"/>
    </row>
    <row r="53" spans="1:18">
      <c r="A53" s="6" t="str">
        <f>VLOOKUP([1]ListOfRegions!A32,[1]ListOfRegions!A32:B106,2,0)</f>
        <v xml:space="preserve">  Κέρκυρας</v>
      </c>
      <c r="B53" s="7">
        <v>249</v>
      </c>
      <c r="C53" s="30" t="s">
        <v>114</v>
      </c>
      <c r="D53" s="33">
        <v>207</v>
      </c>
      <c r="E53" s="29">
        <v>42</v>
      </c>
      <c r="F53" s="37" t="s">
        <v>114</v>
      </c>
      <c r="G53" s="37">
        <v>11493</v>
      </c>
      <c r="H53" s="29">
        <v>7806</v>
      </c>
      <c r="I53" s="33">
        <v>3687</v>
      </c>
      <c r="J53" s="30" t="s">
        <v>114</v>
      </c>
      <c r="K53" s="29">
        <v>6445</v>
      </c>
      <c r="L53" s="33">
        <v>4659</v>
      </c>
      <c r="M53" s="29">
        <v>1786</v>
      </c>
      <c r="N53" s="41" t="s">
        <v>114</v>
      </c>
      <c r="O53" s="8" t="s">
        <v>49</v>
      </c>
      <c r="P53" s="9"/>
      <c r="Q53" s="9"/>
      <c r="R53" s="5"/>
    </row>
    <row r="54" spans="1:18">
      <c r="A54" s="6" t="str">
        <f>VLOOKUP([1]ListOfRegions!A33,[1]ListOfRegions!A33:B107,2,0)</f>
        <v xml:space="preserve">  Ζακύνθου</v>
      </c>
      <c r="B54" s="7">
        <v>539</v>
      </c>
      <c r="C54" s="29">
        <v>72</v>
      </c>
      <c r="D54" s="33">
        <v>436</v>
      </c>
      <c r="E54" s="29">
        <v>31</v>
      </c>
      <c r="F54" s="37" t="s">
        <v>114</v>
      </c>
      <c r="G54" s="37">
        <v>5050</v>
      </c>
      <c r="H54" s="29">
        <v>2129</v>
      </c>
      <c r="I54" s="33">
        <v>2921</v>
      </c>
      <c r="J54" s="30" t="s">
        <v>114</v>
      </c>
      <c r="K54" s="29">
        <v>7583</v>
      </c>
      <c r="L54" s="33">
        <v>3867</v>
      </c>
      <c r="M54" s="29">
        <v>3716</v>
      </c>
      <c r="N54" s="41" t="s">
        <v>114</v>
      </c>
      <c r="O54" s="8" t="s">
        <v>50</v>
      </c>
      <c r="P54" s="9"/>
      <c r="Q54" s="9"/>
      <c r="R54" s="5"/>
    </row>
    <row r="55" spans="1:18">
      <c r="A55" s="6" t="str">
        <f>VLOOKUP([1]ListOfRegions!A34,[1]ListOfRegions!A34:B108,2,0)</f>
        <v xml:space="preserve">  Ιθάκης</v>
      </c>
      <c r="B55" s="7">
        <v>0</v>
      </c>
      <c r="C55" s="30" t="s">
        <v>114</v>
      </c>
      <c r="D55" s="32" t="s">
        <v>114</v>
      </c>
      <c r="E55" s="30" t="s">
        <v>114</v>
      </c>
      <c r="F55" s="37" t="s">
        <v>114</v>
      </c>
      <c r="G55" s="37">
        <v>1358</v>
      </c>
      <c r="H55" s="29">
        <v>76</v>
      </c>
      <c r="I55" s="33">
        <v>1282</v>
      </c>
      <c r="J55" s="30" t="s">
        <v>114</v>
      </c>
      <c r="K55" s="29">
        <v>2609</v>
      </c>
      <c r="L55" s="33">
        <v>54</v>
      </c>
      <c r="M55" s="29">
        <v>2555</v>
      </c>
      <c r="N55" s="41" t="s">
        <v>114</v>
      </c>
      <c r="O55" s="8" t="s">
        <v>51</v>
      </c>
      <c r="P55" s="9"/>
      <c r="Q55" s="9"/>
      <c r="R55" s="5"/>
    </row>
    <row r="56" spans="1:18">
      <c r="A56" s="6" t="str">
        <f>VLOOKUP([1]ListOfRegions!A35,[1]ListOfRegions!A35:B109,2,0)</f>
        <v xml:space="preserve">  Κεφαλληνίας</v>
      </c>
      <c r="B56" s="7">
        <v>214</v>
      </c>
      <c r="C56" s="29">
        <v>76</v>
      </c>
      <c r="D56" s="33">
        <v>124</v>
      </c>
      <c r="E56" s="29">
        <v>14</v>
      </c>
      <c r="F56" s="37" t="s">
        <v>114</v>
      </c>
      <c r="G56" s="37">
        <v>75839</v>
      </c>
      <c r="H56" s="29">
        <v>2259</v>
      </c>
      <c r="I56" s="33">
        <v>73580</v>
      </c>
      <c r="J56" s="30" t="s">
        <v>114</v>
      </c>
      <c r="K56" s="29">
        <v>75272</v>
      </c>
      <c r="L56" s="33">
        <v>2775</v>
      </c>
      <c r="M56" s="29">
        <v>72497</v>
      </c>
      <c r="N56" s="41" t="s">
        <v>114</v>
      </c>
      <c r="O56" s="8" t="s">
        <v>52</v>
      </c>
      <c r="P56" s="9"/>
      <c r="Q56" s="9"/>
      <c r="R56" s="5"/>
    </row>
    <row r="57" spans="1:18">
      <c r="A57" s="6" t="str">
        <f>VLOOKUP([1]ListOfRegions!A36,[1]ListOfRegions!A36:B110,2,0)</f>
        <v xml:space="preserve">  Λευκάδας</v>
      </c>
      <c r="B57" s="7">
        <v>48</v>
      </c>
      <c r="C57" s="30" t="s">
        <v>114</v>
      </c>
      <c r="D57" s="33">
        <v>48</v>
      </c>
      <c r="E57" s="30" t="s">
        <v>114</v>
      </c>
      <c r="F57" s="37" t="s">
        <v>114</v>
      </c>
      <c r="G57" s="37">
        <v>7374</v>
      </c>
      <c r="H57" s="29">
        <v>1808</v>
      </c>
      <c r="I57" s="33">
        <v>5566</v>
      </c>
      <c r="J57" s="30" t="s">
        <v>114</v>
      </c>
      <c r="K57" s="29">
        <v>8873</v>
      </c>
      <c r="L57" s="33">
        <v>2641</v>
      </c>
      <c r="M57" s="29">
        <v>6232</v>
      </c>
      <c r="N57" s="41" t="s">
        <v>114</v>
      </c>
      <c r="O57" s="8" t="s">
        <v>53</v>
      </c>
      <c r="P57" s="9"/>
      <c r="Q57" s="9"/>
      <c r="R57" s="5"/>
    </row>
    <row r="58" spans="1:18">
      <c r="A58" s="65" t="s">
        <v>54</v>
      </c>
      <c r="B58" s="44">
        <v>13762</v>
      </c>
      <c r="C58" s="45">
        <v>1527</v>
      </c>
      <c r="D58" s="45">
        <v>7131</v>
      </c>
      <c r="E58" s="45">
        <v>5104</v>
      </c>
      <c r="F58" s="45">
        <v>0</v>
      </c>
      <c r="G58" s="49">
        <v>1285026</v>
      </c>
      <c r="H58" s="45">
        <v>139692</v>
      </c>
      <c r="I58" s="45">
        <v>1074489</v>
      </c>
      <c r="J58" s="53">
        <v>70845</v>
      </c>
      <c r="K58" s="49">
        <v>546025</v>
      </c>
      <c r="L58" s="53">
        <v>112763</v>
      </c>
      <c r="M58" s="53">
        <v>419379</v>
      </c>
      <c r="N58" s="54">
        <v>13883</v>
      </c>
      <c r="O58" s="64" t="s">
        <v>55</v>
      </c>
      <c r="P58" s="64"/>
      <c r="Q58" s="64"/>
      <c r="R58" s="5"/>
    </row>
    <row r="59" spans="1:18">
      <c r="A59" s="65"/>
      <c r="B59" s="44"/>
      <c r="C59" s="45"/>
      <c r="D59" s="45"/>
      <c r="E59" s="45"/>
      <c r="F59" s="45"/>
      <c r="G59" s="49"/>
      <c r="H59" s="45"/>
      <c r="I59" s="45"/>
      <c r="J59" s="53"/>
      <c r="K59" s="49"/>
      <c r="L59" s="53"/>
      <c r="M59" s="53"/>
      <c r="N59" s="54"/>
      <c r="O59" s="64"/>
      <c r="P59" s="64"/>
      <c r="Q59" s="64"/>
      <c r="R59" s="5"/>
    </row>
    <row r="60" spans="1:18">
      <c r="A60" s="6" t="str">
        <f>VLOOKUP([1]ListOfRegions!A37,[1]ListOfRegions!A37:B111,2,0)</f>
        <v xml:space="preserve">  Αχαϊας</v>
      </c>
      <c r="B60" s="7">
        <v>4147</v>
      </c>
      <c r="C60" s="29">
        <v>1192</v>
      </c>
      <c r="D60" s="33">
        <v>2279</v>
      </c>
      <c r="E60" s="29">
        <v>676</v>
      </c>
      <c r="F60" s="37" t="s">
        <v>114</v>
      </c>
      <c r="G60" s="37">
        <v>295151</v>
      </c>
      <c r="H60" s="29">
        <v>20670</v>
      </c>
      <c r="I60" s="33">
        <v>268011</v>
      </c>
      <c r="J60" s="29">
        <v>6470</v>
      </c>
      <c r="K60" s="29">
        <v>174956</v>
      </c>
      <c r="L60" s="33">
        <v>19334</v>
      </c>
      <c r="M60" s="29">
        <v>151512</v>
      </c>
      <c r="N60" s="40">
        <v>4110</v>
      </c>
      <c r="O60" s="8" t="s">
        <v>56</v>
      </c>
      <c r="P60" s="9"/>
      <c r="Q60" s="9"/>
      <c r="R60" s="5"/>
    </row>
    <row r="61" spans="1:18">
      <c r="A61" s="6" t="str">
        <f>VLOOKUP([1]ListOfRegions!A38,[1]ListOfRegions!A38:B112,2,0)</f>
        <v xml:space="preserve">  Αιτωλ/νανίας</v>
      </c>
      <c r="B61" s="7">
        <v>1217</v>
      </c>
      <c r="C61" s="29">
        <v>214</v>
      </c>
      <c r="D61" s="33">
        <v>700</v>
      </c>
      <c r="E61" s="29">
        <v>303</v>
      </c>
      <c r="F61" s="37" t="s">
        <v>114</v>
      </c>
      <c r="G61" s="37">
        <v>538676</v>
      </c>
      <c r="H61" s="29">
        <v>26554</v>
      </c>
      <c r="I61" s="33">
        <v>464522</v>
      </c>
      <c r="J61" s="29">
        <v>47600</v>
      </c>
      <c r="K61" s="29">
        <v>228896</v>
      </c>
      <c r="L61" s="33">
        <v>29791</v>
      </c>
      <c r="M61" s="29">
        <v>190223</v>
      </c>
      <c r="N61" s="40">
        <v>8882</v>
      </c>
      <c r="O61" s="8" t="s">
        <v>57</v>
      </c>
      <c r="P61" s="9"/>
      <c r="Q61" s="9"/>
      <c r="R61" s="5"/>
    </row>
    <row r="62" spans="1:18">
      <c r="A62" s="6" t="str">
        <f>VLOOKUP([1]ListOfRegions!A39,[1]ListOfRegions!A39:B113,2,0)</f>
        <v xml:space="preserve">  Ηλείας</v>
      </c>
      <c r="B62" s="7">
        <v>8398</v>
      </c>
      <c r="C62" s="29">
        <v>121</v>
      </c>
      <c r="D62" s="33">
        <v>4152</v>
      </c>
      <c r="E62" s="29">
        <v>4125</v>
      </c>
      <c r="F62" s="37" t="s">
        <v>114</v>
      </c>
      <c r="G62" s="37">
        <v>451199</v>
      </c>
      <c r="H62" s="29">
        <v>92468</v>
      </c>
      <c r="I62" s="33">
        <v>341956</v>
      </c>
      <c r="J62" s="29">
        <v>16775</v>
      </c>
      <c r="K62" s="29">
        <v>142173</v>
      </c>
      <c r="L62" s="33">
        <v>63638</v>
      </c>
      <c r="M62" s="29">
        <v>77644</v>
      </c>
      <c r="N62" s="40">
        <v>891</v>
      </c>
      <c r="O62" s="8" t="s">
        <v>58</v>
      </c>
      <c r="P62" s="9"/>
      <c r="Q62" s="9"/>
      <c r="R62" s="5"/>
    </row>
    <row r="63" spans="1:18">
      <c r="A63" s="65" t="s">
        <v>59</v>
      </c>
      <c r="B63" s="44">
        <v>3518</v>
      </c>
      <c r="C63" s="45">
        <v>216</v>
      </c>
      <c r="D63" s="45">
        <v>2655</v>
      </c>
      <c r="E63" s="45">
        <v>647</v>
      </c>
      <c r="F63" s="45">
        <v>0</v>
      </c>
      <c r="G63" s="49">
        <v>424151</v>
      </c>
      <c r="H63" s="45">
        <v>33181</v>
      </c>
      <c r="I63" s="45">
        <v>358268</v>
      </c>
      <c r="J63" s="53">
        <v>32702</v>
      </c>
      <c r="K63" s="49">
        <v>458896</v>
      </c>
      <c r="L63" s="53">
        <v>50623</v>
      </c>
      <c r="M63" s="53">
        <v>365897</v>
      </c>
      <c r="N63" s="54">
        <v>42376</v>
      </c>
      <c r="O63" s="64" t="s">
        <v>60</v>
      </c>
      <c r="P63" s="64"/>
      <c r="Q63" s="64"/>
      <c r="R63" s="5"/>
    </row>
    <row r="64" spans="1:18">
      <c r="A64" s="65"/>
      <c r="B64" s="44"/>
      <c r="C64" s="45"/>
      <c r="D64" s="45"/>
      <c r="E64" s="45"/>
      <c r="F64" s="45"/>
      <c r="G64" s="49"/>
      <c r="H64" s="45"/>
      <c r="I64" s="45"/>
      <c r="J64" s="53"/>
      <c r="K64" s="49"/>
      <c r="L64" s="53"/>
      <c r="M64" s="53"/>
      <c r="N64" s="54"/>
      <c r="O64" s="64"/>
      <c r="P64" s="64"/>
      <c r="Q64" s="64"/>
      <c r="R64" s="5"/>
    </row>
    <row r="65" spans="1:18">
      <c r="A65" s="6" t="str">
        <f>VLOOKUP([1]ListOfRegions!A40,[1]ListOfRegions!A40:B114,2,0)</f>
        <v xml:space="preserve">  Αρκαδίας</v>
      </c>
      <c r="B65" s="7">
        <v>450</v>
      </c>
      <c r="C65" s="29">
        <v>19</v>
      </c>
      <c r="D65" s="33">
        <v>123</v>
      </c>
      <c r="E65" s="29">
        <v>308</v>
      </c>
      <c r="F65" s="37" t="s">
        <v>114</v>
      </c>
      <c r="G65" s="37">
        <v>116815</v>
      </c>
      <c r="H65" s="29">
        <v>5195</v>
      </c>
      <c r="I65" s="33">
        <v>108085</v>
      </c>
      <c r="J65" s="29">
        <v>3535</v>
      </c>
      <c r="K65" s="29">
        <v>105696</v>
      </c>
      <c r="L65" s="33">
        <v>7781</v>
      </c>
      <c r="M65" s="29">
        <v>92150</v>
      </c>
      <c r="N65" s="40">
        <v>5765</v>
      </c>
      <c r="O65" s="8" t="s">
        <v>61</v>
      </c>
      <c r="P65" s="9"/>
      <c r="Q65" s="9"/>
      <c r="R65" s="5"/>
    </row>
    <row r="66" spans="1:18">
      <c r="A66" s="6" t="str">
        <f>VLOOKUP([1]ListOfRegions!A41,[1]ListOfRegions!A41:B115,2,0)</f>
        <v xml:space="preserve">  Αργολίδας</v>
      </c>
      <c r="B66" s="7">
        <v>988</v>
      </c>
      <c r="C66" s="29">
        <v>25</v>
      </c>
      <c r="D66" s="33">
        <v>903</v>
      </c>
      <c r="E66" s="29">
        <v>60</v>
      </c>
      <c r="F66" s="37" t="s">
        <v>114</v>
      </c>
      <c r="G66" s="37">
        <v>98376</v>
      </c>
      <c r="H66" s="29">
        <v>5326</v>
      </c>
      <c r="I66" s="33">
        <v>81160</v>
      </c>
      <c r="J66" s="29">
        <v>11890</v>
      </c>
      <c r="K66" s="29">
        <v>99965</v>
      </c>
      <c r="L66" s="33">
        <v>5736</v>
      </c>
      <c r="M66" s="29">
        <v>77620</v>
      </c>
      <c r="N66" s="40">
        <v>16609</v>
      </c>
      <c r="O66" s="8" t="s">
        <v>62</v>
      </c>
      <c r="P66" s="9"/>
      <c r="Q66" s="9"/>
      <c r="R66" s="5"/>
    </row>
    <row r="67" spans="1:18">
      <c r="A67" s="6" t="str">
        <f>VLOOKUP([1]ListOfRegions!A42,[1]ListOfRegions!A42:B116,2,0)</f>
        <v xml:space="preserve">  Κορινθίας</v>
      </c>
      <c r="B67" s="7">
        <v>71</v>
      </c>
      <c r="C67" s="30" t="s">
        <v>114</v>
      </c>
      <c r="D67" s="33">
        <v>71</v>
      </c>
      <c r="E67" s="30" t="s">
        <v>114</v>
      </c>
      <c r="F67" s="37" t="s">
        <v>114</v>
      </c>
      <c r="G67" s="37">
        <v>57869</v>
      </c>
      <c r="H67" s="29">
        <v>2963</v>
      </c>
      <c r="I67" s="33">
        <v>50741</v>
      </c>
      <c r="J67" s="29">
        <v>4165</v>
      </c>
      <c r="K67" s="29">
        <v>52737</v>
      </c>
      <c r="L67" s="33">
        <v>3270</v>
      </c>
      <c r="M67" s="29">
        <v>45082</v>
      </c>
      <c r="N67" s="40">
        <v>4385</v>
      </c>
      <c r="O67" s="8" t="s">
        <v>63</v>
      </c>
      <c r="P67" s="9"/>
      <c r="Q67" s="9"/>
      <c r="R67" s="5"/>
    </row>
    <row r="68" spans="1:18">
      <c r="A68" s="6" t="str">
        <f>VLOOKUP([1]ListOfRegions!A43,[1]ListOfRegions!A43:B117,2,0)</f>
        <v xml:space="preserve">  Λακωνίας</v>
      </c>
      <c r="B68" s="7">
        <v>1216</v>
      </c>
      <c r="C68" s="29">
        <v>77</v>
      </c>
      <c r="D68" s="33">
        <v>867</v>
      </c>
      <c r="E68" s="29">
        <v>272</v>
      </c>
      <c r="F68" s="37" t="s">
        <v>114</v>
      </c>
      <c r="G68" s="37">
        <v>60297</v>
      </c>
      <c r="H68" s="29">
        <v>7582</v>
      </c>
      <c r="I68" s="33">
        <v>44522</v>
      </c>
      <c r="J68" s="29">
        <v>8193</v>
      </c>
      <c r="K68" s="29">
        <v>139034</v>
      </c>
      <c r="L68" s="33">
        <v>14197</v>
      </c>
      <c r="M68" s="29">
        <v>111486</v>
      </c>
      <c r="N68" s="40">
        <v>13351</v>
      </c>
      <c r="O68" s="8" t="s">
        <v>64</v>
      </c>
      <c r="P68" s="9"/>
      <c r="Q68" s="9"/>
      <c r="R68" s="5"/>
    </row>
    <row r="69" spans="1:18">
      <c r="A69" s="6" t="str">
        <f>VLOOKUP([1]ListOfRegions!A44,[1]ListOfRegions!A44:B118,2,0)</f>
        <v xml:space="preserve">  Μεσσηνίας</v>
      </c>
      <c r="B69" s="7">
        <v>793</v>
      </c>
      <c r="C69" s="29">
        <v>95</v>
      </c>
      <c r="D69" s="33">
        <v>691</v>
      </c>
      <c r="E69" s="29">
        <v>7</v>
      </c>
      <c r="F69" s="37" t="s">
        <v>114</v>
      </c>
      <c r="G69" s="37">
        <v>90794</v>
      </c>
      <c r="H69" s="29">
        <v>12115</v>
      </c>
      <c r="I69" s="33">
        <v>73760</v>
      </c>
      <c r="J69" s="29">
        <v>4919</v>
      </c>
      <c r="K69" s="29">
        <v>61464</v>
      </c>
      <c r="L69" s="33">
        <v>19639</v>
      </c>
      <c r="M69" s="29">
        <v>39559</v>
      </c>
      <c r="N69" s="40">
        <v>2266</v>
      </c>
      <c r="O69" s="8" t="s">
        <v>65</v>
      </c>
      <c r="P69" s="9"/>
      <c r="Q69" s="9"/>
      <c r="R69" s="5"/>
    </row>
    <row r="70" spans="1:18">
      <c r="A70" s="65" t="s">
        <v>66</v>
      </c>
      <c r="B70" s="44">
        <v>3865</v>
      </c>
      <c r="C70" s="45">
        <v>8</v>
      </c>
      <c r="D70" s="45">
        <v>888</v>
      </c>
      <c r="E70" s="45">
        <v>2969</v>
      </c>
      <c r="F70" s="45">
        <v>0</v>
      </c>
      <c r="G70" s="49">
        <v>103762</v>
      </c>
      <c r="H70" s="45">
        <v>8413</v>
      </c>
      <c r="I70" s="45">
        <v>90982</v>
      </c>
      <c r="J70" s="53">
        <v>4367</v>
      </c>
      <c r="K70" s="49">
        <v>49628</v>
      </c>
      <c r="L70" s="53">
        <v>5750</v>
      </c>
      <c r="M70" s="53">
        <v>42826</v>
      </c>
      <c r="N70" s="54">
        <v>1052</v>
      </c>
      <c r="O70" s="64" t="s">
        <v>67</v>
      </c>
      <c r="P70" s="64"/>
      <c r="Q70" s="64"/>
      <c r="R70" s="5"/>
    </row>
    <row r="71" spans="1:18">
      <c r="A71" s="65"/>
      <c r="B71" s="44"/>
      <c r="C71" s="45"/>
      <c r="D71" s="45"/>
      <c r="E71" s="45"/>
      <c r="F71" s="45"/>
      <c r="G71" s="49"/>
      <c r="H71" s="45"/>
      <c r="I71" s="45"/>
      <c r="J71" s="53"/>
      <c r="K71" s="49"/>
      <c r="L71" s="53"/>
      <c r="M71" s="53"/>
      <c r="N71" s="54"/>
      <c r="O71" s="64"/>
      <c r="P71" s="64"/>
      <c r="Q71" s="64"/>
      <c r="R71" s="5"/>
    </row>
    <row r="72" spans="1:18" ht="20.399999999999999">
      <c r="A72" s="10" t="s">
        <v>68</v>
      </c>
      <c r="B72" s="7">
        <v>0</v>
      </c>
      <c r="C72" s="30" t="s">
        <v>114</v>
      </c>
      <c r="D72" s="32" t="s">
        <v>114</v>
      </c>
      <c r="E72" s="30" t="s">
        <v>114</v>
      </c>
      <c r="F72" s="37" t="s">
        <v>114</v>
      </c>
      <c r="G72" s="37">
        <v>0</v>
      </c>
      <c r="H72" s="30" t="s">
        <v>114</v>
      </c>
      <c r="I72" s="32" t="s">
        <v>114</v>
      </c>
      <c r="J72" s="30" t="s">
        <v>114</v>
      </c>
      <c r="K72" s="29">
        <v>0</v>
      </c>
      <c r="L72" s="32" t="s">
        <v>114</v>
      </c>
      <c r="M72" s="30" t="s">
        <v>114</v>
      </c>
      <c r="N72" s="41" t="s">
        <v>114</v>
      </c>
      <c r="O72" s="8" t="s">
        <v>69</v>
      </c>
      <c r="P72" s="9"/>
      <c r="Q72" s="9"/>
      <c r="R72" s="5"/>
    </row>
    <row r="73" spans="1:18">
      <c r="A73" s="10" t="s">
        <v>70</v>
      </c>
      <c r="B73" s="7">
        <v>2</v>
      </c>
      <c r="C73" s="30" t="s">
        <v>114</v>
      </c>
      <c r="D73" s="33">
        <v>2</v>
      </c>
      <c r="E73" s="30" t="s">
        <v>114</v>
      </c>
      <c r="F73" s="37" t="s">
        <v>114</v>
      </c>
      <c r="G73" s="37">
        <v>590</v>
      </c>
      <c r="H73" s="29">
        <v>180</v>
      </c>
      <c r="I73" s="33">
        <v>410</v>
      </c>
      <c r="J73" s="30" t="s">
        <v>114</v>
      </c>
      <c r="K73" s="29">
        <v>952</v>
      </c>
      <c r="L73" s="33">
        <v>272</v>
      </c>
      <c r="M73" s="29">
        <v>680</v>
      </c>
      <c r="N73" s="41" t="s">
        <v>114</v>
      </c>
      <c r="O73" s="8" t="s">
        <v>71</v>
      </c>
      <c r="P73" s="9"/>
      <c r="Q73" s="9"/>
      <c r="R73" s="5"/>
    </row>
    <row r="74" spans="1:18">
      <c r="A74" s="10" t="s">
        <v>72</v>
      </c>
      <c r="B74" s="7">
        <v>0</v>
      </c>
      <c r="C74" s="30" t="s">
        <v>114</v>
      </c>
      <c r="D74" s="32" t="s">
        <v>114</v>
      </c>
      <c r="E74" s="30" t="s">
        <v>114</v>
      </c>
      <c r="F74" s="37" t="s">
        <v>114</v>
      </c>
      <c r="G74" s="37">
        <v>0</v>
      </c>
      <c r="H74" s="30" t="s">
        <v>114</v>
      </c>
      <c r="I74" s="32" t="s">
        <v>114</v>
      </c>
      <c r="J74" s="30" t="s">
        <v>114</v>
      </c>
      <c r="K74" s="29">
        <v>0</v>
      </c>
      <c r="L74" s="32" t="s">
        <v>114</v>
      </c>
      <c r="M74" s="30" t="s">
        <v>114</v>
      </c>
      <c r="N74" s="41" t="s">
        <v>114</v>
      </c>
      <c r="O74" s="8" t="s">
        <v>73</v>
      </c>
      <c r="P74" s="9"/>
      <c r="Q74" s="9"/>
      <c r="R74" s="5"/>
    </row>
    <row r="75" spans="1:18">
      <c r="A75" s="10" t="s">
        <v>74</v>
      </c>
      <c r="B75" s="7">
        <v>0</v>
      </c>
      <c r="C75" s="30" t="s">
        <v>114</v>
      </c>
      <c r="D75" s="32" t="s">
        <v>114</v>
      </c>
      <c r="E75" s="30" t="s">
        <v>114</v>
      </c>
      <c r="F75" s="37" t="s">
        <v>114</v>
      </c>
      <c r="G75" s="37">
        <v>0</v>
      </c>
      <c r="H75" s="30" t="s">
        <v>114</v>
      </c>
      <c r="I75" s="32" t="s">
        <v>114</v>
      </c>
      <c r="J75" s="30" t="s">
        <v>114</v>
      </c>
      <c r="K75" s="29">
        <v>0</v>
      </c>
      <c r="L75" s="32" t="s">
        <v>114</v>
      </c>
      <c r="M75" s="30" t="s">
        <v>114</v>
      </c>
      <c r="N75" s="41" t="s">
        <v>114</v>
      </c>
      <c r="O75" s="8" t="s">
        <v>75</v>
      </c>
      <c r="P75" s="9"/>
      <c r="Q75" s="9"/>
      <c r="R75" s="5"/>
    </row>
    <row r="76" spans="1:18">
      <c r="A76" s="10" t="s">
        <v>76</v>
      </c>
      <c r="B76" s="7">
        <v>796</v>
      </c>
      <c r="C76" s="30" t="s">
        <v>114</v>
      </c>
      <c r="D76" s="33">
        <v>642</v>
      </c>
      <c r="E76" s="29">
        <v>154</v>
      </c>
      <c r="F76" s="37" t="s">
        <v>114</v>
      </c>
      <c r="G76" s="37">
        <v>47296</v>
      </c>
      <c r="H76" s="29">
        <v>3732</v>
      </c>
      <c r="I76" s="33">
        <v>41884</v>
      </c>
      <c r="J76" s="29">
        <v>1680</v>
      </c>
      <c r="K76" s="29">
        <v>9628</v>
      </c>
      <c r="L76" s="33">
        <v>2108</v>
      </c>
      <c r="M76" s="29">
        <v>7479</v>
      </c>
      <c r="N76" s="40">
        <v>41</v>
      </c>
      <c r="O76" s="8" t="s">
        <v>77</v>
      </c>
      <c r="P76" s="9"/>
      <c r="Q76" s="9"/>
      <c r="R76" s="5"/>
    </row>
    <row r="77" spans="1:18">
      <c r="A77" s="10" t="s">
        <v>78</v>
      </c>
      <c r="B77" s="7">
        <v>2431</v>
      </c>
      <c r="C77" s="30" t="s">
        <v>114</v>
      </c>
      <c r="D77" s="33">
        <v>6</v>
      </c>
      <c r="E77" s="29">
        <v>2425</v>
      </c>
      <c r="F77" s="37" t="s">
        <v>114</v>
      </c>
      <c r="G77" s="37">
        <v>44635</v>
      </c>
      <c r="H77" s="29">
        <v>1395</v>
      </c>
      <c r="I77" s="33">
        <v>40710</v>
      </c>
      <c r="J77" s="29">
        <v>2530</v>
      </c>
      <c r="K77" s="29">
        <v>28550</v>
      </c>
      <c r="L77" s="33">
        <v>1610</v>
      </c>
      <c r="M77" s="29">
        <v>26560</v>
      </c>
      <c r="N77" s="40">
        <v>380</v>
      </c>
      <c r="O77" s="8" t="s">
        <v>79</v>
      </c>
      <c r="P77" s="9"/>
      <c r="Q77" s="9"/>
      <c r="R77" s="5"/>
    </row>
    <row r="78" spans="1:18">
      <c r="A78" s="10" t="s">
        <v>80</v>
      </c>
      <c r="B78" s="7">
        <v>0</v>
      </c>
      <c r="C78" s="30" t="s">
        <v>114</v>
      </c>
      <c r="D78" s="32" t="s">
        <v>114</v>
      </c>
      <c r="E78" s="30" t="s">
        <v>114</v>
      </c>
      <c r="F78" s="37" t="s">
        <v>114</v>
      </c>
      <c r="G78" s="37">
        <v>300</v>
      </c>
      <c r="H78" s="30" t="s">
        <v>114</v>
      </c>
      <c r="I78" s="33">
        <v>300</v>
      </c>
      <c r="J78" s="30" t="s">
        <v>114</v>
      </c>
      <c r="K78" s="29">
        <v>0</v>
      </c>
      <c r="L78" s="32" t="s">
        <v>114</v>
      </c>
      <c r="M78" s="30" t="s">
        <v>114</v>
      </c>
      <c r="N78" s="41" t="s">
        <v>114</v>
      </c>
      <c r="O78" s="8" t="s">
        <v>81</v>
      </c>
      <c r="P78" s="9"/>
      <c r="Q78" s="9"/>
      <c r="R78" s="5"/>
    </row>
    <row r="79" spans="1:18">
      <c r="A79" s="10" t="s">
        <v>82</v>
      </c>
      <c r="B79" s="7">
        <v>636</v>
      </c>
      <c r="C79" s="29">
        <v>8</v>
      </c>
      <c r="D79" s="33">
        <v>238</v>
      </c>
      <c r="E79" s="29">
        <v>390</v>
      </c>
      <c r="F79" s="37" t="s">
        <v>114</v>
      </c>
      <c r="G79" s="37">
        <v>10941</v>
      </c>
      <c r="H79" s="29">
        <v>3106</v>
      </c>
      <c r="I79" s="33">
        <v>7678</v>
      </c>
      <c r="J79" s="29">
        <v>157</v>
      </c>
      <c r="K79" s="29">
        <v>10498</v>
      </c>
      <c r="L79" s="33">
        <v>1760</v>
      </c>
      <c r="M79" s="29">
        <v>8107</v>
      </c>
      <c r="N79" s="40">
        <v>631</v>
      </c>
      <c r="O79" s="8" t="s">
        <v>83</v>
      </c>
      <c r="P79" s="9"/>
      <c r="Q79" s="9"/>
      <c r="R79" s="5"/>
    </row>
    <row r="80" spans="1:18">
      <c r="A80" s="65" t="s">
        <v>84</v>
      </c>
      <c r="B80" s="44">
        <v>2264</v>
      </c>
      <c r="C80" s="45">
        <v>331</v>
      </c>
      <c r="D80" s="45">
        <v>1360</v>
      </c>
      <c r="E80" s="45">
        <v>573</v>
      </c>
      <c r="F80" s="45">
        <v>0</v>
      </c>
      <c r="G80" s="49">
        <v>359805</v>
      </c>
      <c r="H80" s="45">
        <v>31302</v>
      </c>
      <c r="I80" s="45">
        <v>326903</v>
      </c>
      <c r="J80" s="53">
        <v>1600</v>
      </c>
      <c r="K80" s="49">
        <v>151931</v>
      </c>
      <c r="L80" s="53">
        <v>34504</v>
      </c>
      <c r="M80" s="53">
        <v>116667</v>
      </c>
      <c r="N80" s="54">
        <v>760</v>
      </c>
      <c r="O80" s="64" t="s">
        <v>85</v>
      </c>
      <c r="P80" s="64"/>
      <c r="Q80" s="64"/>
      <c r="R80" s="5"/>
    </row>
    <row r="81" spans="1:18">
      <c r="A81" s="65"/>
      <c r="B81" s="44"/>
      <c r="C81" s="45"/>
      <c r="D81" s="45"/>
      <c r="E81" s="45"/>
      <c r="F81" s="45"/>
      <c r="G81" s="49"/>
      <c r="H81" s="45"/>
      <c r="I81" s="45"/>
      <c r="J81" s="53"/>
      <c r="K81" s="49"/>
      <c r="L81" s="53"/>
      <c r="M81" s="53"/>
      <c r="N81" s="54"/>
      <c r="O81" s="64"/>
      <c r="P81" s="64"/>
      <c r="Q81" s="64"/>
      <c r="R81" s="5"/>
    </row>
    <row r="82" spans="1:18">
      <c r="A82" s="6" t="str">
        <f>VLOOKUP([1]ListOfRegions!A53,[1]ListOfRegions!A53:B127,2,0)</f>
        <v xml:space="preserve">  Λέσβου</v>
      </c>
      <c r="B82" s="7">
        <v>508</v>
      </c>
      <c r="C82" s="29">
        <v>117</v>
      </c>
      <c r="D82" s="33">
        <v>212</v>
      </c>
      <c r="E82" s="29">
        <v>179</v>
      </c>
      <c r="F82" s="37" t="s">
        <v>114</v>
      </c>
      <c r="G82" s="37">
        <v>269695</v>
      </c>
      <c r="H82" s="29">
        <v>22785</v>
      </c>
      <c r="I82" s="33">
        <v>246910</v>
      </c>
      <c r="J82" s="30" t="s">
        <v>114</v>
      </c>
      <c r="K82" s="29">
        <v>37646</v>
      </c>
      <c r="L82" s="33">
        <v>19538</v>
      </c>
      <c r="M82" s="29">
        <v>18108</v>
      </c>
      <c r="N82" s="41" t="s">
        <v>114</v>
      </c>
      <c r="O82" s="8" t="s">
        <v>86</v>
      </c>
      <c r="P82" s="9"/>
      <c r="Q82" s="9"/>
      <c r="R82" s="5"/>
    </row>
    <row r="83" spans="1:18">
      <c r="A83" s="6" t="str">
        <f>VLOOKUP([1]ListOfRegions!A54,[1]ListOfRegions!A54:B128,2,0)</f>
        <v xml:space="preserve">  Ικαρίας</v>
      </c>
      <c r="B83" s="7">
        <v>309</v>
      </c>
      <c r="C83" s="29">
        <v>103</v>
      </c>
      <c r="D83" s="33">
        <v>177</v>
      </c>
      <c r="E83" s="29">
        <v>29</v>
      </c>
      <c r="F83" s="37" t="s">
        <v>114</v>
      </c>
      <c r="G83" s="37">
        <v>1612</v>
      </c>
      <c r="H83" s="29">
        <v>1012</v>
      </c>
      <c r="I83" s="33">
        <v>600</v>
      </c>
      <c r="J83" s="30" t="s">
        <v>114</v>
      </c>
      <c r="K83" s="29">
        <v>7004</v>
      </c>
      <c r="L83" s="33">
        <v>4624</v>
      </c>
      <c r="M83" s="29">
        <v>2380</v>
      </c>
      <c r="N83" s="41" t="s">
        <v>114</v>
      </c>
      <c r="O83" s="8" t="s">
        <v>87</v>
      </c>
      <c r="P83" s="9"/>
      <c r="Q83" s="9"/>
      <c r="R83" s="5"/>
    </row>
    <row r="84" spans="1:18">
      <c r="A84" s="6" t="str">
        <f>VLOOKUP([1]ListOfRegions!A55,[1]ListOfRegions!A55:B129,2,0)</f>
        <v xml:space="preserve">  Λήμνου</v>
      </c>
      <c r="B84" s="7">
        <v>178</v>
      </c>
      <c r="C84" s="29">
        <v>41</v>
      </c>
      <c r="D84" s="33">
        <v>98</v>
      </c>
      <c r="E84" s="29">
        <v>39</v>
      </c>
      <c r="F84" s="37" t="s">
        <v>114</v>
      </c>
      <c r="G84" s="37">
        <v>61853</v>
      </c>
      <c r="H84" s="29">
        <v>3920</v>
      </c>
      <c r="I84" s="33">
        <v>57893</v>
      </c>
      <c r="J84" s="29">
        <v>40</v>
      </c>
      <c r="K84" s="29">
        <v>13527</v>
      </c>
      <c r="L84" s="33">
        <v>2342</v>
      </c>
      <c r="M84" s="29">
        <v>11185</v>
      </c>
      <c r="N84" s="41" t="s">
        <v>114</v>
      </c>
      <c r="O84" s="8" t="s">
        <v>88</v>
      </c>
      <c r="P84" s="9"/>
      <c r="Q84" s="9"/>
      <c r="R84" s="5"/>
    </row>
    <row r="85" spans="1:18">
      <c r="A85" s="6" t="str">
        <f>VLOOKUP([1]ListOfRegions!A56,[1]ListOfRegions!A56:B130,2,0)</f>
        <v xml:space="preserve">  Σάμου.</v>
      </c>
      <c r="B85" s="7">
        <v>132</v>
      </c>
      <c r="C85" s="29">
        <v>27</v>
      </c>
      <c r="D85" s="33">
        <v>79</v>
      </c>
      <c r="E85" s="29">
        <v>26</v>
      </c>
      <c r="F85" s="37" t="s">
        <v>114</v>
      </c>
      <c r="G85" s="37">
        <v>1763</v>
      </c>
      <c r="H85" s="29">
        <v>333</v>
      </c>
      <c r="I85" s="33">
        <v>1420</v>
      </c>
      <c r="J85" s="29">
        <v>10</v>
      </c>
      <c r="K85" s="29">
        <v>9400</v>
      </c>
      <c r="L85" s="33">
        <v>1236</v>
      </c>
      <c r="M85" s="29">
        <v>8104</v>
      </c>
      <c r="N85" s="40">
        <v>60</v>
      </c>
      <c r="O85" s="8" t="s">
        <v>89</v>
      </c>
      <c r="P85" s="9"/>
      <c r="Q85" s="9"/>
      <c r="R85" s="5"/>
    </row>
    <row r="86" spans="1:18">
      <c r="A86" s="6" t="str">
        <f>VLOOKUP([1]ListOfRegions!A57,[1]ListOfRegions!A57:B131,2,0)</f>
        <v xml:space="preserve">  Χίου</v>
      </c>
      <c r="B86" s="7">
        <v>1137</v>
      </c>
      <c r="C86" s="29">
        <v>43</v>
      </c>
      <c r="D86" s="33">
        <v>794</v>
      </c>
      <c r="E86" s="29">
        <v>300</v>
      </c>
      <c r="F86" s="37" t="s">
        <v>114</v>
      </c>
      <c r="G86" s="37">
        <v>24882</v>
      </c>
      <c r="H86" s="29">
        <v>3252</v>
      </c>
      <c r="I86" s="33">
        <v>20080</v>
      </c>
      <c r="J86" s="29">
        <v>1550</v>
      </c>
      <c r="K86" s="29">
        <v>84354</v>
      </c>
      <c r="L86" s="33">
        <v>6764</v>
      </c>
      <c r="M86" s="29">
        <v>76890</v>
      </c>
      <c r="N86" s="40">
        <v>700</v>
      </c>
      <c r="O86" s="8" t="s">
        <v>90</v>
      </c>
      <c r="P86" s="9"/>
      <c r="Q86" s="9"/>
      <c r="R86" s="5"/>
    </row>
    <row r="87" spans="1:18">
      <c r="A87" s="65" t="s">
        <v>91</v>
      </c>
      <c r="B87" s="44">
        <v>11102</v>
      </c>
      <c r="C87" s="45">
        <v>163</v>
      </c>
      <c r="D87" s="45">
        <v>8706</v>
      </c>
      <c r="E87" s="45">
        <v>2233</v>
      </c>
      <c r="F87" s="45">
        <v>0</v>
      </c>
      <c r="G87" s="49">
        <v>103089</v>
      </c>
      <c r="H87" s="45">
        <v>14858</v>
      </c>
      <c r="I87" s="45">
        <v>88131</v>
      </c>
      <c r="J87" s="53">
        <v>100</v>
      </c>
      <c r="K87" s="49">
        <v>174187</v>
      </c>
      <c r="L87" s="53">
        <v>25564</v>
      </c>
      <c r="M87" s="53">
        <v>145423</v>
      </c>
      <c r="N87" s="54">
        <v>3200</v>
      </c>
      <c r="O87" s="64" t="s">
        <v>92</v>
      </c>
      <c r="P87" s="64"/>
      <c r="Q87" s="64"/>
      <c r="R87" s="5"/>
    </row>
    <row r="88" spans="1:18">
      <c r="A88" s="65"/>
      <c r="B88" s="44"/>
      <c r="C88" s="45"/>
      <c r="D88" s="45"/>
      <c r="E88" s="45"/>
      <c r="F88" s="45"/>
      <c r="G88" s="49"/>
      <c r="H88" s="45"/>
      <c r="I88" s="45"/>
      <c r="J88" s="53"/>
      <c r="K88" s="49"/>
      <c r="L88" s="53"/>
      <c r="M88" s="53"/>
      <c r="N88" s="54"/>
      <c r="O88" s="64"/>
      <c r="P88" s="64"/>
      <c r="Q88" s="64"/>
      <c r="R88" s="5"/>
    </row>
    <row r="89" spans="1:18">
      <c r="A89" s="6" t="str">
        <f>VLOOKUP([1]ListOfRegions!A58,[1]ListOfRegions!A58:B132,2,0)</f>
        <v xml:space="preserve">  Σύρου</v>
      </c>
      <c r="B89" s="7">
        <v>233</v>
      </c>
      <c r="C89" s="30" t="s">
        <v>114</v>
      </c>
      <c r="D89" s="33">
        <v>233</v>
      </c>
      <c r="E89" s="30" t="s">
        <v>114</v>
      </c>
      <c r="F89" s="37" t="s">
        <v>114</v>
      </c>
      <c r="G89" s="37">
        <v>2179</v>
      </c>
      <c r="H89" s="29">
        <v>414</v>
      </c>
      <c r="I89" s="33">
        <v>1765</v>
      </c>
      <c r="J89" s="30" t="s">
        <v>114</v>
      </c>
      <c r="K89" s="29">
        <v>1683</v>
      </c>
      <c r="L89" s="33">
        <v>503</v>
      </c>
      <c r="M89" s="29">
        <v>1180</v>
      </c>
      <c r="N89" s="41" t="s">
        <v>114</v>
      </c>
      <c r="O89" s="8" t="s">
        <v>93</v>
      </c>
      <c r="P89" s="9"/>
      <c r="Q89" s="9"/>
      <c r="R89" s="5"/>
    </row>
    <row r="90" spans="1:18">
      <c r="A90" s="6" t="str">
        <f>VLOOKUP([1]ListOfRegions!A59,[1]ListOfRegions!A59:B133,2,0)</f>
        <v xml:space="preserve">  Άνδρου</v>
      </c>
      <c r="B90" s="7">
        <v>1044</v>
      </c>
      <c r="C90" s="30" t="s">
        <v>114</v>
      </c>
      <c r="D90" s="33">
        <v>997</v>
      </c>
      <c r="E90" s="29">
        <v>47</v>
      </c>
      <c r="F90" s="37" t="s">
        <v>114</v>
      </c>
      <c r="G90" s="37">
        <v>8999</v>
      </c>
      <c r="H90" s="29">
        <v>878</v>
      </c>
      <c r="I90" s="33">
        <v>8121</v>
      </c>
      <c r="J90" s="30" t="s">
        <v>114</v>
      </c>
      <c r="K90" s="29">
        <v>9826</v>
      </c>
      <c r="L90" s="33">
        <v>1288</v>
      </c>
      <c r="M90" s="29">
        <v>8538</v>
      </c>
      <c r="N90" s="41" t="s">
        <v>114</v>
      </c>
      <c r="O90" s="8" t="s">
        <v>94</v>
      </c>
      <c r="P90" s="9"/>
      <c r="Q90" s="9"/>
      <c r="R90" s="5"/>
    </row>
    <row r="91" spans="1:18">
      <c r="A91" s="6" t="str">
        <f>VLOOKUP([1]ListOfRegions!A60,[1]ListOfRegions!A60:B134,2,0)</f>
        <v xml:space="preserve">  Θήρας</v>
      </c>
      <c r="B91" s="7">
        <v>68</v>
      </c>
      <c r="C91" s="29">
        <v>3</v>
      </c>
      <c r="D91" s="33">
        <v>55</v>
      </c>
      <c r="E91" s="29">
        <v>10</v>
      </c>
      <c r="F91" s="37" t="s">
        <v>114</v>
      </c>
      <c r="G91" s="37">
        <v>1332</v>
      </c>
      <c r="H91" s="29">
        <v>629</v>
      </c>
      <c r="I91" s="33">
        <v>703</v>
      </c>
      <c r="J91" s="30" t="s">
        <v>114</v>
      </c>
      <c r="K91" s="29">
        <v>4431</v>
      </c>
      <c r="L91" s="33">
        <v>1258</v>
      </c>
      <c r="M91" s="29">
        <v>3173</v>
      </c>
      <c r="N91" s="41" t="s">
        <v>114</v>
      </c>
      <c r="O91" s="8" t="s">
        <v>95</v>
      </c>
      <c r="P91" s="9"/>
      <c r="Q91" s="9"/>
      <c r="R91" s="5"/>
    </row>
    <row r="92" spans="1:18">
      <c r="A92" s="6" t="str">
        <f>VLOOKUP([1]ListOfRegions!A61,[1]ListOfRegions!A61:B135,2,0)</f>
        <v xml:space="preserve">  Καλύμνου</v>
      </c>
      <c r="B92" s="7">
        <v>293</v>
      </c>
      <c r="C92" s="29">
        <v>43</v>
      </c>
      <c r="D92" s="33">
        <v>70</v>
      </c>
      <c r="E92" s="29">
        <v>180</v>
      </c>
      <c r="F92" s="37" t="s">
        <v>114</v>
      </c>
      <c r="G92" s="37">
        <v>5905</v>
      </c>
      <c r="H92" s="29">
        <v>235</v>
      </c>
      <c r="I92" s="33">
        <v>5570</v>
      </c>
      <c r="J92" s="29">
        <v>100</v>
      </c>
      <c r="K92" s="29">
        <v>18000</v>
      </c>
      <c r="L92" s="33">
        <v>700</v>
      </c>
      <c r="M92" s="29">
        <v>14100</v>
      </c>
      <c r="N92" s="40">
        <v>3200</v>
      </c>
      <c r="O92" s="8" t="s">
        <v>96</v>
      </c>
      <c r="P92" s="9"/>
      <c r="Q92" s="9"/>
      <c r="R92" s="5"/>
    </row>
    <row r="93" spans="1:18">
      <c r="A93" s="6" t="str">
        <f>VLOOKUP([1]ListOfRegions!A62,[1]ListOfRegions!A62:B136,2,0)</f>
        <v xml:space="preserve">  Καρπάθου</v>
      </c>
      <c r="B93" s="7">
        <v>0</v>
      </c>
      <c r="C93" s="30" t="s">
        <v>114</v>
      </c>
      <c r="D93" s="32" t="s">
        <v>114</v>
      </c>
      <c r="E93" s="30" t="s">
        <v>114</v>
      </c>
      <c r="F93" s="37" t="s">
        <v>114</v>
      </c>
      <c r="G93" s="37">
        <v>4780</v>
      </c>
      <c r="H93" s="29">
        <v>380</v>
      </c>
      <c r="I93" s="33">
        <v>4400</v>
      </c>
      <c r="J93" s="30" t="s">
        <v>114</v>
      </c>
      <c r="K93" s="29">
        <v>2710</v>
      </c>
      <c r="L93" s="33">
        <v>415</v>
      </c>
      <c r="M93" s="29">
        <v>2295</v>
      </c>
      <c r="N93" s="41" t="s">
        <v>114</v>
      </c>
      <c r="O93" s="8" t="s">
        <v>97</v>
      </c>
      <c r="P93" s="9"/>
      <c r="Q93" s="9"/>
      <c r="R93" s="5"/>
    </row>
    <row r="94" spans="1:18">
      <c r="A94" s="6" t="str">
        <f>VLOOKUP([1]ListOfRegions!A63,[1]ListOfRegions!A63:B137,2,0)</f>
        <v xml:space="preserve">  Κύθνου</v>
      </c>
      <c r="B94" s="7">
        <v>2151</v>
      </c>
      <c r="C94" s="30" t="s">
        <v>114</v>
      </c>
      <c r="D94" s="33">
        <v>2091</v>
      </c>
      <c r="E94" s="29">
        <v>60</v>
      </c>
      <c r="F94" s="37" t="s">
        <v>114</v>
      </c>
      <c r="G94" s="37">
        <v>3830</v>
      </c>
      <c r="H94" s="29">
        <v>80</v>
      </c>
      <c r="I94" s="33">
        <v>3750</v>
      </c>
      <c r="J94" s="30" t="s">
        <v>114</v>
      </c>
      <c r="K94" s="29">
        <v>10900</v>
      </c>
      <c r="L94" s="33">
        <v>200</v>
      </c>
      <c r="M94" s="29">
        <v>10700</v>
      </c>
      <c r="N94" s="41" t="s">
        <v>114</v>
      </c>
      <c r="O94" s="8" t="s">
        <v>98</v>
      </c>
      <c r="P94" s="9"/>
      <c r="Q94" s="9"/>
      <c r="R94" s="5"/>
    </row>
    <row r="95" spans="1:18">
      <c r="A95" s="6" t="str">
        <f>VLOOKUP([1]ListOfRegions!A64,[1]ListOfRegions!A64:B138,2,0)</f>
        <v xml:space="preserve">  Κω</v>
      </c>
      <c r="B95" s="7">
        <v>554</v>
      </c>
      <c r="C95" s="29">
        <v>9</v>
      </c>
      <c r="D95" s="33">
        <v>505</v>
      </c>
      <c r="E95" s="29">
        <v>40</v>
      </c>
      <c r="F95" s="37" t="s">
        <v>114</v>
      </c>
      <c r="G95" s="37">
        <v>5875</v>
      </c>
      <c r="H95" s="29">
        <v>325</v>
      </c>
      <c r="I95" s="33">
        <v>5550</v>
      </c>
      <c r="J95" s="30" t="s">
        <v>114</v>
      </c>
      <c r="K95" s="29">
        <v>9630</v>
      </c>
      <c r="L95" s="33">
        <v>790</v>
      </c>
      <c r="M95" s="29">
        <v>8840</v>
      </c>
      <c r="N95" s="41" t="s">
        <v>114</v>
      </c>
      <c r="O95" s="8" t="s">
        <v>99</v>
      </c>
      <c r="P95" s="9"/>
      <c r="Q95" s="9"/>
      <c r="R95" s="5"/>
    </row>
    <row r="96" spans="1:18">
      <c r="A96" s="6" t="str">
        <f>VLOOKUP([1]ListOfRegions!A65,[1]ListOfRegions!A65:B139,2,0)</f>
        <v xml:space="preserve">  Μήλου</v>
      </c>
      <c r="B96" s="7">
        <v>44</v>
      </c>
      <c r="C96" s="29">
        <v>2</v>
      </c>
      <c r="D96" s="33">
        <v>42</v>
      </c>
      <c r="E96" s="30" t="s">
        <v>114</v>
      </c>
      <c r="F96" s="37" t="s">
        <v>114</v>
      </c>
      <c r="G96" s="37">
        <v>5427</v>
      </c>
      <c r="H96" s="29">
        <v>1357</v>
      </c>
      <c r="I96" s="33">
        <v>4070</v>
      </c>
      <c r="J96" s="30" t="s">
        <v>114</v>
      </c>
      <c r="K96" s="29">
        <v>6828</v>
      </c>
      <c r="L96" s="33">
        <v>1495</v>
      </c>
      <c r="M96" s="29">
        <v>5333</v>
      </c>
      <c r="N96" s="41" t="s">
        <v>114</v>
      </c>
      <c r="O96" s="8" t="s">
        <v>100</v>
      </c>
      <c r="P96" s="9"/>
      <c r="Q96" s="9"/>
      <c r="R96" s="5"/>
    </row>
    <row r="97" spans="1:18">
      <c r="A97" s="6" t="str">
        <f>VLOOKUP([1]ListOfRegions!A66,[1]ListOfRegions!A66:B140,2,0)</f>
        <v xml:space="preserve">  Μυκόνου.</v>
      </c>
      <c r="B97" s="7">
        <v>635</v>
      </c>
      <c r="C97" s="30" t="s">
        <v>114</v>
      </c>
      <c r="D97" s="33">
        <v>635</v>
      </c>
      <c r="E97" s="30" t="s">
        <v>114</v>
      </c>
      <c r="F97" s="37" t="s">
        <v>114</v>
      </c>
      <c r="G97" s="37">
        <v>2630</v>
      </c>
      <c r="H97" s="29">
        <v>830</v>
      </c>
      <c r="I97" s="33">
        <v>1800</v>
      </c>
      <c r="J97" s="30" t="s">
        <v>114</v>
      </c>
      <c r="K97" s="29">
        <v>850</v>
      </c>
      <c r="L97" s="33">
        <v>120</v>
      </c>
      <c r="M97" s="29">
        <v>730</v>
      </c>
      <c r="N97" s="41" t="s">
        <v>114</v>
      </c>
      <c r="O97" s="8" t="s">
        <v>101</v>
      </c>
      <c r="P97" s="9"/>
      <c r="Q97" s="9"/>
      <c r="R97" s="5"/>
    </row>
    <row r="98" spans="1:18">
      <c r="A98" s="6" t="str">
        <f>VLOOKUP([1]ListOfRegions!A67,[1]ListOfRegions!A67:B141,2,0)</f>
        <v xml:space="preserve">  Νάξου</v>
      </c>
      <c r="B98" s="7">
        <v>4050</v>
      </c>
      <c r="C98" s="29">
        <v>50</v>
      </c>
      <c r="D98" s="33">
        <v>2541</v>
      </c>
      <c r="E98" s="29">
        <v>1459</v>
      </c>
      <c r="F98" s="37" t="s">
        <v>114</v>
      </c>
      <c r="G98" s="37">
        <v>40980</v>
      </c>
      <c r="H98" s="29">
        <v>6900</v>
      </c>
      <c r="I98" s="33">
        <v>34080</v>
      </c>
      <c r="J98" s="30" t="s">
        <v>114</v>
      </c>
      <c r="K98" s="29">
        <v>74135</v>
      </c>
      <c r="L98" s="33">
        <v>12655</v>
      </c>
      <c r="M98" s="29">
        <v>61480</v>
      </c>
      <c r="N98" s="41" t="s">
        <v>114</v>
      </c>
      <c r="O98" s="8" t="s">
        <v>102</v>
      </c>
      <c r="P98" s="9"/>
      <c r="Q98" s="9"/>
      <c r="R98" s="5"/>
    </row>
    <row r="99" spans="1:18">
      <c r="A99" s="6" t="str">
        <f>VLOOKUP([1]ListOfRegions!A68,[1]ListOfRegions!A68:B142,2,0)</f>
        <v xml:space="preserve">  Πάρου</v>
      </c>
      <c r="B99" s="7">
        <v>653</v>
      </c>
      <c r="C99" s="29">
        <v>18</v>
      </c>
      <c r="D99" s="33">
        <v>635</v>
      </c>
      <c r="E99" s="30" t="s">
        <v>114</v>
      </c>
      <c r="F99" s="37" t="s">
        <v>114</v>
      </c>
      <c r="G99" s="37">
        <v>2408</v>
      </c>
      <c r="H99" s="29">
        <v>1123</v>
      </c>
      <c r="I99" s="33">
        <v>1285</v>
      </c>
      <c r="J99" s="30" t="s">
        <v>114</v>
      </c>
      <c r="K99" s="29">
        <v>5460</v>
      </c>
      <c r="L99" s="33">
        <v>1960</v>
      </c>
      <c r="M99" s="29">
        <v>3500</v>
      </c>
      <c r="N99" s="41" t="s">
        <v>114</v>
      </c>
      <c r="O99" s="8" t="s">
        <v>103</v>
      </c>
      <c r="P99" s="9"/>
      <c r="Q99" s="9"/>
      <c r="R99" s="5"/>
    </row>
    <row r="100" spans="1:18">
      <c r="A100" s="6" t="str">
        <f>VLOOKUP([1]ListOfRegions!A69,[1]ListOfRegions!A69:B143,2,0)</f>
        <v xml:space="preserve">  Ρόδου</v>
      </c>
      <c r="B100" s="7">
        <v>933</v>
      </c>
      <c r="C100" s="29">
        <v>38</v>
      </c>
      <c r="D100" s="33">
        <v>459</v>
      </c>
      <c r="E100" s="29">
        <v>436</v>
      </c>
      <c r="F100" s="37" t="s">
        <v>114</v>
      </c>
      <c r="G100" s="37">
        <v>11513</v>
      </c>
      <c r="H100" s="29">
        <v>1707</v>
      </c>
      <c r="I100" s="33">
        <v>9806</v>
      </c>
      <c r="J100" s="30" t="s">
        <v>114</v>
      </c>
      <c r="K100" s="29">
        <v>23093</v>
      </c>
      <c r="L100" s="33">
        <v>4100</v>
      </c>
      <c r="M100" s="29">
        <v>18993</v>
      </c>
      <c r="N100" s="41" t="s">
        <v>114</v>
      </c>
      <c r="O100" s="8" t="s">
        <v>104</v>
      </c>
      <c r="P100" s="9"/>
      <c r="Q100" s="9"/>
      <c r="R100" s="5"/>
    </row>
    <row r="101" spans="1:18">
      <c r="A101" s="6" t="str">
        <f>VLOOKUP([1]ListOfRegions!A70,[1]ListOfRegions!A70:B144,2,0)</f>
        <v xml:space="preserve">  Τήνου</v>
      </c>
      <c r="B101" s="7">
        <v>444</v>
      </c>
      <c r="C101" s="30" t="s">
        <v>114</v>
      </c>
      <c r="D101" s="33">
        <v>443</v>
      </c>
      <c r="E101" s="29">
        <v>1</v>
      </c>
      <c r="F101" s="37" t="s">
        <v>114</v>
      </c>
      <c r="G101" s="37">
        <v>7231</v>
      </c>
      <c r="H101" s="30" t="s">
        <v>114</v>
      </c>
      <c r="I101" s="33">
        <v>7231</v>
      </c>
      <c r="J101" s="30" t="s">
        <v>114</v>
      </c>
      <c r="K101" s="29">
        <v>6641</v>
      </c>
      <c r="L101" s="33">
        <v>80</v>
      </c>
      <c r="M101" s="29">
        <v>6561</v>
      </c>
      <c r="N101" s="41" t="s">
        <v>114</v>
      </c>
      <c r="O101" s="8" t="s">
        <v>105</v>
      </c>
      <c r="P101" s="9"/>
      <c r="Q101" s="9"/>
      <c r="R101" s="5"/>
    </row>
    <row r="102" spans="1:18">
      <c r="A102" s="65" t="s">
        <v>106</v>
      </c>
      <c r="B102" s="44">
        <v>504</v>
      </c>
      <c r="C102" s="45">
        <v>203</v>
      </c>
      <c r="D102" s="45">
        <v>139</v>
      </c>
      <c r="E102" s="45">
        <v>162</v>
      </c>
      <c r="F102" s="45">
        <v>0</v>
      </c>
      <c r="G102" s="49">
        <v>944503</v>
      </c>
      <c r="H102" s="45">
        <v>103653</v>
      </c>
      <c r="I102" s="45">
        <v>773456</v>
      </c>
      <c r="J102" s="53">
        <v>67394</v>
      </c>
      <c r="K102" s="49">
        <v>365990</v>
      </c>
      <c r="L102" s="53">
        <v>89699</v>
      </c>
      <c r="M102" s="53">
        <v>252182</v>
      </c>
      <c r="N102" s="54">
        <v>24109</v>
      </c>
      <c r="O102" s="64" t="s">
        <v>107</v>
      </c>
      <c r="P102" s="64"/>
      <c r="Q102" s="64"/>
      <c r="R102" s="5"/>
    </row>
    <row r="103" spans="1:18">
      <c r="A103" s="65"/>
      <c r="B103" s="44"/>
      <c r="C103" s="45"/>
      <c r="D103" s="45"/>
      <c r="E103" s="45"/>
      <c r="F103" s="45"/>
      <c r="G103" s="49"/>
      <c r="H103" s="45"/>
      <c r="I103" s="45"/>
      <c r="J103" s="53"/>
      <c r="K103" s="49"/>
      <c r="L103" s="53"/>
      <c r="M103" s="53"/>
      <c r="N103" s="54"/>
      <c r="O103" s="64"/>
      <c r="P103" s="64"/>
      <c r="Q103" s="64"/>
      <c r="R103" s="5"/>
    </row>
    <row r="104" spans="1:18">
      <c r="A104" s="6" t="str">
        <f>VLOOKUP([1]ListOfRegions!A71,[1]ListOfRegions!A71:B145,2,0)</f>
        <v xml:space="preserve">  Ηρακλείου</v>
      </c>
      <c r="B104" s="7">
        <v>319</v>
      </c>
      <c r="C104" s="29">
        <v>176</v>
      </c>
      <c r="D104" s="33">
        <v>90</v>
      </c>
      <c r="E104" s="29">
        <v>53</v>
      </c>
      <c r="F104" s="37" t="s">
        <v>114</v>
      </c>
      <c r="G104" s="37">
        <v>302195</v>
      </c>
      <c r="H104" s="29">
        <v>25564</v>
      </c>
      <c r="I104" s="33">
        <v>245099</v>
      </c>
      <c r="J104" s="29">
        <v>31532</v>
      </c>
      <c r="K104" s="29">
        <v>139240</v>
      </c>
      <c r="L104" s="36">
        <v>29617</v>
      </c>
      <c r="M104" s="29">
        <v>97208</v>
      </c>
      <c r="N104" s="40">
        <v>12415</v>
      </c>
      <c r="O104" s="8" t="s">
        <v>108</v>
      </c>
      <c r="P104" s="9"/>
      <c r="Q104" s="9"/>
      <c r="R104" s="5"/>
    </row>
    <row r="105" spans="1:18">
      <c r="A105" s="6" t="str">
        <f>VLOOKUP([1]ListOfRegions!A72,[1]ListOfRegions!A72:B146,2,0)</f>
        <v xml:space="preserve">  Λασιθίου</v>
      </c>
      <c r="B105" s="7">
        <v>31</v>
      </c>
      <c r="C105" s="29">
        <v>27</v>
      </c>
      <c r="D105" s="33">
        <v>4</v>
      </c>
      <c r="E105" s="30" t="s">
        <v>114</v>
      </c>
      <c r="F105" s="37" t="s">
        <v>114</v>
      </c>
      <c r="G105" s="37">
        <v>106534</v>
      </c>
      <c r="H105" s="29">
        <v>4424</v>
      </c>
      <c r="I105" s="33">
        <v>91110</v>
      </c>
      <c r="J105" s="29">
        <v>11000</v>
      </c>
      <c r="K105" s="29">
        <v>67803</v>
      </c>
      <c r="L105" s="36">
        <v>11276</v>
      </c>
      <c r="M105" s="29">
        <v>52117</v>
      </c>
      <c r="N105" s="40">
        <v>4410</v>
      </c>
      <c r="O105" s="8" t="s">
        <v>109</v>
      </c>
      <c r="P105" s="9"/>
      <c r="Q105" s="9"/>
      <c r="R105" s="5"/>
    </row>
    <row r="106" spans="1:18">
      <c r="A106" s="6" t="str">
        <f>VLOOKUP([1]ListOfRegions!A73,[1]ListOfRegions!A73:B147,2,0)</f>
        <v xml:space="preserve">  Ρεθύμνης</v>
      </c>
      <c r="B106" s="7">
        <v>41</v>
      </c>
      <c r="C106" s="30" t="s">
        <v>114</v>
      </c>
      <c r="D106" s="33">
        <v>40</v>
      </c>
      <c r="E106" s="29">
        <v>1</v>
      </c>
      <c r="F106" s="37" t="s">
        <v>114</v>
      </c>
      <c r="G106" s="37">
        <v>310548</v>
      </c>
      <c r="H106" s="29">
        <v>27753</v>
      </c>
      <c r="I106" s="33">
        <v>269535</v>
      </c>
      <c r="J106" s="29">
        <v>13260</v>
      </c>
      <c r="K106" s="29">
        <v>80343</v>
      </c>
      <c r="L106" s="36">
        <v>18878</v>
      </c>
      <c r="M106" s="29">
        <v>57700</v>
      </c>
      <c r="N106" s="40">
        <v>3765</v>
      </c>
      <c r="O106" s="8" t="s">
        <v>110</v>
      </c>
      <c r="P106" s="9"/>
      <c r="Q106" s="9"/>
      <c r="R106" s="5"/>
    </row>
    <row r="107" spans="1:18" ht="10.8" thickBot="1">
      <c r="A107" s="11" t="str">
        <f>VLOOKUP([1]ListOfRegions!A74,[1]ListOfRegions!A74:B148,2,0)</f>
        <v xml:space="preserve">  Χανίων</v>
      </c>
      <c r="B107" s="12">
        <v>113</v>
      </c>
      <c r="C107" s="39" t="s">
        <v>114</v>
      </c>
      <c r="D107" s="34">
        <v>5</v>
      </c>
      <c r="E107" s="31">
        <v>108</v>
      </c>
      <c r="F107" s="38" t="s">
        <v>114</v>
      </c>
      <c r="G107" s="38">
        <v>225226</v>
      </c>
      <c r="H107" s="31">
        <v>45912</v>
      </c>
      <c r="I107" s="34">
        <v>167712</v>
      </c>
      <c r="J107" s="31">
        <v>11602</v>
      </c>
      <c r="K107" s="31">
        <v>78604</v>
      </c>
      <c r="L107" s="35">
        <v>29928</v>
      </c>
      <c r="M107" s="31">
        <v>45157</v>
      </c>
      <c r="N107" s="42">
        <v>3519</v>
      </c>
      <c r="O107" s="13" t="s">
        <v>111</v>
      </c>
      <c r="P107" s="14"/>
      <c r="Q107" s="14"/>
      <c r="R107" s="5"/>
    </row>
    <row r="108" spans="1:18">
      <c r="A108" s="15"/>
      <c r="B108" s="16"/>
      <c r="C108" s="16"/>
      <c r="D108" s="16"/>
      <c r="E108" s="16"/>
      <c r="F108" s="16"/>
      <c r="P108" s="62"/>
      <c r="Q108" s="62"/>
    </row>
    <row r="109" spans="1:18">
      <c r="A109" s="16"/>
      <c r="B109" s="16"/>
      <c r="C109" s="16"/>
      <c r="D109" s="16"/>
      <c r="E109" s="16"/>
      <c r="F109" s="16"/>
      <c r="O109" s="16"/>
      <c r="P109" s="16"/>
      <c r="Q109" s="16"/>
    </row>
    <row r="110" spans="1:18" ht="10.199999999999999" customHeight="1">
      <c r="A110" s="17"/>
      <c r="B110" s="17"/>
      <c r="C110" s="17"/>
      <c r="D110" s="17"/>
      <c r="E110" s="17"/>
      <c r="F110" s="17"/>
      <c r="G110" s="18"/>
      <c r="H110" s="18"/>
      <c r="I110" s="18"/>
      <c r="J110" s="18"/>
      <c r="O110" s="18"/>
      <c r="P110" s="18"/>
      <c r="Q110" s="18"/>
    </row>
    <row r="111" spans="1:18" ht="10.199999999999999" customHeight="1">
      <c r="A111" s="17"/>
      <c r="B111" s="17"/>
      <c r="C111" s="17"/>
      <c r="D111" s="17"/>
      <c r="E111" s="17"/>
      <c r="F111" s="17"/>
      <c r="G111" s="18"/>
      <c r="H111" s="18"/>
      <c r="I111" s="18"/>
      <c r="J111" s="18"/>
      <c r="O111" s="18"/>
      <c r="P111" s="18"/>
      <c r="Q111" s="18"/>
    </row>
    <row r="112" spans="1:18" ht="10.199999999999999" customHeight="1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O112" s="63"/>
      <c r="P112" s="63"/>
      <c r="Q112" s="63"/>
    </row>
    <row r="113" spans="1:17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O113" s="63"/>
      <c r="P113" s="63"/>
      <c r="Q113" s="63"/>
    </row>
    <row r="114" spans="1:17">
      <c r="A114" s="5"/>
      <c r="B114" s="5"/>
      <c r="C114" s="5"/>
      <c r="D114" s="5"/>
      <c r="E114" s="5"/>
      <c r="F114" s="5"/>
    </row>
    <row r="115" spans="1:17">
      <c r="A115" s="5"/>
      <c r="B115" s="5"/>
      <c r="C115" s="5"/>
      <c r="D115" s="5"/>
      <c r="E115" s="5"/>
      <c r="F115" s="5"/>
    </row>
    <row r="116" spans="1:17">
      <c r="A116" s="5"/>
      <c r="B116" s="5"/>
      <c r="C116" s="5"/>
      <c r="D116" s="5"/>
      <c r="E116" s="5"/>
      <c r="F116" s="5"/>
    </row>
    <row r="117" spans="1:17">
      <c r="A117" s="5"/>
      <c r="B117" s="5"/>
      <c r="C117" s="5"/>
      <c r="D117" s="5"/>
      <c r="E117" s="5"/>
      <c r="F117" s="5"/>
    </row>
    <row r="118" spans="1:17">
      <c r="A118" s="5"/>
      <c r="B118" s="5"/>
      <c r="C118" s="5"/>
      <c r="D118" s="5"/>
      <c r="E118" s="5"/>
      <c r="F118" s="5"/>
    </row>
    <row r="119" spans="1:17">
      <c r="A119" s="5"/>
      <c r="B119" s="5"/>
      <c r="C119" s="5"/>
      <c r="D119" s="5"/>
      <c r="E119" s="5"/>
      <c r="F119" s="5"/>
    </row>
    <row r="120" spans="1:17">
      <c r="A120" s="5"/>
      <c r="B120" s="5"/>
      <c r="C120" s="5"/>
      <c r="D120" s="5"/>
      <c r="E120" s="5"/>
      <c r="F120" s="5"/>
    </row>
    <row r="121" spans="1:17">
      <c r="A121" s="5"/>
      <c r="B121" s="5"/>
      <c r="C121" s="5"/>
      <c r="D121" s="5"/>
      <c r="E121" s="5"/>
      <c r="F121" s="5"/>
    </row>
    <row r="122" spans="1:17">
      <c r="A122" s="19"/>
      <c r="B122" s="19"/>
      <c r="C122" s="19"/>
      <c r="D122" s="19"/>
      <c r="E122" s="19"/>
      <c r="F122" s="19"/>
    </row>
    <row r="123" spans="1:17" s="5" customFormat="1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8"/>
      <c r="M123" s="58"/>
      <c r="N123" s="58"/>
    </row>
    <row r="124" spans="1:17" s="5" customFormat="1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8"/>
      <c r="M124" s="58"/>
      <c r="N124" s="58"/>
    </row>
    <row r="125" spans="1:17" s="5" customFormat="1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8"/>
      <c r="M125" s="58"/>
      <c r="N125" s="58"/>
    </row>
    <row r="126" spans="1:17" s="5" customFormat="1">
      <c r="A126" s="20"/>
      <c r="B126" s="20"/>
      <c r="C126" s="20"/>
      <c r="D126" s="20"/>
      <c r="E126" s="20"/>
      <c r="F126" s="20"/>
      <c r="K126" s="59"/>
      <c r="L126" s="59"/>
      <c r="M126" s="59"/>
      <c r="N126" s="59"/>
    </row>
    <row r="127" spans="1:17" s="5" customFormat="1">
      <c r="A127" s="60"/>
      <c r="B127" s="28"/>
      <c r="C127" s="28"/>
      <c r="D127" s="28"/>
      <c r="E127" s="28"/>
      <c r="F127" s="28"/>
      <c r="G127" s="61"/>
      <c r="H127" s="61"/>
      <c r="I127" s="61"/>
      <c r="J127" s="61"/>
      <c r="K127" s="61"/>
      <c r="L127" s="61"/>
      <c r="M127" s="61"/>
      <c r="N127" s="61"/>
    </row>
    <row r="128" spans="1:17" s="5" customFormat="1">
      <c r="A128" s="60"/>
      <c r="B128" s="28"/>
      <c r="C128" s="28"/>
      <c r="D128" s="28"/>
      <c r="E128" s="28"/>
      <c r="F128" s="28"/>
      <c r="G128" s="61"/>
      <c r="H128" s="61"/>
      <c r="I128" s="61"/>
      <c r="J128" s="61"/>
      <c r="K128" s="61"/>
      <c r="L128" s="61"/>
      <c r="M128" s="61"/>
      <c r="N128" s="61"/>
    </row>
    <row r="129" spans="1:14" s="5" customFormat="1">
      <c r="A129" s="60"/>
      <c r="B129" s="28"/>
      <c r="C129" s="28"/>
      <c r="D129" s="28"/>
      <c r="E129" s="28"/>
      <c r="F129" s="28"/>
      <c r="G129" s="61"/>
      <c r="H129" s="61"/>
      <c r="I129" s="61"/>
      <c r="J129" s="61"/>
      <c r="K129" s="61"/>
      <c r="L129" s="61"/>
      <c r="M129" s="61"/>
      <c r="N129" s="61"/>
    </row>
    <row r="130" spans="1:14" s="5" customFormat="1">
      <c r="A130" s="60"/>
      <c r="B130" s="28"/>
      <c r="C130" s="28"/>
      <c r="D130" s="28"/>
      <c r="E130" s="28"/>
      <c r="F130" s="28"/>
      <c r="G130" s="21"/>
      <c r="H130" s="21"/>
      <c r="I130" s="21"/>
      <c r="J130" s="21"/>
      <c r="K130" s="21"/>
      <c r="L130" s="21"/>
      <c r="M130" s="21"/>
      <c r="N130" s="21"/>
    </row>
    <row r="131" spans="1:14" s="5" customFormat="1">
      <c r="A131" s="22"/>
      <c r="B131" s="22"/>
      <c r="C131" s="22"/>
      <c r="D131" s="22"/>
      <c r="E131" s="22"/>
      <c r="F131" s="22"/>
    </row>
    <row r="132" spans="1:14" s="5" customFormat="1">
      <c r="A132" s="23"/>
      <c r="B132" s="23"/>
      <c r="C132" s="23"/>
      <c r="D132" s="23"/>
      <c r="E132" s="23"/>
      <c r="F132" s="23"/>
    </row>
    <row r="133" spans="1:14" s="5" customFormat="1">
      <c r="A133" s="55"/>
      <c r="B133" s="27"/>
      <c r="C133" s="27"/>
      <c r="D133" s="27"/>
      <c r="E133" s="27"/>
      <c r="F133" s="27"/>
      <c r="G133" s="56"/>
      <c r="H133" s="56"/>
      <c r="I133" s="56"/>
      <c r="J133" s="56"/>
      <c r="K133" s="56"/>
      <c r="L133" s="56"/>
      <c r="M133" s="56"/>
      <c r="N133" s="56"/>
    </row>
    <row r="134" spans="1:14" s="5" customFormat="1">
      <c r="A134" s="55"/>
      <c r="B134" s="27"/>
      <c r="C134" s="27"/>
      <c r="D134" s="27"/>
      <c r="E134" s="27"/>
      <c r="F134" s="27"/>
      <c r="G134" s="56"/>
      <c r="H134" s="56"/>
      <c r="I134" s="56"/>
      <c r="J134" s="56"/>
      <c r="K134" s="56"/>
      <c r="L134" s="56"/>
      <c r="M134" s="56"/>
      <c r="N134" s="56"/>
    </row>
    <row r="135" spans="1:14" s="5" customFormat="1">
      <c r="A135" s="55"/>
      <c r="B135" s="27"/>
      <c r="C135" s="27"/>
      <c r="D135" s="27"/>
      <c r="E135" s="27"/>
      <c r="F135" s="27"/>
      <c r="G135" s="56"/>
      <c r="H135" s="56"/>
      <c r="I135" s="56"/>
      <c r="J135" s="56"/>
      <c r="K135" s="56"/>
      <c r="L135" s="56"/>
      <c r="M135" s="56"/>
      <c r="N135" s="56"/>
    </row>
    <row r="136" spans="1:14" s="5" customFormat="1">
      <c r="A136" s="23"/>
      <c r="B136" s="23"/>
      <c r="C136" s="23"/>
      <c r="D136" s="23"/>
      <c r="E136" s="23"/>
      <c r="F136" s="23"/>
      <c r="K136" s="24"/>
      <c r="L136" s="24"/>
    </row>
    <row r="137" spans="1:14" s="5" customFormat="1">
      <c r="A137" s="23"/>
      <c r="B137" s="23"/>
      <c r="C137" s="23"/>
      <c r="D137" s="23"/>
      <c r="E137" s="23"/>
      <c r="F137" s="23"/>
      <c r="K137" s="24"/>
      <c r="L137" s="24"/>
    </row>
    <row r="138" spans="1:14" s="5" customFormat="1">
      <c r="A138" s="23"/>
      <c r="B138" s="23"/>
      <c r="C138" s="23"/>
      <c r="D138" s="23"/>
      <c r="E138" s="23"/>
      <c r="F138" s="23"/>
      <c r="K138" s="24"/>
      <c r="L138" s="24"/>
    </row>
    <row r="139" spans="1:14" s="5" customFormat="1">
      <c r="A139" s="23"/>
      <c r="B139" s="23"/>
      <c r="C139" s="23"/>
      <c r="D139" s="23"/>
      <c r="E139" s="23"/>
      <c r="F139" s="23"/>
      <c r="K139" s="24"/>
      <c r="L139" s="24"/>
    </row>
    <row r="140" spans="1:14" s="5" customFormat="1">
      <c r="A140" s="23"/>
      <c r="B140" s="23"/>
      <c r="C140" s="23"/>
      <c r="D140" s="23"/>
      <c r="E140" s="23"/>
      <c r="F140" s="23"/>
      <c r="K140" s="24"/>
      <c r="L140" s="24"/>
    </row>
    <row r="141" spans="1:14" s="5" customFormat="1">
      <c r="A141" s="23"/>
      <c r="B141" s="23"/>
      <c r="C141" s="23"/>
      <c r="D141" s="23"/>
      <c r="E141" s="23"/>
      <c r="F141" s="23"/>
      <c r="K141" s="24"/>
      <c r="L141" s="24"/>
    </row>
    <row r="142" spans="1:14" s="5" customFormat="1">
      <c r="A142" s="55"/>
      <c r="B142" s="27"/>
      <c r="C142" s="27"/>
      <c r="D142" s="27"/>
      <c r="E142" s="27"/>
      <c r="F142" s="27"/>
    </row>
    <row r="143" spans="1:14" s="5" customFormat="1">
      <c r="A143" s="55"/>
      <c r="B143" s="27"/>
      <c r="C143" s="27"/>
      <c r="D143" s="27"/>
      <c r="E143" s="27"/>
      <c r="F143" s="27"/>
    </row>
    <row r="144" spans="1:14" s="5" customFormat="1">
      <c r="A144" s="23"/>
      <c r="B144" s="23"/>
      <c r="C144" s="23"/>
      <c r="D144" s="23"/>
      <c r="E144" s="23"/>
      <c r="F144" s="23"/>
      <c r="K144" s="24"/>
      <c r="L144" s="24"/>
    </row>
    <row r="145" spans="1:12" s="5" customFormat="1">
      <c r="A145" s="23"/>
      <c r="B145" s="23"/>
      <c r="C145" s="23"/>
      <c r="D145" s="23"/>
      <c r="E145" s="23"/>
      <c r="F145" s="23"/>
      <c r="K145" s="24"/>
      <c r="L145" s="24"/>
    </row>
    <row r="146" spans="1:12" s="5" customFormat="1">
      <c r="A146" s="23"/>
      <c r="B146" s="23"/>
      <c r="C146" s="23"/>
      <c r="D146" s="23"/>
      <c r="E146" s="23"/>
      <c r="F146" s="23"/>
      <c r="K146" s="24"/>
      <c r="L146" s="24"/>
    </row>
    <row r="147" spans="1:12" s="5" customFormat="1">
      <c r="A147" s="23"/>
      <c r="B147" s="23"/>
      <c r="C147" s="23"/>
      <c r="D147" s="23"/>
      <c r="E147" s="23"/>
      <c r="F147" s="23"/>
      <c r="K147" s="24"/>
      <c r="L147" s="24"/>
    </row>
    <row r="148" spans="1:12" s="5" customFormat="1">
      <c r="A148" s="23"/>
      <c r="B148" s="23"/>
      <c r="C148" s="23"/>
      <c r="D148" s="23"/>
      <c r="E148" s="23"/>
      <c r="F148" s="23"/>
      <c r="K148" s="24"/>
      <c r="L148" s="24"/>
    </row>
    <row r="149" spans="1:12" s="5" customFormat="1">
      <c r="A149" s="23"/>
      <c r="B149" s="23"/>
      <c r="C149" s="23"/>
      <c r="D149" s="23"/>
      <c r="E149" s="23"/>
      <c r="F149" s="23"/>
      <c r="K149" s="24"/>
      <c r="L149" s="24"/>
    </row>
    <row r="150" spans="1:12" s="5" customFormat="1">
      <c r="A150" s="23"/>
      <c r="B150" s="23"/>
      <c r="C150" s="23"/>
      <c r="D150" s="23"/>
      <c r="E150" s="23"/>
      <c r="F150" s="23"/>
      <c r="K150" s="24"/>
      <c r="L150" s="24"/>
    </row>
    <row r="151" spans="1:12" s="5" customFormat="1">
      <c r="A151" s="23"/>
      <c r="B151" s="23"/>
      <c r="C151" s="23"/>
      <c r="D151" s="23"/>
      <c r="E151" s="23"/>
      <c r="F151" s="23"/>
      <c r="K151" s="24"/>
      <c r="L151" s="24"/>
    </row>
    <row r="152" spans="1:12" s="5" customFormat="1">
      <c r="A152" s="23"/>
      <c r="B152" s="23"/>
      <c r="C152" s="23"/>
      <c r="D152" s="23"/>
      <c r="E152" s="23"/>
      <c r="F152" s="23"/>
      <c r="K152" s="24"/>
      <c r="L152" s="24"/>
    </row>
    <row r="153" spans="1:12" s="5" customFormat="1">
      <c r="A153" s="23"/>
      <c r="B153" s="23"/>
      <c r="C153" s="23"/>
      <c r="D153" s="23"/>
      <c r="E153" s="23"/>
      <c r="F153" s="23"/>
      <c r="K153" s="24"/>
      <c r="L153" s="24"/>
    </row>
    <row r="154" spans="1:12" s="5" customFormat="1">
      <c r="A154" s="23"/>
      <c r="B154" s="23"/>
      <c r="C154" s="23"/>
      <c r="D154" s="23"/>
      <c r="E154" s="23"/>
      <c r="F154" s="23"/>
      <c r="K154" s="24"/>
      <c r="L154" s="24"/>
    </row>
    <row r="155" spans="1:12" s="5" customFormat="1">
      <c r="A155" s="52"/>
      <c r="B155" s="26"/>
      <c r="C155" s="26"/>
      <c r="D155" s="26"/>
      <c r="E155" s="26"/>
      <c r="F155" s="26"/>
    </row>
    <row r="156" spans="1:12" s="5" customFormat="1">
      <c r="A156" s="52"/>
      <c r="B156" s="26"/>
      <c r="C156" s="26"/>
      <c r="D156" s="26"/>
      <c r="E156" s="26"/>
      <c r="F156" s="26"/>
    </row>
    <row r="157" spans="1:12" s="5" customFormat="1">
      <c r="A157" s="23"/>
      <c r="B157" s="23"/>
      <c r="C157" s="23"/>
      <c r="D157" s="23"/>
      <c r="E157" s="23"/>
      <c r="F157" s="23"/>
      <c r="K157" s="24"/>
      <c r="L157" s="24"/>
    </row>
    <row r="158" spans="1:12" s="5" customFormat="1">
      <c r="A158" s="23"/>
      <c r="B158" s="23"/>
      <c r="C158" s="23"/>
      <c r="D158" s="23"/>
      <c r="E158" s="23"/>
      <c r="F158" s="23"/>
      <c r="K158" s="24"/>
      <c r="L158" s="24"/>
    </row>
    <row r="159" spans="1:12" s="5" customFormat="1">
      <c r="A159" s="23"/>
      <c r="B159" s="23"/>
      <c r="C159" s="23"/>
      <c r="D159" s="23"/>
      <c r="E159" s="23"/>
      <c r="F159" s="23"/>
      <c r="K159" s="24"/>
      <c r="L159" s="24"/>
    </row>
    <row r="160" spans="1:12" s="5" customFormat="1">
      <c r="A160" s="23"/>
      <c r="B160" s="23"/>
      <c r="C160" s="23"/>
      <c r="D160" s="23"/>
      <c r="E160" s="23"/>
      <c r="F160" s="23"/>
      <c r="K160" s="24"/>
      <c r="L160" s="24"/>
    </row>
    <row r="161" spans="1:12" s="5" customFormat="1">
      <c r="A161" s="52"/>
      <c r="B161" s="26"/>
      <c r="C161" s="26"/>
      <c r="D161" s="26"/>
      <c r="E161" s="26"/>
      <c r="F161" s="26"/>
    </row>
    <row r="162" spans="1:12" s="5" customFormat="1">
      <c r="A162" s="52"/>
      <c r="B162" s="26"/>
      <c r="C162" s="26"/>
      <c r="D162" s="26"/>
      <c r="E162" s="26"/>
      <c r="F162" s="26"/>
    </row>
    <row r="163" spans="1:12" s="5" customFormat="1">
      <c r="A163" s="23"/>
      <c r="B163" s="23"/>
      <c r="C163" s="23"/>
      <c r="D163" s="23"/>
      <c r="E163" s="23"/>
      <c r="F163" s="23"/>
      <c r="K163" s="24"/>
      <c r="L163" s="24"/>
    </row>
    <row r="164" spans="1:12" s="5" customFormat="1">
      <c r="A164" s="23"/>
      <c r="B164" s="23"/>
      <c r="C164" s="23"/>
      <c r="D164" s="23"/>
      <c r="E164" s="23"/>
      <c r="F164" s="23"/>
      <c r="K164" s="24"/>
      <c r="L164" s="24"/>
    </row>
    <row r="165" spans="1:12" s="5" customFormat="1">
      <c r="A165" s="23"/>
      <c r="B165" s="23"/>
      <c r="C165" s="23"/>
      <c r="D165" s="23"/>
      <c r="E165" s="23"/>
      <c r="F165" s="23"/>
      <c r="K165" s="24"/>
      <c r="L165" s="24"/>
    </row>
    <row r="166" spans="1:12" s="5" customFormat="1">
      <c r="A166" s="23"/>
      <c r="B166" s="23"/>
      <c r="C166" s="23"/>
      <c r="D166" s="23"/>
      <c r="E166" s="23"/>
      <c r="F166" s="23"/>
      <c r="K166" s="24"/>
      <c r="L166" s="24"/>
    </row>
    <row r="167" spans="1:12" s="5" customFormat="1">
      <c r="A167" s="23"/>
      <c r="B167" s="23"/>
      <c r="C167" s="23"/>
      <c r="D167" s="23"/>
      <c r="E167" s="23"/>
      <c r="F167" s="23"/>
      <c r="K167" s="24"/>
      <c r="L167" s="24"/>
    </row>
    <row r="168" spans="1:12" s="5" customFormat="1">
      <c r="A168" s="52"/>
      <c r="B168" s="26"/>
      <c r="C168" s="26"/>
      <c r="D168" s="26"/>
      <c r="E168" s="26"/>
      <c r="F168" s="26"/>
    </row>
    <row r="169" spans="1:12" s="5" customFormat="1">
      <c r="A169" s="52"/>
      <c r="B169" s="26"/>
      <c r="C169" s="26"/>
      <c r="D169" s="26"/>
      <c r="E169" s="26"/>
      <c r="F169" s="26"/>
    </row>
    <row r="170" spans="1:12" s="5" customFormat="1">
      <c r="A170" s="23"/>
      <c r="B170" s="23"/>
      <c r="C170" s="23"/>
      <c r="D170" s="23"/>
      <c r="E170" s="23"/>
      <c r="F170" s="23"/>
      <c r="K170" s="24"/>
      <c r="L170" s="24"/>
    </row>
    <row r="171" spans="1:12" s="5" customFormat="1">
      <c r="A171" s="23"/>
      <c r="B171" s="23"/>
      <c r="C171" s="23"/>
      <c r="D171" s="23"/>
      <c r="E171" s="23"/>
      <c r="F171" s="23"/>
      <c r="K171" s="24"/>
      <c r="L171" s="24"/>
    </row>
    <row r="172" spans="1:12" s="5" customFormat="1">
      <c r="A172" s="23"/>
      <c r="B172" s="23"/>
      <c r="C172" s="23"/>
      <c r="D172" s="23"/>
      <c r="E172" s="23"/>
      <c r="F172" s="23"/>
      <c r="K172" s="24"/>
      <c r="L172" s="24"/>
    </row>
    <row r="173" spans="1:12" s="5" customFormat="1">
      <c r="A173" s="23"/>
      <c r="B173" s="23"/>
      <c r="C173" s="23"/>
      <c r="D173" s="23"/>
      <c r="E173" s="23"/>
      <c r="F173" s="23"/>
      <c r="K173" s="24"/>
      <c r="L173" s="24"/>
    </row>
    <row r="174" spans="1:12" s="5" customFormat="1">
      <c r="A174" s="23"/>
      <c r="B174" s="23"/>
      <c r="C174" s="23"/>
      <c r="D174" s="23"/>
      <c r="E174" s="23"/>
      <c r="F174" s="23"/>
      <c r="K174" s="24"/>
      <c r="L174" s="24"/>
    </row>
    <row r="175" spans="1:12" s="5" customFormat="1">
      <c r="A175" s="52"/>
      <c r="B175" s="26"/>
      <c r="C175" s="26"/>
      <c r="D175" s="26"/>
      <c r="E175" s="26"/>
      <c r="F175" s="26"/>
    </row>
    <row r="176" spans="1:12" s="5" customFormat="1">
      <c r="A176" s="52"/>
      <c r="B176" s="26"/>
      <c r="C176" s="26"/>
      <c r="D176" s="26"/>
      <c r="E176" s="26"/>
      <c r="F176" s="26"/>
    </row>
    <row r="177" spans="1:12" s="5" customFormat="1">
      <c r="A177" s="23"/>
      <c r="B177" s="23"/>
      <c r="C177" s="23"/>
      <c r="D177" s="23"/>
      <c r="E177" s="23"/>
      <c r="F177" s="23"/>
      <c r="K177" s="24"/>
      <c r="L177" s="24"/>
    </row>
    <row r="178" spans="1:12" s="5" customFormat="1">
      <c r="A178" s="23"/>
      <c r="B178" s="23"/>
      <c r="C178" s="23"/>
      <c r="D178" s="23"/>
      <c r="E178" s="23"/>
      <c r="F178" s="23"/>
      <c r="K178" s="24"/>
      <c r="L178" s="24"/>
    </row>
    <row r="179" spans="1:12" s="5" customFormat="1">
      <c r="A179" s="23"/>
      <c r="B179" s="23"/>
      <c r="C179" s="23"/>
      <c r="D179" s="23"/>
      <c r="E179" s="23"/>
      <c r="F179" s="23"/>
      <c r="K179" s="24"/>
      <c r="L179" s="24"/>
    </row>
    <row r="180" spans="1:12" s="5" customFormat="1">
      <c r="A180" s="23"/>
      <c r="B180" s="23"/>
      <c r="C180" s="23"/>
      <c r="D180" s="23"/>
      <c r="E180" s="23"/>
      <c r="F180" s="23"/>
      <c r="K180" s="24"/>
      <c r="L180" s="24"/>
    </row>
    <row r="181" spans="1:12" s="5" customFormat="1">
      <c r="A181" s="23"/>
      <c r="B181" s="23"/>
      <c r="C181" s="23"/>
      <c r="D181" s="23"/>
      <c r="E181" s="23"/>
      <c r="F181" s="23"/>
      <c r="K181" s="24"/>
      <c r="L181" s="24"/>
    </row>
    <row r="182" spans="1:12" s="5" customFormat="1">
      <c r="A182" s="52"/>
      <c r="B182" s="26"/>
      <c r="C182" s="26"/>
      <c r="D182" s="26"/>
      <c r="E182" s="26"/>
      <c r="F182" s="26"/>
    </row>
    <row r="183" spans="1:12" s="5" customFormat="1">
      <c r="A183" s="52"/>
      <c r="B183" s="26"/>
      <c r="C183" s="26"/>
      <c r="D183" s="26"/>
      <c r="E183" s="26"/>
      <c r="F183" s="26"/>
    </row>
    <row r="184" spans="1:12" s="5" customFormat="1">
      <c r="A184" s="23"/>
      <c r="B184" s="23"/>
      <c r="C184" s="23"/>
      <c r="D184" s="23"/>
      <c r="E184" s="23"/>
      <c r="F184" s="23"/>
      <c r="K184" s="24"/>
      <c r="L184" s="24"/>
    </row>
    <row r="185" spans="1:12" s="5" customFormat="1">
      <c r="A185" s="23"/>
      <c r="B185" s="23"/>
      <c r="C185" s="23"/>
      <c r="D185" s="23"/>
      <c r="E185" s="23"/>
      <c r="F185" s="23"/>
      <c r="K185" s="24"/>
      <c r="L185" s="24"/>
    </row>
    <row r="186" spans="1:12" s="5" customFormat="1">
      <c r="A186" s="23"/>
      <c r="B186" s="23"/>
      <c r="C186" s="23"/>
      <c r="D186" s="23"/>
      <c r="E186" s="23"/>
      <c r="F186" s="23"/>
      <c r="K186" s="24"/>
      <c r="L186" s="24"/>
    </row>
    <row r="187" spans="1:12" s="5" customFormat="1">
      <c r="A187" s="52"/>
      <c r="B187" s="26"/>
      <c r="C187" s="26"/>
      <c r="D187" s="26"/>
      <c r="E187" s="26"/>
      <c r="F187" s="26"/>
    </row>
    <row r="188" spans="1:12" s="5" customFormat="1">
      <c r="A188" s="52"/>
      <c r="B188" s="26"/>
      <c r="C188" s="26"/>
      <c r="D188" s="26"/>
      <c r="E188" s="26"/>
      <c r="F188" s="26"/>
    </row>
    <row r="189" spans="1:12" s="5" customFormat="1">
      <c r="A189" s="23"/>
      <c r="B189" s="23"/>
      <c r="C189" s="23"/>
      <c r="D189" s="23"/>
      <c r="E189" s="23"/>
      <c r="F189" s="23"/>
      <c r="K189" s="24"/>
      <c r="L189" s="24"/>
    </row>
    <row r="190" spans="1:12" s="5" customFormat="1">
      <c r="A190" s="23"/>
      <c r="B190" s="23"/>
      <c r="C190" s="23"/>
      <c r="D190" s="23"/>
      <c r="E190" s="23"/>
      <c r="F190" s="23"/>
      <c r="K190" s="24"/>
      <c r="L190" s="24"/>
    </row>
    <row r="191" spans="1:12" s="5" customFormat="1">
      <c r="A191" s="23"/>
      <c r="B191" s="23"/>
      <c r="C191" s="23"/>
      <c r="D191" s="23"/>
      <c r="E191" s="23"/>
      <c r="F191" s="23"/>
      <c r="K191" s="24"/>
      <c r="L191" s="24"/>
    </row>
    <row r="192" spans="1:12" s="5" customFormat="1">
      <c r="A192" s="23"/>
      <c r="B192" s="23"/>
      <c r="C192" s="23"/>
      <c r="D192" s="23"/>
      <c r="E192" s="23"/>
      <c r="F192" s="23"/>
      <c r="K192" s="24"/>
      <c r="L192" s="24"/>
    </row>
    <row r="193" spans="1:12" s="5" customFormat="1">
      <c r="A193" s="23"/>
      <c r="B193" s="23"/>
      <c r="C193" s="23"/>
      <c r="D193" s="23"/>
      <c r="E193" s="23"/>
      <c r="F193" s="23"/>
      <c r="K193" s="24"/>
      <c r="L193" s="24"/>
    </row>
    <row r="194" spans="1:12" s="5" customFormat="1">
      <c r="A194" s="52"/>
      <c r="B194" s="26"/>
      <c r="C194" s="26"/>
      <c r="D194" s="26"/>
      <c r="E194" s="26"/>
      <c r="F194" s="26"/>
    </row>
    <row r="195" spans="1:12" s="5" customFormat="1">
      <c r="A195" s="52"/>
      <c r="B195" s="26"/>
      <c r="C195" s="26"/>
      <c r="D195" s="26"/>
      <c r="E195" s="26"/>
      <c r="F195" s="26"/>
    </row>
    <row r="196" spans="1:12" s="5" customFormat="1">
      <c r="A196" s="23"/>
      <c r="B196" s="23"/>
      <c r="C196" s="23"/>
      <c r="D196" s="23"/>
      <c r="E196" s="23"/>
      <c r="F196" s="23"/>
      <c r="K196" s="24"/>
      <c r="L196" s="24"/>
    </row>
    <row r="197" spans="1:12" s="5" customFormat="1">
      <c r="A197" s="23"/>
      <c r="B197" s="23"/>
      <c r="C197" s="23"/>
      <c r="D197" s="23"/>
      <c r="E197" s="23"/>
      <c r="F197" s="23"/>
      <c r="K197" s="24"/>
      <c r="L197" s="24"/>
    </row>
    <row r="198" spans="1:12" s="5" customFormat="1">
      <c r="A198" s="23"/>
      <c r="B198" s="23"/>
      <c r="C198" s="23"/>
      <c r="D198" s="23"/>
      <c r="E198" s="23"/>
      <c r="F198" s="23"/>
      <c r="K198" s="24"/>
      <c r="L198" s="24"/>
    </row>
    <row r="199" spans="1:12" s="5" customFormat="1">
      <c r="A199" s="23"/>
      <c r="B199" s="23"/>
      <c r="C199" s="23"/>
      <c r="D199" s="23"/>
      <c r="E199" s="23"/>
      <c r="F199" s="23"/>
      <c r="K199" s="24"/>
      <c r="L199" s="24"/>
    </row>
    <row r="200" spans="1:12" s="5" customFormat="1">
      <c r="A200" s="23"/>
      <c r="B200" s="23"/>
      <c r="C200" s="23"/>
      <c r="D200" s="23"/>
      <c r="E200" s="23"/>
      <c r="F200" s="23"/>
      <c r="K200" s="24"/>
      <c r="L200" s="24"/>
    </row>
    <row r="201" spans="1:12" s="5" customFormat="1">
      <c r="A201" s="23"/>
      <c r="B201" s="23"/>
      <c r="C201" s="23"/>
      <c r="D201" s="23"/>
      <c r="E201" s="23"/>
      <c r="F201" s="23"/>
      <c r="K201" s="24"/>
      <c r="L201" s="24"/>
    </row>
    <row r="202" spans="1:12" s="5" customFormat="1">
      <c r="A202" s="23"/>
      <c r="B202" s="23"/>
      <c r="C202" s="23"/>
      <c r="D202" s="23"/>
      <c r="E202" s="23"/>
      <c r="F202" s="23"/>
      <c r="K202" s="24"/>
      <c r="L202" s="24"/>
    </row>
    <row r="203" spans="1:12" s="5" customFormat="1">
      <c r="A203" s="23"/>
      <c r="B203" s="23"/>
      <c r="C203" s="23"/>
      <c r="D203" s="23"/>
      <c r="E203" s="23"/>
      <c r="F203" s="23"/>
      <c r="K203" s="24"/>
      <c r="L203" s="24"/>
    </row>
    <row r="204" spans="1:12" s="5" customFormat="1">
      <c r="A204" s="52"/>
      <c r="B204" s="26"/>
      <c r="C204" s="26"/>
      <c r="D204" s="26"/>
      <c r="E204" s="26"/>
      <c r="F204" s="26"/>
    </row>
    <row r="205" spans="1:12" s="5" customFormat="1">
      <c r="A205" s="52"/>
      <c r="B205" s="26"/>
      <c r="C205" s="26"/>
      <c r="D205" s="26"/>
      <c r="E205" s="26"/>
      <c r="F205" s="26"/>
    </row>
    <row r="206" spans="1:12" s="5" customFormat="1">
      <c r="A206" s="23"/>
      <c r="B206" s="23"/>
      <c r="C206" s="23"/>
      <c r="D206" s="23"/>
      <c r="E206" s="23"/>
      <c r="F206" s="23"/>
      <c r="K206" s="24"/>
      <c r="L206" s="24"/>
    </row>
    <row r="207" spans="1:12" s="5" customFormat="1">
      <c r="A207" s="23"/>
      <c r="B207" s="23"/>
      <c r="C207" s="23"/>
      <c r="D207" s="23"/>
      <c r="E207" s="23"/>
      <c r="F207" s="23"/>
      <c r="K207" s="24"/>
      <c r="L207" s="24"/>
    </row>
    <row r="208" spans="1:12" s="5" customFormat="1">
      <c r="A208" s="23"/>
      <c r="B208" s="23"/>
      <c r="C208" s="23"/>
      <c r="D208" s="23"/>
      <c r="E208" s="23"/>
      <c r="F208" s="23"/>
      <c r="K208" s="24"/>
      <c r="L208" s="24"/>
    </row>
    <row r="209" spans="1:12" s="5" customFormat="1">
      <c r="A209" s="23"/>
      <c r="B209" s="23"/>
      <c r="C209" s="23"/>
      <c r="D209" s="23"/>
      <c r="E209" s="23"/>
      <c r="F209" s="23"/>
      <c r="K209" s="24"/>
      <c r="L209" s="24"/>
    </row>
    <row r="210" spans="1:12" s="5" customFormat="1">
      <c r="A210" s="23"/>
      <c r="B210" s="23"/>
      <c r="C210" s="23"/>
      <c r="D210" s="23"/>
      <c r="E210" s="23"/>
      <c r="F210" s="23"/>
      <c r="K210" s="24"/>
      <c r="L210" s="24"/>
    </row>
    <row r="211" spans="1:12" s="5" customFormat="1">
      <c r="A211" s="52"/>
      <c r="B211" s="26"/>
      <c r="C211" s="26"/>
      <c r="D211" s="26"/>
      <c r="E211" s="26"/>
      <c r="F211" s="26"/>
    </row>
    <row r="212" spans="1:12" s="5" customFormat="1">
      <c r="A212" s="52"/>
      <c r="B212" s="26"/>
      <c r="C212" s="26"/>
      <c r="D212" s="26"/>
      <c r="E212" s="26"/>
      <c r="F212" s="26"/>
    </row>
    <row r="213" spans="1:12" s="5" customFormat="1">
      <c r="A213" s="23"/>
      <c r="B213" s="23"/>
      <c r="C213" s="23"/>
      <c r="D213" s="23"/>
      <c r="E213" s="23"/>
      <c r="F213" s="23"/>
      <c r="K213" s="24"/>
      <c r="L213" s="24"/>
    </row>
    <row r="214" spans="1:12" s="5" customFormat="1">
      <c r="A214" s="23"/>
      <c r="B214" s="23"/>
      <c r="C214" s="23"/>
      <c r="D214" s="23"/>
      <c r="E214" s="23"/>
      <c r="F214" s="23"/>
      <c r="K214" s="24"/>
      <c r="L214" s="24"/>
    </row>
    <row r="215" spans="1:12" s="5" customFormat="1">
      <c r="A215" s="23"/>
      <c r="B215" s="23"/>
      <c r="C215" s="23"/>
      <c r="D215" s="23"/>
      <c r="E215" s="23"/>
      <c r="F215" s="23"/>
      <c r="K215" s="24"/>
      <c r="L215" s="24"/>
    </row>
    <row r="216" spans="1:12" s="5" customFormat="1">
      <c r="A216" s="23"/>
      <c r="B216" s="23"/>
      <c r="C216" s="23"/>
      <c r="D216" s="23"/>
      <c r="E216" s="23"/>
      <c r="F216" s="23"/>
      <c r="K216" s="24"/>
      <c r="L216" s="24"/>
    </row>
    <row r="217" spans="1:12" s="5" customFormat="1">
      <c r="A217" s="23"/>
      <c r="B217" s="23"/>
      <c r="C217" s="23"/>
      <c r="D217" s="23"/>
      <c r="E217" s="23"/>
      <c r="F217" s="23"/>
      <c r="K217" s="24"/>
      <c r="L217" s="24"/>
    </row>
    <row r="218" spans="1:12" s="5" customFormat="1">
      <c r="A218" s="23"/>
      <c r="B218" s="23"/>
      <c r="C218" s="23"/>
      <c r="D218" s="23"/>
      <c r="E218" s="23"/>
      <c r="F218" s="23"/>
      <c r="K218" s="24"/>
      <c r="L218" s="24"/>
    </row>
    <row r="219" spans="1:12" s="5" customFormat="1">
      <c r="A219" s="23"/>
      <c r="B219" s="23"/>
      <c r="C219" s="23"/>
      <c r="D219" s="23"/>
      <c r="E219" s="23"/>
      <c r="F219" s="23"/>
      <c r="K219" s="24"/>
      <c r="L219" s="24"/>
    </row>
    <row r="220" spans="1:12" s="5" customFormat="1">
      <c r="A220" s="23"/>
      <c r="B220" s="23"/>
      <c r="C220" s="23"/>
      <c r="D220" s="23"/>
      <c r="E220" s="23"/>
      <c r="F220" s="23"/>
      <c r="K220" s="24"/>
      <c r="L220" s="24"/>
    </row>
    <row r="221" spans="1:12" s="5" customFormat="1">
      <c r="A221" s="23"/>
      <c r="B221" s="23"/>
      <c r="C221" s="23"/>
      <c r="D221" s="23"/>
      <c r="E221" s="23"/>
      <c r="F221" s="23"/>
      <c r="K221" s="24"/>
      <c r="L221" s="24"/>
    </row>
    <row r="222" spans="1:12" s="5" customFormat="1">
      <c r="A222" s="23"/>
      <c r="B222" s="23"/>
      <c r="C222" s="23"/>
      <c r="D222" s="23"/>
      <c r="E222" s="23"/>
      <c r="F222" s="23"/>
      <c r="K222" s="24"/>
      <c r="L222" s="24"/>
    </row>
    <row r="223" spans="1:12" s="5" customFormat="1">
      <c r="A223" s="23"/>
      <c r="B223" s="23"/>
      <c r="C223" s="23"/>
      <c r="D223" s="23"/>
      <c r="E223" s="23"/>
      <c r="F223" s="23"/>
      <c r="K223" s="24"/>
      <c r="L223" s="24"/>
    </row>
    <row r="224" spans="1:12" s="5" customFormat="1">
      <c r="A224" s="23"/>
      <c r="B224" s="23"/>
      <c r="C224" s="23"/>
      <c r="D224" s="23"/>
      <c r="E224" s="23"/>
      <c r="F224" s="23"/>
      <c r="K224" s="24"/>
      <c r="L224" s="24"/>
    </row>
    <row r="225" spans="1:12" s="5" customFormat="1">
      <c r="A225" s="23"/>
      <c r="B225" s="23"/>
      <c r="C225" s="23"/>
      <c r="D225" s="23"/>
      <c r="E225" s="23"/>
      <c r="F225" s="23"/>
      <c r="K225" s="24"/>
      <c r="L225" s="24"/>
    </row>
    <row r="226" spans="1:12" s="5" customFormat="1">
      <c r="A226" s="52"/>
      <c r="B226" s="26"/>
      <c r="C226" s="26"/>
      <c r="D226" s="26"/>
      <c r="E226" s="26"/>
      <c r="F226" s="26"/>
    </row>
    <row r="227" spans="1:12" s="5" customFormat="1">
      <c r="A227" s="52"/>
      <c r="B227" s="26"/>
      <c r="C227" s="26"/>
      <c r="D227" s="26"/>
      <c r="E227" s="26"/>
      <c r="F227" s="26"/>
    </row>
    <row r="228" spans="1:12" s="5" customFormat="1">
      <c r="A228" s="23"/>
      <c r="B228" s="23"/>
      <c r="C228" s="23"/>
      <c r="D228" s="23"/>
      <c r="E228" s="23"/>
      <c r="F228" s="23"/>
      <c r="K228" s="24"/>
      <c r="L228" s="24"/>
    </row>
    <row r="229" spans="1:12" s="5" customFormat="1">
      <c r="A229" s="23"/>
      <c r="B229" s="23"/>
      <c r="C229" s="23"/>
      <c r="D229" s="23"/>
      <c r="E229" s="23"/>
      <c r="F229" s="23"/>
      <c r="K229" s="24"/>
      <c r="L229" s="24"/>
    </row>
    <row r="230" spans="1:12" s="5" customFormat="1">
      <c r="A230" s="23"/>
      <c r="B230" s="23"/>
      <c r="C230" s="23"/>
      <c r="D230" s="23"/>
      <c r="E230" s="23"/>
      <c r="F230" s="23"/>
      <c r="K230" s="24"/>
      <c r="L230" s="24"/>
    </row>
    <row r="231" spans="1:12" s="5" customFormat="1">
      <c r="A231" s="23"/>
      <c r="B231" s="23"/>
      <c r="C231" s="23"/>
      <c r="D231" s="23"/>
      <c r="E231" s="23"/>
      <c r="F231" s="23"/>
      <c r="K231" s="24"/>
      <c r="L231" s="24"/>
    </row>
    <row r="232" spans="1:12" s="5" customFormat="1">
      <c r="A232" s="23"/>
      <c r="B232" s="23"/>
      <c r="C232" s="23"/>
      <c r="D232" s="23"/>
      <c r="E232" s="23"/>
      <c r="F232" s="23"/>
    </row>
    <row r="233" spans="1:12">
      <c r="A233" s="25"/>
      <c r="B233" s="25"/>
      <c r="C233" s="25"/>
      <c r="D233" s="25"/>
      <c r="E233" s="25"/>
      <c r="F233" s="25"/>
    </row>
  </sheetData>
  <mergeCells count="251">
    <mergeCell ref="F2:K2"/>
    <mergeCell ref="O4:Q7"/>
    <mergeCell ref="A4:A7"/>
    <mergeCell ref="A8:A9"/>
    <mergeCell ref="G8:G9"/>
    <mergeCell ref="H8:H9"/>
    <mergeCell ref="I8:I9"/>
    <mergeCell ref="J8:J9"/>
    <mergeCell ref="L3:N3"/>
    <mergeCell ref="P3:Q3"/>
    <mergeCell ref="O8:Q9"/>
    <mergeCell ref="K8:K9"/>
    <mergeCell ref="L8:L9"/>
    <mergeCell ref="M8:M9"/>
    <mergeCell ref="N8:N9"/>
    <mergeCell ref="G4:J4"/>
    <mergeCell ref="K4:N4"/>
    <mergeCell ref="G5:G6"/>
    <mergeCell ref="H5:H6"/>
    <mergeCell ref="I5:I6"/>
    <mergeCell ref="B8:B9"/>
    <mergeCell ref="O10:Q11"/>
    <mergeCell ref="A18:A19"/>
    <mergeCell ref="G18:G19"/>
    <mergeCell ref="H18:H19"/>
    <mergeCell ref="I18:I19"/>
    <mergeCell ref="J18:J19"/>
    <mergeCell ref="K18:K19"/>
    <mergeCell ref="L18:L19"/>
    <mergeCell ref="O31:Q32"/>
    <mergeCell ref="K31:K32"/>
    <mergeCell ref="L31:L32"/>
    <mergeCell ref="M31:M32"/>
    <mergeCell ref="N31:N32"/>
    <mergeCell ref="A10:A11"/>
    <mergeCell ref="G10:G11"/>
    <mergeCell ref="H10:H11"/>
    <mergeCell ref="I10:I11"/>
    <mergeCell ref="J10:J11"/>
    <mergeCell ref="K10:K11"/>
    <mergeCell ref="L10:L11"/>
    <mergeCell ref="M10:M11"/>
    <mergeCell ref="N10:N11"/>
    <mergeCell ref="F10:F11"/>
    <mergeCell ref="E10:E11"/>
    <mergeCell ref="L37:L38"/>
    <mergeCell ref="M37:M38"/>
    <mergeCell ref="N37:N38"/>
    <mergeCell ref="F37:F38"/>
    <mergeCell ref="O18:Q19"/>
    <mergeCell ref="A31:A32"/>
    <mergeCell ref="G31:G32"/>
    <mergeCell ref="H31:H32"/>
    <mergeCell ref="I31:I32"/>
    <mergeCell ref="J31:J32"/>
    <mergeCell ref="D18:D19"/>
    <mergeCell ref="C18:C19"/>
    <mergeCell ref="A51:A52"/>
    <mergeCell ref="G51:G52"/>
    <mergeCell ref="H51:H52"/>
    <mergeCell ref="I51:I52"/>
    <mergeCell ref="J51:J52"/>
    <mergeCell ref="O37:Q38"/>
    <mergeCell ref="A44:A45"/>
    <mergeCell ref="G44:G45"/>
    <mergeCell ref="H44:H45"/>
    <mergeCell ref="I44:I45"/>
    <mergeCell ref="J44:J45"/>
    <mergeCell ref="K44:K45"/>
    <mergeCell ref="L44:L45"/>
    <mergeCell ref="O51:Q52"/>
    <mergeCell ref="K51:K52"/>
    <mergeCell ref="L51:L52"/>
    <mergeCell ref="M51:M52"/>
    <mergeCell ref="N51:N52"/>
    <mergeCell ref="A37:A38"/>
    <mergeCell ref="G37:G38"/>
    <mergeCell ref="H37:H38"/>
    <mergeCell ref="I37:I38"/>
    <mergeCell ref="J37:J38"/>
    <mergeCell ref="K37:K38"/>
    <mergeCell ref="L58:L59"/>
    <mergeCell ref="M58:M59"/>
    <mergeCell ref="N58:N59"/>
    <mergeCell ref="B58:B59"/>
    <mergeCell ref="C58:C59"/>
    <mergeCell ref="D58:D59"/>
    <mergeCell ref="E58:E59"/>
    <mergeCell ref="F58:F59"/>
    <mergeCell ref="O44:Q45"/>
    <mergeCell ref="O63:Q64"/>
    <mergeCell ref="A70:A71"/>
    <mergeCell ref="G70:G71"/>
    <mergeCell ref="H70:H71"/>
    <mergeCell ref="I70:I71"/>
    <mergeCell ref="J70:J71"/>
    <mergeCell ref="O58:Q59"/>
    <mergeCell ref="A63:A64"/>
    <mergeCell ref="G63:G64"/>
    <mergeCell ref="H63:H64"/>
    <mergeCell ref="I63:I64"/>
    <mergeCell ref="J63:J64"/>
    <mergeCell ref="K63:K64"/>
    <mergeCell ref="L63:L64"/>
    <mergeCell ref="O70:Q71"/>
    <mergeCell ref="K70:K71"/>
    <mergeCell ref="L70:L71"/>
    <mergeCell ref="M70:M71"/>
    <mergeCell ref="A58:A59"/>
    <mergeCell ref="G58:G59"/>
    <mergeCell ref="H58:H59"/>
    <mergeCell ref="I58:I59"/>
    <mergeCell ref="J58:J59"/>
    <mergeCell ref="K58:K59"/>
    <mergeCell ref="H80:H81"/>
    <mergeCell ref="I80:I81"/>
    <mergeCell ref="J80:J81"/>
    <mergeCell ref="K80:K81"/>
    <mergeCell ref="L80:L81"/>
    <mergeCell ref="M80:M81"/>
    <mergeCell ref="N80:N81"/>
    <mergeCell ref="D80:D81"/>
    <mergeCell ref="E80:E81"/>
    <mergeCell ref="F80:F81"/>
    <mergeCell ref="K102:K103"/>
    <mergeCell ref="L102:L103"/>
    <mergeCell ref="M102:M103"/>
    <mergeCell ref="N102:N103"/>
    <mergeCell ref="N70:N71"/>
    <mergeCell ref="O87:Q88"/>
    <mergeCell ref="A102:A103"/>
    <mergeCell ref="G102:G103"/>
    <mergeCell ref="H102:H103"/>
    <mergeCell ref="I102:I103"/>
    <mergeCell ref="J102:J103"/>
    <mergeCell ref="O80:Q81"/>
    <mergeCell ref="A87:A88"/>
    <mergeCell ref="G87:G88"/>
    <mergeCell ref="H87:H88"/>
    <mergeCell ref="I87:I88"/>
    <mergeCell ref="J87:J88"/>
    <mergeCell ref="K87:K88"/>
    <mergeCell ref="L87:L88"/>
    <mergeCell ref="O102:Q103"/>
    <mergeCell ref="B80:B81"/>
    <mergeCell ref="C80:C81"/>
    <mergeCell ref="A80:A81"/>
    <mergeCell ref="G80:G81"/>
    <mergeCell ref="I129:J129"/>
    <mergeCell ref="A133:A135"/>
    <mergeCell ref="G133:G135"/>
    <mergeCell ref="H133:H135"/>
    <mergeCell ref="I133:I135"/>
    <mergeCell ref="J133:J135"/>
    <mergeCell ref="K133:K135"/>
    <mergeCell ref="P108:Q108"/>
    <mergeCell ref="A112:J112"/>
    <mergeCell ref="O112:Q112"/>
    <mergeCell ref="A113:J113"/>
    <mergeCell ref="O113:Q113"/>
    <mergeCell ref="J5:J6"/>
    <mergeCell ref="K5:K6"/>
    <mergeCell ref="L5:L6"/>
    <mergeCell ref="A142:A143"/>
    <mergeCell ref="M5:M6"/>
    <mergeCell ref="N5:N6"/>
    <mergeCell ref="A194:A195"/>
    <mergeCell ref="M18:M19"/>
    <mergeCell ref="N18:N19"/>
    <mergeCell ref="B18:B19"/>
    <mergeCell ref="B31:B32"/>
    <mergeCell ref="C31:C32"/>
    <mergeCell ref="D31:D32"/>
    <mergeCell ref="E31:E32"/>
    <mergeCell ref="F31:F32"/>
    <mergeCell ref="B37:B38"/>
    <mergeCell ref="C37:C38"/>
    <mergeCell ref="D37:D38"/>
    <mergeCell ref="E37:E38"/>
    <mergeCell ref="D5:D6"/>
    <mergeCell ref="E5:E6"/>
    <mergeCell ref="F4:F6"/>
    <mergeCell ref="A155:A156"/>
    <mergeCell ref="A161:A162"/>
    <mergeCell ref="A204:A205"/>
    <mergeCell ref="A211:A212"/>
    <mergeCell ref="A226:A227"/>
    <mergeCell ref="A182:A183"/>
    <mergeCell ref="A187:A188"/>
    <mergeCell ref="M63:M64"/>
    <mergeCell ref="N63:N64"/>
    <mergeCell ref="M44:M45"/>
    <mergeCell ref="N44:N45"/>
    <mergeCell ref="M87:M88"/>
    <mergeCell ref="N87:N88"/>
    <mergeCell ref="A168:A169"/>
    <mergeCell ref="A175:A176"/>
    <mergeCell ref="L133:L135"/>
    <mergeCell ref="M133:M135"/>
    <mergeCell ref="N133:N135"/>
    <mergeCell ref="A123:K125"/>
    <mergeCell ref="L123:N125"/>
    <mergeCell ref="K126:N126"/>
    <mergeCell ref="A127:A130"/>
    <mergeCell ref="G127:J128"/>
    <mergeCell ref="K127:L129"/>
    <mergeCell ref="M127:N129"/>
    <mergeCell ref="G129:H129"/>
    <mergeCell ref="E8:E9"/>
    <mergeCell ref="D8:D9"/>
    <mergeCell ref="C8:C9"/>
    <mergeCell ref="B102:B103"/>
    <mergeCell ref="C102:C103"/>
    <mergeCell ref="D102:D103"/>
    <mergeCell ref="E102:E103"/>
    <mergeCell ref="F102:F103"/>
    <mergeCell ref="B63:B64"/>
    <mergeCell ref="C63:C64"/>
    <mergeCell ref="D63:D64"/>
    <mergeCell ref="E63:E64"/>
    <mergeCell ref="F63:F64"/>
    <mergeCell ref="B70:B71"/>
    <mergeCell ref="C70:C71"/>
    <mergeCell ref="D70:D71"/>
    <mergeCell ref="E70:E71"/>
    <mergeCell ref="F70:F71"/>
    <mergeCell ref="F18:F19"/>
    <mergeCell ref="E18:E19"/>
    <mergeCell ref="E1:L1"/>
    <mergeCell ref="B87:B88"/>
    <mergeCell ref="C87:C88"/>
    <mergeCell ref="D87:D88"/>
    <mergeCell ref="E87:E88"/>
    <mergeCell ref="F87:F88"/>
    <mergeCell ref="B44:B45"/>
    <mergeCell ref="C44:C45"/>
    <mergeCell ref="D44:D45"/>
    <mergeCell ref="E44:E45"/>
    <mergeCell ref="F44:F45"/>
    <mergeCell ref="B51:B52"/>
    <mergeCell ref="C51:C52"/>
    <mergeCell ref="D51:D52"/>
    <mergeCell ref="E51:E52"/>
    <mergeCell ref="F51:F52"/>
    <mergeCell ref="B4:E4"/>
    <mergeCell ref="B5:B6"/>
    <mergeCell ref="C5:C6"/>
    <mergeCell ref="D10:D11"/>
    <mergeCell ref="C10:C11"/>
    <mergeCell ref="B10:B11"/>
    <mergeCell ref="F8:F9"/>
  </mergeCells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dcterms:created xsi:type="dcterms:W3CDTF">2015-05-15T07:43:01Z</dcterms:created>
  <dcterms:modified xsi:type="dcterms:W3CDTF">2016-09-02T09:11:01Z</dcterms:modified>
</cp:coreProperties>
</file>