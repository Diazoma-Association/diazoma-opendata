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08" windowWidth="15144" windowHeight="5208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24519"/>
</workbook>
</file>

<file path=xl/calcChain.xml><?xml version="1.0" encoding="utf-8"?>
<calcChain xmlns="http://schemas.openxmlformats.org/spreadsheetml/2006/main">
  <c r="A108" i="1"/>
  <c r="A107"/>
  <c r="A106"/>
  <c r="A105"/>
  <c r="A102"/>
  <c r="A101"/>
  <c r="A100"/>
  <c r="A99"/>
  <c r="A98"/>
  <c r="A97"/>
  <c r="A96"/>
  <c r="A95"/>
  <c r="A94"/>
  <c r="A93"/>
  <c r="A92"/>
  <c r="A91"/>
  <c r="A90"/>
  <c r="A87"/>
  <c r="A86"/>
  <c r="A85"/>
  <c r="A84"/>
  <c r="A83"/>
  <c r="A70"/>
  <c r="A69"/>
  <c r="A68"/>
  <c r="A67"/>
  <c r="A66"/>
  <c r="A63"/>
  <c r="A62"/>
  <c r="A61"/>
  <c r="A58"/>
  <c r="A57"/>
  <c r="A56"/>
  <c r="A55"/>
  <c r="A54"/>
  <c r="A51"/>
  <c r="A50"/>
  <c r="A49"/>
  <c r="A48"/>
  <c r="A47"/>
  <c r="A44"/>
  <c r="A43"/>
  <c r="A42"/>
  <c r="A41"/>
  <c r="A40"/>
  <c r="A37"/>
  <c r="A36"/>
  <c r="A35"/>
  <c r="A34"/>
  <c r="A31"/>
  <c r="A30"/>
  <c r="A29"/>
  <c r="A28"/>
  <c r="A27"/>
  <c r="A26"/>
  <c r="A25"/>
  <c r="A24"/>
  <c r="A23"/>
  <c r="A22"/>
  <c r="A21"/>
  <c r="A18"/>
  <c r="A17"/>
  <c r="A16"/>
  <c r="A15"/>
  <c r="A14"/>
  <c r="A13"/>
</calcChain>
</file>

<file path=xl/sharedStrings.xml><?xml version="1.0" encoding="utf-8"?>
<sst xmlns="http://schemas.openxmlformats.org/spreadsheetml/2006/main" count="365" uniqueCount="138">
  <si>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</si>
  <si>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</si>
  <si>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</si>
  <si>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</si>
  <si>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</si>
  <si>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</si>
  <si>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>―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</si>
  <si>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</si>
  <si>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</si>
  <si>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</si>
  <si>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</si>
  <si>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</si>
  <si>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</si>
  <si>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</si>
  <si>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</si>
  <si>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</si>
  <si>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</si>
  <si>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</si>
  <si>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</si>
  <si>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</si>
  <si>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</si>
  <si>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</si>
  <si>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</si>
  <si>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</si>
  <si>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</si>
  <si>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</si>
  <si>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</si>
  <si>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</si>
  <si>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</si>
  <si>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</si>
  <si>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</si>
  <si>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</si>
  <si>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</si>
  <si>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</si>
  <si>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</si>
  <si>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</si>
  <si>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</si>
  <si>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</si>
  <si>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</si>
  <si>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</si>
  <si>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</si>
  <si>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</si>
  <si>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</si>
  <si>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</si>
  <si>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</si>
  <si>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</si>
  <si>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</si>
  <si>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</si>
  <si>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</si>
  <si>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</si>
  <si>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</si>
  <si>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</si>
  <si>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</si>
  <si>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</si>
  <si>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</si>
  <si>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</si>
  <si>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</si>
  <si>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</si>
  <si>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</si>
  <si>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</si>
  <si>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</si>
  <si>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</si>
  <si>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</si>
  <si>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</si>
  <si>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</si>
  <si>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</si>
  <si>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</si>
  <si>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</si>
  <si>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</si>
  <si>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</si>
  <si>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</si>
  <si>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</si>
  <si>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</si>
  <si>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</si>
  <si>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</si>
  <si>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</si>
  <si>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</si>
  <si>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</si>
  <si>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</si>
  <si>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</si>
  <si>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</si>
  <si>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</si>
  <si>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</si>
  <si>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</si>
  <si>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</si>
  <si>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</si>
  <si>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</si>
  <si>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</si>
  <si>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</si>
  <si>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</si>
  <si>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</si>
  <si>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</si>
  <si>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</si>
  <si>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</si>
  <si>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</si>
  <si>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</si>
  <si>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</si>
  <si>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</si>
  <si>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</si>
  <si>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</si>
  <si>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</si>
  <si>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</si>
  <si>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</si>
  <si>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</si>
  <si>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</si>
  <si>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</si>
  <si>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</si>
  <si>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</si>
  <si>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</si>
  <si>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</si>
  <si>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</si>
  <si>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7. Πρωτογενή κτηνοτροφικά προϊόντα</t>
  </si>
  <si>
    <t>Σε τόννους</t>
  </si>
  <si>
    <t>In tons</t>
  </si>
  <si>
    <t>Γάλα αγελάδων - Milk from cows</t>
  </si>
  <si>
    <t>Γάλα προβάτων - Milk from sheep</t>
  </si>
  <si>
    <t>Γάλα αιγών - Milk from goats</t>
  </si>
  <si>
    <t>7. Primary livestock products</t>
  </si>
  <si>
    <t>Πίνακας 7α. Παραγωγή γάλακτος, κατά Περιφέρεια και Περιφερειακή Ενότητα: 2011</t>
  </si>
  <si>
    <t>Table 7a. Milk production, by Region and Regional Unity: 2011</t>
  </si>
  <si>
    <t xml:space="preserve">Γενικό σύνολο γάλακτος </t>
  </si>
  <si>
    <t>Grand Total of milk</t>
  </si>
  <si>
    <r>
      <t>Σύνολο</t>
    </r>
    <r>
      <rPr>
        <vertAlign val="superscript"/>
        <sz val="8"/>
        <rFont val="Arial"/>
        <family val="2"/>
        <charset val="161"/>
      </rPr>
      <t>(1)</t>
    </r>
    <r>
      <rPr>
        <sz val="8"/>
        <rFont val="Arial"/>
        <family val="2"/>
        <charset val="161"/>
      </rPr>
      <t xml:space="preserve">     </t>
    </r>
  </si>
  <si>
    <t>Total</t>
  </si>
  <si>
    <t xml:space="preserve">Εγχώριων αβελτίωτων </t>
  </si>
  <si>
    <t>Local unimproved</t>
  </si>
  <si>
    <t xml:space="preserve">Εγχώριων βελτιωμένων </t>
  </si>
  <si>
    <t>Local improved</t>
  </si>
  <si>
    <t xml:space="preserve">Ξενικών </t>
  </si>
  <si>
    <t>Foreign</t>
  </si>
  <si>
    <t xml:space="preserve">Γάλα βουβαλιών </t>
  </si>
  <si>
    <t>Milk form buffaloes</t>
  </si>
  <si>
    <t xml:space="preserve">Οικόσιτων </t>
  </si>
  <si>
    <t>Domestic</t>
  </si>
  <si>
    <t xml:space="preserve">Κοπαδιάρικων </t>
  </si>
  <si>
    <t>In flock</t>
  </si>
  <si>
    <t xml:space="preserve">Νομαδικών </t>
  </si>
  <si>
    <t>Nomadic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</si>
</sst>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charset val="161"/>
      <scheme val="minor"/>
    </font>
    <font>
      <b/>
      <sz val="11"/>
      <name val="Arial"/>
      <family val="2"/>
      <charset val="161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vertAlign val="superscript"/>
      <sz val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8"/>
      <name val="Tahoma"/>
      <family val="2"/>
      <charset val="161"/>
    </font>
    <font>
      <sz val="8"/>
      <color indexed="8"/>
      <name val="Arial"/>
      <family val="2"/>
      <charset val="161"/>
    </font>
    <font>
      <sz val="8"/>
      <color theme="1"/>
      <name val="Arial"/>
      <family val="2"/>
      <charset val="161"/>
    </font>
    <font>
      <sz val="8"/>
      <color rgb="FF000000"/>
      <name val="Arial"/>
      <family val="2"/>
      <charset val="161"/>
    </font>
    <font>
      <sz val="8"/>
      <color theme="1"/>
      <name val="Calibri"/>
      <family val="2"/>
      <charset val="161"/>
    </font>
    <font>
      <b/>
      <sz val="8"/>
      <color theme="1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8" fillId="0" borderId="0" xfId="0" applyFont="1"/>
    <xf numFmtId="0" fontId="8" fillId="0" borderId="0" xfId="0" applyFont="1" applyBorder="1" applyAlignment="1">
      <alignment vertical="center"/>
    </xf>
    <xf numFmtId="0" fontId="3" fillId="0" borderId="1" xfId="0" applyNumberFormat="1" applyFont="1" applyFill="1" applyBorder="1" applyAlignment="1" applyProtection="1">
      <alignment horizontal="left"/>
    </xf>
    <xf numFmtId="0" fontId="3" fillId="0" borderId="1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8" fillId="0" borderId="0" xfId="0" applyFont="1" applyBorder="1"/>
    <xf numFmtId="49" fontId="3" fillId="0" borderId="0" xfId="0" applyNumberFormat="1" applyFont="1" applyFill="1" applyBorder="1" applyAlignment="1" applyProtection="1">
      <alignment horizontal="left" wrapText="1" indent="2"/>
    </xf>
    <xf numFmtId="3" fontId="3" fillId="0" borderId="2" xfId="0" applyNumberFormat="1" applyFont="1" applyFill="1" applyBorder="1" applyAlignment="1" applyProtection="1">
      <alignment horizontal="right" vertical="center" wrapText="1"/>
    </xf>
    <xf numFmtId="3" fontId="3" fillId="0" borderId="3" xfId="0" quotePrefix="1" applyNumberFormat="1" applyFont="1" applyFill="1" applyBorder="1" applyAlignment="1" applyProtection="1">
      <alignment horizontal="right"/>
    </xf>
    <xf numFmtId="3" fontId="3" fillId="0" borderId="4" xfId="0" applyNumberFormat="1" applyFont="1" applyFill="1" applyBorder="1" applyAlignment="1" applyProtection="1">
      <alignment horizontal="right"/>
    </xf>
    <xf numFmtId="3" fontId="3" fillId="0" borderId="0" xfId="0" applyNumberFormat="1" applyFont="1" applyFill="1" applyBorder="1" applyAlignment="1" applyProtection="1">
      <alignment horizontal="right"/>
    </xf>
    <xf numFmtId="0" fontId="8" fillId="0" borderId="0" xfId="0" applyFont="1" applyBorder="1" applyAlignment="1">
      <alignment horizontal="left"/>
    </xf>
    <xf numFmtId="3" fontId="3" fillId="0" borderId="4" xfId="0" quotePrefix="1" applyNumberFormat="1" applyFont="1" applyFill="1" applyBorder="1" applyAlignment="1" applyProtection="1">
      <alignment horizontal="right"/>
    </xf>
    <xf numFmtId="49" fontId="9" fillId="0" borderId="0" xfId="0" applyNumberFormat="1" applyFont="1" applyBorder="1" applyAlignment="1" applyProtection="1">
      <alignment horizontal="left" vertical="center" wrapText="1" indent="2"/>
      <protection locked="0"/>
    </xf>
    <xf numFmtId="49" fontId="3" fillId="0" borderId="1" xfId="0" applyNumberFormat="1" applyFont="1" applyFill="1" applyBorder="1" applyAlignment="1" applyProtection="1">
      <alignment horizontal="left" wrapText="1" indent="2"/>
    </xf>
    <xf numFmtId="3" fontId="3" fillId="0" borderId="5" xfId="0" applyNumberFormat="1" applyFont="1" applyFill="1" applyBorder="1" applyAlignment="1" applyProtection="1">
      <alignment horizontal="right" vertical="center" wrapText="1"/>
    </xf>
    <xf numFmtId="3" fontId="3" fillId="0" borderId="6" xfId="0" applyNumberFormat="1" applyFont="1" applyFill="1" applyBorder="1" applyAlignment="1" applyProtection="1">
      <alignment horizontal="right"/>
    </xf>
    <xf numFmtId="0" fontId="8" fillId="0" borderId="1" xfId="0" applyFont="1" applyBorder="1" applyAlignment="1">
      <alignment horizontal="left"/>
    </xf>
    <xf numFmtId="49" fontId="3" fillId="0" borderId="7" xfId="0" applyNumberFormat="1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 applyProtection="1">
      <alignment horizontal="left" indent="2"/>
    </xf>
    <xf numFmtId="0" fontId="3" fillId="0" borderId="0" xfId="0" applyFont="1" applyFill="1" applyBorder="1" applyAlignment="1" applyProtection="1">
      <alignment horizontal="left" indent="2"/>
    </xf>
    <xf numFmtId="0" fontId="10" fillId="0" borderId="0" xfId="0" applyFont="1" applyBorder="1"/>
    <xf numFmtId="0" fontId="7" fillId="0" borderId="0" xfId="0" applyFont="1" applyBorder="1" applyAlignment="1">
      <alignment horizontal="center"/>
    </xf>
    <xf numFmtId="49" fontId="2" fillId="0" borderId="0" xfId="0" applyNumberFormat="1" applyFont="1" applyFill="1" applyBorder="1" applyAlignment="1" applyProtection="1">
      <alignment horizontal="left" indent="2"/>
    </xf>
    <xf numFmtId="49" fontId="8" fillId="0" borderId="0" xfId="0" applyNumberFormat="1" applyFont="1" applyBorder="1"/>
    <xf numFmtId="0" fontId="6" fillId="0" borderId="0" xfId="0" applyNumberFormat="1" applyFont="1" applyFill="1" applyBorder="1" applyAlignment="1" applyProtection="1"/>
    <xf numFmtId="49" fontId="8" fillId="0" borderId="0" xfId="0" applyNumberFormat="1" applyFont="1"/>
    <xf numFmtId="0" fontId="11" fillId="0" borderId="0" xfId="0" applyFont="1" applyBorder="1" applyAlignment="1">
      <alignment horizontal="righ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3" fontId="3" fillId="0" borderId="6" xfId="0" quotePrefix="1" applyNumberFormat="1" applyFont="1" applyFill="1" applyBorder="1" applyAlignment="1" applyProtection="1">
      <alignment horizontal="right"/>
    </xf>
    <xf numFmtId="3" fontId="3" fillId="0" borderId="8" xfId="0" applyNumberFormat="1" applyFont="1" applyFill="1" applyBorder="1" applyAlignment="1" applyProtection="1">
      <alignment horizontal="right"/>
    </xf>
    <xf numFmtId="3" fontId="3" fillId="0" borderId="9" xfId="0" applyNumberFormat="1" applyFont="1" applyFill="1" applyBorder="1" applyAlignment="1" applyProtection="1">
      <alignment horizontal="right"/>
    </xf>
    <xf numFmtId="0" fontId="3" fillId="0" borderId="10" xfId="0" applyNumberFormat="1" applyFont="1" applyFill="1" applyBorder="1" applyAlignment="1" applyProtection="1">
      <alignment horizontal="center" vertical="center" wrapText="1"/>
    </xf>
    <xf numFmtId="0" fontId="3" fillId="0" borderId="15" xfId="0" applyNumberFormat="1" applyFont="1" applyFill="1" applyBorder="1" applyAlignment="1" applyProtection="1">
      <alignment horizontal="center" vertical="top" wrapText="1"/>
    </xf>
    <xf numFmtId="0" fontId="8" fillId="0" borderId="0" xfId="0" applyFont="1" applyBorder="1" applyAlignment="1">
      <alignment horizontal="left" indent="2"/>
    </xf>
    <xf numFmtId="0" fontId="8" fillId="0" borderId="1" xfId="0" applyFont="1" applyBorder="1" applyAlignment="1">
      <alignment horizontal="left" indent="2"/>
    </xf>
    <xf numFmtId="0" fontId="3" fillId="0" borderId="24" xfId="0" applyNumberFormat="1" applyFont="1" applyFill="1" applyBorder="1" applyAlignment="1" applyProtection="1">
      <alignment horizontal="center" vertical="top" wrapText="1"/>
    </xf>
    <xf numFmtId="0" fontId="3" fillId="0" borderId="14" xfId="0" applyNumberFormat="1" applyFont="1" applyFill="1" applyBorder="1" applyAlignment="1" applyProtection="1">
      <alignment horizontal="center" vertical="top" wrapText="1"/>
    </xf>
    <xf numFmtId="3" fontId="3" fillId="0" borderId="8" xfId="0" quotePrefix="1" applyNumberFormat="1" applyFont="1" applyFill="1" applyBorder="1" applyAlignment="1" applyProtection="1">
      <alignment horizontal="right"/>
    </xf>
    <xf numFmtId="3" fontId="3" fillId="0" borderId="1" xfId="0" applyNumberFormat="1" applyFont="1" applyFill="1" applyBorder="1" applyAlignment="1" applyProtection="1">
      <alignment horizontal="right"/>
    </xf>
    <xf numFmtId="0" fontId="3" fillId="0" borderId="21" xfId="0" applyNumberFormat="1" applyFont="1" applyFill="1" applyBorder="1" applyAlignment="1" applyProtection="1">
      <alignment horizontal="center" wrapText="1"/>
    </xf>
    <xf numFmtId="0" fontId="3" fillId="0" borderId="11" xfId="0" applyNumberFormat="1" applyFont="1" applyFill="1" applyBorder="1" applyAlignment="1" applyProtection="1">
      <alignment horizontal="center" wrapText="1"/>
    </xf>
    <xf numFmtId="0" fontId="3" fillId="0" borderId="7" xfId="0" applyNumberFormat="1" applyFont="1" applyFill="1" applyBorder="1" applyAlignment="1" applyProtection="1">
      <alignment horizontal="center" vertical="center" wrapText="1"/>
    </xf>
    <xf numFmtId="0" fontId="3" fillId="0" borderId="10" xfId="0" applyNumberFormat="1" applyFont="1" applyFill="1" applyBorder="1" applyAlignment="1" applyProtection="1">
      <alignment horizontal="center" vertical="center" wrapText="1"/>
    </xf>
    <xf numFmtId="0" fontId="3" fillId="0" borderId="16" xfId="0" applyNumberFormat="1" applyFont="1" applyFill="1" applyBorder="1" applyAlignment="1" applyProtection="1">
      <alignment horizontal="center" vertical="center" wrapText="1"/>
    </xf>
    <xf numFmtId="0" fontId="3" fillId="0" borderId="13" xfId="0" applyNumberFormat="1" applyFont="1" applyFill="1" applyBorder="1" applyAlignment="1" applyProtection="1">
      <alignment horizontal="center" vertical="center" wrapText="1"/>
    </xf>
    <xf numFmtId="0" fontId="3" fillId="0" borderId="18" xfId="0" applyNumberFormat="1" applyFont="1" applyFill="1" applyBorder="1" applyAlignment="1" applyProtection="1">
      <alignment horizontal="center" vertical="center" wrapText="1"/>
    </xf>
    <xf numFmtId="0" fontId="3" fillId="0" borderId="14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right"/>
    </xf>
    <xf numFmtId="0" fontId="3" fillId="0" borderId="1" xfId="0" applyFont="1" applyFill="1" applyBorder="1" applyAlignment="1" applyProtection="1">
      <alignment horizontal="left"/>
    </xf>
    <xf numFmtId="0" fontId="3" fillId="0" borderId="19" xfId="0" applyNumberFormat="1" applyFont="1" applyFill="1" applyBorder="1" applyAlignment="1" applyProtection="1">
      <alignment horizontal="center" wrapText="1"/>
    </xf>
    <xf numFmtId="0" fontId="3" fillId="0" borderId="2" xfId="0" applyNumberFormat="1" applyFont="1" applyFill="1" applyBorder="1" applyAlignment="1" applyProtection="1">
      <alignment horizontal="center" wrapText="1"/>
    </xf>
    <xf numFmtId="0" fontId="3" fillId="0" borderId="22" xfId="0" applyNumberFormat="1" applyFont="1" applyFill="1" applyBorder="1" applyAlignment="1" applyProtection="1">
      <alignment horizontal="center" wrapText="1"/>
    </xf>
    <xf numFmtId="0" fontId="3" fillId="0" borderId="23" xfId="0" applyNumberFormat="1" applyFont="1" applyFill="1" applyBorder="1" applyAlignment="1" applyProtection="1">
      <alignment horizontal="center" wrapText="1"/>
    </xf>
    <xf numFmtId="0" fontId="3" fillId="0" borderId="17" xfId="0" applyNumberFormat="1" applyFont="1" applyFill="1" applyBorder="1" applyAlignment="1" applyProtection="1">
      <alignment horizontal="center" vertical="center" wrapText="1"/>
    </xf>
    <xf numFmtId="0" fontId="3" fillId="0" borderId="15" xfId="0" applyNumberFormat="1" applyFont="1" applyFill="1" applyBorder="1" applyAlignment="1" applyProtection="1">
      <alignment horizontal="center" vertical="center" wrapText="1"/>
    </xf>
    <xf numFmtId="3" fontId="2" fillId="0" borderId="23" xfId="0" applyNumberFormat="1" applyFont="1" applyFill="1" applyBorder="1" applyAlignment="1" applyProtection="1">
      <alignment horizontal="right" vertical="center" wrapText="1"/>
    </xf>
    <xf numFmtId="0" fontId="2" fillId="0" borderId="23" xfId="0" applyNumberFormat="1" applyFont="1" applyFill="1" applyBorder="1" applyAlignment="1" applyProtection="1">
      <alignment horizontal="right" vertical="center" wrapText="1"/>
    </xf>
    <xf numFmtId="3" fontId="2" fillId="0" borderId="11" xfId="0" applyNumberFormat="1" applyFont="1" applyFill="1" applyBorder="1" applyAlignment="1" applyProtection="1">
      <alignment horizontal="right" vertical="center" wrapText="1"/>
    </xf>
    <xf numFmtId="0" fontId="2" fillId="0" borderId="11" xfId="0" applyNumberFormat="1" applyFont="1" applyFill="1" applyBorder="1" applyAlignment="1" applyProtection="1">
      <alignment horizontal="right" vertical="center" wrapText="1"/>
    </xf>
    <xf numFmtId="49" fontId="2" fillId="0" borderId="0" xfId="0" applyNumberFormat="1" applyFont="1" applyFill="1" applyBorder="1" applyAlignment="1" applyProtection="1">
      <alignment horizontal="left" vertical="center" wrapText="1" indent="1"/>
    </xf>
    <xf numFmtId="3" fontId="2" fillId="0" borderId="12" xfId="0" applyNumberFormat="1" applyFont="1" applyFill="1" applyBorder="1" applyAlignment="1" applyProtection="1">
      <alignment horizontal="right" vertical="center" wrapText="1"/>
    </xf>
    <xf numFmtId="0" fontId="2" fillId="0" borderId="12" xfId="0" applyNumberFormat="1" applyFont="1" applyFill="1" applyBorder="1" applyAlignment="1" applyProtection="1">
      <alignment horizontal="right" vertical="center" wrapText="1"/>
    </xf>
    <xf numFmtId="3" fontId="2" fillId="0" borderId="4" xfId="0" applyNumberFormat="1" applyFont="1" applyFill="1" applyBorder="1" applyAlignment="1" applyProtection="1">
      <alignment horizontal="right" vertical="center" wrapText="1"/>
    </xf>
    <xf numFmtId="0" fontId="2" fillId="0" borderId="4" xfId="0" applyNumberFormat="1" applyFont="1" applyFill="1" applyBorder="1" applyAlignment="1" applyProtection="1">
      <alignment horizontal="right" vertical="center" wrapText="1"/>
    </xf>
    <xf numFmtId="0" fontId="2" fillId="0" borderId="0" xfId="0" applyNumberFormat="1" applyFont="1" applyFill="1" applyBorder="1" applyAlignment="1" applyProtection="1">
      <alignment horizontal="left" vertical="center" wrapText="1"/>
    </xf>
    <xf numFmtId="49" fontId="2" fillId="0" borderId="0" xfId="0" applyNumberFormat="1" applyFont="1" applyFill="1" applyBorder="1" applyAlignment="1" applyProtection="1">
      <alignment horizontal="left" vertical="center" wrapText="1"/>
    </xf>
    <xf numFmtId="3" fontId="2" fillId="0" borderId="2" xfId="0" applyNumberFormat="1" applyFont="1" applyFill="1" applyBorder="1" applyAlignment="1" applyProtection="1">
      <alignment horizontal="right" vertical="center" wrapText="1"/>
    </xf>
    <xf numFmtId="3" fontId="2" fillId="0" borderId="3" xfId="0" applyNumberFormat="1" applyFont="1" applyFill="1" applyBorder="1" applyAlignment="1" applyProtection="1">
      <alignment horizontal="right" vertical="center"/>
    </xf>
    <xf numFmtId="3" fontId="2" fillId="0" borderId="4" xfId="0" applyNumberFormat="1" applyFont="1" applyFill="1" applyBorder="1" applyAlignment="1" applyProtection="1">
      <alignment horizontal="right" vertical="center"/>
    </xf>
    <xf numFmtId="3" fontId="11" fillId="0" borderId="0" xfId="0" applyNumberFormat="1" applyFont="1" applyBorder="1" applyAlignment="1">
      <alignment horizontal="right" vertical="center"/>
    </xf>
    <xf numFmtId="3" fontId="11" fillId="0" borderId="4" xfId="0" applyNumberFormat="1" applyFont="1" applyBorder="1" applyAlignment="1">
      <alignment horizontal="right" vertical="center"/>
    </xf>
    <xf numFmtId="3" fontId="11" fillId="0" borderId="3" xfId="0" applyNumberFormat="1" applyFont="1" applyBorder="1" applyAlignment="1">
      <alignment horizontal="right" vertical="center"/>
    </xf>
    <xf numFmtId="3" fontId="11" fillId="0" borderId="8" xfId="0" applyNumberFormat="1" applyFont="1" applyBorder="1" applyAlignment="1">
      <alignment horizontal="right" vertical="center"/>
    </xf>
    <xf numFmtId="3" fontId="5" fillId="0" borderId="4" xfId="0" applyNumberFormat="1" applyFont="1" applyBorder="1" applyAlignment="1">
      <alignment horizontal="right" vertical="center"/>
    </xf>
    <xf numFmtId="49" fontId="2" fillId="0" borderId="0" xfId="0" applyNumberFormat="1" applyFont="1" applyFill="1" applyBorder="1" applyAlignment="1" applyProtection="1">
      <alignment horizontal="center" vertical="center" wrapText="1"/>
    </xf>
    <xf numFmtId="0" fontId="11" fillId="0" borderId="0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1" fillId="0" borderId="0" xfId="0" applyFont="1" applyBorder="1" applyAlignment="1">
      <alignment horizontal="right" vertical="center"/>
    </xf>
    <xf numFmtId="49" fontId="11" fillId="0" borderId="0" xfId="0" applyNumberFormat="1" applyFont="1" applyBorder="1" applyAlignment="1">
      <alignment horizontal="left" vertical="center" wrapText="1"/>
    </xf>
    <xf numFmtId="49" fontId="11" fillId="0" borderId="0" xfId="0" applyNumberFormat="1" applyFont="1" applyBorder="1" applyAlignment="1">
      <alignment horizontal="left" vertical="center"/>
    </xf>
    <xf numFmtId="0" fontId="3" fillId="0" borderId="20" xfId="0" applyNumberFormat="1" applyFont="1" applyFill="1" applyBorder="1" applyAlignment="1" applyProtection="1">
      <alignment horizontal="center" wrapText="1"/>
    </xf>
    <xf numFmtId="0" fontId="3" fillId="0" borderId="4" xfId="0" applyNumberFormat="1" applyFont="1" applyFill="1" applyBorder="1" applyAlignment="1" applyProtection="1">
      <alignment horizontal="center" wrapText="1"/>
    </xf>
    <xf numFmtId="0" fontId="3" fillId="0" borderId="0" xfId="0" applyNumberFormat="1" applyFont="1" applyFill="1" applyBorder="1" applyAlignment="1" applyProtection="1">
      <alignment vertical="center" wrapText="1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right"/>
    </xf>
    <xf numFmtId="0" fontId="3" fillId="0" borderId="0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.spyroulis/&#917;&#960;&#953;&#966;&#940;&#957;&#949;&#953;&#945;%20&#949;&#961;&#947;&#945;&#963;&#943;&#945;&#962;/&#916;&#925;&#931;&#919;_&#928;&#929;&#937;&#932;&#927;&#915;_&#917;&#923;&#931;&#932;&#913;&#932;/&#917;&#932;&#919;&#931;&#921;&#913;%20&#915;&#917;&#937;&#929;&#915;&#921;&#922;&#919;%20&#917;&#929;&#917;&#933;&#925;&#913;/&#913;&#925;&#913;&#923;&#933;&#932;&#921;&#922;&#913;%20&#917;&#915;&#917;%20&#928;&#929;&#927;&#931;%20&#916;&#919;&#924;&#927;&#931;&#921;&#917;&#933;&#931;&#919;/&#917;&#915;&#917;%20&#913;&#929;&#927;&#932;&#929;&#913;&#921;&#917;&#931;%202011%20&#913;&#925;&#913;&#923;&#933;&#932;&#921;&#922;&#927;&#921;%20&#928;&#921;&#925;&#913;&#922;&#917;&#931;/&#928;&#921;&#925;&#913;&#922;&#913;&#931;%202(&#945;)%20&#913;&#929;&#927;&#932;&#929;&#913;&#921;&#917;&#931;%20&#931;&#921;&#932;&#919;&#929;&#913;%20&#915;&#921;&#913;%20&#922;&#913;&#929;&#928;&#92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istOfRegions"/>
      <sheetName val="Πίνακας2(α)"/>
    </sheetNames>
    <sheetDataSet>
      <sheetData sheetId="0" refreshError="1">
        <row r="1">
          <cell r="A1" t="str">
            <v>01</v>
          </cell>
          <cell r="B1" t="str">
            <v xml:space="preserve">  Ροδόπης</v>
          </cell>
        </row>
        <row r="2">
          <cell r="A2" t="str">
            <v>02</v>
          </cell>
          <cell r="B2" t="str">
            <v xml:space="preserve">  Δράμας</v>
          </cell>
        </row>
        <row r="3">
          <cell r="A3" t="str">
            <v>03</v>
          </cell>
          <cell r="B3" t="str">
            <v xml:space="preserve">  Έβρου</v>
          </cell>
        </row>
        <row r="4">
          <cell r="A4" t="str">
            <v>04</v>
          </cell>
          <cell r="B4" t="str">
            <v xml:space="preserve">  Θάσου</v>
          </cell>
        </row>
        <row r="5">
          <cell r="A5" t="str">
            <v>05</v>
          </cell>
          <cell r="B5" t="str">
            <v xml:space="preserve">  Καβάλας</v>
          </cell>
        </row>
        <row r="6">
          <cell r="A6" t="str">
            <v>06</v>
          </cell>
          <cell r="B6" t="str">
            <v xml:space="preserve">  Ξάνθης</v>
          </cell>
        </row>
        <row r="7">
          <cell r="A7" t="str">
            <v>07</v>
          </cell>
          <cell r="B7" t="str">
            <v xml:space="preserve">  Θεσσαλονίκης</v>
          </cell>
        </row>
        <row r="8">
          <cell r="A8" t="str">
            <v>08</v>
          </cell>
          <cell r="B8" t="str">
            <v xml:space="preserve">  Ημαθίας</v>
          </cell>
        </row>
        <row r="9">
          <cell r="A9" t="str">
            <v>09</v>
          </cell>
          <cell r="B9" t="str">
            <v xml:space="preserve">  Κιλκίς</v>
          </cell>
        </row>
        <row r="10">
          <cell r="A10" t="str">
            <v>10</v>
          </cell>
          <cell r="B10" t="str">
            <v xml:space="preserve">  Πέλλας</v>
          </cell>
        </row>
        <row r="11">
          <cell r="A11" t="str">
            <v>11</v>
          </cell>
          <cell r="B11" t="str">
            <v xml:space="preserve">  Πιερίας</v>
          </cell>
        </row>
        <row r="12">
          <cell r="A12" t="str">
            <v>12</v>
          </cell>
          <cell r="B12" t="str">
            <v xml:space="preserve">  Σερρών</v>
          </cell>
        </row>
        <row r="13">
          <cell r="A13" t="str">
            <v>13</v>
          </cell>
          <cell r="B13" t="str">
            <v xml:space="preserve">  Χαλκιδικής</v>
          </cell>
        </row>
        <row r="14">
          <cell r="A14" t="str">
            <v>14</v>
          </cell>
          <cell r="B14" t="str">
            <v xml:space="preserve">  Κοζάνης</v>
          </cell>
        </row>
        <row r="15">
          <cell r="A15" t="str">
            <v>15</v>
          </cell>
          <cell r="B15" t="str">
            <v xml:space="preserve">  Γρεβενών</v>
          </cell>
        </row>
        <row r="16">
          <cell r="A16" t="str">
            <v>16</v>
          </cell>
          <cell r="B16" t="str">
            <v xml:space="preserve">  Καστοριάς</v>
          </cell>
        </row>
        <row r="17">
          <cell r="A17" t="str">
            <v>17</v>
          </cell>
          <cell r="B17" t="str">
            <v xml:space="preserve">  Φλώρινας</v>
          </cell>
        </row>
        <row r="18">
          <cell r="A18" t="str">
            <v>18</v>
          </cell>
          <cell r="B18" t="str">
            <v xml:space="preserve">  Ιωαννίνων</v>
          </cell>
        </row>
        <row r="19">
          <cell r="A19" t="str">
            <v>19</v>
          </cell>
          <cell r="B19" t="str">
            <v xml:space="preserve">  Άρτας</v>
          </cell>
        </row>
        <row r="20">
          <cell r="A20" t="str">
            <v>20</v>
          </cell>
          <cell r="B20" t="str">
            <v xml:space="preserve">  Θεσπρωτίας</v>
          </cell>
        </row>
        <row r="21">
          <cell r="A21" t="str">
            <v>21</v>
          </cell>
          <cell r="B21" t="str">
            <v xml:space="preserve">  Πρέβεζας</v>
          </cell>
        </row>
        <row r="22">
          <cell r="A22" t="str">
            <v>22</v>
          </cell>
          <cell r="B22" t="str">
            <v xml:space="preserve">  Λάρισας</v>
          </cell>
        </row>
        <row r="23">
          <cell r="A23" t="str">
            <v>23</v>
          </cell>
          <cell r="B23" t="str">
            <v xml:space="preserve">  Καρδίτσας</v>
          </cell>
        </row>
        <row r="24">
          <cell r="A24" t="str">
            <v>24</v>
          </cell>
          <cell r="B24" t="str">
            <v xml:space="preserve">  Μαγνησίας</v>
          </cell>
        </row>
        <row r="25">
          <cell r="A25" t="str">
            <v>25</v>
          </cell>
          <cell r="B25" t="str">
            <v xml:space="preserve">  Σποράδων</v>
          </cell>
        </row>
        <row r="26">
          <cell r="A26" t="str">
            <v>26</v>
          </cell>
          <cell r="B26" t="str">
            <v xml:space="preserve">  Τρικάλων</v>
          </cell>
        </row>
        <row r="27">
          <cell r="A27" t="str">
            <v>27</v>
          </cell>
          <cell r="B27" t="str">
            <v xml:space="preserve">  Φθιώτιδας</v>
          </cell>
        </row>
        <row r="28">
          <cell r="A28" t="str">
            <v>28</v>
          </cell>
          <cell r="B28" t="str">
            <v xml:space="preserve">  Βοιωτίας</v>
          </cell>
        </row>
        <row r="29">
          <cell r="A29" t="str">
            <v>29</v>
          </cell>
          <cell r="B29" t="str">
            <v xml:space="preserve">  Εύβοιας</v>
          </cell>
        </row>
        <row r="30">
          <cell r="A30" t="str">
            <v>30</v>
          </cell>
          <cell r="B30" t="str">
            <v xml:space="preserve">  Ευρυτανίας</v>
          </cell>
        </row>
        <row r="31">
          <cell r="A31" t="str">
            <v>31</v>
          </cell>
          <cell r="B31" t="str">
            <v xml:space="preserve">  Φωκίδας</v>
          </cell>
        </row>
        <row r="32">
          <cell r="A32" t="str">
            <v>32</v>
          </cell>
          <cell r="B32" t="str">
            <v xml:space="preserve">  Κέρκυρας</v>
          </cell>
        </row>
        <row r="33">
          <cell r="A33" t="str">
            <v>33</v>
          </cell>
          <cell r="B33" t="str">
            <v xml:space="preserve">  Ζακύνθου</v>
          </cell>
        </row>
        <row r="34">
          <cell r="A34" t="str">
            <v>34</v>
          </cell>
          <cell r="B34" t="str">
            <v xml:space="preserve">  Ιθάκης</v>
          </cell>
        </row>
        <row r="35">
          <cell r="A35" t="str">
            <v>35</v>
          </cell>
          <cell r="B35" t="str">
            <v xml:space="preserve">  Κεφαλληνίας</v>
          </cell>
        </row>
        <row r="36">
          <cell r="A36" t="str">
            <v>36</v>
          </cell>
          <cell r="B36" t="str">
            <v xml:space="preserve">  Λευκάδας</v>
          </cell>
        </row>
        <row r="37">
          <cell r="A37" t="str">
            <v>37</v>
          </cell>
          <cell r="B37" t="str">
            <v xml:space="preserve">  Αχαϊας</v>
          </cell>
        </row>
        <row r="38">
          <cell r="A38" t="str">
            <v>38</v>
          </cell>
          <cell r="B38" t="str">
            <v xml:space="preserve">  Αιτωλ/νανίας</v>
          </cell>
        </row>
        <row r="39">
          <cell r="A39" t="str">
            <v>39</v>
          </cell>
          <cell r="B39" t="str">
            <v xml:space="preserve">  Ηλείας</v>
          </cell>
        </row>
        <row r="40">
          <cell r="A40" t="str">
            <v>40</v>
          </cell>
          <cell r="B40" t="str">
            <v xml:space="preserve">  Αρκαδίας</v>
          </cell>
        </row>
        <row r="41">
          <cell r="A41" t="str">
            <v>41</v>
          </cell>
          <cell r="B41" t="str">
            <v xml:space="preserve">  Αργολίδας</v>
          </cell>
        </row>
        <row r="42">
          <cell r="A42" t="str">
            <v>42</v>
          </cell>
          <cell r="B42" t="str">
            <v xml:space="preserve">  Κορινθίας</v>
          </cell>
        </row>
        <row r="43">
          <cell r="A43" t="str">
            <v>43</v>
          </cell>
          <cell r="B43" t="str">
            <v xml:space="preserve">  Λακωνίας</v>
          </cell>
        </row>
        <row r="44">
          <cell r="A44" t="str">
            <v>44</v>
          </cell>
          <cell r="B44" t="str">
            <v xml:space="preserve">  Μεσσηνίας</v>
          </cell>
        </row>
        <row r="45">
          <cell r="A45" t="str">
            <v>45</v>
          </cell>
          <cell r="B45" t="str">
            <v xml:space="preserve">  Κεντρικού Τομέα Αθηνών</v>
          </cell>
        </row>
        <row r="46">
          <cell r="A46" t="str">
            <v>46</v>
          </cell>
          <cell r="B46" t="str">
            <v xml:space="preserve"> Βορείου Τομέα Αθηνών</v>
          </cell>
        </row>
        <row r="47">
          <cell r="A47" t="str">
            <v>47</v>
          </cell>
          <cell r="B47" t="str">
            <v xml:space="preserve">  Δυτικού Τομέα Αθηνών</v>
          </cell>
        </row>
        <row r="48">
          <cell r="A48" t="str">
            <v>48</v>
          </cell>
          <cell r="B48" t="str">
            <v xml:space="preserve">  Νοτίου Τομέα Αθηνών</v>
          </cell>
        </row>
        <row r="49">
          <cell r="A49" t="str">
            <v>49</v>
          </cell>
          <cell r="B49" t="str">
            <v xml:space="preserve">  Ανατολικής Αττικής</v>
          </cell>
        </row>
        <row r="50">
          <cell r="A50" t="str">
            <v>50</v>
          </cell>
          <cell r="B50" t="str">
            <v xml:space="preserve">  Δυτικής Αττικής</v>
          </cell>
        </row>
        <row r="51">
          <cell r="A51" t="str">
            <v>51</v>
          </cell>
          <cell r="B51" t="str">
            <v xml:space="preserve">  Πειραιώς</v>
          </cell>
        </row>
        <row r="52">
          <cell r="A52" t="str">
            <v>52</v>
          </cell>
          <cell r="B52" t="str">
            <v xml:space="preserve">  Νήσων</v>
          </cell>
        </row>
        <row r="53">
          <cell r="A53" t="str">
            <v>53</v>
          </cell>
          <cell r="B53" t="str">
            <v xml:space="preserve">  Λέσβου</v>
          </cell>
        </row>
        <row r="54">
          <cell r="A54" t="str">
            <v>54</v>
          </cell>
          <cell r="B54" t="str">
            <v xml:space="preserve">  Ικαρίας</v>
          </cell>
        </row>
        <row r="55">
          <cell r="A55" t="str">
            <v>55</v>
          </cell>
          <cell r="B55" t="str">
            <v xml:space="preserve">  Λήμνου</v>
          </cell>
        </row>
        <row r="56">
          <cell r="A56" t="str">
            <v>56</v>
          </cell>
          <cell r="B56" t="str">
            <v xml:space="preserve">  Σάμου.</v>
          </cell>
        </row>
        <row r="57">
          <cell r="A57" t="str">
            <v>57</v>
          </cell>
          <cell r="B57" t="str">
            <v xml:space="preserve">  Χίου</v>
          </cell>
        </row>
        <row r="58">
          <cell r="A58" t="str">
            <v>58</v>
          </cell>
          <cell r="B58" t="str">
            <v xml:space="preserve">  Σύρου</v>
          </cell>
        </row>
        <row r="59">
          <cell r="A59" t="str">
            <v>59</v>
          </cell>
          <cell r="B59" t="str">
            <v xml:space="preserve">  Άνδρου</v>
          </cell>
        </row>
        <row r="60">
          <cell r="A60" t="str">
            <v>60</v>
          </cell>
          <cell r="B60" t="str">
            <v xml:space="preserve">  Θήρας</v>
          </cell>
        </row>
        <row r="61">
          <cell r="A61" t="str">
            <v>61</v>
          </cell>
          <cell r="B61" t="str">
            <v xml:space="preserve">  Καλύμνου</v>
          </cell>
        </row>
        <row r="62">
          <cell r="A62" t="str">
            <v>62</v>
          </cell>
          <cell r="B62" t="str">
            <v xml:space="preserve">  Καρπάθου</v>
          </cell>
        </row>
        <row r="63">
          <cell r="A63" t="str">
            <v>63</v>
          </cell>
          <cell r="B63" t="str">
            <v xml:space="preserve">  Κύθνου</v>
          </cell>
        </row>
        <row r="64">
          <cell r="A64" t="str">
            <v>64</v>
          </cell>
          <cell r="B64" t="str">
            <v xml:space="preserve">  Κω</v>
          </cell>
        </row>
        <row r="65">
          <cell r="A65" t="str">
            <v>65</v>
          </cell>
          <cell r="B65" t="str">
            <v xml:space="preserve">  Μήλου</v>
          </cell>
        </row>
        <row r="66">
          <cell r="A66" t="str">
            <v>66</v>
          </cell>
          <cell r="B66" t="str">
            <v xml:space="preserve">  Μυκόνου.</v>
          </cell>
        </row>
        <row r="67">
          <cell r="A67" t="str">
            <v>67</v>
          </cell>
          <cell r="B67" t="str">
            <v xml:space="preserve">  Νάξου</v>
          </cell>
        </row>
        <row r="68">
          <cell r="A68" t="str">
            <v>68</v>
          </cell>
          <cell r="B68" t="str">
            <v xml:space="preserve">  Πάρου</v>
          </cell>
        </row>
        <row r="69">
          <cell r="A69" t="str">
            <v>69</v>
          </cell>
          <cell r="B69" t="str">
            <v xml:space="preserve">  Ρόδου</v>
          </cell>
        </row>
        <row r="70">
          <cell r="A70" t="str">
            <v>70</v>
          </cell>
          <cell r="B70" t="str">
            <v xml:space="preserve">  Τήνου</v>
          </cell>
        </row>
        <row r="71">
          <cell r="A71" t="str">
            <v>71</v>
          </cell>
          <cell r="B71" t="str">
            <v xml:space="preserve">  Ηρακλείου</v>
          </cell>
        </row>
        <row r="72">
          <cell r="A72" t="str">
            <v>72</v>
          </cell>
          <cell r="B72" t="str">
            <v xml:space="preserve">  Λασιθίου</v>
          </cell>
        </row>
        <row r="73">
          <cell r="A73" t="str">
            <v>73</v>
          </cell>
          <cell r="B73" t="str">
            <v xml:space="preserve">  Ρεθύμνης</v>
          </cell>
        </row>
        <row r="74">
          <cell r="A74" t="str">
            <v>74</v>
          </cell>
          <cell r="B74" t="str">
            <v xml:space="preserve">  Χανίων</v>
          </cell>
        </row>
        <row r="75">
          <cell r="A75" t="str">
            <v>99</v>
          </cell>
          <cell r="B75" t="str">
            <v xml:space="preserve">  Αγίου Όρους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29"/>
  <sheetViews>
    <sheetView showGridLines="0" tabSelected="1" topLeftCell="B1" zoomScale="145" zoomScaleNormal="145" workbookViewId="0">
      <selection activeCell="E17" sqref="E17"/>
    </sheetView>
  </sheetViews>
  <sheetFormatPr defaultRowHeight="10.199999999999999"/>
  <cols>
    <col min="1" max="1" width="18.5546875" style="1" customWidth="1"/>
    <col min="2" max="2" width="9.44140625" style="1" customWidth="1"/>
    <col min="3" max="8" width="10" style="1" customWidth="1"/>
    <col min="9" max="9" width="9.21875" style="1" customWidth="1"/>
    <col min="10" max="10" width="10.77734375" style="1" customWidth="1"/>
    <col min="11" max="12" width="9.21875" style="1" customWidth="1"/>
    <col min="13" max="13" width="9.77734375" style="1" customWidth="1"/>
    <col min="14" max="14" width="11.33203125" style="1" customWidth="1"/>
    <col min="15" max="16" width="9.6640625" style="1" customWidth="1"/>
    <col min="17" max="17" width="7.109375" style="1" customWidth="1"/>
    <col min="18" max="19" width="10.109375" style="1" customWidth="1"/>
    <col min="20" max="16384" width="8.88671875" style="1"/>
  </cols>
  <sheetData>
    <row r="1" spans="1:19" ht="14.4" customHeight="1">
      <c r="A1" s="51" t="s">
        <v>111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2" t="s">
        <v>117</v>
      </c>
      <c r="M1" s="52"/>
      <c r="N1" s="52"/>
      <c r="O1" s="52"/>
      <c r="P1" s="52"/>
      <c r="Q1" s="52"/>
      <c r="R1" s="52"/>
      <c r="S1" s="2"/>
    </row>
    <row r="2" spans="1:19">
      <c r="A2" s="53" t="s">
        <v>118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4" t="s">
        <v>119</v>
      </c>
      <c r="M2" s="54"/>
      <c r="N2" s="54"/>
      <c r="O2" s="54"/>
      <c r="P2" s="54"/>
      <c r="Q2" s="54"/>
      <c r="R2" s="54"/>
      <c r="S2" s="2"/>
    </row>
    <row r="3" spans="1:19" ht="10.8" thickBot="1">
      <c r="A3" s="3" t="s">
        <v>112</v>
      </c>
      <c r="B3" s="3"/>
      <c r="C3" s="3"/>
      <c r="D3" s="3"/>
      <c r="E3" s="3"/>
      <c r="F3" s="3"/>
      <c r="G3" s="3"/>
      <c r="H3" s="55"/>
      <c r="I3" s="55"/>
      <c r="J3" s="55"/>
      <c r="K3" s="55"/>
      <c r="L3" s="56"/>
      <c r="M3" s="56"/>
      <c r="N3" s="56"/>
      <c r="O3" s="56"/>
      <c r="P3" s="4"/>
      <c r="Q3" s="55" t="s">
        <v>113</v>
      </c>
      <c r="R3" s="55"/>
      <c r="S3" s="5"/>
    </row>
    <row r="4" spans="1:19" ht="14.4" customHeight="1">
      <c r="A4" s="44" t="s">
        <v>0</v>
      </c>
      <c r="B4" s="57" t="s">
        <v>120</v>
      </c>
      <c r="C4" s="44" t="s">
        <v>114</v>
      </c>
      <c r="D4" s="44"/>
      <c r="E4" s="44"/>
      <c r="F4" s="61"/>
      <c r="G4" s="90" t="s">
        <v>130</v>
      </c>
      <c r="H4" s="44" t="s">
        <v>115</v>
      </c>
      <c r="I4" s="44"/>
      <c r="J4" s="44"/>
      <c r="K4" s="44"/>
      <c r="L4" s="46" t="s">
        <v>116</v>
      </c>
      <c r="M4" s="44"/>
      <c r="N4" s="44"/>
      <c r="O4" s="47"/>
      <c r="P4" s="44" t="s">
        <v>1</v>
      </c>
      <c r="Q4" s="44"/>
      <c r="R4" s="44"/>
      <c r="S4" s="6"/>
    </row>
    <row r="5" spans="1:19">
      <c r="A5" s="50"/>
      <c r="B5" s="58"/>
      <c r="C5" s="45"/>
      <c r="D5" s="45"/>
      <c r="E5" s="45"/>
      <c r="F5" s="62"/>
      <c r="G5" s="91"/>
      <c r="H5" s="45"/>
      <c r="I5" s="45"/>
      <c r="J5" s="45"/>
      <c r="K5" s="45"/>
      <c r="L5" s="48"/>
      <c r="M5" s="45"/>
      <c r="N5" s="45"/>
      <c r="O5" s="49"/>
      <c r="P5" s="50"/>
      <c r="Q5" s="50"/>
      <c r="R5" s="50"/>
      <c r="S5" s="6"/>
    </row>
    <row r="6" spans="1:19">
      <c r="A6" s="50"/>
      <c r="B6" s="58"/>
      <c r="C6" s="42" t="s">
        <v>122</v>
      </c>
      <c r="D6" s="42" t="s">
        <v>124</v>
      </c>
      <c r="E6" s="42" t="s">
        <v>126</v>
      </c>
      <c r="F6" s="42" t="s">
        <v>128</v>
      </c>
      <c r="G6" s="43"/>
      <c r="H6" s="42" t="s">
        <v>122</v>
      </c>
      <c r="I6" s="42" t="s">
        <v>132</v>
      </c>
      <c r="J6" s="42" t="s">
        <v>134</v>
      </c>
      <c r="K6" s="42" t="s">
        <v>136</v>
      </c>
      <c r="L6" s="42" t="s">
        <v>122</v>
      </c>
      <c r="M6" s="42" t="s">
        <v>132</v>
      </c>
      <c r="N6" s="42" t="s">
        <v>134</v>
      </c>
      <c r="O6" s="59" t="s">
        <v>136</v>
      </c>
      <c r="P6" s="50"/>
      <c r="Q6" s="50"/>
      <c r="R6" s="50"/>
      <c r="S6" s="6"/>
    </row>
    <row r="7" spans="1:19">
      <c r="A7" s="50"/>
      <c r="B7" s="58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60"/>
      <c r="P7" s="50"/>
      <c r="Q7" s="50"/>
      <c r="R7" s="50"/>
      <c r="S7" s="6"/>
    </row>
    <row r="8" spans="1:19" ht="20.399999999999999">
      <c r="A8" s="34"/>
      <c r="B8" s="38" t="s">
        <v>121</v>
      </c>
      <c r="C8" s="35" t="s">
        <v>123</v>
      </c>
      <c r="D8" s="35" t="s">
        <v>125</v>
      </c>
      <c r="E8" s="35" t="s">
        <v>127</v>
      </c>
      <c r="F8" s="35" t="s">
        <v>129</v>
      </c>
      <c r="G8" s="35" t="s">
        <v>131</v>
      </c>
      <c r="H8" s="35" t="s">
        <v>123</v>
      </c>
      <c r="I8" s="35" t="s">
        <v>133</v>
      </c>
      <c r="J8" s="35" t="s">
        <v>135</v>
      </c>
      <c r="K8" s="35" t="s">
        <v>137</v>
      </c>
      <c r="L8" s="35" t="s">
        <v>123</v>
      </c>
      <c r="M8" s="35" t="s">
        <v>133</v>
      </c>
      <c r="N8" s="35" t="s">
        <v>135</v>
      </c>
      <c r="O8" s="39" t="s">
        <v>137</v>
      </c>
      <c r="P8" s="45"/>
      <c r="Q8" s="45"/>
      <c r="R8" s="45"/>
      <c r="S8" s="6"/>
    </row>
    <row r="9" spans="1:19" ht="11.4" customHeight="1">
      <c r="A9" s="67" t="s">
        <v>2</v>
      </c>
      <c r="B9" s="68">
        <v>2029128.8919999998</v>
      </c>
      <c r="C9" s="70">
        <v>778267.55900000001</v>
      </c>
      <c r="D9" s="65">
        <v>15537.460000000001</v>
      </c>
      <c r="E9" s="65">
        <v>443594.12400000007</v>
      </c>
      <c r="F9" s="65">
        <v>319135.97499999998</v>
      </c>
      <c r="G9" s="65">
        <v>153.12</v>
      </c>
      <c r="H9" s="70">
        <v>780574.39199999988</v>
      </c>
      <c r="I9" s="65">
        <v>60969.751000000011</v>
      </c>
      <c r="J9" s="65">
        <v>678113.05199999991</v>
      </c>
      <c r="K9" s="65">
        <v>41491.589</v>
      </c>
      <c r="L9" s="65">
        <v>470133.821</v>
      </c>
      <c r="M9" s="65">
        <v>81750.958000000013</v>
      </c>
      <c r="N9" s="65">
        <v>370118.85199999996</v>
      </c>
      <c r="O9" s="63">
        <v>18264.011000000002</v>
      </c>
      <c r="P9" s="53" t="s">
        <v>3</v>
      </c>
      <c r="Q9" s="53"/>
      <c r="R9" s="53"/>
      <c r="S9" s="6"/>
    </row>
    <row r="10" spans="1:19">
      <c r="A10" s="67"/>
      <c r="B10" s="69"/>
      <c r="C10" s="71"/>
      <c r="D10" s="66"/>
      <c r="E10" s="66"/>
      <c r="F10" s="66"/>
      <c r="G10" s="66"/>
      <c r="H10" s="70"/>
      <c r="I10" s="66"/>
      <c r="J10" s="66"/>
      <c r="K10" s="66"/>
      <c r="L10" s="66"/>
      <c r="M10" s="66"/>
      <c r="N10" s="66"/>
      <c r="O10" s="64"/>
      <c r="P10" s="53"/>
      <c r="Q10" s="53"/>
      <c r="R10" s="53"/>
      <c r="S10" s="6"/>
    </row>
    <row r="11" spans="1:19" ht="14.4" customHeight="1">
      <c r="A11" s="82" t="s">
        <v>4</v>
      </c>
      <c r="B11" s="74">
        <v>173661.01</v>
      </c>
      <c r="C11" s="81">
        <v>105115.463</v>
      </c>
      <c r="D11" s="81">
        <v>3889.4</v>
      </c>
      <c r="E11" s="81">
        <v>51642.394</v>
      </c>
      <c r="F11" s="81">
        <v>49583.669000000002</v>
      </c>
      <c r="G11" s="81">
        <v>0</v>
      </c>
      <c r="H11" s="81">
        <v>39591.669999999991</v>
      </c>
      <c r="I11" s="81">
        <v>504.38</v>
      </c>
      <c r="J11" s="81">
        <v>39037.689999999995</v>
      </c>
      <c r="K11" s="81">
        <v>49.6</v>
      </c>
      <c r="L11" s="77">
        <v>28953.876999999997</v>
      </c>
      <c r="M11" s="78">
        <v>682.90700000000004</v>
      </c>
      <c r="N11" s="79">
        <v>28012.269999999997</v>
      </c>
      <c r="O11" s="80">
        <v>258.7</v>
      </c>
      <c r="P11" s="72" t="s">
        <v>5</v>
      </c>
      <c r="Q11" s="72"/>
      <c r="R11" s="72"/>
      <c r="S11" s="6"/>
    </row>
    <row r="12" spans="1:19" ht="12" customHeight="1">
      <c r="A12" s="82"/>
      <c r="B12" s="74"/>
      <c r="C12" s="81"/>
      <c r="D12" s="81"/>
      <c r="E12" s="81"/>
      <c r="F12" s="81"/>
      <c r="G12" s="81"/>
      <c r="H12" s="81"/>
      <c r="I12" s="81"/>
      <c r="J12" s="81"/>
      <c r="K12" s="81"/>
      <c r="L12" s="77"/>
      <c r="M12" s="78"/>
      <c r="N12" s="79"/>
      <c r="O12" s="80"/>
      <c r="P12" s="72"/>
      <c r="Q12" s="72"/>
      <c r="R12" s="72"/>
      <c r="S12" s="6"/>
    </row>
    <row r="13" spans="1:19">
      <c r="A13" s="7" t="str">
        <f>VLOOKUP([1]ListOfRegions!$A$1,[1]ListOfRegions!$A$1:B75,2,0)</f>
        <v xml:space="preserve">  Ροδόπης</v>
      </c>
      <c r="B13" s="8">
        <v>37344.19</v>
      </c>
      <c r="C13" s="9">
        <v>18871.599999999999</v>
      </c>
      <c r="D13" s="10">
        <v>2867.9</v>
      </c>
      <c r="E13" s="10">
        <v>9178.4</v>
      </c>
      <c r="F13" s="10">
        <v>6825.3</v>
      </c>
      <c r="G13" s="13" t="s">
        <v>6</v>
      </c>
      <c r="H13" s="10">
        <v>10785.51</v>
      </c>
      <c r="I13" s="10">
        <v>6</v>
      </c>
      <c r="J13" s="10">
        <v>10729.91</v>
      </c>
      <c r="K13" s="10">
        <v>49.6</v>
      </c>
      <c r="L13" s="11">
        <v>7687.08</v>
      </c>
      <c r="M13" s="10">
        <v>33.82</v>
      </c>
      <c r="N13" s="10">
        <v>7607.76</v>
      </c>
      <c r="O13" s="32">
        <v>45.5</v>
      </c>
      <c r="P13" s="36" t="s">
        <v>7</v>
      </c>
      <c r="Q13" s="12"/>
      <c r="R13" s="12"/>
      <c r="S13" s="6"/>
    </row>
    <row r="14" spans="1:19">
      <c r="A14" s="7" t="str">
        <f>VLOOKUP([1]ListOfRegions!$A$2,[1]ListOfRegions!$A$2:B76,2,0)</f>
        <v xml:space="preserve">  Δράμας</v>
      </c>
      <c r="B14" s="8">
        <v>34857.47</v>
      </c>
      <c r="C14" s="9">
        <v>22557.1</v>
      </c>
      <c r="D14" s="10">
        <v>138</v>
      </c>
      <c r="E14" s="10">
        <v>12972.2</v>
      </c>
      <c r="F14" s="10">
        <v>9446.9</v>
      </c>
      <c r="G14" s="13" t="s">
        <v>6</v>
      </c>
      <c r="H14" s="10">
        <v>6932.78</v>
      </c>
      <c r="I14" s="10">
        <v>91.33</v>
      </c>
      <c r="J14" s="10">
        <v>6841.45</v>
      </c>
      <c r="K14" s="13" t="s">
        <v>6</v>
      </c>
      <c r="L14" s="11">
        <v>5367.59</v>
      </c>
      <c r="M14" s="10">
        <v>75.59</v>
      </c>
      <c r="N14" s="10">
        <v>5172</v>
      </c>
      <c r="O14" s="32">
        <v>120</v>
      </c>
      <c r="P14" s="36" t="s">
        <v>8</v>
      </c>
      <c r="Q14" s="12"/>
      <c r="R14" s="12"/>
      <c r="S14" s="6"/>
    </row>
    <row r="15" spans="1:19">
      <c r="A15" s="7" t="str">
        <f>VLOOKUP([1]ListOfRegions!A3,[1]ListOfRegions!A3:B77,2,0)</f>
        <v xml:space="preserve">  Έβρου</v>
      </c>
      <c r="B15" s="8">
        <v>34215.976999999999</v>
      </c>
      <c r="C15" s="9">
        <v>17159.447</v>
      </c>
      <c r="D15" s="10">
        <v>357.9</v>
      </c>
      <c r="E15" s="10">
        <v>7000.6540000000005</v>
      </c>
      <c r="F15" s="10">
        <v>9800.893</v>
      </c>
      <c r="G15" s="13" t="s">
        <v>6</v>
      </c>
      <c r="H15" s="10">
        <v>9341.6899999999987</v>
      </c>
      <c r="I15" s="10">
        <v>329.81</v>
      </c>
      <c r="J15" s="10">
        <v>9011.8799999999992</v>
      </c>
      <c r="K15" s="13" t="s">
        <v>6</v>
      </c>
      <c r="L15" s="11">
        <v>7714.84</v>
      </c>
      <c r="M15" s="10">
        <v>298.25</v>
      </c>
      <c r="N15" s="10">
        <v>7416.59</v>
      </c>
      <c r="O15" s="40" t="s">
        <v>6</v>
      </c>
      <c r="P15" s="36" t="s">
        <v>9</v>
      </c>
      <c r="Q15" s="12"/>
      <c r="R15" s="12"/>
      <c r="S15" s="6"/>
    </row>
    <row r="16" spans="1:19">
      <c r="A16" s="7" t="str">
        <f>VLOOKUP([1]ListOfRegions!A4,[1]ListOfRegions!A4:B78,2,0)</f>
        <v xml:space="preserve">  Θάσου</v>
      </c>
      <c r="B16" s="8">
        <v>2914.49</v>
      </c>
      <c r="C16" s="9">
        <v>0</v>
      </c>
      <c r="D16" s="13" t="s">
        <v>6</v>
      </c>
      <c r="E16" s="13" t="s">
        <v>6</v>
      </c>
      <c r="F16" s="13" t="s">
        <v>6</v>
      </c>
      <c r="G16" s="13" t="s">
        <v>6</v>
      </c>
      <c r="H16" s="10">
        <v>1794.01</v>
      </c>
      <c r="I16" s="10">
        <v>17.66</v>
      </c>
      <c r="J16" s="10">
        <v>1776.35</v>
      </c>
      <c r="K16" s="13" t="s">
        <v>6</v>
      </c>
      <c r="L16" s="11">
        <v>1120.48</v>
      </c>
      <c r="M16" s="10">
        <v>14.73</v>
      </c>
      <c r="N16" s="10">
        <v>1105.75</v>
      </c>
      <c r="O16" s="40" t="s">
        <v>6</v>
      </c>
      <c r="P16" s="36" t="s">
        <v>10</v>
      </c>
      <c r="Q16" s="12"/>
      <c r="R16" s="12"/>
      <c r="S16" s="6"/>
    </row>
    <row r="17" spans="1:19">
      <c r="A17" s="7" t="str">
        <f>VLOOKUP([1]ListOfRegions!A5,[1]ListOfRegions!A5:B79,2,0)</f>
        <v xml:space="preserve">  Καβάλας</v>
      </c>
      <c r="B17" s="8">
        <v>16432.575000000001</v>
      </c>
      <c r="C17" s="9">
        <v>7753.1</v>
      </c>
      <c r="D17" s="10">
        <v>224.1</v>
      </c>
      <c r="E17" s="10">
        <v>7225</v>
      </c>
      <c r="F17" s="10">
        <v>304</v>
      </c>
      <c r="G17" s="13" t="s">
        <v>6</v>
      </c>
      <c r="H17" s="10">
        <v>4566.43</v>
      </c>
      <c r="I17" s="10">
        <v>59.58</v>
      </c>
      <c r="J17" s="10">
        <v>4506.8500000000004</v>
      </c>
      <c r="K17" s="13" t="s">
        <v>6</v>
      </c>
      <c r="L17" s="11">
        <v>4113.0450000000001</v>
      </c>
      <c r="M17" s="10">
        <v>207.45500000000001</v>
      </c>
      <c r="N17" s="10">
        <v>3812.39</v>
      </c>
      <c r="O17" s="32">
        <v>93.2</v>
      </c>
      <c r="P17" s="36" t="s">
        <v>11</v>
      </c>
      <c r="Q17" s="12"/>
      <c r="R17" s="12"/>
      <c r="S17" s="6"/>
    </row>
    <row r="18" spans="1:19">
      <c r="A18" s="7" t="str">
        <f>VLOOKUP([1]ListOfRegions!A6,[1]ListOfRegions!A6:B80,2,0)</f>
        <v xml:space="preserve">  Ξάνθης</v>
      </c>
      <c r="B18" s="8">
        <v>47896.307999999997</v>
      </c>
      <c r="C18" s="9">
        <v>38774.216</v>
      </c>
      <c r="D18" s="10">
        <v>301.5</v>
      </c>
      <c r="E18" s="10">
        <v>15266.14</v>
      </c>
      <c r="F18" s="10">
        <v>23206.576000000001</v>
      </c>
      <c r="G18" s="13" t="s">
        <v>6</v>
      </c>
      <c r="H18" s="10">
        <v>6171.25</v>
      </c>
      <c r="I18" s="13" t="s">
        <v>6</v>
      </c>
      <c r="J18" s="10">
        <v>6171.25</v>
      </c>
      <c r="K18" s="13" t="s">
        <v>6</v>
      </c>
      <c r="L18" s="11">
        <v>2950.8420000000001</v>
      </c>
      <c r="M18" s="10">
        <v>53.061999999999998</v>
      </c>
      <c r="N18" s="10">
        <v>2897.78</v>
      </c>
      <c r="O18" s="40" t="s">
        <v>6</v>
      </c>
      <c r="P18" s="36" t="s">
        <v>12</v>
      </c>
      <c r="Q18" s="12"/>
      <c r="R18" s="12"/>
      <c r="S18" s="6"/>
    </row>
    <row r="19" spans="1:19">
      <c r="A19" s="73" t="s">
        <v>13</v>
      </c>
      <c r="B19" s="74">
        <v>619755.5199999999</v>
      </c>
      <c r="C19" s="75">
        <v>384054.42099999997</v>
      </c>
      <c r="D19" s="76">
        <v>3556.04</v>
      </c>
      <c r="E19" s="76">
        <v>242399.64999999997</v>
      </c>
      <c r="F19" s="76">
        <v>138098.731</v>
      </c>
      <c r="G19" s="76">
        <v>140.80000000000001</v>
      </c>
      <c r="H19" s="76">
        <v>141977.25599999999</v>
      </c>
      <c r="I19" s="76">
        <v>1365.5800000000002</v>
      </c>
      <c r="J19" s="76">
        <v>140390.77600000001</v>
      </c>
      <c r="K19" s="76">
        <v>220.89999999999998</v>
      </c>
      <c r="L19" s="77">
        <v>93583.042999999991</v>
      </c>
      <c r="M19" s="78">
        <v>4894.9980000000005</v>
      </c>
      <c r="N19" s="79">
        <v>87247.14499999999</v>
      </c>
      <c r="O19" s="80">
        <v>1440.9</v>
      </c>
      <c r="P19" s="83" t="s">
        <v>14</v>
      </c>
      <c r="Q19" s="83"/>
      <c r="R19" s="83"/>
      <c r="S19" s="6"/>
    </row>
    <row r="20" spans="1:19">
      <c r="A20" s="73"/>
      <c r="B20" s="74"/>
      <c r="C20" s="75"/>
      <c r="D20" s="76"/>
      <c r="E20" s="76"/>
      <c r="F20" s="76"/>
      <c r="G20" s="76"/>
      <c r="H20" s="76"/>
      <c r="I20" s="76"/>
      <c r="J20" s="76"/>
      <c r="K20" s="76"/>
      <c r="L20" s="77"/>
      <c r="M20" s="78"/>
      <c r="N20" s="79"/>
      <c r="O20" s="80"/>
      <c r="P20" s="83"/>
      <c r="Q20" s="83"/>
      <c r="R20" s="83"/>
      <c r="S20" s="6"/>
    </row>
    <row r="21" spans="1:19">
      <c r="A21" s="7" t="str">
        <f>VLOOKUP([1]ListOfRegions!A7,[1]ListOfRegions!A7:B81,2,0)</f>
        <v xml:space="preserve">  Θεσσαλονίκης</v>
      </c>
      <c r="B21" s="8">
        <v>215129.52999999997</v>
      </c>
      <c r="C21" s="9">
        <v>172822.9</v>
      </c>
      <c r="D21" s="13" t="s">
        <v>6</v>
      </c>
      <c r="E21" s="10">
        <v>120846.9</v>
      </c>
      <c r="F21" s="10">
        <v>51976</v>
      </c>
      <c r="G21" s="10">
        <v>136</v>
      </c>
      <c r="H21" s="10">
        <v>22203.989999999998</v>
      </c>
      <c r="I21" s="10">
        <v>169.98</v>
      </c>
      <c r="J21" s="10">
        <v>21967.71</v>
      </c>
      <c r="K21" s="10">
        <v>66.3</v>
      </c>
      <c r="L21" s="11">
        <v>19966.64</v>
      </c>
      <c r="M21" s="10">
        <v>301.51</v>
      </c>
      <c r="N21" s="10">
        <v>18399.23</v>
      </c>
      <c r="O21" s="32">
        <v>1265.9000000000001</v>
      </c>
      <c r="P21" s="36" t="s">
        <v>15</v>
      </c>
      <c r="Q21" s="12"/>
      <c r="R21" s="12"/>
      <c r="S21" s="6"/>
    </row>
    <row r="22" spans="1:19">
      <c r="A22" s="7" t="str">
        <f>VLOOKUP([1]ListOfRegions!A8,[1]ListOfRegions!A8:B82,2,0)</f>
        <v xml:space="preserve">  Ημαθίας</v>
      </c>
      <c r="B22" s="8">
        <v>25638.330999999998</v>
      </c>
      <c r="C22" s="9">
        <v>12243.7</v>
      </c>
      <c r="D22" s="10">
        <v>38</v>
      </c>
      <c r="E22" s="10">
        <v>8701.5</v>
      </c>
      <c r="F22" s="10">
        <v>3504.2</v>
      </c>
      <c r="G22" s="13" t="s">
        <v>6</v>
      </c>
      <c r="H22" s="10">
        <v>10006.405999999999</v>
      </c>
      <c r="I22" s="10">
        <v>134.08000000000001</v>
      </c>
      <c r="J22" s="10">
        <v>9872.3259999999991</v>
      </c>
      <c r="K22" s="13" t="s">
        <v>6</v>
      </c>
      <c r="L22" s="11">
        <v>3388.2250000000004</v>
      </c>
      <c r="M22" s="10">
        <v>199</v>
      </c>
      <c r="N22" s="10">
        <v>3179.4250000000002</v>
      </c>
      <c r="O22" s="32">
        <v>9.8000000000000007</v>
      </c>
      <c r="P22" s="36" t="s">
        <v>16</v>
      </c>
      <c r="Q22" s="12"/>
      <c r="R22" s="12"/>
      <c r="S22" s="6"/>
    </row>
    <row r="23" spans="1:19">
      <c r="A23" s="7" t="str">
        <f>VLOOKUP([1]ListOfRegions!A9,[1]ListOfRegions!A9:B83,2,0)</f>
        <v xml:space="preserve">  Κιλκίς</v>
      </c>
      <c r="B23" s="8">
        <v>58464.85</v>
      </c>
      <c r="C23" s="9">
        <v>39556</v>
      </c>
      <c r="D23" s="10">
        <v>80</v>
      </c>
      <c r="E23" s="10">
        <v>15941.8</v>
      </c>
      <c r="F23" s="10">
        <v>23534.2</v>
      </c>
      <c r="G23" s="13" t="s">
        <v>6</v>
      </c>
      <c r="H23" s="10">
        <v>13264.5</v>
      </c>
      <c r="I23" s="10">
        <v>8.2899999999999991</v>
      </c>
      <c r="J23" s="10">
        <v>13256.21</v>
      </c>
      <c r="K23" s="13" t="s">
        <v>6</v>
      </c>
      <c r="L23" s="11">
        <v>5644.35</v>
      </c>
      <c r="M23" s="10">
        <v>22.55</v>
      </c>
      <c r="N23" s="10">
        <v>5616.6</v>
      </c>
      <c r="O23" s="32">
        <v>5.2</v>
      </c>
      <c r="P23" s="36" t="s">
        <v>17</v>
      </c>
      <c r="Q23" s="12"/>
      <c r="R23" s="12"/>
      <c r="S23" s="6"/>
    </row>
    <row r="24" spans="1:19">
      <c r="A24" s="7" t="str">
        <f>VLOOKUP([1]ListOfRegions!A10,[1]ListOfRegions!A10:B84,2,0)</f>
        <v xml:space="preserve">  Πέλλας</v>
      </c>
      <c r="B24" s="8">
        <v>57624.490000000005</v>
      </c>
      <c r="C24" s="9">
        <v>32908.410000000003</v>
      </c>
      <c r="D24" s="10">
        <v>47</v>
      </c>
      <c r="E24" s="10">
        <v>20018.91</v>
      </c>
      <c r="F24" s="10">
        <v>12842.5</v>
      </c>
      <c r="G24" s="10">
        <v>4.8</v>
      </c>
      <c r="H24" s="10">
        <v>17084.53</v>
      </c>
      <c r="I24" s="10">
        <v>332.57</v>
      </c>
      <c r="J24" s="10">
        <v>16597.36</v>
      </c>
      <c r="K24" s="10">
        <v>154.6</v>
      </c>
      <c r="L24" s="11">
        <v>7626.75</v>
      </c>
      <c r="M24" s="10">
        <v>513.69500000000005</v>
      </c>
      <c r="N24" s="10">
        <v>7113.0550000000003</v>
      </c>
      <c r="O24" s="40" t="s">
        <v>6</v>
      </c>
      <c r="P24" s="36" t="s">
        <v>18</v>
      </c>
      <c r="Q24" s="12"/>
      <c r="R24" s="12"/>
      <c r="S24" s="6"/>
    </row>
    <row r="25" spans="1:19">
      <c r="A25" s="7" t="str">
        <f>VLOOKUP([1]ListOfRegions!A11,[1]ListOfRegions!A11:B85,2,0)</f>
        <v xml:space="preserve">  Πιερίας</v>
      </c>
      <c r="B25" s="8">
        <v>38243.084999999999</v>
      </c>
      <c r="C25" s="9">
        <v>11518</v>
      </c>
      <c r="D25" s="10">
        <v>252</v>
      </c>
      <c r="E25" s="10">
        <v>10566</v>
      </c>
      <c r="F25" s="10">
        <v>700</v>
      </c>
      <c r="G25" s="13" t="s">
        <v>6</v>
      </c>
      <c r="H25" s="10">
        <v>16704.23</v>
      </c>
      <c r="I25" s="10">
        <v>441.18</v>
      </c>
      <c r="J25" s="10">
        <v>16263.05</v>
      </c>
      <c r="K25" s="13" t="s">
        <v>6</v>
      </c>
      <c r="L25" s="11">
        <v>10020.855</v>
      </c>
      <c r="M25" s="10">
        <v>2142.12</v>
      </c>
      <c r="N25" s="10">
        <v>7878.7349999999997</v>
      </c>
      <c r="O25" s="40" t="s">
        <v>6</v>
      </c>
      <c r="P25" s="36" t="s">
        <v>19</v>
      </c>
      <c r="Q25" s="12"/>
      <c r="R25" s="12"/>
      <c r="S25" s="6"/>
    </row>
    <row r="26" spans="1:19">
      <c r="A26" s="7" t="str">
        <f>VLOOKUP([1]ListOfRegions!A12,[1]ListOfRegions!A12:B86,2,0)</f>
        <v xml:space="preserve">  Σερρών</v>
      </c>
      <c r="B26" s="8">
        <v>85928.824999999997</v>
      </c>
      <c r="C26" s="9">
        <v>54272.1</v>
      </c>
      <c r="D26" s="10">
        <v>182.5</v>
      </c>
      <c r="E26" s="10">
        <v>23996.799999999999</v>
      </c>
      <c r="F26" s="10">
        <v>30092.799999999999</v>
      </c>
      <c r="G26" s="13" t="s">
        <v>6</v>
      </c>
      <c r="H26" s="10">
        <v>19148.73</v>
      </c>
      <c r="I26" s="10">
        <v>65.97</v>
      </c>
      <c r="J26" s="10">
        <v>19082.759999999998</v>
      </c>
      <c r="K26" s="13" t="s">
        <v>6</v>
      </c>
      <c r="L26" s="11">
        <v>12507.994999999999</v>
      </c>
      <c r="M26" s="10">
        <v>458.11500000000001</v>
      </c>
      <c r="N26" s="10">
        <v>12049.88</v>
      </c>
      <c r="O26" s="40" t="s">
        <v>6</v>
      </c>
      <c r="P26" s="36" t="s">
        <v>20</v>
      </c>
      <c r="Q26" s="12"/>
      <c r="R26" s="12"/>
      <c r="S26" s="6"/>
    </row>
    <row r="27" spans="1:19">
      <c r="A27" s="7" t="str">
        <f>VLOOKUP([1]ListOfRegions!A13,[1]ListOfRegions!A13:B87,2,0)</f>
        <v xml:space="preserve">  Χαλκιδικής</v>
      </c>
      <c r="B27" s="8">
        <v>25008.010000000002</v>
      </c>
      <c r="C27" s="9">
        <v>2656.9300000000003</v>
      </c>
      <c r="D27" s="10">
        <v>12.48</v>
      </c>
      <c r="E27" s="10">
        <v>1636.45</v>
      </c>
      <c r="F27" s="10">
        <v>1008</v>
      </c>
      <c r="G27" s="13" t="s">
        <v>6</v>
      </c>
      <c r="H27" s="10">
        <v>7180.3</v>
      </c>
      <c r="I27" s="10">
        <v>126.05</v>
      </c>
      <c r="J27" s="10">
        <v>7054.25</v>
      </c>
      <c r="K27" s="13" t="s">
        <v>6</v>
      </c>
      <c r="L27" s="11">
        <v>15170.78</v>
      </c>
      <c r="M27" s="10">
        <v>522.6</v>
      </c>
      <c r="N27" s="10">
        <v>14488.18</v>
      </c>
      <c r="O27" s="32">
        <v>160</v>
      </c>
      <c r="P27" s="36" t="s">
        <v>21</v>
      </c>
      <c r="Q27" s="12"/>
      <c r="R27" s="12"/>
      <c r="S27" s="6"/>
    </row>
    <row r="28" spans="1:19">
      <c r="A28" s="7" t="str">
        <f>VLOOKUP([1]ListOfRegions!A14,[1]ListOfRegions!A14:B88,2,0)</f>
        <v xml:space="preserve">  Κοζάνης</v>
      </c>
      <c r="B28" s="8">
        <v>38138.998999999996</v>
      </c>
      <c r="C28" s="9">
        <v>13897.651</v>
      </c>
      <c r="D28" s="10">
        <v>1059.06</v>
      </c>
      <c r="E28" s="10">
        <v>11073.86</v>
      </c>
      <c r="F28" s="10">
        <v>1764.731</v>
      </c>
      <c r="G28" s="13" t="s">
        <v>6</v>
      </c>
      <c r="H28" s="10">
        <v>14949.994999999999</v>
      </c>
      <c r="I28" s="10">
        <v>43.99</v>
      </c>
      <c r="J28" s="10">
        <v>14906.004999999999</v>
      </c>
      <c r="K28" s="13" t="s">
        <v>6</v>
      </c>
      <c r="L28" s="11">
        <v>9291.3529999999992</v>
      </c>
      <c r="M28" s="10">
        <v>529.64800000000002</v>
      </c>
      <c r="N28" s="10">
        <v>8761.7049999999999</v>
      </c>
      <c r="O28" s="40" t="s">
        <v>6</v>
      </c>
      <c r="P28" s="36" t="s">
        <v>22</v>
      </c>
      <c r="Q28" s="12"/>
      <c r="R28" s="12"/>
      <c r="S28" s="6"/>
    </row>
    <row r="29" spans="1:19">
      <c r="A29" s="7" t="str">
        <f>VLOOKUP([1]ListOfRegions!A15,[1]ListOfRegions!A15:B89,2,0)</f>
        <v xml:space="preserve">  Γρεβενών</v>
      </c>
      <c r="B29" s="8">
        <v>16944.439999999999</v>
      </c>
      <c r="C29" s="9">
        <v>4934.1299999999992</v>
      </c>
      <c r="D29" s="10">
        <v>1.8</v>
      </c>
      <c r="E29" s="10">
        <v>644.42999999999995</v>
      </c>
      <c r="F29" s="10">
        <v>4287.8999999999996</v>
      </c>
      <c r="G29" s="13" t="s">
        <v>6</v>
      </c>
      <c r="H29" s="10">
        <v>6843.86</v>
      </c>
      <c r="I29" s="10">
        <v>29</v>
      </c>
      <c r="J29" s="10">
        <v>6814.86</v>
      </c>
      <c r="K29" s="13" t="s">
        <v>6</v>
      </c>
      <c r="L29" s="11">
        <v>5166.45</v>
      </c>
      <c r="M29" s="10">
        <v>138.9</v>
      </c>
      <c r="N29" s="10">
        <v>5027.55</v>
      </c>
      <c r="O29" s="40" t="s">
        <v>6</v>
      </c>
      <c r="P29" s="36" t="s">
        <v>23</v>
      </c>
      <c r="Q29" s="12"/>
      <c r="R29" s="12"/>
      <c r="S29" s="6"/>
    </row>
    <row r="30" spans="1:19">
      <c r="A30" s="7" t="str">
        <f>VLOOKUP([1]ListOfRegions!A16,[1]ListOfRegions!A16:B90,2,0)</f>
        <v xml:space="preserve">  Καστοριάς</v>
      </c>
      <c r="B30" s="8">
        <v>9423.7300000000014</v>
      </c>
      <c r="C30" s="9">
        <v>1446.6000000000001</v>
      </c>
      <c r="D30" s="10">
        <v>275.2</v>
      </c>
      <c r="E30" s="10">
        <v>1120.4000000000001</v>
      </c>
      <c r="F30" s="10">
        <v>51</v>
      </c>
      <c r="G30" s="13" t="s">
        <v>6</v>
      </c>
      <c r="H30" s="10">
        <v>5689.81</v>
      </c>
      <c r="I30" s="10">
        <v>14.47</v>
      </c>
      <c r="J30" s="10">
        <v>5675.34</v>
      </c>
      <c r="K30" s="13" t="s">
        <v>6</v>
      </c>
      <c r="L30" s="11">
        <v>2287.3200000000002</v>
      </c>
      <c r="M30" s="10">
        <v>42.34</v>
      </c>
      <c r="N30" s="10">
        <v>2244.98</v>
      </c>
      <c r="O30" s="40" t="s">
        <v>6</v>
      </c>
      <c r="P30" s="36" t="s">
        <v>24</v>
      </c>
      <c r="Q30" s="12"/>
      <c r="R30" s="12"/>
      <c r="S30" s="6"/>
    </row>
    <row r="31" spans="1:19">
      <c r="A31" s="7" t="str">
        <f>VLOOKUP([1]ListOfRegions!A17,[1]ListOfRegions!A17:B91,2,0)</f>
        <v xml:space="preserve">  Φλώρινας</v>
      </c>
      <c r="B31" s="8">
        <v>49211.229999999996</v>
      </c>
      <c r="C31" s="9">
        <v>37798</v>
      </c>
      <c r="D31" s="10">
        <v>1608</v>
      </c>
      <c r="E31" s="10">
        <v>27852.6</v>
      </c>
      <c r="F31" s="10">
        <v>8337.4</v>
      </c>
      <c r="G31" s="13" t="s">
        <v>6</v>
      </c>
      <c r="H31" s="10">
        <v>8900.9050000000007</v>
      </c>
      <c r="I31" s="13" t="s">
        <v>6</v>
      </c>
      <c r="J31" s="10">
        <v>8900.9050000000007</v>
      </c>
      <c r="K31" s="13" t="s">
        <v>6</v>
      </c>
      <c r="L31" s="11">
        <v>2512.3249999999998</v>
      </c>
      <c r="M31" s="10">
        <v>24.52</v>
      </c>
      <c r="N31" s="10">
        <v>2487.8049999999998</v>
      </c>
      <c r="O31" s="40" t="s">
        <v>6</v>
      </c>
      <c r="P31" s="36" t="s">
        <v>25</v>
      </c>
      <c r="Q31" s="12"/>
      <c r="R31" s="12"/>
      <c r="S31" s="6"/>
    </row>
    <row r="32" spans="1:19">
      <c r="A32" s="73" t="s">
        <v>26</v>
      </c>
      <c r="B32" s="74">
        <v>146283.33600000001</v>
      </c>
      <c r="C32" s="75">
        <v>32328.55</v>
      </c>
      <c r="D32" s="76">
        <v>1902.5</v>
      </c>
      <c r="E32" s="76">
        <v>13001.699999999999</v>
      </c>
      <c r="F32" s="76">
        <v>17424.349999999999</v>
      </c>
      <c r="G32" s="76">
        <v>0</v>
      </c>
      <c r="H32" s="76">
        <v>88003.570999999996</v>
      </c>
      <c r="I32" s="76">
        <v>8327.9810000000016</v>
      </c>
      <c r="J32" s="76">
        <v>73939.244999999995</v>
      </c>
      <c r="K32" s="76">
        <v>5736.3450000000003</v>
      </c>
      <c r="L32" s="77">
        <v>25951.215</v>
      </c>
      <c r="M32" s="78">
        <v>5893.6049999999996</v>
      </c>
      <c r="N32" s="79">
        <v>18561.939999999999</v>
      </c>
      <c r="O32" s="80">
        <v>1495.67</v>
      </c>
      <c r="P32" s="84" t="s">
        <v>27</v>
      </c>
      <c r="Q32" s="84"/>
      <c r="R32" s="84"/>
      <c r="S32" s="6"/>
    </row>
    <row r="33" spans="1:19">
      <c r="A33" s="73"/>
      <c r="B33" s="74"/>
      <c r="C33" s="75"/>
      <c r="D33" s="76"/>
      <c r="E33" s="76"/>
      <c r="F33" s="76"/>
      <c r="G33" s="76"/>
      <c r="H33" s="76"/>
      <c r="I33" s="76"/>
      <c r="J33" s="76"/>
      <c r="K33" s="76"/>
      <c r="L33" s="77"/>
      <c r="M33" s="78"/>
      <c r="N33" s="79"/>
      <c r="O33" s="80"/>
      <c r="P33" s="84"/>
      <c r="Q33" s="84"/>
      <c r="R33" s="84"/>
      <c r="S33" s="6"/>
    </row>
    <row r="34" spans="1:19">
      <c r="A34" s="7" t="str">
        <f>VLOOKUP([1]ListOfRegions!A18,[1]ListOfRegions!A18:B92,2,0)</f>
        <v xml:space="preserve">  Ιωαννίνων</v>
      </c>
      <c r="B34" s="8">
        <v>54205.215000000004</v>
      </c>
      <c r="C34" s="9">
        <v>11930.45</v>
      </c>
      <c r="D34" s="10">
        <v>1331.3</v>
      </c>
      <c r="E34" s="10">
        <v>3889.9</v>
      </c>
      <c r="F34" s="10">
        <v>6709.25</v>
      </c>
      <c r="G34" s="13" t="s">
        <v>6</v>
      </c>
      <c r="H34" s="10">
        <v>33470.614999999998</v>
      </c>
      <c r="I34" s="10">
        <v>990.47500000000002</v>
      </c>
      <c r="J34" s="10">
        <v>31882.14</v>
      </c>
      <c r="K34" s="10">
        <v>598</v>
      </c>
      <c r="L34" s="11">
        <v>8804.15</v>
      </c>
      <c r="M34" s="10">
        <v>1087.19</v>
      </c>
      <c r="N34" s="10">
        <v>7221.96</v>
      </c>
      <c r="O34" s="32">
        <v>495</v>
      </c>
      <c r="P34" s="36" t="s">
        <v>28</v>
      </c>
      <c r="Q34" s="12"/>
      <c r="R34" s="12"/>
      <c r="S34" s="6"/>
    </row>
    <row r="35" spans="1:19">
      <c r="A35" s="7" t="str">
        <f>VLOOKUP([1]ListOfRegions!A19,[1]ListOfRegions!A19:B93,2,0)</f>
        <v xml:space="preserve">  Άρτας</v>
      </c>
      <c r="B35" s="8">
        <v>33816.800000000003</v>
      </c>
      <c r="C35" s="9">
        <v>5012.8999999999996</v>
      </c>
      <c r="D35" s="10">
        <v>55</v>
      </c>
      <c r="E35" s="10">
        <v>3761.9</v>
      </c>
      <c r="F35" s="10">
        <v>1196</v>
      </c>
      <c r="G35" s="13" t="s">
        <v>6</v>
      </c>
      <c r="H35" s="10">
        <v>22633.360000000001</v>
      </c>
      <c r="I35" s="10">
        <v>5551.05</v>
      </c>
      <c r="J35" s="10">
        <v>14440.7</v>
      </c>
      <c r="K35" s="10">
        <v>2641.61</v>
      </c>
      <c r="L35" s="11">
        <v>6170.5400000000009</v>
      </c>
      <c r="M35" s="10">
        <v>3126.14</v>
      </c>
      <c r="N35" s="10">
        <v>2640.8</v>
      </c>
      <c r="O35" s="32">
        <v>403.6</v>
      </c>
      <c r="P35" s="36" t="s">
        <v>29</v>
      </c>
      <c r="Q35" s="12"/>
      <c r="R35" s="12"/>
      <c r="S35" s="6"/>
    </row>
    <row r="36" spans="1:19">
      <c r="A36" s="7" t="str">
        <f>VLOOKUP([1]ListOfRegions!A20,[1]ListOfRegions!A20:B94,2,0)</f>
        <v xml:space="preserve">  Θεσπρωτίας</v>
      </c>
      <c r="B36" s="8">
        <v>16791.465</v>
      </c>
      <c r="C36" s="9">
        <v>1187.7</v>
      </c>
      <c r="D36" s="10">
        <v>115.2</v>
      </c>
      <c r="E36" s="10">
        <v>1000.5</v>
      </c>
      <c r="F36" s="10">
        <v>72</v>
      </c>
      <c r="G36" s="13" t="s">
        <v>6</v>
      </c>
      <c r="H36" s="10">
        <v>10015.545</v>
      </c>
      <c r="I36" s="10">
        <v>932.39</v>
      </c>
      <c r="J36" s="10">
        <v>7271.22</v>
      </c>
      <c r="K36" s="10">
        <v>1811.9349999999999</v>
      </c>
      <c r="L36" s="11">
        <v>5588.2199999999993</v>
      </c>
      <c r="M36" s="10">
        <v>401.03</v>
      </c>
      <c r="N36" s="10">
        <v>4622.07</v>
      </c>
      <c r="O36" s="32">
        <v>565.12</v>
      </c>
      <c r="P36" s="36" t="s">
        <v>30</v>
      </c>
      <c r="Q36" s="12"/>
      <c r="R36" s="12"/>
      <c r="S36" s="6"/>
    </row>
    <row r="37" spans="1:19">
      <c r="A37" s="7" t="str">
        <f>VLOOKUP([1]ListOfRegions!A21,[1]ListOfRegions!A21:B95,2,0)</f>
        <v xml:space="preserve">  Πρέβεζας</v>
      </c>
      <c r="B37" s="8">
        <v>41469.856</v>
      </c>
      <c r="C37" s="9">
        <v>14197.5</v>
      </c>
      <c r="D37" s="10">
        <v>401</v>
      </c>
      <c r="E37" s="10">
        <v>4349.3999999999996</v>
      </c>
      <c r="F37" s="10">
        <v>9447.1</v>
      </c>
      <c r="G37" s="13" t="s">
        <v>6</v>
      </c>
      <c r="H37" s="10">
        <v>21884.050999999999</v>
      </c>
      <c r="I37" s="10">
        <v>854.06600000000003</v>
      </c>
      <c r="J37" s="10">
        <v>20345.185000000001</v>
      </c>
      <c r="K37" s="10">
        <v>684.8</v>
      </c>
      <c r="L37" s="11">
        <v>5388.3049999999994</v>
      </c>
      <c r="M37" s="10">
        <v>1279.2449999999999</v>
      </c>
      <c r="N37" s="10">
        <v>4077.11</v>
      </c>
      <c r="O37" s="32">
        <v>31.95</v>
      </c>
      <c r="P37" s="36" t="s">
        <v>31</v>
      </c>
      <c r="Q37" s="12"/>
      <c r="R37" s="12"/>
      <c r="S37" s="6"/>
    </row>
    <row r="38" spans="1:19">
      <c r="A38" s="73" t="s">
        <v>32</v>
      </c>
      <c r="B38" s="74">
        <v>315011.61400000006</v>
      </c>
      <c r="C38" s="75">
        <v>141788.29999999999</v>
      </c>
      <c r="D38" s="76">
        <v>1375.1999999999998</v>
      </c>
      <c r="E38" s="76">
        <v>79657.899999999994</v>
      </c>
      <c r="F38" s="76">
        <v>60755.199999999997</v>
      </c>
      <c r="G38" s="76">
        <v>0</v>
      </c>
      <c r="H38" s="76">
        <v>121716.10500000001</v>
      </c>
      <c r="I38" s="76">
        <v>1542.472</v>
      </c>
      <c r="J38" s="76">
        <v>101627.21299999999</v>
      </c>
      <c r="K38" s="76">
        <v>18546.419999999998</v>
      </c>
      <c r="L38" s="77">
        <v>51507.209000000003</v>
      </c>
      <c r="M38" s="78">
        <v>2794.9550000000004</v>
      </c>
      <c r="N38" s="79">
        <v>42680.804000000004</v>
      </c>
      <c r="O38" s="80">
        <v>6031.45</v>
      </c>
      <c r="P38" s="84" t="s">
        <v>33</v>
      </c>
      <c r="Q38" s="84"/>
      <c r="R38" s="84"/>
      <c r="S38" s="6"/>
    </row>
    <row r="39" spans="1:19">
      <c r="A39" s="73"/>
      <c r="B39" s="74"/>
      <c r="C39" s="75"/>
      <c r="D39" s="76"/>
      <c r="E39" s="76"/>
      <c r="F39" s="76"/>
      <c r="G39" s="76"/>
      <c r="H39" s="76"/>
      <c r="I39" s="76"/>
      <c r="J39" s="76"/>
      <c r="K39" s="76"/>
      <c r="L39" s="77"/>
      <c r="M39" s="78"/>
      <c r="N39" s="79"/>
      <c r="O39" s="80"/>
      <c r="P39" s="84"/>
      <c r="Q39" s="84"/>
      <c r="R39" s="84"/>
      <c r="S39" s="6"/>
    </row>
    <row r="40" spans="1:19">
      <c r="A40" s="7" t="str">
        <f>VLOOKUP([1]ListOfRegions!A22,[1]ListOfRegions!A22:B96,2,0)</f>
        <v xml:space="preserve">  Λάρισας</v>
      </c>
      <c r="B40" s="8">
        <v>204233.992</v>
      </c>
      <c r="C40" s="9">
        <v>103237.45</v>
      </c>
      <c r="D40" s="10">
        <v>23.85</v>
      </c>
      <c r="E40" s="10">
        <v>53966.9</v>
      </c>
      <c r="F40" s="10">
        <v>49246.7</v>
      </c>
      <c r="G40" s="13" t="s">
        <v>6</v>
      </c>
      <c r="H40" s="10">
        <v>71879.3</v>
      </c>
      <c r="I40" s="10">
        <v>320.8</v>
      </c>
      <c r="J40" s="10">
        <v>58282.21</v>
      </c>
      <c r="K40" s="10">
        <v>13276.29</v>
      </c>
      <c r="L40" s="11">
        <v>29117.242000000002</v>
      </c>
      <c r="M40" s="10">
        <v>947.65</v>
      </c>
      <c r="N40" s="10">
        <v>24125.656999999999</v>
      </c>
      <c r="O40" s="32">
        <v>4043.9349999999999</v>
      </c>
      <c r="P40" s="36" t="s">
        <v>34</v>
      </c>
      <c r="Q40" s="12"/>
      <c r="R40" s="12"/>
      <c r="S40" s="6"/>
    </row>
    <row r="41" spans="1:19">
      <c r="A41" s="7" t="str">
        <f>VLOOKUP([1]ListOfRegions!A23,[1]ListOfRegions!A23:B97,2,0)</f>
        <v xml:space="preserve">  Καρδίτσας</v>
      </c>
      <c r="B41" s="8">
        <v>25149.142</v>
      </c>
      <c r="C41" s="9">
        <v>8789.9500000000007</v>
      </c>
      <c r="D41" s="10">
        <v>6.25</v>
      </c>
      <c r="E41" s="10">
        <v>7966.7</v>
      </c>
      <c r="F41" s="10">
        <v>817</v>
      </c>
      <c r="G41" s="13" t="s">
        <v>6</v>
      </c>
      <c r="H41" s="10">
        <v>13809.739999999998</v>
      </c>
      <c r="I41" s="10">
        <v>186.71199999999999</v>
      </c>
      <c r="J41" s="10">
        <v>12267.727999999999</v>
      </c>
      <c r="K41" s="10">
        <v>1355.3</v>
      </c>
      <c r="L41" s="11">
        <v>2549.4519999999998</v>
      </c>
      <c r="M41" s="10">
        <v>254.35</v>
      </c>
      <c r="N41" s="10">
        <v>2094.0819999999999</v>
      </c>
      <c r="O41" s="32">
        <v>201.02</v>
      </c>
      <c r="P41" s="36" t="s">
        <v>35</v>
      </c>
      <c r="Q41" s="12"/>
      <c r="R41" s="12"/>
      <c r="S41" s="6"/>
    </row>
    <row r="42" spans="1:19">
      <c r="A42" s="7" t="str">
        <f>VLOOKUP([1]ListOfRegions!A24,[1]ListOfRegions!A24:B98,2,0)</f>
        <v xml:space="preserve">  Μαγνησίας</v>
      </c>
      <c r="B42" s="8">
        <v>31806</v>
      </c>
      <c r="C42" s="9">
        <v>7921.1</v>
      </c>
      <c r="D42" s="13" t="s">
        <v>6</v>
      </c>
      <c r="E42" s="10">
        <v>5259.1</v>
      </c>
      <c r="F42" s="10">
        <v>2662</v>
      </c>
      <c r="G42" s="13" t="s">
        <v>6</v>
      </c>
      <c r="H42" s="10">
        <v>14529.72</v>
      </c>
      <c r="I42" s="10">
        <v>823.8</v>
      </c>
      <c r="J42" s="10">
        <v>13705.92</v>
      </c>
      <c r="K42" s="13" t="s">
        <v>6</v>
      </c>
      <c r="L42" s="11">
        <v>9355.18</v>
      </c>
      <c r="M42" s="10">
        <v>1128.43</v>
      </c>
      <c r="N42" s="10">
        <v>8226.75</v>
      </c>
      <c r="O42" s="40" t="s">
        <v>6</v>
      </c>
      <c r="P42" s="36" t="s">
        <v>36</v>
      </c>
      <c r="Q42" s="12"/>
      <c r="R42" s="12"/>
      <c r="S42" s="6"/>
    </row>
    <row r="43" spans="1:19">
      <c r="A43" s="7" t="str">
        <f>VLOOKUP([1]ListOfRegions!A25,[1]ListOfRegions!A25:B99,2,0)</f>
        <v xml:space="preserve">  Σποράδων</v>
      </c>
      <c r="B43" s="8">
        <v>1373.24</v>
      </c>
      <c r="C43" s="9">
        <v>0</v>
      </c>
      <c r="D43" s="13" t="s">
        <v>6</v>
      </c>
      <c r="E43" s="13" t="s">
        <v>6</v>
      </c>
      <c r="F43" s="13" t="s">
        <v>6</v>
      </c>
      <c r="G43" s="13" t="s">
        <v>6</v>
      </c>
      <c r="H43" s="10">
        <v>234.14000000000001</v>
      </c>
      <c r="I43" s="10">
        <v>50.24</v>
      </c>
      <c r="J43" s="10">
        <v>183.9</v>
      </c>
      <c r="K43" s="13" t="s">
        <v>6</v>
      </c>
      <c r="L43" s="11">
        <v>1139.0999999999999</v>
      </c>
      <c r="M43" s="10">
        <v>114.6</v>
      </c>
      <c r="N43" s="10">
        <v>1024.5</v>
      </c>
      <c r="O43" s="40" t="s">
        <v>6</v>
      </c>
      <c r="P43" s="36" t="s">
        <v>37</v>
      </c>
      <c r="Q43" s="12"/>
      <c r="R43" s="12"/>
      <c r="S43" s="6"/>
    </row>
    <row r="44" spans="1:19">
      <c r="A44" s="7" t="str">
        <f>VLOOKUP([1]ListOfRegions!A26,[1]ListOfRegions!A26:B100,2,0)</f>
        <v xml:space="preserve">  Τρικάλων</v>
      </c>
      <c r="B44" s="8">
        <v>52449.240000000005</v>
      </c>
      <c r="C44" s="9">
        <v>21839.800000000003</v>
      </c>
      <c r="D44" s="10">
        <v>1345.1</v>
      </c>
      <c r="E44" s="10">
        <v>12465.2</v>
      </c>
      <c r="F44" s="10">
        <v>8029.5</v>
      </c>
      <c r="G44" s="13" t="s">
        <v>6</v>
      </c>
      <c r="H44" s="10">
        <v>21263.205000000002</v>
      </c>
      <c r="I44" s="10">
        <v>160.91999999999999</v>
      </c>
      <c r="J44" s="10">
        <v>17187.455000000002</v>
      </c>
      <c r="K44" s="10">
        <v>3914.83</v>
      </c>
      <c r="L44" s="11">
        <v>9346.2350000000006</v>
      </c>
      <c r="M44" s="10">
        <v>349.92500000000001</v>
      </c>
      <c r="N44" s="10">
        <v>7209.8149999999996</v>
      </c>
      <c r="O44" s="32">
        <v>1786.4949999999999</v>
      </c>
      <c r="P44" s="36" t="s">
        <v>38</v>
      </c>
      <c r="Q44" s="12"/>
      <c r="R44" s="12"/>
      <c r="S44" s="6"/>
    </row>
    <row r="45" spans="1:19">
      <c r="A45" s="73" t="s">
        <v>39</v>
      </c>
      <c r="B45" s="74">
        <v>95912.05799999999</v>
      </c>
      <c r="C45" s="75">
        <v>14463.125</v>
      </c>
      <c r="D45" s="76">
        <v>1677.5</v>
      </c>
      <c r="E45" s="76">
        <v>6369.95</v>
      </c>
      <c r="F45" s="76">
        <v>6415.6750000000002</v>
      </c>
      <c r="G45" s="76">
        <v>12.32</v>
      </c>
      <c r="H45" s="76">
        <v>44240.071000000004</v>
      </c>
      <c r="I45" s="76">
        <v>6397.0640000000003</v>
      </c>
      <c r="J45" s="76">
        <v>36639.081999999995</v>
      </c>
      <c r="K45" s="76">
        <v>1203.925</v>
      </c>
      <c r="L45" s="77">
        <v>37196.541999999994</v>
      </c>
      <c r="M45" s="78">
        <v>8790.2899999999991</v>
      </c>
      <c r="N45" s="79">
        <v>28159.451999999997</v>
      </c>
      <c r="O45" s="80">
        <v>246.8</v>
      </c>
      <c r="P45" s="84" t="s">
        <v>40</v>
      </c>
      <c r="Q45" s="84"/>
      <c r="R45" s="84"/>
      <c r="S45" s="6"/>
    </row>
    <row r="46" spans="1:19">
      <c r="A46" s="73"/>
      <c r="B46" s="74"/>
      <c r="C46" s="75"/>
      <c r="D46" s="76"/>
      <c r="E46" s="76"/>
      <c r="F46" s="76"/>
      <c r="G46" s="76"/>
      <c r="H46" s="76"/>
      <c r="I46" s="76"/>
      <c r="J46" s="76"/>
      <c r="K46" s="76"/>
      <c r="L46" s="77"/>
      <c r="M46" s="78"/>
      <c r="N46" s="79"/>
      <c r="O46" s="80"/>
      <c r="P46" s="84"/>
      <c r="Q46" s="84"/>
      <c r="R46" s="84"/>
      <c r="S46" s="6"/>
    </row>
    <row r="47" spans="1:19">
      <c r="A47" s="7" t="str">
        <f>VLOOKUP([1]ListOfRegions!A27,[1]ListOfRegions!A27:B101,2,0)</f>
        <v xml:space="preserve">  Φθιώτιδας</v>
      </c>
      <c r="B47" s="8">
        <v>28031.07</v>
      </c>
      <c r="C47" s="9">
        <v>4525.6750000000002</v>
      </c>
      <c r="D47" s="10">
        <v>877.5</v>
      </c>
      <c r="E47" s="10">
        <v>2241.5</v>
      </c>
      <c r="F47" s="10">
        <v>1406.675</v>
      </c>
      <c r="G47" s="10">
        <v>12.32</v>
      </c>
      <c r="H47" s="10">
        <v>14312.01</v>
      </c>
      <c r="I47" s="10">
        <v>2112.66</v>
      </c>
      <c r="J47" s="10">
        <v>11743.95</v>
      </c>
      <c r="K47" s="10">
        <v>455.4</v>
      </c>
      <c r="L47" s="11">
        <v>9181.0649999999987</v>
      </c>
      <c r="M47" s="10">
        <v>2178.9699999999998</v>
      </c>
      <c r="N47" s="10">
        <v>6919.7950000000001</v>
      </c>
      <c r="O47" s="32">
        <v>82.3</v>
      </c>
      <c r="P47" s="36" t="s">
        <v>41</v>
      </c>
      <c r="Q47" s="12"/>
      <c r="R47" s="12"/>
      <c r="S47" s="6"/>
    </row>
    <row r="48" spans="1:19">
      <c r="A48" s="7" t="str">
        <f>VLOOKUP([1]ListOfRegions!A28,[1]ListOfRegions!A28:B102,2,0)</f>
        <v xml:space="preserve">  Βοιωτίας</v>
      </c>
      <c r="B48" s="8">
        <v>22819.289999999997</v>
      </c>
      <c r="C48" s="9">
        <v>7376</v>
      </c>
      <c r="D48" s="10">
        <v>739.5</v>
      </c>
      <c r="E48" s="10">
        <v>3173.5</v>
      </c>
      <c r="F48" s="10">
        <v>3463</v>
      </c>
      <c r="G48" s="13" t="s">
        <v>6</v>
      </c>
      <c r="H48" s="10">
        <v>9996.99</v>
      </c>
      <c r="I48" s="10">
        <v>663.51</v>
      </c>
      <c r="J48" s="10">
        <v>8918.48</v>
      </c>
      <c r="K48" s="10">
        <v>415</v>
      </c>
      <c r="L48" s="11">
        <v>5446.3</v>
      </c>
      <c r="M48" s="10">
        <v>719.17</v>
      </c>
      <c r="N48" s="10">
        <v>4688.93</v>
      </c>
      <c r="O48" s="32">
        <v>38.200000000000003</v>
      </c>
      <c r="P48" s="36" t="s">
        <v>42</v>
      </c>
      <c r="Q48" s="12"/>
      <c r="R48" s="12"/>
      <c r="S48" s="6"/>
    </row>
    <row r="49" spans="1:19">
      <c r="A49" s="7" t="str">
        <f>VLOOKUP([1]ListOfRegions!A29,[1]ListOfRegions!A29:B103,2,0)</f>
        <v xml:space="preserve">  Εύβοιας</v>
      </c>
      <c r="B49" s="8">
        <v>30138.885999999999</v>
      </c>
      <c r="C49" s="9">
        <v>2026.95</v>
      </c>
      <c r="D49" s="10">
        <v>57.5</v>
      </c>
      <c r="E49" s="10">
        <v>711.45</v>
      </c>
      <c r="F49" s="10">
        <v>1258</v>
      </c>
      <c r="G49" s="13" t="s">
        <v>6</v>
      </c>
      <c r="H49" s="10">
        <v>11846.296</v>
      </c>
      <c r="I49" s="10">
        <v>2835.3690000000001</v>
      </c>
      <c r="J49" s="10">
        <v>8721.2019999999993</v>
      </c>
      <c r="K49" s="10">
        <v>289.72500000000002</v>
      </c>
      <c r="L49" s="11">
        <v>16265.64</v>
      </c>
      <c r="M49" s="10">
        <v>4875.518</v>
      </c>
      <c r="N49" s="10">
        <v>11283.822</v>
      </c>
      <c r="O49" s="32">
        <v>106.3</v>
      </c>
      <c r="P49" s="36" t="s">
        <v>43</v>
      </c>
      <c r="Q49" s="12"/>
      <c r="R49" s="12"/>
      <c r="S49" s="6"/>
    </row>
    <row r="50" spans="1:19">
      <c r="A50" s="7" t="str">
        <f>VLOOKUP([1]ListOfRegions!A30,[1]ListOfRegions!A30:B104,2,0)</f>
        <v xml:space="preserve">  Ευρυτανίας</v>
      </c>
      <c r="B50" s="8">
        <v>5977.6019999999999</v>
      </c>
      <c r="C50" s="9">
        <v>13</v>
      </c>
      <c r="D50" s="10">
        <v>3</v>
      </c>
      <c r="E50" s="10">
        <v>10</v>
      </c>
      <c r="F50" s="13" t="s">
        <v>6</v>
      </c>
      <c r="G50" s="13" t="s">
        <v>6</v>
      </c>
      <c r="H50" s="10">
        <v>3302.415</v>
      </c>
      <c r="I50" s="10">
        <v>361.005</v>
      </c>
      <c r="J50" s="10">
        <v>2941.41</v>
      </c>
      <c r="K50" s="13" t="s">
        <v>6</v>
      </c>
      <c r="L50" s="11">
        <v>2662.1869999999999</v>
      </c>
      <c r="M50" s="10">
        <v>578.97199999999998</v>
      </c>
      <c r="N50" s="10">
        <v>2083.2150000000001</v>
      </c>
      <c r="O50" s="40" t="s">
        <v>6</v>
      </c>
      <c r="P50" s="36" t="s">
        <v>44</v>
      </c>
      <c r="Q50" s="12"/>
      <c r="R50" s="12"/>
      <c r="S50" s="6"/>
    </row>
    <row r="51" spans="1:19">
      <c r="A51" s="7" t="str">
        <f>VLOOKUP([1]ListOfRegions!A31,[1]ListOfRegions!A31:B105,2,0)</f>
        <v xml:space="preserve">  Φωκίδας</v>
      </c>
      <c r="B51" s="8">
        <v>8945.2099999999991</v>
      </c>
      <c r="C51" s="9">
        <v>521.5</v>
      </c>
      <c r="D51" s="13" t="s">
        <v>6</v>
      </c>
      <c r="E51" s="10">
        <v>233.5</v>
      </c>
      <c r="F51" s="10">
        <v>288</v>
      </c>
      <c r="G51" s="13" t="s">
        <v>6</v>
      </c>
      <c r="H51" s="10">
        <v>4782.3599999999997</v>
      </c>
      <c r="I51" s="10">
        <v>424.52</v>
      </c>
      <c r="J51" s="10">
        <v>4314.04</v>
      </c>
      <c r="K51" s="10">
        <v>43.8</v>
      </c>
      <c r="L51" s="11">
        <v>3641.35</v>
      </c>
      <c r="M51" s="10">
        <v>437.66</v>
      </c>
      <c r="N51" s="10">
        <v>3183.69</v>
      </c>
      <c r="O51" s="32">
        <v>20</v>
      </c>
      <c r="P51" s="36" t="s">
        <v>45</v>
      </c>
      <c r="Q51" s="12"/>
      <c r="R51" s="12"/>
      <c r="S51" s="6"/>
    </row>
    <row r="52" spans="1:19">
      <c r="A52" s="73" t="s">
        <v>46</v>
      </c>
      <c r="B52" s="74">
        <v>27489.879000000001</v>
      </c>
      <c r="C52" s="75">
        <v>2221.5100000000002</v>
      </c>
      <c r="D52" s="76">
        <v>184.20000000000002</v>
      </c>
      <c r="E52" s="76">
        <v>1772.21</v>
      </c>
      <c r="F52" s="76">
        <v>265.10000000000002</v>
      </c>
      <c r="G52" s="76">
        <v>0</v>
      </c>
      <c r="H52" s="76">
        <v>13038.575000000001</v>
      </c>
      <c r="I52" s="76">
        <v>1882.7750000000001</v>
      </c>
      <c r="J52" s="76">
        <v>11155.8</v>
      </c>
      <c r="K52" s="76">
        <v>0</v>
      </c>
      <c r="L52" s="77">
        <v>12229.794</v>
      </c>
      <c r="M52" s="78">
        <v>2610.2040000000002</v>
      </c>
      <c r="N52" s="79">
        <v>9619.590000000002</v>
      </c>
      <c r="O52" s="80">
        <v>0</v>
      </c>
      <c r="P52" s="84" t="s">
        <v>47</v>
      </c>
      <c r="Q52" s="84"/>
      <c r="R52" s="84"/>
      <c r="S52" s="6"/>
    </row>
    <row r="53" spans="1:19">
      <c r="A53" s="73"/>
      <c r="B53" s="74"/>
      <c r="C53" s="75"/>
      <c r="D53" s="76"/>
      <c r="E53" s="76"/>
      <c r="F53" s="76"/>
      <c r="G53" s="76"/>
      <c r="H53" s="76"/>
      <c r="I53" s="76"/>
      <c r="J53" s="76"/>
      <c r="K53" s="76"/>
      <c r="L53" s="77"/>
      <c r="M53" s="78"/>
      <c r="N53" s="79"/>
      <c r="O53" s="80"/>
      <c r="P53" s="84"/>
      <c r="Q53" s="84"/>
      <c r="R53" s="84"/>
      <c r="S53" s="6"/>
    </row>
    <row r="54" spans="1:19">
      <c r="A54" s="7" t="str">
        <f>VLOOKUP([1]ListOfRegions!A32,[1]ListOfRegions!A32:B106,2,0)</f>
        <v xml:space="preserve">  Κέρκυρας</v>
      </c>
      <c r="B54" s="8">
        <v>2679.93</v>
      </c>
      <c r="C54" s="9">
        <v>538.79</v>
      </c>
      <c r="D54" s="13" t="s">
        <v>6</v>
      </c>
      <c r="E54" s="10">
        <v>399.69</v>
      </c>
      <c r="F54" s="10">
        <v>139.1</v>
      </c>
      <c r="G54" s="13" t="s">
        <v>6</v>
      </c>
      <c r="H54" s="10">
        <v>1232.1599999999999</v>
      </c>
      <c r="I54" s="10">
        <v>909.54</v>
      </c>
      <c r="J54" s="10">
        <v>322.62</v>
      </c>
      <c r="K54" s="13" t="s">
        <v>6</v>
      </c>
      <c r="L54" s="11">
        <v>908.98</v>
      </c>
      <c r="M54" s="10">
        <v>728.8</v>
      </c>
      <c r="N54" s="10">
        <v>180.18</v>
      </c>
      <c r="O54" s="40" t="s">
        <v>6</v>
      </c>
      <c r="P54" s="36" t="s">
        <v>48</v>
      </c>
      <c r="Q54" s="12"/>
      <c r="R54" s="12"/>
      <c r="S54" s="6"/>
    </row>
    <row r="55" spans="1:19">
      <c r="A55" s="7" t="str">
        <f>VLOOKUP([1]ListOfRegions!A33,[1]ListOfRegions!A33:B107,2,0)</f>
        <v xml:space="preserve">  Ζακύνθου</v>
      </c>
      <c r="B55" s="8">
        <v>4326.2449999999999</v>
      </c>
      <c r="C55" s="9">
        <v>1473.67</v>
      </c>
      <c r="D55" s="10">
        <v>134.52000000000001</v>
      </c>
      <c r="E55" s="10">
        <v>1241.1500000000001</v>
      </c>
      <c r="F55" s="10">
        <v>98</v>
      </c>
      <c r="G55" s="13" t="s">
        <v>6</v>
      </c>
      <c r="H55" s="10">
        <v>1051.6849999999999</v>
      </c>
      <c r="I55" s="10">
        <v>483.065</v>
      </c>
      <c r="J55" s="10">
        <v>568.62</v>
      </c>
      <c r="K55" s="13" t="s">
        <v>6</v>
      </c>
      <c r="L55" s="11">
        <v>1800.89</v>
      </c>
      <c r="M55" s="10">
        <v>1096.1600000000001</v>
      </c>
      <c r="N55" s="10">
        <v>704.73</v>
      </c>
      <c r="O55" s="40" t="s">
        <v>6</v>
      </c>
      <c r="P55" s="36" t="s">
        <v>49</v>
      </c>
      <c r="Q55" s="12"/>
      <c r="R55" s="12"/>
      <c r="S55" s="6"/>
    </row>
    <row r="56" spans="1:19">
      <c r="A56" s="7" t="str">
        <f>VLOOKUP([1]ListOfRegions!A34,[1]ListOfRegions!A34:B108,2,0)</f>
        <v xml:space="preserve">  Ιθάκης</v>
      </c>
      <c r="B56" s="8">
        <v>431.5</v>
      </c>
      <c r="C56" s="9">
        <v>0</v>
      </c>
      <c r="D56" s="13" t="s">
        <v>6</v>
      </c>
      <c r="E56" s="13" t="s">
        <v>6</v>
      </c>
      <c r="F56" s="13" t="s">
        <v>6</v>
      </c>
      <c r="G56" s="13" t="s">
        <v>6</v>
      </c>
      <c r="H56" s="10">
        <v>169.51999999999998</v>
      </c>
      <c r="I56" s="10">
        <v>10.64</v>
      </c>
      <c r="J56" s="10">
        <v>158.88</v>
      </c>
      <c r="K56" s="13" t="s">
        <v>6</v>
      </c>
      <c r="L56" s="11">
        <v>261.98</v>
      </c>
      <c r="M56" s="10">
        <v>6.48</v>
      </c>
      <c r="N56" s="10">
        <v>255.5</v>
      </c>
      <c r="O56" s="40" t="s">
        <v>6</v>
      </c>
      <c r="P56" s="36" t="s">
        <v>50</v>
      </c>
      <c r="Q56" s="12"/>
      <c r="R56" s="12"/>
      <c r="S56" s="6"/>
    </row>
    <row r="57" spans="1:19">
      <c r="A57" s="7" t="str">
        <f>VLOOKUP([1]ListOfRegions!A35,[1]ListOfRegions!A35:B109,2,0)</f>
        <v xml:space="preserve">  Κεφαλληνίας</v>
      </c>
      <c r="B57" s="8">
        <v>18475.224999999999</v>
      </c>
      <c r="C57" s="9">
        <v>132.25</v>
      </c>
      <c r="D57" s="10">
        <v>49.68</v>
      </c>
      <c r="E57" s="10">
        <v>54.57</v>
      </c>
      <c r="F57" s="10">
        <v>28</v>
      </c>
      <c r="G57" s="13" t="s">
        <v>6</v>
      </c>
      <c r="H57" s="10">
        <v>10038.645</v>
      </c>
      <c r="I57" s="10">
        <v>328.02</v>
      </c>
      <c r="J57" s="10">
        <v>9710.625</v>
      </c>
      <c r="K57" s="13" t="s">
        <v>6</v>
      </c>
      <c r="L57" s="11">
        <v>8304.33</v>
      </c>
      <c r="M57" s="10">
        <v>429.27</v>
      </c>
      <c r="N57" s="10">
        <v>7875.06</v>
      </c>
      <c r="O57" s="40" t="s">
        <v>6</v>
      </c>
      <c r="P57" s="36" t="s">
        <v>51</v>
      </c>
      <c r="Q57" s="12"/>
      <c r="R57" s="12"/>
      <c r="S57" s="6"/>
    </row>
    <row r="58" spans="1:19">
      <c r="A58" s="7" t="str">
        <f>VLOOKUP([1]ListOfRegions!A36,[1]ListOfRegions!A36:B110,2,0)</f>
        <v xml:space="preserve">  Λευκάδας</v>
      </c>
      <c r="B58" s="8">
        <v>1576.979</v>
      </c>
      <c r="C58" s="9">
        <v>76.8</v>
      </c>
      <c r="D58" s="13" t="s">
        <v>6</v>
      </c>
      <c r="E58" s="10">
        <v>76.8</v>
      </c>
      <c r="F58" s="13" t="s">
        <v>6</v>
      </c>
      <c r="G58" s="13" t="s">
        <v>6</v>
      </c>
      <c r="H58" s="10">
        <v>546.56500000000005</v>
      </c>
      <c r="I58" s="10">
        <v>151.51</v>
      </c>
      <c r="J58" s="10">
        <v>395.05500000000001</v>
      </c>
      <c r="K58" s="13" t="s">
        <v>6</v>
      </c>
      <c r="L58" s="11">
        <v>953.61400000000003</v>
      </c>
      <c r="M58" s="10">
        <v>349.49400000000003</v>
      </c>
      <c r="N58" s="10">
        <v>604.12</v>
      </c>
      <c r="O58" s="40" t="s">
        <v>6</v>
      </c>
      <c r="P58" s="36" t="s">
        <v>52</v>
      </c>
      <c r="Q58" s="12"/>
      <c r="R58" s="12"/>
      <c r="S58" s="6"/>
    </row>
    <row r="59" spans="1:19">
      <c r="A59" s="73" t="s">
        <v>53</v>
      </c>
      <c r="B59" s="74">
        <v>251941.14600000001</v>
      </c>
      <c r="C59" s="75">
        <v>44232.04</v>
      </c>
      <c r="D59" s="76">
        <v>1982.25</v>
      </c>
      <c r="E59" s="76">
        <v>21379.489999999998</v>
      </c>
      <c r="F59" s="76">
        <v>20870.3</v>
      </c>
      <c r="G59" s="76">
        <v>0</v>
      </c>
      <c r="H59" s="76">
        <v>140174.56099999999</v>
      </c>
      <c r="I59" s="76">
        <v>18412.686000000002</v>
      </c>
      <c r="J59" s="76">
        <v>115419.07500000001</v>
      </c>
      <c r="K59" s="76">
        <v>6342.8</v>
      </c>
      <c r="L59" s="77">
        <v>67534.544999999998</v>
      </c>
      <c r="M59" s="78">
        <v>19415.89</v>
      </c>
      <c r="N59" s="79">
        <v>46620.824999999997</v>
      </c>
      <c r="O59" s="80">
        <v>1497.83</v>
      </c>
      <c r="P59" s="84" t="s">
        <v>54</v>
      </c>
      <c r="Q59" s="84"/>
      <c r="R59" s="84"/>
      <c r="S59" s="6"/>
    </row>
    <row r="60" spans="1:19">
      <c r="A60" s="73"/>
      <c r="B60" s="74"/>
      <c r="C60" s="75"/>
      <c r="D60" s="76"/>
      <c r="E60" s="76"/>
      <c r="F60" s="76"/>
      <c r="G60" s="76"/>
      <c r="H60" s="76"/>
      <c r="I60" s="76"/>
      <c r="J60" s="76"/>
      <c r="K60" s="76"/>
      <c r="L60" s="77"/>
      <c r="M60" s="78"/>
      <c r="N60" s="79"/>
      <c r="O60" s="80"/>
      <c r="P60" s="84"/>
      <c r="Q60" s="84"/>
      <c r="R60" s="84"/>
      <c r="S60" s="6"/>
    </row>
    <row r="61" spans="1:19">
      <c r="A61" s="7" t="str">
        <f>VLOOKUP([1]ListOfRegions!A37,[1]ListOfRegions!A37:B111,2,0)</f>
        <v xml:space="preserve">  Αχαϊας</v>
      </c>
      <c r="B61" s="8">
        <v>67186.69</v>
      </c>
      <c r="C61" s="9">
        <v>8710.4</v>
      </c>
      <c r="D61" s="10">
        <v>1439.5</v>
      </c>
      <c r="E61" s="10">
        <v>5245.4</v>
      </c>
      <c r="F61" s="10">
        <v>2025.5</v>
      </c>
      <c r="G61" s="13" t="s">
        <v>6</v>
      </c>
      <c r="H61" s="10">
        <v>35136.315000000002</v>
      </c>
      <c r="I61" s="10">
        <v>2993.7150000000001</v>
      </c>
      <c r="J61" s="10">
        <v>31427.9</v>
      </c>
      <c r="K61" s="10">
        <v>714.7</v>
      </c>
      <c r="L61" s="11">
        <v>23339.974999999999</v>
      </c>
      <c r="M61" s="10">
        <v>3310.67</v>
      </c>
      <c r="N61" s="10">
        <v>19490.805</v>
      </c>
      <c r="O61" s="32">
        <v>538.5</v>
      </c>
      <c r="P61" s="36" t="s">
        <v>55</v>
      </c>
      <c r="Q61" s="12"/>
      <c r="R61" s="12"/>
      <c r="S61" s="6"/>
    </row>
    <row r="62" spans="1:19">
      <c r="A62" s="7" t="str">
        <f>VLOOKUP([1]ListOfRegions!A38,[1]ListOfRegions!A38:B112,2,0)</f>
        <v xml:space="preserve">  Αιτωλ/νανίας</v>
      </c>
      <c r="B62" s="8">
        <v>79322.276000000013</v>
      </c>
      <c r="C62" s="9">
        <v>2723.09</v>
      </c>
      <c r="D62" s="10">
        <v>170.75</v>
      </c>
      <c r="E62" s="10">
        <v>1476.04</v>
      </c>
      <c r="F62" s="10">
        <v>1076.3</v>
      </c>
      <c r="G62" s="13" t="s">
        <v>6</v>
      </c>
      <c r="H62" s="10">
        <v>53219.006000000001</v>
      </c>
      <c r="I62" s="10">
        <v>3795.3009999999999</v>
      </c>
      <c r="J62" s="10">
        <v>45110.355000000003</v>
      </c>
      <c r="K62" s="10">
        <v>4313.3500000000004</v>
      </c>
      <c r="L62" s="11">
        <v>23380.18</v>
      </c>
      <c r="M62" s="10">
        <v>5477.16</v>
      </c>
      <c r="N62" s="10">
        <v>17035.61</v>
      </c>
      <c r="O62" s="32">
        <v>867.41</v>
      </c>
      <c r="P62" s="36" t="s">
        <v>56</v>
      </c>
      <c r="Q62" s="12"/>
      <c r="R62" s="12"/>
      <c r="S62" s="6"/>
    </row>
    <row r="63" spans="1:19">
      <c r="A63" s="7" t="str">
        <f>VLOOKUP([1]ListOfRegions!A39,[1]ListOfRegions!A39:B113,2,0)</f>
        <v xml:space="preserve">  Ηλείας</v>
      </c>
      <c r="B63" s="8">
        <v>105432.18000000001</v>
      </c>
      <c r="C63" s="9">
        <v>32798.550000000003</v>
      </c>
      <c r="D63" s="10">
        <v>372</v>
      </c>
      <c r="E63" s="10">
        <v>14658.05</v>
      </c>
      <c r="F63" s="10">
        <v>17768.5</v>
      </c>
      <c r="G63" s="13" t="s">
        <v>6</v>
      </c>
      <c r="H63" s="10">
        <v>51819.24</v>
      </c>
      <c r="I63" s="10">
        <v>11623.67</v>
      </c>
      <c r="J63" s="10">
        <v>38880.82</v>
      </c>
      <c r="K63" s="10">
        <v>1314.75</v>
      </c>
      <c r="L63" s="11">
        <v>20814.39</v>
      </c>
      <c r="M63" s="10">
        <v>10628.06</v>
      </c>
      <c r="N63" s="10">
        <v>10094.41</v>
      </c>
      <c r="O63" s="32">
        <v>91.92</v>
      </c>
      <c r="P63" s="36" t="s">
        <v>57</v>
      </c>
      <c r="Q63" s="12"/>
      <c r="R63" s="12"/>
      <c r="S63" s="6"/>
    </row>
    <row r="64" spans="1:19">
      <c r="A64" s="73" t="s">
        <v>58</v>
      </c>
      <c r="B64" s="74">
        <v>112015.177</v>
      </c>
      <c r="C64" s="75">
        <v>7344.15</v>
      </c>
      <c r="D64" s="76">
        <v>261.61</v>
      </c>
      <c r="E64" s="76">
        <v>5055.34</v>
      </c>
      <c r="F64" s="76">
        <v>2027.2</v>
      </c>
      <c r="G64" s="76">
        <v>0</v>
      </c>
      <c r="H64" s="76">
        <v>47326.122000000003</v>
      </c>
      <c r="I64" s="76">
        <v>4380.3550000000005</v>
      </c>
      <c r="J64" s="76">
        <v>39584.182000000001</v>
      </c>
      <c r="K64" s="76">
        <v>3361.585</v>
      </c>
      <c r="L64" s="77">
        <v>57344.904999999999</v>
      </c>
      <c r="M64" s="78">
        <v>9159.0030000000006</v>
      </c>
      <c r="N64" s="79">
        <v>43680.085999999996</v>
      </c>
      <c r="O64" s="80">
        <v>4505.8159999999998</v>
      </c>
      <c r="P64" s="84" t="s">
        <v>59</v>
      </c>
      <c r="Q64" s="84"/>
      <c r="R64" s="84"/>
      <c r="S64" s="6"/>
    </row>
    <row r="65" spans="1:19">
      <c r="A65" s="73"/>
      <c r="B65" s="74"/>
      <c r="C65" s="75"/>
      <c r="D65" s="76"/>
      <c r="E65" s="76"/>
      <c r="F65" s="76"/>
      <c r="G65" s="76"/>
      <c r="H65" s="76"/>
      <c r="I65" s="76"/>
      <c r="J65" s="76"/>
      <c r="K65" s="76"/>
      <c r="L65" s="77"/>
      <c r="M65" s="78"/>
      <c r="N65" s="79"/>
      <c r="O65" s="80"/>
      <c r="P65" s="84"/>
      <c r="Q65" s="84"/>
      <c r="R65" s="84"/>
      <c r="S65" s="6"/>
    </row>
    <row r="66" spans="1:19">
      <c r="A66" s="7" t="str">
        <f>VLOOKUP([1]ListOfRegions!A40,[1]ListOfRegions!A40:B114,2,0)</f>
        <v xml:space="preserve">  Αρκαδίας</v>
      </c>
      <c r="B66" s="8">
        <v>24919.362000000001</v>
      </c>
      <c r="C66" s="9">
        <v>260.3</v>
      </c>
      <c r="D66" s="10">
        <v>36.700000000000003</v>
      </c>
      <c r="E66" s="10">
        <v>63.6</v>
      </c>
      <c r="F66" s="10">
        <v>160</v>
      </c>
      <c r="G66" s="13" t="s">
        <v>6</v>
      </c>
      <c r="H66" s="10">
        <v>12710.109</v>
      </c>
      <c r="I66" s="10">
        <v>644.399</v>
      </c>
      <c r="J66" s="10">
        <v>11687.69</v>
      </c>
      <c r="K66" s="10">
        <v>378.02</v>
      </c>
      <c r="L66" s="11">
        <v>11948.953</v>
      </c>
      <c r="M66" s="10">
        <v>1157.5609999999999</v>
      </c>
      <c r="N66" s="10">
        <v>10218.592000000001</v>
      </c>
      <c r="O66" s="32">
        <v>572.79999999999995</v>
      </c>
      <c r="P66" s="36" t="s">
        <v>60</v>
      </c>
      <c r="Q66" s="12"/>
      <c r="R66" s="12"/>
      <c r="S66" s="6"/>
    </row>
    <row r="67" spans="1:19">
      <c r="A67" s="7" t="str">
        <f>VLOOKUP([1]ListOfRegions!A41,[1]ListOfRegions!A41:B115,2,0)</f>
        <v xml:space="preserve">  Αργολίδας</v>
      </c>
      <c r="B67" s="8">
        <v>26757.68</v>
      </c>
      <c r="C67" s="9">
        <v>3401.6</v>
      </c>
      <c r="D67" s="10">
        <v>55</v>
      </c>
      <c r="E67" s="10">
        <v>3171.6</v>
      </c>
      <c r="F67" s="10">
        <v>175</v>
      </c>
      <c r="G67" s="13" t="s">
        <v>6</v>
      </c>
      <c r="H67" s="10">
        <v>12027.714999999998</v>
      </c>
      <c r="I67" s="10">
        <v>704.31</v>
      </c>
      <c r="J67" s="10">
        <v>10018.855</v>
      </c>
      <c r="K67" s="10">
        <v>1304.55</v>
      </c>
      <c r="L67" s="11">
        <v>11328.365</v>
      </c>
      <c r="M67" s="10">
        <v>897.69</v>
      </c>
      <c r="N67" s="10">
        <v>8859.5249999999996</v>
      </c>
      <c r="O67" s="32">
        <v>1571.15</v>
      </c>
      <c r="P67" s="36" t="s">
        <v>61</v>
      </c>
      <c r="Q67" s="12"/>
      <c r="R67" s="12"/>
      <c r="S67" s="6"/>
    </row>
    <row r="68" spans="1:19">
      <c r="A68" s="7" t="str">
        <f>VLOOKUP([1]ListOfRegions!A42,[1]ListOfRegions!A42:B116,2,0)</f>
        <v xml:space="preserve">  Κορινθίας</v>
      </c>
      <c r="B68" s="8">
        <v>11355.703999999998</v>
      </c>
      <c r="C68" s="9">
        <v>127.2</v>
      </c>
      <c r="D68" s="13" t="s">
        <v>6</v>
      </c>
      <c r="E68" s="10">
        <v>127.2</v>
      </c>
      <c r="F68" s="13" t="s">
        <v>6</v>
      </c>
      <c r="G68" s="13" t="s">
        <v>6</v>
      </c>
      <c r="H68" s="10">
        <v>5723.23</v>
      </c>
      <c r="I68" s="10">
        <v>397.19</v>
      </c>
      <c r="J68" s="10">
        <v>5006.5349999999999</v>
      </c>
      <c r="K68" s="10">
        <v>319.505</v>
      </c>
      <c r="L68" s="11">
        <v>5505.2739999999994</v>
      </c>
      <c r="M68" s="10">
        <v>606.46400000000006</v>
      </c>
      <c r="N68" s="10">
        <v>4537.8599999999997</v>
      </c>
      <c r="O68" s="32">
        <v>360.95</v>
      </c>
      <c r="P68" s="36" t="s">
        <v>62</v>
      </c>
      <c r="Q68" s="12"/>
      <c r="R68" s="12"/>
      <c r="S68" s="6"/>
    </row>
    <row r="69" spans="1:19">
      <c r="A69" s="7" t="str">
        <f>VLOOKUP([1]ListOfRegions!A43,[1]ListOfRegions!A43:B117,2,0)</f>
        <v xml:space="preserve">  Λακωνίας</v>
      </c>
      <c r="B69" s="8">
        <v>31796.956999999999</v>
      </c>
      <c r="C69" s="9">
        <v>2869.2</v>
      </c>
      <c r="D69" s="10">
        <v>119.9</v>
      </c>
      <c r="E69" s="10">
        <v>1066.5</v>
      </c>
      <c r="F69" s="10">
        <v>1682.8</v>
      </c>
      <c r="G69" s="13" t="s">
        <v>6</v>
      </c>
      <c r="H69" s="10">
        <v>7310.6939999999995</v>
      </c>
      <c r="I69" s="10">
        <v>1136.1690000000001</v>
      </c>
      <c r="J69" s="10">
        <v>5266.835</v>
      </c>
      <c r="K69" s="10">
        <v>907.69</v>
      </c>
      <c r="L69" s="11">
        <v>21617.062999999998</v>
      </c>
      <c r="M69" s="10">
        <v>3071.4589999999998</v>
      </c>
      <c r="N69" s="10">
        <v>16743.144</v>
      </c>
      <c r="O69" s="32">
        <v>1802.46</v>
      </c>
      <c r="P69" s="36" t="s">
        <v>63</v>
      </c>
      <c r="Q69" s="12"/>
      <c r="R69" s="12"/>
      <c r="S69" s="6"/>
    </row>
    <row r="70" spans="1:19">
      <c r="A70" s="7" t="str">
        <f>VLOOKUP([1]ListOfRegions!A44,[1]ListOfRegions!A44:B118,2,0)</f>
        <v xml:space="preserve">  Μεσσηνίας</v>
      </c>
      <c r="B70" s="8">
        <v>17185.474000000002</v>
      </c>
      <c r="C70" s="9">
        <v>685.85</v>
      </c>
      <c r="D70" s="10">
        <v>50.01</v>
      </c>
      <c r="E70" s="10">
        <v>626.44000000000005</v>
      </c>
      <c r="F70" s="10">
        <v>9.4</v>
      </c>
      <c r="G70" s="13" t="s">
        <v>6</v>
      </c>
      <c r="H70" s="10">
        <v>9554.3739999999998</v>
      </c>
      <c r="I70" s="10">
        <v>1498.287</v>
      </c>
      <c r="J70" s="10">
        <v>7604.2669999999998</v>
      </c>
      <c r="K70" s="10">
        <v>451.82</v>
      </c>
      <c r="L70" s="11">
        <v>6945.25</v>
      </c>
      <c r="M70" s="10">
        <v>3425.8290000000002</v>
      </c>
      <c r="N70" s="10">
        <v>3320.9650000000001</v>
      </c>
      <c r="O70" s="32">
        <v>198.45599999999999</v>
      </c>
      <c r="P70" s="36" t="s">
        <v>64</v>
      </c>
      <c r="Q70" s="12"/>
      <c r="R70" s="12"/>
      <c r="S70" s="6"/>
    </row>
    <row r="71" spans="1:19">
      <c r="A71" s="73" t="s">
        <v>65</v>
      </c>
      <c r="B71" s="74">
        <v>37497.644</v>
      </c>
      <c r="C71" s="75">
        <v>18383.64</v>
      </c>
      <c r="D71" s="76">
        <v>11</v>
      </c>
      <c r="E71" s="76">
        <v>3491.64</v>
      </c>
      <c r="F71" s="76">
        <v>14881</v>
      </c>
      <c r="G71" s="76">
        <v>0</v>
      </c>
      <c r="H71" s="76">
        <v>12973.844000000001</v>
      </c>
      <c r="I71" s="76">
        <v>1499.8600000000001</v>
      </c>
      <c r="J71" s="76">
        <v>10973.88</v>
      </c>
      <c r="K71" s="76">
        <v>500.10399999999993</v>
      </c>
      <c r="L71" s="77">
        <v>6140.16</v>
      </c>
      <c r="M71" s="78">
        <v>1149.6600000000001</v>
      </c>
      <c r="N71" s="79">
        <v>4892.8500000000004</v>
      </c>
      <c r="O71" s="80">
        <v>97.65</v>
      </c>
      <c r="P71" s="84" t="s">
        <v>66</v>
      </c>
      <c r="Q71" s="84"/>
      <c r="R71" s="84"/>
      <c r="S71" s="6"/>
    </row>
    <row r="72" spans="1:19">
      <c r="A72" s="73"/>
      <c r="B72" s="74"/>
      <c r="C72" s="75"/>
      <c r="D72" s="76"/>
      <c r="E72" s="76"/>
      <c r="F72" s="76"/>
      <c r="G72" s="76"/>
      <c r="H72" s="76"/>
      <c r="I72" s="76"/>
      <c r="J72" s="76"/>
      <c r="K72" s="76"/>
      <c r="L72" s="77"/>
      <c r="M72" s="78"/>
      <c r="N72" s="79"/>
      <c r="O72" s="80"/>
      <c r="P72" s="84"/>
      <c r="Q72" s="84"/>
      <c r="R72" s="84"/>
      <c r="S72" s="6"/>
    </row>
    <row r="73" spans="1:19" ht="20.399999999999999">
      <c r="A73" s="14" t="s">
        <v>67</v>
      </c>
      <c r="B73" s="8">
        <v>0</v>
      </c>
      <c r="C73" s="9">
        <v>0</v>
      </c>
      <c r="D73" s="13" t="s">
        <v>6</v>
      </c>
      <c r="E73" s="13" t="s">
        <v>6</v>
      </c>
      <c r="F73" s="13" t="s">
        <v>6</v>
      </c>
      <c r="G73" s="13" t="s">
        <v>6</v>
      </c>
      <c r="H73" s="10">
        <v>0</v>
      </c>
      <c r="I73" s="13" t="s">
        <v>6</v>
      </c>
      <c r="J73" s="13" t="s">
        <v>6</v>
      </c>
      <c r="K73" s="13" t="s">
        <v>6</v>
      </c>
      <c r="L73" s="11">
        <v>0</v>
      </c>
      <c r="M73" s="13" t="s">
        <v>6</v>
      </c>
      <c r="N73" s="13" t="s">
        <v>6</v>
      </c>
      <c r="O73" s="40" t="s">
        <v>6</v>
      </c>
      <c r="P73" s="36" t="s">
        <v>68</v>
      </c>
      <c r="Q73" s="12"/>
      <c r="R73" s="12"/>
      <c r="S73" s="6"/>
    </row>
    <row r="74" spans="1:19">
      <c r="A74" s="14" t="s">
        <v>69</v>
      </c>
      <c r="B74" s="8">
        <v>250.3</v>
      </c>
      <c r="C74" s="9">
        <v>8</v>
      </c>
      <c r="D74" s="13" t="s">
        <v>6</v>
      </c>
      <c r="E74" s="10">
        <v>8</v>
      </c>
      <c r="F74" s="13" t="s">
        <v>6</v>
      </c>
      <c r="G74" s="13" t="s">
        <v>6</v>
      </c>
      <c r="H74" s="10">
        <v>87.2</v>
      </c>
      <c r="I74" s="10">
        <v>30.7</v>
      </c>
      <c r="J74" s="10">
        <v>56.5</v>
      </c>
      <c r="K74" s="13" t="s">
        <v>6</v>
      </c>
      <c r="L74" s="11">
        <v>155.1</v>
      </c>
      <c r="M74" s="10">
        <v>33.1</v>
      </c>
      <c r="N74" s="10">
        <v>122</v>
      </c>
      <c r="O74" s="40" t="s">
        <v>6</v>
      </c>
      <c r="P74" s="36" t="s">
        <v>70</v>
      </c>
      <c r="Q74" s="12"/>
      <c r="R74" s="12"/>
      <c r="S74" s="6"/>
    </row>
    <row r="75" spans="1:19">
      <c r="A75" s="14" t="s">
        <v>71</v>
      </c>
      <c r="B75" s="8">
        <v>0</v>
      </c>
      <c r="C75" s="9">
        <v>0</v>
      </c>
      <c r="D75" s="13" t="s">
        <v>6</v>
      </c>
      <c r="E75" s="13" t="s">
        <v>6</v>
      </c>
      <c r="F75" s="13" t="s">
        <v>6</v>
      </c>
      <c r="G75" s="13" t="s">
        <v>6</v>
      </c>
      <c r="H75" s="10">
        <v>0</v>
      </c>
      <c r="I75" s="13" t="s">
        <v>6</v>
      </c>
      <c r="J75" s="13" t="s">
        <v>6</v>
      </c>
      <c r="K75" s="13" t="s">
        <v>6</v>
      </c>
      <c r="L75" s="11">
        <v>0</v>
      </c>
      <c r="M75" s="13" t="s">
        <v>6</v>
      </c>
      <c r="N75" s="13" t="s">
        <v>6</v>
      </c>
      <c r="O75" s="40" t="s">
        <v>6</v>
      </c>
      <c r="P75" s="36" t="s">
        <v>72</v>
      </c>
      <c r="Q75" s="12"/>
      <c r="R75" s="12"/>
      <c r="S75" s="6"/>
    </row>
    <row r="76" spans="1:19">
      <c r="A76" s="14" t="s">
        <v>73</v>
      </c>
      <c r="B76" s="8">
        <v>0</v>
      </c>
      <c r="C76" s="9">
        <v>0</v>
      </c>
      <c r="D76" s="13" t="s">
        <v>6</v>
      </c>
      <c r="E76" s="13" t="s">
        <v>6</v>
      </c>
      <c r="F76" s="13" t="s">
        <v>6</v>
      </c>
      <c r="G76" s="13" t="s">
        <v>6</v>
      </c>
      <c r="H76" s="10">
        <v>0</v>
      </c>
      <c r="I76" s="13" t="s">
        <v>6</v>
      </c>
      <c r="J76" s="13" t="s">
        <v>6</v>
      </c>
      <c r="K76" s="13" t="s">
        <v>6</v>
      </c>
      <c r="L76" s="11">
        <v>0</v>
      </c>
      <c r="M76" s="13" t="s">
        <v>6</v>
      </c>
      <c r="N76" s="13" t="s">
        <v>6</v>
      </c>
      <c r="O76" s="40" t="s">
        <v>6</v>
      </c>
      <c r="P76" s="36" t="s">
        <v>74</v>
      </c>
      <c r="Q76" s="12"/>
      <c r="R76" s="12"/>
      <c r="S76" s="6"/>
    </row>
    <row r="77" spans="1:19">
      <c r="A77" s="14" t="s">
        <v>75</v>
      </c>
      <c r="B77" s="8">
        <v>11768.03</v>
      </c>
      <c r="C77" s="9">
        <v>3184</v>
      </c>
      <c r="D77" s="13" t="s">
        <v>6</v>
      </c>
      <c r="E77" s="10">
        <v>2568</v>
      </c>
      <c r="F77" s="10">
        <v>616</v>
      </c>
      <c r="G77" s="13" t="s">
        <v>6</v>
      </c>
      <c r="H77" s="10">
        <v>7001.9000000000005</v>
      </c>
      <c r="I77" s="10">
        <v>752.39</v>
      </c>
      <c r="J77" s="10">
        <v>6017.91</v>
      </c>
      <c r="K77" s="10">
        <v>231.6</v>
      </c>
      <c r="L77" s="11">
        <v>1582.1299999999999</v>
      </c>
      <c r="M77" s="10">
        <v>436.22</v>
      </c>
      <c r="N77" s="10">
        <v>1138.83</v>
      </c>
      <c r="O77" s="32">
        <v>7.08</v>
      </c>
      <c r="P77" s="36" t="s">
        <v>76</v>
      </c>
      <c r="Q77" s="12"/>
      <c r="R77" s="12"/>
      <c r="S77" s="6"/>
    </row>
    <row r="78" spans="1:19">
      <c r="A78" s="14" t="s">
        <v>77</v>
      </c>
      <c r="B78" s="8">
        <v>19850.349999999999</v>
      </c>
      <c r="C78" s="9">
        <v>11990</v>
      </c>
      <c r="D78" s="13" t="s">
        <v>6</v>
      </c>
      <c r="E78" s="10">
        <v>15</v>
      </c>
      <c r="F78" s="10">
        <v>11975</v>
      </c>
      <c r="G78" s="13" t="s">
        <v>6</v>
      </c>
      <c r="H78" s="10">
        <v>4663.5</v>
      </c>
      <c r="I78" s="10">
        <v>236.5</v>
      </c>
      <c r="J78" s="10">
        <v>4169.8</v>
      </c>
      <c r="K78" s="10">
        <v>257.2</v>
      </c>
      <c r="L78" s="11">
        <v>3196.85</v>
      </c>
      <c r="M78" s="10">
        <v>382.6</v>
      </c>
      <c r="N78" s="10">
        <v>2776.25</v>
      </c>
      <c r="O78" s="32">
        <v>38</v>
      </c>
      <c r="P78" s="36" t="s">
        <v>78</v>
      </c>
      <c r="Q78" s="12"/>
      <c r="R78" s="12"/>
      <c r="S78" s="6"/>
    </row>
    <row r="79" spans="1:19">
      <c r="A79" s="14" t="s">
        <v>79</v>
      </c>
      <c r="B79" s="8">
        <v>27</v>
      </c>
      <c r="C79" s="9">
        <v>0</v>
      </c>
      <c r="D79" s="13" t="s">
        <v>6</v>
      </c>
      <c r="E79" s="13" t="s">
        <v>6</v>
      </c>
      <c r="F79" s="13" t="s">
        <v>6</v>
      </c>
      <c r="G79" s="13" t="s">
        <v>6</v>
      </c>
      <c r="H79" s="10">
        <v>27</v>
      </c>
      <c r="I79" s="13" t="s">
        <v>6</v>
      </c>
      <c r="J79" s="10">
        <v>27</v>
      </c>
      <c r="K79" s="13" t="s">
        <v>6</v>
      </c>
      <c r="L79" s="11">
        <v>0</v>
      </c>
      <c r="M79" s="13" t="s">
        <v>6</v>
      </c>
      <c r="N79" s="13" t="s">
        <v>6</v>
      </c>
      <c r="O79" s="40" t="s">
        <v>6</v>
      </c>
      <c r="P79" s="36" t="s">
        <v>80</v>
      </c>
      <c r="Q79" s="12"/>
      <c r="R79" s="12"/>
      <c r="S79" s="6"/>
    </row>
    <row r="80" spans="1:19">
      <c r="A80" s="14" t="s">
        <v>81</v>
      </c>
      <c r="B80" s="8">
        <v>5601.9639999999999</v>
      </c>
      <c r="C80" s="9">
        <v>3201.64</v>
      </c>
      <c r="D80" s="10">
        <v>11</v>
      </c>
      <c r="E80" s="10">
        <v>900.64</v>
      </c>
      <c r="F80" s="10">
        <v>2290</v>
      </c>
      <c r="G80" s="13" t="s">
        <v>6</v>
      </c>
      <c r="H80" s="10">
        <v>1194.2440000000001</v>
      </c>
      <c r="I80" s="10">
        <v>480.27</v>
      </c>
      <c r="J80" s="10">
        <v>702.67</v>
      </c>
      <c r="K80" s="10">
        <v>11.304</v>
      </c>
      <c r="L80" s="11">
        <v>1206.08</v>
      </c>
      <c r="M80" s="10">
        <v>297.74</v>
      </c>
      <c r="N80" s="10">
        <v>855.77</v>
      </c>
      <c r="O80" s="32">
        <v>52.57</v>
      </c>
      <c r="P80" s="36" t="s">
        <v>82</v>
      </c>
      <c r="Q80" s="12"/>
      <c r="R80" s="12"/>
      <c r="S80" s="6"/>
    </row>
    <row r="81" spans="1:19">
      <c r="A81" s="73" t="s">
        <v>83</v>
      </c>
      <c r="B81" s="74">
        <v>66733.801999999996</v>
      </c>
      <c r="C81" s="75">
        <v>4478.09</v>
      </c>
      <c r="D81" s="76">
        <v>415.86</v>
      </c>
      <c r="E81" s="76">
        <v>2662.4</v>
      </c>
      <c r="F81" s="76">
        <v>1399.83</v>
      </c>
      <c r="G81" s="76">
        <v>0</v>
      </c>
      <c r="H81" s="76">
        <v>40645.794999999998</v>
      </c>
      <c r="I81" s="76">
        <v>4089.6449999999995</v>
      </c>
      <c r="J81" s="76">
        <v>36378.85</v>
      </c>
      <c r="K81" s="76">
        <v>177.3</v>
      </c>
      <c r="L81" s="77">
        <v>21609.917000000001</v>
      </c>
      <c r="M81" s="78">
        <v>5983.2470000000003</v>
      </c>
      <c r="N81" s="79">
        <v>15565.67</v>
      </c>
      <c r="O81" s="80">
        <v>61</v>
      </c>
      <c r="P81" s="84" t="s">
        <v>84</v>
      </c>
      <c r="Q81" s="84"/>
      <c r="R81" s="84"/>
      <c r="S81" s="6"/>
    </row>
    <row r="82" spans="1:19">
      <c r="A82" s="73"/>
      <c r="B82" s="74"/>
      <c r="C82" s="75"/>
      <c r="D82" s="76"/>
      <c r="E82" s="76"/>
      <c r="F82" s="76"/>
      <c r="G82" s="76"/>
      <c r="H82" s="76"/>
      <c r="I82" s="76"/>
      <c r="J82" s="76"/>
      <c r="K82" s="76"/>
      <c r="L82" s="77"/>
      <c r="M82" s="78"/>
      <c r="N82" s="79"/>
      <c r="O82" s="80"/>
      <c r="P82" s="84"/>
      <c r="Q82" s="84"/>
      <c r="R82" s="84"/>
      <c r="S82" s="6"/>
    </row>
    <row r="83" spans="1:19">
      <c r="A83" s="7" t="str">
        <f>VLOOKUP([1]ListOfRegions!A53,[1]ListOfRegions!A53:B127,2,0)</f>
        <v xml:space="preserve">  Λέσβου</v>
      </c>
      <c r="B83" s="8">
        <v>41304.684999999998</v>
      </c>
      <c r="C83" s="9">
        <v>624.78</v>
      </c>
      <c r="D83" s="10">
        <v>114.2</v>
      </c>
      <c r="E83" s="10">
        <v>255.38</v>
      </c>
      <c r="F83" s="10">
        <v>255.2</v>
      </c>
      <c r="G83" s="13" t="s">
        <v>6</v>
      </c>
      <c r="H83" s="10">
        <v>33116.78</v>
      </c>
      <c r="I83" s="10">
        <v>3272.92</v>
      </c>
      <c r="J83" s="10">
        <v>29843.86</v>
      </c>
      <c r="K83" s="13" t="s">
        <v>6</v>
      </c>
      <c r="L83" s="11">
        <v>7563.125</v>
      </c>
      <c r="M83" s="10">
        <v>3958.7249999999999</v>
      </c>
      <c r="N83" s="10">
        <v>3604.4</v>
      </c>
      <c r="O83" s="40" t="s">
        <v>6</v>
      </c>
      <c r="P83" s="36" t="s">
        <v>85</v>
      </c>
      <c r="Q83" s="12"/>
      <c r="R83" s="12"/>
      <c r="S83" s="6"/>
    </row>
    <row r="84" spans="1:19">
      <c r="A84" s="7" t="str">
        <f>VLOOKUP([1]ListOfRegions!A54,[1]ListOfRegions!A54:B128,2,0)</f>
        <v xml:space="preserve">  Ικαρίας</v>
      </c>
      <c r="B84" s="8">
        <v>1611.83</v>
      </c>
      <c r="C84" s="9">
        <v>601.93999999999994</v>
      </c>
      <c r="D84" s="10">
        <v>138.24</v>
      </c>
      <c r="E84" s="10">
        <v>424.3</v>
      </c>
      <c r="F84" s="10">
        <v>39.4</v>
      </c>
      <c r="G84" s="13" t="s">
        <v>6</v>
      </c>
      <c r="H84" s="10">
        <v>145.99</v>
      </c>
      <c r="I84" s="10">
        <v>103.99</v>
      </c>
      <c r="J84" s="10">
        <v>42</v>
      </c>
      <c r="K84" s="13" t="s">
        <v>6</v>
      </c>
      <c r="L84" s="11">
        <v>863.9</v>
      </c>
      <c r="M84" s="10">
        <v>521.5</v>
      </c>
      <c r="N84" s="10">
        <v>342.4</v>
      </c>
      <c r="O84" s="40" t="s">
        <v>6</v>
      </c>
      <c r="P84" s="36" t="s">
        <v>86</v>
      </c>
      <c r="Q84" s="12"/>
      <c r="R84" s="12"/>
      <c r="S84" s="6"/>
    </row>
    <row r="85" spans="1:19">
      <c r="A85" s="7" t="str">
        <f>VLOOKUP([1]ListOfRegions!A55,[1]ListOfRegions!A55:B129,2,0)</f>
        <v xml:space="preserve">  Λήμνου</v>
      </c>
      <c r="B85" s="8">
        <v>6101.7049999999999</v>
      </c>
      <c r="C85" s="9">
        <v>151.48999999999998</v>
      </c>
      <c r="D85" s="10">
        <v>47.62</v>
      </c>
      <c r="E85" s="10">
        <v>80.739999999999995</v>
      </c>
      <c r="F85" s="10">
        <v>23.13</v>
      </c>
      <c r="G85" s="13" t="s">
        <v>6</v>
      </c>
      <c r="H85" s="10">
        <v>4815.5950000000003</v>
      </c>
      <c r="I85" s="10">
        <v>353.40499999999997</v>
      </c>
      <c r="J85" s="10">
        <v>4458.59</v>
      </c>
      <c r="K85" s="10">
        <v>3.6</v>
      </c>
      <c r="L85" s="11">
        <v>1134.6200000000001</v>
      </c>
      <c r="M85" s="10">
        <v>316.92</v>
      </c>
      <c r="N85" s="10">
        <v>817.7</v>
      </c>
      <c r="O85" s="40" t="s">
        <v>6</v>
      </c>
      <c r="P85" s="36" t="s">
        <v>87</v>
      </c>
      <c r="Q85" s="12"/>
      <c r="R85" s="12"/>
      <c r="S85" s="6"/>
    </row>
    <row r="86" spans="1:19">
      <c r="A86" s="7" t="str">
        <f>VLOOKUP([1]ListOfRegions!A56,[1]ListOfRegions!A56:B130,2,0)</f>
        <v xml:space="preserve">  Σάμου.</v>
      </c>
      <c r="B86" s="8">
        <v>1766.5419999999999</v>
      </c>
      <c r="C86" s="9">
        <v>301.60000000000002</v>
      </c>
      <c r="D86" s="10">
        <v>55.8</v>
      </c>
      <c r="E86" s="10">
        <v>111.7</v>
      </c>
      <c r="F86" s="10">
        <v>134.1</v>
      </c>
      <c r="G86" s="13" t="s">
        <v>6</v>
      </c>
      <c r="H86" s="10">
        <v>242.98</v>
      </c>
      <c r="I86" s="10">
        <v>47.38</v>
      </c>
      <c r="J86" s="10">
        <v>194.4</v>
      </c>
      <c r="K86" s="10">
        <v>1.2</v>
      </c>
      <c r="L86" s="11">
        <v>1221.962</v>
      </c>
      <c r="M86" s="10">
        <v>189.892</v>
      </c>
      <c r="N86" s="10">
        <v>1026.07</v>
      </c>
      <c r="O86" s="32">
        <v>6</v>
      </c>
      <c r="P86" s="36" t="s">
        <v>88</v>
      </c>
      <c r="Q86" s="12"/>
      <c r="R86" s="12"/>
      <c r="S86" s="6"/>
    </row>
    <row r="87" spans="1:19">
      <c r="A87" s="7" t="str">
        <f>VLOOKUP([1]ListOfRegions!A57,[1]ListOfRegions!A57:B131,2,0)</f>
        <v xml:space="preserve">  Χίου</v>
      </c>
      <c r="B87" s="8">
        <v>15949.04</v>
      </c>
      <c r="C87" s="9">
        <v>2798.2799999999997</v>
      </c>
      <c r="D87" s="10">
        <v>60</v>
      </c>
      <c r="E87" s="10">
        <v>1790.28</v>
      </c>
      <c r="F87" s="10">
        <v>948</v>
      </c>
      <c r="G87" s="13" t="s">
        <v>6</v>
      </c>
      <c r="H87" s="10">
        <v>2324.4499999999998</v>
      </c>
      <c r="I87" s="10">
        <v>311.95</v>
      </c>
      <c r="J87" s="10">
        <v>1840</v>
      </c>
      <c r="K87" s="10">
        <v>172.5</v>
      </c>
      <c r="L87" s="11">
        <v>10826.310000000001</v>
      </c>
      <c r="M87" s="10">
        <v>996.21</v>
      </c>
      <c r="N87" s="10">
        <v>9775.1</v>
      </c>
      <c r="O87" s="32">
        <v>55</v>
      </c>
      <c r="P87" s="36" t="s">
        <v>89</v>
      </c>
      <c r="Q87" s="12"/>
      <c r="R87" s="12"/>
      <c r="S87" s="6"/>
    </row>
    <row r="88" spans="1:19">
      <c r="A88" s="73" t="s">
        <v>90</v>
      </c>
      <c r="B88" s="74">
        <v>47729.243999999999</v>
      </c>
      <c r="C88" s="75">
        <v>23031.85</v>
      </c>
      <c r="D88" s="76">
        <v>122.99999999999999</v>
      </c>
      <c r="E88" s="76">
        <v>15825.650000000001</v>
      </c>
      <c r="F88" s="76">
        <v>7083.2000000000007</v>
      </c>
      <c r="G88" s="76">
        <v>0</v>
      </c>
      <c r="H88" s="76">
        <v>6908.1390000000001</v>
      </c>
      <c r="I88" s="76">
        <v>1603.14</v>
      </c>
      <c r="J88" s="76">
        <v>5301.9989999999998</v>
      </c>
      <c r="K88" s="76">
        <v>3</v>
      </c>
      <c r="L88" s="77">
        <v>17789.255000000001</v>
      </c>
      <c r="M88" s="78">
        <v>3750.7550000000001</v>
      </c>
      <c r="N88" s="79">
        <v>13910.500000000002</v>
      </c>
      <c r="O88" s="80">
        <v>128</v>
      </c>
      <c r="P88" s="84" t="s">
        <v>91</v>
      </c>
      <c r="Q88" s="84"/>
      <c r="R88" s="84"/>
      <c r="S88" s="6"/>
    </row>
    <row r="89" spans="1:19">
      <c r="A89" s="73"/>
      <c r="B89" s="74"/>
      <c r="C89" s="75"/>
      <c r="D89" s="76"/>
      <c r="E89" s="76"/>
      <c r="F89" s="76"/>
      <c r="G89" s="76"/>
      <c r="H89" s="76"/>
      <c r="I89" s="76"/>
      <c r="J89" s="76"/>
      <c r="K89" s="76"/>
      <c r="L89" s="77"/>
      <c r="M89" s="78"/>
      <c r="N89" s="79"/>
      <c r="O89" s="80"/>
      <c r="P89" s="84"/>
      <c r="Q89" s="84"/>
      <c r="R89" s="84"/>
      <c r="S89" s="6"/>
    </row>
    <row r="90" spans="1:19">
      <c r="A90" s="7" t="str">
        <f>VLOOKUP([1]ListOfRegions!A58,[1]ListOfRegions!A58:B132,2,0)</f>
        <v xml:space="preserve">  Σύρου</v>
      </c>
      <c r="B90" s="8">
        <v>804.10000000000014</v>
      </c>
      <c r="C90" s="9">
        <v>438.6</v>
      </c>
      <c r="D90" s="13" t="s">
        <v>6</v>
      </c>
      <c r="E90" s="10">
        <v>438.6</v>
      </c>
      <c r="F90" s="13" t="s">
        <v>6</v>
      </c>
      <c r="G90" s="13" t="s">
        <v>6</v>
      </c>
      <c r="H90" s="10">
        <v>173.70000000000002</v>
      </c>
      <c r="I90" s="10">
        <v>41.4</v>
      </c>
      <c r="J90" s="10">
        <v>132.30000000000001</v>
      </c>
      <c r="K90" s="13" t="s">
        <v>6</v>
      </c>
      <c r="L90" s="11">
        <v>191.8</v>
      </c>
      <c r="M90" s="10">
        <v>69.5</v>
      </c>
      <c r="N90" s="10">
        <v>122.3</v>
      </c>
      <c r="O90" s="40" t="s">
        <v>6</v>
      </c>
      <c r="P90" s="36" t="s">
        <v>92</v>
      </c>
      <c r="Q90" s="12"/>
      <c r="R90" s="12"/>
      <c r="S90" s="6"/>
    </row>
    <row r="91" spans="1:19">
      <c r="A91" s="7" t="str">
        <f>VLOOKUP([1]ListOfRegions!A59,[1]ListOfRegions!A59:B133,2,0)</f>
        <v xml:space="preserve">  Άνδρου</v>
      </c>
      <c r="B91" s="8">
        <v>3185.7349999999997</v>
      </c>
      <c r="C91" s="9">
        <v>1538.6599999999999</v>
      </c>
      <c r="D91" s="13" t="s">
        <v>6</v>
      </c>
      <c r="E91" s="10">
        <v>1475.56</v>
      </c>
      <c r="F91" s="10">
        <v>63.1</v>
      </c>
      <c r="G91" s="13" t="s">
        <v>6</v>
      </c>
      <c r="H91" s="10">
        <v>613.09</v>
      </c>
      <c r="I91" s="10">
        <v>73.36</v>
      </c>
      <c r="J91" s="10">
        <v>539.73</v>
      </c>
      <c r="K91" s="13" t="s">
        <v>6</v>
      </c>
      <c r="L91" s="11">
        <v>1033.9849999999999</v>
      </c>
      <c r="M91" s="10">
        <v>149.19499999999999</v>
      </c>
      <c r="N91" s="10">
        <v>884.79</v>
      </c>
      <c r="O91" s="40" t="s">
        <v>6</v>
      </c>
      <c r="P91" s="36" t="s">
        <v>93</v>
      </c>
      <c r="Q91" s="12"/>
      <c r="R91" s="12"/>
      <c r="S91" s="6"/>
    </row>
    <row r="92" spans="1:19">
      <c r="A92" s="7" t="str">
        <f>VLOOKUP([1]ListOfRegions!A60,[1]ListOfRegions!A60:B134,2,0)</f>
        <v xml:space="preserve">  Θήρας</v>
      </c>
      <c r="B92" s="8">
        <v>1113.1599999999999</v>
      </c>
      <c r="C92" s="9">
        <v>206.1</v>
      </c>
      <c r="D92" s="10">
        <v>3</v>
      </c>
      <c r="E92" s="10">
        <v>158.1</v>
      </c>
      <c r="F92" s="10">
        <v>45</v>
      </c>
      <c r="G92" s="13" t="s">
        <v>6</v>
      </c>
      <c r="H92" s="10">
        <v>124.5</v>
      </c>
      <c r="I92" s="10">
        <v>62.75</v>
      </c>
      <c r="J92" s="10">
        <v>61.75</v>
      </c>
      <c r="K92" s="13" t="s">
        <v>6</v>
      </c>
      <c r="L92" s="11">
        <v>782.56</v>
      </c>
      <c r="M92" s="10">
        <v>222.92</v>
      </c>
      <c r="N92" s="10">
        <v>559.64</v>
      </c>
      <c r="O92" s="40" t="s">
        <v>6</v>
      </c>
      <c r="P92" s="36" t="s">
        <v>94</v>
      </c>
      <c r="Q92" s="12"/>
      <c r="R92" s="12"/>
      <c r="S92" s="6"/>
    </row>
    <row r="93" spans="1:19">
      <c r="A93" s="7" t="str">
        <f>VLOOKUP([1]ListOfRegions!A61,[1]ListOfRegions!A61:B135,2,0)</f>
        <v xml:space="preserve">  Καλύμνου</v>
      </c>
      <c r="B93" s="8">
        <v>1632.02</v>
      </c>
      <c r="C93" s="9">
        <v>500.5</v>
      </c>
      <c r="D93" s="10">
        <v>35.5</v>
      </c>
      <c r="E93" s="10">
        <v>105</v>
      </c>
      <c r="F93" s="10">
        <v>360</v>
      </c>
      <c r="G93" s="13" t="s">
        <v>6</v>
      </c>
      <c r="H93" s="10">
        <v>245.92</v>
      </c>
      <c r="I93" s="10">
        <v>20.2</v>
      </c>
      <c r="J93" s="10">
        <v>222.72</v>
      </c>
      <c r="K93" s="10">
        <v>3</v>
      </c>
      <c r="L93" s="11">
        <v>885.6</v>
      </c>
      <c r="M93" s="10">
        <v>104.6</v>
      </c>
      <c r="N93" s="10">
        <v>653</v>
      </c>
      <c r="O93" s="32">
        <v>128</v>
      </c>
      <c r="P93" s="36" t="s">
        <v>95</v>
      </c>
      <c r="Q93" s="12"/>
      <c r="R93" s="12"/>
      <c r="S93" s="6"/>
    </row>
    <row r="94" spans="1:19">
      <c r="A94" s="7" t="str">
        <f>VLOOKUP([1]ListOfRegions!A62,[1]ListOfRegions!A62:B136,2,0)</f>
        <v xml:space="preserve">  Καρπάθου</v>
      </c>
      <c r="B94" s="8">
        <v>229.35</v>
      </c>
      <c r="C94" s="9">
        <v>0</v>
      </c>
      <c r="D94" s="13" t="s">
        <v>6</v>
      </c>
      <c r="E94" s="13" t="s">
        <v>6</v>
      </c>
      <c r="F94" s="13" t="s">
        <v>6</v>
      </c>
      <c r="G94" s="13" t="s">
        <v>6</v>
      </c>
      <c r="H94" s="10">
        <v>112.4</v>
      </c>
      <c r="I94" s="10">
        <v>15.5</v>
      </c>
      <c r="J94" s="10">
        <v>96.9</v>
      </c>
      <c r="K94" s="13" t="s">
        <v>6</v>
      </c>
      <c r="L94" s="11">
        <v>116.94999999999999</v>
      </c>
      <c r="M94" s="10">
        <v>23.65</v>
      </c>
      <c r="N94" s="10">
        <v>93.3</v>
      </c>
      <c r="O94" s="40" t="s">
        <v>6</v>
      </c>
      <c r="P94" s="36" t="s">
        <v>96</v>
      </c>
      <c r="Q94" s="12"/>
      <c r="R94" s="12"/>
      <c r="S94" s="6"/>
    </row>
    <row r="95" spans="1:19">
      <c r="A95" s="7" t="str">
        <f>VLOOKUP([1]ListOfRegions!A63,[1]ListOfRegions!A63:B137,2,0)</f>
        <v xml:space="preserve">  Κύθνου</v>
      </c>
      <c r="B95" s="8">
        <v>6058</v>
      </c>
      <c r="C95" s="9">
        <v>4627.5</v>
      </c>
      <c r="D95" s="13" t="s">
        <v>6</v>
      </c>
      <c r="E95" s="10">
        <v>4417.5</v>
      </c>
      <c r="F95" s="10">
        <v>210</v>
      </c>
      <c r="G95" s="13" t="s">
        <v>6</v>
      </c>
      <c r="H95" s="10">
        <v>396.5</v>
      </c>
      <c r="I95" s="10">
        <v>8</v>
      </c>
      <c r="J95" s="10">
        <v>388.5</v>
      </c>
      <c r="K95" s="13" t="s">
        <v>6</v>
      </c>
      <c r="L95" s="11">
        <v>1034</v>
      </c>
      <c r="M95" s="10">
        <v>30</v>
      </c>
      <c r="N95" s="10">
        <v>1004</v>
      </c>
      <c r="O95" s="40" t="s">
        <v>6</v>
      </c>
      <c r="P95" s="36" t="s">
        <v>97</v>
      </c>
      <c r="Q95" s="12"/>
      <c r="R95" s="12"/>
      <c r="S95" s="6"/>
    </row>
    <row r="96" spans="1:19">
      <c r="A96" s="7" t="str">
        <f>VLOOKUP([1]ListOfRegions!A64,[1]ListOfRegions!A64:B138,2,0)</f>
        <v xml:space="preserve">  Κω</v>
      </c>
      <c r="B96" s="8">
        <v>1425.1</v>
      </c>
      <c r="C96" s="9">
        <v>581.5</v>
      </c>
      <c r="D96" s="10">
        <v>9</v>
      </c>
      <c r="E96" s="10">
        <v>505</v>
      </c>
      <c r="F96" s="10">
        <v>67.5</v>
      </c>
      <c r="G96" s="13" t="s">
        <v>6</v>
      </c>
      <c r="H96" s="10">
        <v>315.89999999999998</v>
      </c>
      <c r="I96" s="10">
        <v>38.4</v>
      </c>
      <c r="J96" s="10">
        <v>277.5</v>
      </c>
      <c r="K96" s="13" t="s">
        <v>6</v>
      </c>
      <c r="L96" s="11">
        <v>527.70000000000005</v>
      </c>
      <c r="M96" s="10">
        <v>79.400000000000006</v>
      </c>
      <c r="N96" s="10">
        <v>448.3</v>
      </c>
      <c r="O96" s="40" t="s">
        <v>6</v>
      </c>
      <c r="P96" s="36" t="s">
        <v>98</v>
      </c>
      <c r="Q96" s="12"/>
      <c r="R96" s="12"/>
      <c r="S96" s="6"/>
    </row>
    <row r="97" spans="1:19">
      <c r="A97" s="7" t="str">
        <f>VLOOKUP([1]ListOfRegions!A65,[1]ListOfRegions!A65:B139,2,0)</f>
        <v xml:space="preserve">  Μήλου</v>
      </c>
      <c r="B97" s="8">
        <v>1288.43</v>
      </c>
      <c r="C97" s="9">
        <v>66.399999999999991</v>
      </c>
      <c r="D97" s="10">
        <v>2.2999999999999998</v>
      </c>
      <c r="E97" s="10">
        <v>64.099999999999994</v>
      </c>
      <c r="F97" s="13" t="s">
        <v>6</v>
      </c>
      <c r="G97" s="13" t="s">
        <v>6</v>
      </c>
      <c r="H97" s="10">
        <v>436.8</v>
      </c>
      <c r="I97" s="10">
        <v>151.19999999999999</v>
      </c>
      <c r="J97" s="10">
        <v>285.60000000000002</v>
      </c>
      <c r="K97" s="13" t="s">
        <v>6</v>
      </c>
      <c r="L97" s="11">
        <v>785.23</v>
      </c>
      <c r="M97" s="10">
        <v>247.3</v>
      </c>
      <c r="N97" s="10">
        <v>537.92999999999995</v>
      </c>
      <c r="O97" s="40" t="s">
        <v>6</v>
      </c>
      <c r="P97" s="36" t="s">
        <v>99</v>
      </c>
      <c r="Q97" s="12"/>
      <c r="R97" s="12"/>
      <c r="S97" s="6"/>
    </row>
    <row r="98" spans="1:19">
      <c r="A98" s="7" t="str">
        <f>VLOOKUP([1]ListOfRegions!A66,[1]ListOfRegions!A66:B140,2,0)</f>
        <v xml:space="preserve">  Μυκόνου.</v>
      </c>
      <c r="B98" s="8">
        <v>1278</v>
      </c>
      <c r="C98" s="9">
        <v>996</v>
      </c>
      <c r="D98" s="13" t="s">
        <v>6</v>
      </c>
      <c r="E98" s="10">
        <v>996</v>
      </c>
      <c r="F98" s="13" t="s">
        <v>6</v>
      </c>
      <c r="G98" s="13" t="s">
        <v>6</v>
      </c>
      <c r="H98" s="10">
        <v>191</v>
      </c>
      <c r="I98" s="10">
        <v>83</v>
      </c>
      <c r="J98" s="10">
        <v>108</v>
      </c>
      <c r="K98" s="13" t="s">
        <v>6</v>
      </c>
      <c r="L98" s="11">
        <v>91</v>
      </c>
      <c r="M98" s="10">
        <v>18</v>
      </c>
      <c r="N98" s="10">
        <v>73</v>
      </c>
      <c r="O98" s="40" t="s">
        <v>6</v>
      </c>
      <c r="P98" s="36" t="s">
        <v>100</v>
      </c>
      <c r="Q98" s="12"/>
      <c r="R98" s="12"/>
      <c r="S98" s="6"/>
    </row>
    <row r="99" spans="1:19">
      <c r="A99" s="7" t="str">
        <f>VLOOKUP([1]ListOfRegions!A67,[1]ListOfRegions!A67:B141,2,0)</f>
        <v xml:space="preserve">  Νάξου</v>
      </c>
      <c r="B99" s="8">
        <v>22993.924999999996</v>
      </c>
      <c r="C99" s="9">
        <v>10378.099999999999</v>
      </c>
      <c r="D99" s="10">
        <v>42.4</v>
      </c>
      <c r="E99" s="10">
        <v>4832.7</v>
      </c>
      <c r="F99" s="10">
        <v>5503</v>
      </c>
      <c r="G99" s="13" t="s">
        <v>6</v>
      </c>
      <c r="H99" s="10">
        <v>2951.5250000000001</v>
      </c>
      <c r="I99" s="10">
        <v>836.02499999999998</v>
      </c>
      <c r="J99" s="10">
        <v>2115.5</v>
      </c>
      <c r="K99" s="13" t="s">
        <v>6</v>
      </c>
      <c r="L99" s="11">
        <v>9664.2999999999993</v>
      </c>
      <c r="M99" s="10">
        <v>2031.25</v>
      </c>
      <c r="N99" s="10">
        <v>7633.05</v>
      </c>
      <c r="O99" s="40" t="s">
        <v>6</v>
      </c>
      <c r="P99" s="36" t="s">
        <v>101</v>
      </c>
      <c r="Q99" s="12"/>
      <c r="R99" s="12"/>
      <c r="S99" s="6"/>
    </row>
    <row r="100" spans="1:19">
      <c r="A100" s="7" t="str">
        <f>VLOOKUP([1]ListOfRegions!A68,[1]ListOfRegions!A68:B142,2,0)</f>
        <v xml:space="preserve">  Πάρου</v>
      </c>
      <c r="B100" s="8">
        <v>2065.8500000000004</v>
      </c>
      <c r="C100" s="9">
        <v>1292.5</v>
      </c>
      <c r="D100" s="10">
        <v>27</v>
      </c>
      <c r="E100" s="10">
        <v>1265.5</v>
      </c>
      <c r="F100" s="13" t="s">
        <v>6</v>
      </c>
      <c r="G100" s="13" t="s">
        <v>6</v>
      </c>
      <c r="H100" s="10">
        <v>182.65</v>
      </c>
      <c r="I100" s="10">
        <v>103</v>
      </c>
      <c r="J100" s="10">
        <v>79.650000000000006</v>
      </c>
      <c r="K100" s="13" t="s">
        <v>6</v>
      </c>
      <c r="L100" s="11">
        <v>590.70000000000005</v>
      </c>
      <c r="M100" s="10">
        <v>285.89999999999998</v>
      </c>
      <c r="N100" s="10">
        <v>304.8</v>
      </c>
      <c r="O100" s="40" t="s">
        <v>6</v>
      </c>
      <c r="P100" s="36" t="s">
        <v>102</v>
      </c>
      <c r="Q100" s="12"/>
      <c r="R100" s="12"/>
      <c r="S100" s="6"/>
    </row>
    <row r="101" spans="1:19">
      <c r="A101" s="7" t="str">
        <f>VLOOKUP([1]ListOfRegions!A69,[1]ListOfRegions!A69:B143,2,0)</f>
        <v xml:space="preserve">  Ρόδου</v>
      </c>
      <c r="B101" s="8">
        <v>3727.7690000000002</v>
      </c>
      <c r="C101" s="9">
        <v>1570.79</v>
      </c>
      <c r="D101" s="10">
        <v>3.8</v>
      </c>
      <c r="E101" s="10">
        <v>733.89</v>
      </c>
      <c r="F101" s="10">
        <v>833.1</v>
      </c>
      <c r="G101" s="13" t="s">
        <v>6</v>
      </c>
      <c r="H101" s="10">
        <v>664.90899999999999</v>
      </c>
      <c r="I101" s="10">
        <v>170.30500000000001</v>
      </c>
      <c r="J101" s="10">
        <v>494.60399999999998</v>
      </c>
      <c r="K101" s="13" t="s">
        <v>6</v>
      </c>
      <c r="L101" s="11">
        <v>1492.07</v>
      </c>
      <c r="M101" s="10">
        <v>481.04</v>
      </c>
      <c r="N101" s="10">
        <v>1011.03</v>
      </c>
      <c r="O101" s="40" t="s">
        <v>6</v>
      </c>
      <c r="P101" s="36" t="s">
        <v>103</v>
      </c>
      <c r="Q101" s="12"/>
      <c r="R101" s="12"/>
      <c r="S101" s="6"/>
    </row>
    <row r="102" spans="1:19">
      <c r="A102" s="7" t="str">
        <f>VLOOKUP([1]ListOfRegions!A70,[1]ListOfRegions!A70:B144,2,0)</f>
        <v xml:space="preserve">  Τήνου</v>
      </c>
      <c r="B102" s="8">
        <v>1927.8050000000003</v>
      </c>
      <c r="C102" s="9">
        <v>835.2</v>
      </c>
      <c r="D102" s="13" t="s">
        <v>6</v>
      </c>
      <c r="E102" s="10">
        <v>833.7</v>
      </c>
      <c r="F102" s="10">
        <v>1.5</v>
      </c>
      <c r="G102" s="13" t="s">
        <v>6</v>
      </c>
      <c r="H102" s="10">
        <v>499.245</v>
      </c>
      <c r="I102" s="13" t="s">
        <v>6</v>
      </c>
      <c r="J102" s="10">
        <v>499.245</v>
      </c>
      <c r="K102" s="13" t="s">
        <v>6</v>
      </c>
      <c r="L102" s="11">
        <v>593.36</v>
      </c>
      <c r="M102" s="10">
        <v>8</v>
      </c>
      <c r="N102" s="10">
        <v>585.36</v>
      </c>
      <c r="O102" s="40" t="s">
        <v>6</v>
      </c>
      <c r="P102" s="36" t="s">
        <v>104</v>
      </c>
      <c r="Q102" s="12"/>
      <c r="R102" s="12"/>
      <c r="S102" s="6"/>
    </row>
    <row r="103" spans="1:19">
      <c r="A103" s="73" t="s">
        <v>105</v>
      </c>
      <c r="B103" s="74">
        <v>135098.462</v>
      </c>
      <c r="C103" s="76">
        <v>826.42</v>
      </c>
      <c r="D103" s="76">
        <v>158.9</v>
      </c>
      <c r="E103" s="76">
        <v>335.8</v>
      </c>
      <c r="F103" s="76">
        <v>331.72</v>
      </c>
      <c r="G103" s="76">
        <v>0</v>
      </c>
      <c r="H103" s="76">
        <v>83978.68299999999</v>
      </c>
      <c r="I103" s="76">
        <v>10963.813</v>
      </c>
      <c r="J103" s="76">
        <v>67665.259999999995</v>
      </c>
      <c r="K103" s="76">
        <v>5349.61</v>
      </c>
      <c r="L103" s="77">
        <v>50293.359000000004</v>
      </c>
      <c r="M103" s="78">
        <v>16625.444000000003</v>
      </c>
      <c r="N103" s="79">
        <v>31167.72</v>
      </c>
      <c r="O103" s="80">
        <v>2500.1950000000002</v>
      </c>
      <c r="P103" s="84" t="s">
        <v>106</v>
      </c>
      <c r="Q103" s="84"/>
      <c r="R103" s="84"/>
      <c r="S103" s="6"/>
    </row>
    <row r="104" spans="1:19">
      <c r="A104" s="73"/>
      <c r="B104" s="74"/>
      <c r="C104" s="76"/>
      <c r="D104" s="76"/>
      <c r="E104" s="76"/>
      <c r="F104" s="76"/>
      <c r="G104" s="76"/>
      <c r="H104" s="76"/>
      <c r="I104" s="76"/>
      <c r="J104" s="76"/>
      <c r="K104" s="76"/>
      <c r="L104" s="77"/>
      <c r="M104" s="78"/>
      <c r="N104" s="79"/>
      <c r="O104" s="80"/>
      <c r="P104" s="84"/>
      <c r="Q104" s="84"/>
      <c r="R104" s="84"/>
      <c r="S104" s="6"/>
    </row>
    <row r="105" spans="1:19">
      <c r="A105" s="7" t="str">
        <f>VLOOKUP([1]ListOfRegions!A71,[1]ListOfRegions!A71:B145,2,0)</f>
        <v xml:space="preserve">  Ηρακλείου</v>
      </c>
      <c r="B105" s="8">
        <v>43150.385000000002</v>
      </c>
      <c r="C105" s="9">
        <v>454.02000000000004</v>
      </c>
      <c r="D105" s="10">
        <v>130.9</v>
      </c>
      <c r="E105" s="10">
        <v>183.3</v>
      </c>
      <c r="F105" s="10">
        <v>139.82</v>
      </c>
      <c r="G105" s="13" t="s">
        <v>6</v>
      </c>
      <c r="H105" s="10">
        <v>25333.035</v>
      </c>
      <c r="I105" s="10">
        <v>2695.8049999999998</v>
      </c>
      <c r="J105" s="10">
        <v>19859.48</v>
      </c>
      <c r="K105" s="10">
        <v>2777.75</v>
      </c>
      <c r="L105" s="11">
        <v>17363.330000000002</v>
      </c>
      <c r="M105" s="10">
        <v>5750.46</v>
      </c>
      <c r="N105" s="10">
        <v>10405.870000000001</v>
      </c>
      <c r="O105" s="32">
        <v>1207</v>
      </c>
      <c r="P105" s="36" t="s">
        <v>107</v>
      </c>
      <c r="Q105" s="12"/>
      <c r="R105" s="12"/>
      <c r="S105" s="6"/>
    </row>
    <row r="106" spans="1:19">
      <c r="A106" s="7" t="str">
        <f>VLOOKUP([1]ListOfRegions!A72,[1]ListOfRegions!A72:B146,2,0)</f>
        <v xml:space="preserve">  Λασιθίου</v>
      </c>
      <c r="B106" s="8">
        <v>25963.64</v>
      </c>
      <c r="C106" s="9">
        <v>30</v>
      </c>
      <c r="D106" s="10">
        <v>28</v>
      </c>
      <c r="E106" s="10">
        <v>2</v>
      </c>
      <c r="F106" s="13" t="s">
        <v>6</v>
      </c>
      <c r="G106" s="13" t="s">
        <v>6</v>
      </c>
      <c r="H106" s="10">
        <v>13011.69</v>
      </c>
      <c r="I106" s="10">
        <v>791.36500000000001</v>
      </c>
      <c r="J106" s="10">
        <v>11336.725</v>
      </c>
      <c r="K106" s="10">
        <v>883.6</v>
      </c>
      <c r="L106" s="11">
        <v>12921.95</v>
      </c>
      <c r="M106" s="10">
        <v>3217.67</v>
      </c>
      <c r="N106" s="10">
        <v>9265.2800000000007</v>
      </c>
      <c r="O106" s="32">
        <v>439</v>
      </c>
      <c r="P106" s="36" t="s">
        <v>108</v>
      </c>
      <c r="Q106" s="12"/>
      <c r="R106" s="12"/>
      <c r="S106" s="6"/>
    </row>
    <row r="107" spans="1:19">
      <c r="A107" s="7" t="str">
        <f>VLOOKUP([1]ListOfRegions!A73,[1]ListOfRegions!A73:B147,2,0)</f>
        <v xml:space="preserve">  Ρεθύμνης</v>
      </c>
      <c r="B107" s="8">
        <v>39042.619999999995</v>
      </c>
      <c r="C107" s="9">
        <v>141.5</v>
      </c>
      <c r="D107" s="13" t="s">
        <v>6</v>
      </c>
      <c r="E107" s="10">
        <v>140</v>
      </c>
      <c r="F107" s="10">
        <v>1.5</v>
      </c>
      <c r="G107" s="13" t="s">
        <v>6</v>
      </c>
      <c r="H107" s="10">
        <v>28624.42</v>
      </c>
      <c r="I107" s="10">
        <v>3463.7</v>
      </c>
      <c r="J107" s="10">
        <v>24285.919999999998</v>
      </c>
      <c r="K107" s="10">
        <v>874.8</v>
      </c>
      <c r="L107" s="11">
        <v>10276.699999999999</v>
      </c>
      <c r="M107" s="10">
        <v>3393.875</v>
      </c>
      <c r="N107" s="10">
        <v>6418.8</v>
      </c>
      <c r="O107" s="32">
        <v>464.02499999999998</v>
      </c>
      <c r="P107" s="36" t="s">
        <v>109</v>
      </c>
      <c r="Q107" s="12"/>
      <c r="R107" s="12"/>
      <c r="S107" s="6"/>
    </row>
    <row r="108" spans="1:19" ht="10.8" thickBot="1">
      <c r="A108" s="15" t="str">
        <f>VLOOKUP([1]ListOfRegions!A74,[1]ListOfRegions!A74:B148,2,0)</f>
        <v xml:space="preserve">  Χανίων</v>
      </c>
      <c r="B108" s="16">
        <v>26941.817000000003</v>
      </c>
      <c r="C108" s="31">
        <v>200.9</v>
      </c>
      <c r="D108" s="31" t="s">
        <v>6</v>
      </c>
      <c r="E108" s="17">
        <v>10.5</v>
      </c>
      <c r="F108" s="17">
        <v>190.4</v>
      </c>
      <c r="G108" s="31" t="s">
        <v>6</v>
      </c>
      <c r="H108" s="17">
        <v>17009.538</v>
      </c>
      <c r="I108" s="17">
        <v>4012.9430000000002</v>
      </c>
      <c r="J108" s="17">
        <v>12183.135</v>
      </c>
      <c r="K108" s="17">
        <v>813.46</v>
      </c>
      <c r="L108" s="41">
        <v>9731.3790000000008</v>
      </c>
      <c r="M108" s="17">
        <v>4263.4390000000003</v>
      </c>
      <c r="N108" s="17">
        <v>5077.7700000000004</v>
      </c>
      <c r="O108" s="33">
        <v>390.17</v>
      </c>
      <c r="P108" s="37" t="s">
        <v>110</v>
      </c>
      <c r="Q108" s="18"/>
      <c r="R108" s="18"/>
      <c r="S108" s="6"/>
    </row>
    <row r="109" spans="1:19">
      <c r="A109" s="19"/>
      <c r="L109" s="19"/>
      <c r="M109" s="20"/>
      <c r="Q109" s="86"/>
      <c r="R109" s="86"/>
    </row>
    <row r="110" spans="1:19">
      <c r="A110" s="6"/>
    </row>
    <row r="111" spans="1:19">
      <c r="A111" s="6"/>
    </row>
    <row r="112" spans="1:19">
      <c r="A112" s="6"/>
    </row>
    <row r="113" spans="1:13">
      <c r="A113" s="6"/>
    </row>
    <row r="114" spans="1:13">
      <c r="A114" s="6"/>
    </row>
    <row r="115" spans="1:13">
      <c r="A115" s="6"/>
    </row>
    <row r="116" spans="1:13">
      <c r="A116" s="6"/>
    </row>
    <row r="117" spans="1:13">
      <c r="A117" s="6"/>
    </row>
    <row r="118" spans="1:13">
      <c r="A118" s="21"/>
    </row>
    <row r="119" spans="1:13" s="6" customFormat="1">
      <c r="A119" s="93"/>
      <c r="B119" s="93"/>
      <c r="C119" s="93"/>
      <c r="D119" s="93"/>
      <c r="E119" s="93"/>
      <c r="F119" s="93"/>
      <c r="G119" s="30"/>
      <c r="H119" s="85"/>
      <c r="I119" s="85"/>
      <c r="J119" s="85"/>
      <c r="K119" s="85"/>
    </row>
    <row r="120" spans="1:13" s="6" customFormat="1">
      <c r="A120" s="93"/>
      <c r="B120" s="93"/>
      <c r="C120" s="93"/>
      <c r="D120" s="93"/>
      <c r="E120" s="93"/>
      <c r="F120" s="93"/>
      <c r="G120" s="30"/>
      <c r="H120" s="85"/>
      <c r="I120" s="85"/>
      <c r="J120" s="85"/>
      <c r="K120" s="85"/>
    </row>
    <row r="121" spans="1:13" s="6" customFormat="1">
      <c r="A121" s="93"/>
      <c r="B121" s="93"/>
      <c r="C121" s="93"/>
      <c r="D121" s="93"/>
      <c r="E121" s="93"/>
      <c r="F121" s="93"/>
      <c r="G121" s="30"/>
      <c r="H121" s="85"/>
      <c r="I121" s="85"/>
      <c r="J121" s="85"/>
      <c r="K121" s="85"/>
    </row>
    <row r="122" spans="1:13" s="6" customFormat="1">
      <c r="A122" s="22"/>
      <c r="F122" s="94"/>
      <c r="G122" s="94"/>
      <c r="H122" s="94"/>
      <c r="I122" s="94"/>
      <c r="J122" s="94"/>
      <c r="K122" s="94"/>
      <c r="M122" s="23" t="s">
        <v>6</v>
      </c>
    </row>
    <row r="123" spans="1:13" s="6" customFormat="1">
      <c r="A123" s="95"/>
      <c r="B123" s="50"/>
      <c r="C123" s="92"/>
      <c r="D123" s="92"/>
      <c r="E123" s="92"/>
      <c r="F123" s="50"/>
      <c r="G123" s="50"/>
      <c r="H123" s="50"/>
      <c r="I123" s="50"/>
      <c r="J123" s="50"/>
      <c r="K123" s="50"/>
    </row>
    <row r="124" spans="1:13" s="6" customFormat="1">
      <c r="A124" s="95"/>
      <c r="B124" s="92"/>
      <c r="C124" s="92"/>
      <c r="D124" s="92"/>
      <c r="E124" s="92"/>
      <c r="F124" s="50"/>
      <c r="G124" s="50"/>
      <c r="H124" s="50"/>
      <c r="I124" s="50"/>
      <c r="J124" s="50"/>
      <c r="K124" s="50"/>
    </row>
    <row r="125" spans="1:13" s="6" customFormat="1">
      <c r="A125" s="95"/>
      <c r="B125" s="50"/>
      <c r="C125" s="50"/>
      <c r="D125" s="50"/>
      <c r="E125" s="50"/>
      <c r="F125" s="50"/>
      <c r="G125" s="50"/>
      <c r="H125" s="50"/>
      <c r="I125" s="50"/>
      <c r="J125" s="50"/>
      <c r="K125" s="50"/>
    </row>
    <row r="126" spans="1:13" s="6" customFormat="1">
      <c r="A126" s="95"/>
      <c r="B126" s="24"/>
      <c r="C126" s="24"/>
      <c r="D126" s="24"/>
      <c r="E126" s="24"/>
      <c r="F126" s="24"/>
      <c r="G126" s="24"/>
      <c r="H126" s="24"/>
      <c r="I126" s="24"/>
      <c r="J126" s="24"/>
      <c r="K126" s="24"/>
    </row>
    <row r="127" spans="1:13" s="6" customFormat="1">
      <c r="A127" s="25"/>
    </row>
    <row r="128" spans="1:13" s="6" customFormat="1">
      <c r="A128" s="26"/>
    </row>
    <row r="129" spans="1:11" s="6" customFormat="1">
      <c r="A129" s="88"/>
      <c r="B129" s="87"/>
      <c r="C129" s="87"/>
      <c r="D129" s="87"/>
      <c r="E129" s="87"/>
      <c r="F129" s="87"/>
      <c r="G129" s="29"/>
      <c r="H129" s="87"/>
      <c r="I129" s="87"/>
      <c r="J129" s="87"/>
      <c r="K129" s="87"/>
    </row>
    <row r="130" spans="1:11" s="6" customFormat="1">
      <c r="A130" s="88"/>
      <c r="B130" s="87"/>
      <c r="C130" s="87"/>
      <c r="D130" s="87"/>
      <c r="E130" s="87"/>
      <c r="F130" s="87"/>
      <c r="G130" s="29"/>
      <c r="H130" s="87"/>
      <c r="I130" s="87"/>
      <c r="J130" s="87"/>
      <c r="K130" s="87"/>
    </row>
    <row r="131" spans="1:11" s="6" customFormat="1">
      <c r="A131" s="88"/>
      <c r="B131" s="87"/>
      <c r="C131" s="87"/>
      <c r="D131" s="87"/>
      <c r="E131" s="87"/>
      <c r="F131" s="87"/>
      <c r="G131" s="29"/>
      <c r="H131" s="87"/>
      <c r="I131" s="87"/>
      <c r="J131" s="87"/>
      <c r="K131" s="87"/>
    </row>
    <row r="132" spans="1:11" s="6" customFormat="1">
      <c r="A132" s="26"/>
      <c r="F132" s="27"/>
      <c r="G132" s="27"/>
      <c r="H132" s="27"/>
    </row>
    <row r="133" spans="1:11" s="6" customFormat="1">
      <c r="A133" s="26"/>
      <c r="F133" s="27"/>
      <c r="G133" s="27"/>
      <c r="H133" s="27"/>
    </row>
    <row r="134" spans="1:11" s="6" customFormat="1">
      <c r="A134" s="26"/>
      <c r="F134" s="27"/>
      <c r="G134" s="27"/>
      <c r="H134" s="27"/>
    </row>
    <row r="135" spans="1:11" s="6" customFormat="1">
      <c r="A135" s="26"/>
      <c r="F135" s="27"/>
      <c r="G135" s="27"/>
      <c r="H135" s="27"/>
    </row>
    <row r="136" spans="1:11" s="6" customFormat="1">
      <c r="A136" s="26"/>
      <c r="F136" s="27"/>
      <c r="G136" s="27"/>
      <c r="H136" s="27"/>
    </row>
    <row r="137" spans="1:11" s="6" customFormat="1">
      <c r="A137" s="26"/>
      <c r="F137" s="27"/>
      <c r="G137" s="27"/>
      <c r="H137" s="27"/>
    </row>
    <row r="138" spans="1:11" s="6" customFormat="1">
      <c r="A138" s="88"/>
    </row>
    <row r="139" spans="1:11" s="6" customFormat="1">
      <c r="A139" s="88"/>
    </row>
    <row r="140" spans="1:11" s="6" customFormat="1">
      <c r="A140" s="26"/>
      <c r="F140" s="27"/>
      <c r="G140" s="27"/>
      <c r="H140" s="27"/>
    </row>
    <row r="141" spans="1:11" s="6" customFormat="1">
      <c r="A141" s="26"/>
      <c r="F141" s="27"/>
      <c r="G141" s="27"/>
      <c r="H141" s="27"/>
    </row>
    <row r="142" spans="1:11" s="6" customFormat="1">
      <c r="A142" s="26"/>
      <c r="F142" s="27"/>
      <c r="G142" s="27"/>
      <c r="H142" s="27"/>
    </row>
    <row r="143" spans="1:11" s="6" customFormat="1">
      <c r="A143" s="26"/>
      <c r="F143" s="27"/>
      <c r="G143" s="27"/>
      <c r="H143" s="27"/>
    </row>
    <row r="144" spans="1:11" s="6" customFormat="1">
      <c r="A144" s="26"/>
      <c r="F144" s="27"/>
      <c r="G144" s="27"/>
      <c r="H144" s="27"/>
    </row>
    <row r="145" spans="1:8" s="6" customFormat="1">
      <c r="A145" s="26"/>
      <c r="F145" s="27"/>
      <c r="G145" s="27"/>
      <c r="H145" s="27"/>
    </row>
    <row r="146" spans="1:8" s="6" customFormat="1">
      <c r="A146" s="26"/>
      <c r="F146" s="27"/>
      <c r="G146" s="27"/>
      <c r="H146" s="27"/>
    </row>
    <row r="147" spans="1:8" s="6" customFormat="1">
      <c r="A147" s="26"/>
      <c r="F147" s="27"/>
      <c r="G147" s="27"/>
      <c r="H147" s="27"/>
    </row>
    <row r="148" spans="1:8" s="6" customFormat="1">
      <c r="A148" s="26"/>
      <c r="F148" s="27"/>
      <c r="G148" s="27"/>
      <c r="H148" s="27"/>
    </row>
    <row r="149" spans="1:8" s="6" customFormat="1">
      <c r="A149" s="26"/>
      <c r="F149" s="27"/>
      <c r="G149" s="27"/>
      <c r="H149" s="27"/>
    </row>
    <row r="150" spans="1:8" s="6" customFormat="1">
      <c r="A150" s="26"/>
      <c r="F150" s="27"/>
      <c r="G150" s="27"/>
      <c r="H150" s="27"/>
    </row>
    <row r="151" spans="1:8" s="6" customFormat="1">
      <c r="A151" s="89"/>
    </row>
    <row r="152" spans="1:8" s="6" customFormat="1">
      <c r="A152" s="89"/>
    </row>
    <row r="153" spans="1:8" s="6" customFormat="1">
      <c r="A153" s="26"/>
      <c r="F153" s="27"/>
      <c r="G153" s="27"/>
      <c r="H153" s="27"/>
    </row>
    <row r="154" spans="1:8" s="6" customFormat="1">
      <c r="A154" s="26"/>
      <c r="F154" s="27"/>
      <c r="G154" s="27"/>
      <c r="H154" s="27"/>
    </row>
    <row r="155" spans="1:8" s="6" customFormat="1">
      <c r="A155" s="26"/>
      <c r="F155" s="27"/>
      <c r="G155" s="27"/>
      <c r="H155" s="27"/>
    </row>
    <row r="156" spans="1:8" s="6" customFormat="1">
      <c r="A156" s="26"/>
      <c r="F156" s="27"/>
      <c r="G156" s="27"/>
      <c r="H156" s="27"/>
    </row>
    <row r="157" spans="1:8" s="6" customFormat="1">
      <c r="A157" s="89"/>
    </row>
    <row r="158" spans="1:8" s="6" customFormat="1">
      <c r="A158" s="89"/>
    </row>
    <row r="159" spans="1:8" s="6" customFormat="1">
      <c r="A159" s="26"/>
      <c r="F159" s="27"/>
      <c r="G159" s="27"/>
      <c r="H159" s="27"/>
    </row>
    <row r="160" spans="1:8" s="6" customFormat="1">
      <c r="A160" s="26"/>
      <c r="F160" s="27"/>
      <c r="G160" s="27"/>
      <c r="H160" s="27"/>
    </row>
    <row r="161" spans="1:8" s="6" customFormat="1">
      <c r="A161" s="26"/>
      <c r="F161" s="27"/>
      <c r="G161" s="27"/>
      <c r="H161" s="27"/>
    </row>
    <row r="162" spans="1:8" s="6" customFormat="1">
      <c r="A162" s="26"/>
      <c r="F162" s="27"/>
      <c r="G162" s="27"/>
      <c r="H162" s="27"/>
    </row>
    <row r="163" spans="1:8" s="6" customFormat="1">
      <c r="A163" s="26"/>
      <c r="F163" s="27"/>
      <c r="G163" s="27"/>
      <c r="H163" s="27"/>
    </row>
    <row r="164" spans="1:8" s="6" customFormat="1">
      <c r="A164" s="89"/>
    </row>
    <row r="165" spans="1:8" s="6" customFormat="1">
      <c r="A165" s="89"/>
    </row>
    <row r="166" spans="1:8" s="6" customFormat="1">
      <c r="A166" s="26"/>
      <c r="F166" s="27"/>
      <c r="G166" s="27"/>
      <c r="H166" s="27"/>
    </row>
    <row r="167" spans="1:8" s="6" customFormat="1">
      <c r="A167" s="26"/>
      <c r="F167" s="27"/>
      <c r="G167" s="27"/>
      <c r="H167" s="27"/>
    </row>
    <row r="168" spans="1:8" s="6" customFormat="1">
      <c r="A168" s="26"/>
      <c r="F168" s="27"/>
      <c r="G168" s="27"/>
      <c r="H168" s="27"/>
    </row>
    <row r="169" spans="1:8" s="6" customFormat="1">
      <c r="A169" s="26"/>
      <c r="F169" s="27"/>
      <c r="G169" s="27"/>
      <c r="H169" s="27"/>
    </row>
    <row r="170" spans="1:8" s="6" customFormat="1">
      <c r="A170" s="26"/>
      <c r="F170" s="27"/>
      <c r="G170" s="27"/>
      <c r="H170" s="27"/>
    </row>
    <row r="171" spans="1:8" s="6" customFormat="1">
      <c r="A171" s="89"/>
    </row>
    <row r="172" spans="1:8" s="6" customFormat="1">
      <c r="A172" s="89"/>
    </row>
    <row r="173" spans="1:8" s="6" customFormat="1">
      <c r="A173" s="26"/>
      <c r="F173" s="27"/>
      <c r="G173" s="27"/>
      <c r="H173" s="27"/>
    </row>
    <row r="174" spans="1:8" s="6" customFormat="1">
      <c r="A174" s="26"/>
      <c r="F174" s="27"/>
      <c r="G174" s="27"/>
      <c r="H174" s="27"/>
    </row>
    <row r="175" spans="1:8" s="6" customFormat="1">
      <c r="A175" s="26"/>
      <c r="F175" s="27"/>
      <c r="G175" s="27"/>
      <c r="H175" s="27"/>
    </row>
    <row r="176" spans="1:8" s="6" customFormat="1">
      <c r="A176" s="26"/>
      <c r="F176" s="27"/>
      <c r="G176" s="27"/>
      <c r="H176" s="27"/>
    </row>
    <row r="177" spans="1:8" s="6" customFormat="1">
      <c r="A177" s="26"/>
      <c r="F177" s="27"/>
      <c r="G177" s="27"/>
      <c r="H177" s="27"/>
    </row>
    <row r="178" spans="1:8" s="6" customFormat="1">
      <c r="A178" s="89"/>
    </row>
    <row r="179" spans="1:8" s="6" customFormat="1">
      <c r="A179" s="89"/>
    </row>
    <row r="180" spans="1:8" s="6" customFormat="1">
      <c r="A180" s="26"/>
      <c r="F180" s="27"/>
      <c r="G180" s="27"/>
      <c r="H180" s="27"/>
    </row>
    <row r="181" spans="1:8" s="6" customFormat="1">
      <c r="A181" s="26"/>
      <c r="F181" s="27"/>
      <c r="G181" s="27"/>
      <c r="H181" s="27"/>
    </row>
    <row r="182" spans="1:8" s="6" customFormat="1">
      <c r="A182" s="26"/>
      <c r="F182" s="27"/>
      <c r="G182" s="27"/>
      <c r="H182" s="27"/>
    </row>
    <row r="183" spans="1:8" s="6" customFormat="1">
      <c r="A183" s="89"/>
    </row>
    <row r="184" spans="1:8" s="6" customFormat="1">
      <c r="A184" s="89"/>
    </row>
    <row r="185" spans="1:8" s="6" customFormat="1">
      <c r="A185" s="26"/>
      <c r="F185" s="27"/>
      <c r="G185" s="27"/>
      <c r="H185" s="27"/>
    </row>
    <row r="186" spans="1:8" s="6" customFormat="1">
      <c r="A186" s="26"/>
      <c r="F186" s="27"/>
      <c r="G186" s="27"/>
      <c r="H186" s="27"/>
    </row>
    <row r="187" spans="1:8" s="6" customFormat="1">
      <c r="A187" s="26"/>
      <c r="F187" s="27"/>
      <c r="G187" s="27"/>
      <c r="H187" s="27"/>
    </row>
    <row r="188" spans="1:8" s="6" customFormat="1">
      <c r="A188" s="26"/>
      <c r="F188" s="27"/>
      <c r="G188" s="27"/>
      <c r="H188" s="27"/>
    </row>
    <row r="189" spans="1:8" s="6" customFormat="1">
      <c r="A189" s="26"/>
      <c r="F189" s="27"/>
      <c r="G189" s="27"/>
      <c r="H189" s="27"/>
    </row>
    <row r="190" spans="1:8" s="6" customFormat="1">
      <c r="A190" s="89"/>
    </row>
    <row r="191" spans="1:8" s="6" customFormat="1">
      <c r="A191" s="89"/>
    </row>
    <row r="192" spans="1:8" s="6" customFormat="1">
      <c r="A192" s="26"/>
      <c r="F192" s="27"/>
      <c r="G192" s="27"/>
      <c r="H192" s="27"/>
    </row>
    <row r="193" spans="1:8" s="6" customFormat="1">
      <c r="A193" s="26"/>
      <c r="F193" s="27"/>
      <c r="G193" s="27"/>
      <c r="H193" s="27"/>
    </row>
    <row r="194" spans="1:8" s="6" customFormat="1">
      <c r="A194" s="26"/>
      <c r="F194" s="27"/>
      <c r="G194" s="27"/>
      <c r="H194" s="27"/>
    </row>
    <row r="195" spans="1:8" s="6" customFormat="1">
      <c r="A195" s="26"/>
      <c r="F195" s="27"/>
      <c r="G195" s="27"/>
      <c r="H195" s="27"/>
    </row>
    <row r="196" spans="1:8" s="6" customFormat="1">
      <c r="A196" s="26"/>
      <c r="F196" s="27"/>
      <c r="G196" s="27"/>
      <c r="H196" s="27"/>
    </row>
    <row r="197" spans="1:8" s="6" customFormat="1">
      <c r="A197" s="26"/>
      <c r="F197" s="27"/>
      <c r="G197" s="27"/>
      <c r="H197" s="27"/>
    </row>
    <row r="198" spans="1:8" s="6" customFormat="1">
      <c r="A198" s="26"/>
      <c r="F198" s="27"/>
      <c r="G198" s="27"/>
      <c r="H198" s="27"/>
    </row>
    <row r="199" spans="1:8" s="6" customFormat="1">
      <c r="A199" s="26"/>
      <c r="F199" s="27"/>
      <c r="G199" s="27"/>
      <c r="H199" s="27"/>
    </row>
    <row r="200" spans="1:8" s="6" customFormat="1">
      <c r="A200" s="89"/>
    </row>
    <row r="201" spans="1:8" s="6" customFormat="1">
      <c r="A201" s="89"/>
    </row>
    <row r="202" spans="1:8" s="6" customFormat="1">
      <c r="A202" s="26"/>
      <c r="F202" s="27"/>
      <c r="G202" s="27"/>
      <c r="H202" s="27"/>
    </row>
    <row r="203" spans="1:8" s="6" customFormat="1">
      <c r="A203" s="26"/>
      <c r="F203" s="27"/>
      <c r="G203" s="27"/>
      <c r="H203" s="27"/>
    </row>
    <row r="204" spans="1:8" s="6" customFormat="1">
      <c r="A204" s="26"/>
      <c r="F204" s="27"/>
      <c r="G204" s="27"/>
      <c r="H204" s="27"/>
    </row>
    <row r="205" spans="1:8" s="6" customFormat="1">
      <c r="A205" s="26"/>
      <c r="F205" s="27"/>
      <c r="G205" s="27"/>
      <c r="H205" s="27"/>
    </row>
    <row r="206" spans="1:8" s="6" customFormat="1">
      <c r="A206" s="26"/>
      <c r="F206" s="27"/>
      <c r="G206" s="27"/>
      <c r="H206" s="27"/>
    </row>
    <row r="207" spans="1:8" s="6" customFormat="1">
      <c r="A207" s="89"/>
    </row>
    <row r="208" spans="1:8" s="6" customFormat="1">
      <c r="A208" s="89"/>
    </row>
    <row r="209" spans="1:8" s="6" customFormat="1">
      <c r="A209" s="26"/>
      <c r="F209" s="27"/>
      <c r="G209" s="27"/>
      <c r="H209" s="27"/>
    </row>
    <row r="210" spans="1:8" s="6" customFormat="1">
      <c r="A210" s="26"/>
      <c r="F210" s="27"/>
      <c r="G210" s="27"/>
      <c r="H210" s="27"/>
    </row>
    <row r="211" spans="1:8" s="6" customFormat="1">
      <c r="A211" s="26"/>
      <c r="F211" s="27"/>
      <c r="G211" s="27"/>
      <c r="H211" s="27"/>
    </row>
    <row r="212" spans="1:8" s="6" customFormat="1">
      <c r="A212" s="26"/>
      <c r="F212" s="27"/>
      <c r="G212" s="27"/>
      <c r="H212" s="27"/>
    </row>
    <row r="213" spans="1:8" s="6" customFormat="1">
      <c r="A213" s="26"/>
      <c r="F213" s="27"/>
      <c r="G213" s="27"/>
      <c r="H213" s="27"/>
    </row>
    <row r="214" spans="1:8" s="6" customFormat="1">
      <c r="A214" s="26"/>
      <c r="F214" s="27"/>
      <c r="G214" s="27"/>
      <c r="H214" s="27"/>
    </row>
    <row r="215" spans="1:8" s="6" customFormat="1">
      <c r="A215" s="26"/>
      <c r="F215" s="27"/>
      <c r="G215" s="27"/>
      <c r="H215" s="27"/>
    </row>
    <row r="216" spans="1:8" s="6" customFormat="1">
      <c r="A216" s="26"/>
      <c r="F216" s="27"/>
      <c r="G216" s="27"/>
      <c r="H216" s="27"/>
    </row>
    <row r="217" spans="1:8" s="6" customFormat="1">
      <c r="A217" s="26"/>
      <c r="F217" s="27"/>
      <c r="G217" s="27"/>
      <c r="H217" s="27"/>
    </row>
    <row r="218" spans="1:8" s="6" customFormat="1">
      <c r="A218" s="26"/>
      <c r="F218" s="27"/>
      <c r="G218" s="27"/>
      <c r="H218" s="27"/>
    </row>
    <row r="219" spans="1:8" s="6" customFormat="1">
      <c r="A219" s="26"/>
      <c r="F219" s="27"/>
      <c r="G219" s="27"/>
      <c r="H219" s="27"/>
    </row>
    <row r="220" spans="1:8" s="6" customFormat="1">
      <c r="A220" s="26"/>
      <c r="F220" s="27"/>
      <c r="G220" s="27"/>
      <c r="H220" s="27"/>
    </row>
    <row r="221" spans="1:8" s="6" customFormat="1">
      <c r="A221" s="26"/>
      <c r="F221" s="27"/>
      <c r="G221" s="27"/>
      <c r="H221" s="27"/>
    </row>
    <row r="222" spans="1:8" s="6" customFormat="1">
      <c r="A222" s="89"/>
    </row>
    <row r="223" spans="1:8" s="6" customFormat="1">
      <c r="A223" s="89"/>
    </row>
    <row r="224" spans="1:8" s="6" customFormat="1">
      <c r="A224" s="26"/>
      <c r="F224" s="27"/>
      <c r="G224" s="27"/>
      <c r="H224" s="27"/>
    </row>
    <row r="225" spans="1:8" s="6" customFormat="1">
      <c r="A225" s="26"/>
      <c r="F225" s="27"/>
      <c r="G225" s="27"/>
      <c r="H225" s="27"/>
    </row>
    <row r="226" spans="1:8" s="6" customFormat="1">
      <c r="A226" s="26"/>
      <c r="F226" s="27"/>
      <c r="G226" s="27"/>
      <c r="H226" s="27"/>
    </row>
    <row r="227" spans="1:8" s="6" customFormat="1">
      <c r="A227" s="26"/>
      <c r="F227" s="27"/>
      <c r="G227" s="27"/>
      <c r="H227" s="27"/>
    </row>
    <row r="228" spans="1:8" s="6" customFormat="1">
      <c r="A228" s="26"/>
    </row>
    <row r="229" spans="1:8">
      <c r="A229" s="28"/>
    </row>
  </sheetData>
  <mergeCells count="266">
    <mergeCell ref="A207:A208"/>
    <mergeCell ref="A119:F121"/>
    <mergeCell ref="A103:A104"/>
    <mergeCell ref="B103:B104"/>
    <mergeCell ref="C103:C104"/>
    <mergeCell ref="D103:D104"/>
    <mergeCell ref="E103:E104"/>
    <mergeCell ref="F103:F104"/>
    <mergeCell ref="F122:K122"/>
    <mergeCell ref="A123:A126"/>
    <mergeCell ref="G88:G89"/>
    <mergeCell ref="G103:G104"/>
    <mergeCell ref="G45:G46"/>
    <mergeCell ref="G52:G53"/>
    <mergeCell ref="G59:G60"/>
    <mergeCell ref="G64:G65"/>
    <mergeCell ref="G71:G72"/>
    <mergeCell ref="G81:G82"/>
    <mergeCell ref="B123:E124"/>
    <mergeCell ref="F123:H125"/>
    <mergeCell ref="I123:J125"/>
    <mergeCell ref="K123:K125"/>
    <mergeCell ref="B125:C125"/>
    <mergeCell ref="D125:E125"/>
    <mergeCell ref="A164:A165"/>
    <mergeCell ref="A171:A172"/>
    <mergeCell ref="A178:A179"/>
    <mergeCell ref="A138:A139"/>
    <mergeCell ref="A151:A152"/>
    <mergeCell ref="A157:A158"/>
    <mergeCell ref="A222:A223"/>
    <mergeCell ref="G4:G7"/>
    <mergeCell ref="G9:G10"/>
    <mergeCell ref="G11:G12"/>
    <mergeCell ref="G19:G20"/>
    <mergeCell ref="G32:G33"/>
    <mergeCell ref="G38:G39"/>
    <mergeCell ref="A183:A184"/>
    <mergeCell ref="A190:A191"/>
    <mergeCell ref="A200:A201"/>
    <mergeCell ref="H129:H131"/>
    <mergeCell ref="I129:I131"/>
    <mergeCell ref="J129:J131"/>
    <mergeCell ref="K129:K131"/>
    <mergeCell ref="A129:A131"/>
    <mergeCell ref="B129:B131"/>
    <mergeCell ref="C129:C131"/>
    <mergeCell ref="D129:D131"/>
    <mergeCell ref="E129:E131"/>
    <mergeCell ref="F129:F131"/>
    <mergeCell ref="P88:R89"/>
    <mergeCell ref="H103:H104"/>
    <mergeCell ref="I103:I104"/>
    <mergeCell ref="J103:J104"/>
    <mergeCell ref="N88:N89"/>
    <mergeCell ref="O88:O89"/>
    <mergeCell ref="J88:J89"/>
    <mergeCell ref="K88:K89"/>
    <mergeCell ref="L88:L89"/>
    <mergeCell ref="M88:M89"/>
    <mergeCell ref="H119:K121"/>
    <mergeCell ref="Q109:R109"/>
    <mergeCell ref="O103:O104"/>
    <mergeCell ref="P103:R104"/>
    <mergeCell ref="K103:K104"/>
    <mergeCell ref="L103:L104"/>
    <mergeCell ref="M103:M104"/>
    <mergeCell ref="N103:N104"/>
    <mergeCell ref="N81:N82"/>
    <mergeCell ref="O81:O82"/>
    <mergeCell ref="I81:I82"/>
    <mergeCell ref="J81:J82"/>
    <mergeCell ref="K81:K82"/>
    <mergeCell ref="L81:L82"/>
    <mergeCell ref="P81:R82"/>
    <mergeCell ref="A88:A89"/>
    <mergeCell ref="B88:B89"/>
    <mergeCell ref="C88:C89"/>
    <mergeCell ref="D88:D89"/>
    <mergeCell ref="E88:E89"/>
    <mergeCell ref="F88:F89"/>
    <mergeCell ref="H88:H89"/>
    <mergeCell ref="I88:I89"/>
    <mergeCell ref="M81:M82"/>
    <mergeCell ref="A71:A72"/>
    <mergeCell ref="B71:B72"/>
    <mergeCell ref="C71:C72"/>
    <mergeCell ref="D71:D72"/>
    <mergeCell ref="E71:E72"/>
    <mergeCell ref="F71:F72"/>
    <mergeCell ref="N71:N72"/>
    <mergeCell ref="O71:O72"/>
    <mergeCell ref="H71:H72"/>
    <mergeCell ref="I71:I72"/>
    <mergeCell ref="J71:J72"/>
    <mergeCell ref="K71:K72"/>
    <mergeCell ref="P71:R72"/>
    <mergeCell ref="A81:A82"/>
    <mergeCell ref="B81:B82"/>
    <mergeCell ref="C81:C82"/>
    <mergeCell ref="D81:D82"/>
    <mergeCell ref="E81:E82"/>
    <mergeCell ref="F81:F82"/>
    <mergeCell ref="H81:H82"/>
    <mergeCell ref="L71:L72"/>
    <mergeCell ref="M71:M72"/>
    <mergeCell ref="N59:N60"/>
    <mergeCell ref="O59:O60"/>
    <mergeCell ref="J59:J60"/>
    <mergeCell ref="K59:K60"/>
    <mergeCell ref="L59:L60"/>
    <mergeCell ref="M59:M60"/>
    <mergeCell ref="P59:R60"/>
    <mergeCell ref="A64:A65"/>
    <mergeCell ref="B64:B65"/>
    <mergeCell ref="C64:C65"/>
    <mergeCell ref="D64:D65"/>
    <mergeCell ref="E64:E65"/>
    <mergeCell ref="F64:F65"/>
    <mergeCell ref="H64:H65"/>
    <mergeCell ref="I64:I65"/>
    <mergeCell ref="J64:J65"/>
    <mergeCell ref="O64:O65"/>
    <mergeCell ref="P64:R65"/>
    <mergeCell ref="K64:K65"/>
    <mergeCell ref="L64:L65"/>
    <mergeCell ref="M64:M65"/>
    <mergeCell ref="N64:N65"/>
    <mergeCell ref="N52:N53"/>
    <mergeCell ref="O52:O53"/>
    <mergeCell ref="I52:I53"/>
    <mergeCell ref="J52:J53"/>
    <mergeCell ref="K52:K53"/>
    <mergeCell ref="L52:L53"/>
    <mergeCell ref="P52:R53"/>
    <mergeCell ref="A59:A60"/>
    <mergeCell ref="B59:B60"/>
    <mergeCell ref="C59:C60"/>
    <mergeCell ref="D59:D60"/>
    <mergeCell ref="E59:E60"/>
    <mergeCell ref="F59:F60"/>
    <mergeCell ref="H59:H60"/>
    <mergeCell ref="I59:I60"/>
    <mergeCell ref="M52:M53"/>
    <mergeCell ref="A45:A46"/>
    <mergeCell ref="B45:B46"/>
    <mergeCell ref="C45:C46"/>
    <mergeCell ref="D45:D46"/>
    <mergeCell ref="E45:E46"/>
    <mergeCell ref="F45:F46"/>
    <mergeCell ref="N45:N46"/>
    <mergeCell ref="O45:O46"/>
    <mergeCell ref="H45:H46"/>
    <mergeCell ref="I45:I46"/>
    <mergeCell ref="J45:J46"/>
    <mergeCell ref="K45:K46"/>
    <mergeCell ref="P45:R46"/>
    <mergeCell ref="A52:A53"/>
    <mergeCell ref="B52:B53"/>
    <mergeCell ref="C52:C53"/>
    <mergeCell ref="D52:D53"/>
    <mergeCell ref="E52:E53"/>
    <mergeCell ref="F52:F53"/>
    <mergeCell ref="H52:H53"/>
    <mergeCell ref="L45:L46"/>
    <mergeCell ref="M45:M46"/>
    <mergeCell ref="H38:H39"/>
    <mergeCell ref="I38:I39"/>
    <mergeCell ref="J38:J39"/>
    <mergeCell ref="N32:N33"/>
    <mergeCell ref="O32:O33"/>
    <mergeCell ref="J32:J33"/>
    <mergeCell ref="K32:K33"/>
    <mergeCell ref="L32:L33"/>
    <mergeCell ref="M32:M33"/>
    <mergeCell ref="A38:A39"/>
    <mergeCell ref="B38:B39"/>
    <mergeCell ref="C38:C39"/>
    <mergeCell ref="D38:D39"/>
    <mergeCell ref="E38:E39"/>
    <mergeCell ref="F38:F39"/>
    <mergeCell ref="P38:R39"/>
    <mergeCell ref="K38:K39"/>
    <mergeCell ref="L38:L39"/>
    <mergeCell ref="M38:M39"/>
    <mergeCell ref="N38:N39"/>
    <mergeCell ref="P32:R33"/>
    <mergeCell ref="O19:O20"/>
    <mergeCell ref="I19:I20"/>
    <mergeCell ref="J19:J20"/>
    <mergeCell ref="K19:K20"/>
    <mergeCell ref="L19:L20"/>
    <mergeCell ref="O38:O39"/>
    <mergeCell ref="P19:R20"/>
    <mergeCell ref="A32:A33"/>
    <mergeCell ref="B32:B33"/>
    <mergeCell ref="C32:C33"/>
    <mergeCell ref="D32:D33"/>
    <mergeCell ref="E32:E33"/>
    <mergeCell ref="F32:F33"/>
    <mergeCell ref="H32:H33"/>
    <mergeCell ref="I32:I33"/>
    <mergeCell ref="M19:M20"/>
    <mergeCell ref="A11:A12"/>
    <mergeCell ref="B11:B12"/>
    <mergeCell ref="C11:C12"/>
    <mergeCell ref="D11:D12"/>
    <mergeCell ref="E11:E12"/>
    <mergeCell ref="F11:F12"/>
    <mergeCell ref="H19:H20"/>
    <mergeCell ref="L11:L12"/>
    <mergeCell ref="M11:M12"/>
    <mergeCell ref="N11:N12"/>
    <mergeCell ref="O11:O12"/>
    <mergeCell ref="H11:H12"/>
    <mergeCell ref="I11:I12"/>
    <mergeCell ref="J11:J12"/>
    <mergeCell ref="K11:K12"/>
    <mergeCell ref="N19:N20"/>
    <mergeCell ref="H9:H10"/>
    <mergeCell ref="I9:I10"/>
    <mergeCell ref="J9:J10"/>
    <mergeCell ref="P11:R12"/>
    <mergeCell ref="A19:A20"/>
    <mergeCell ref="B19:B20"/>
    <mergeCell ref="C19:C20"/>
    <mergeCell ref="D19:D20"/>
    <mergeCell ref="E19:E20"/>
    <mergeCell ref="F19:F20"/>
    <mergeCell ref="A9:A10"/>
    <mergeCell ref="B9:B10"/>
    <mergeCell ref="C9:C10"/>
    <mergeCell ref="D9:D10"/>
    <mergeCell ref="E9:E10"/>
    <mergeCell ref="F9:F10"/>
    <mergeCell ref="O9:O10"/>
    <mergeCell ref="P9:R10"/>
    <mergeCell ref="K9:K10"/>
    <mergeCell ref="L9:L10"/>
    <mergeCell ref="M9:M10"/>
    <mergeCell ref="N9:N10"/>
    <mergeCell ref="B4:B7"/>
    <mergeCell ref="M6:M7"/>
    <mergeCell ref="N6:N7"/>
    <mergeCell ref="O6:O7"/>
    <mergeCell ref="I6:I7"/>
    <mergeCell ref="J6:J7"/>
    <mergeCell ref="K6:K7"/>
    <mergeCell ref="L6:L7"/>
    <mergeCell ref="C4:F5"/>
    <mergeCell ref="L4:O5"/>
    <mergeCell ref="P4:R8"/>
    <mergeCell ref="A1:K1"/>
    <mergeCell ref="L1:R1"/>
    <mergeCell ref="A2:K2"/>
    <mergeCell ref="L2:R2"/>
    <mergeCell ref="H3:K3"/>
    <mergeCell ref="L3:O3"/>
    <mergeCell ref="Q3:R3"/>
    <mergeCell ref="A4:A7"/>
    <mergeCell ref="C6:C7"/>
    <mergeCell ref="D6:D7"/>
    <mergeCell ref="E6:E7"/>
    <mergeCell ref="F6:F7"/>
    <mergeCell ref="H6:H7"/>
    <mergeCell ref="H4:K5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2015-05-18T07:58:42Z</cp:lastPrinted>
  <dcterms:created xsi:type="dcterms:W3CDTF">2015-05-18T06:58:45Z</dcterms:created>
  <dcterms:modified xsi:type="dcterms:W3CDTF">2016-09-02T09:20:09Z</dcterms:modified>
</cp:coreProperties>
</file>