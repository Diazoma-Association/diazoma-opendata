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106" i="1"/>
  <c r="D106"/>
  <c r="E106"/>
  <c r="F106"/>
  <c r="B106"/>
  <c r="C91"/>
  <c r="D91"/>
  <c r="E91"/>
  <c r="F91"/>
  <c r="B91"/>
  <c r="C84"/>
  <c r="D84"/>
  <c r="E84"/>
  <c r="F84"/>
  <c r="B84"/>
  <c r="C74"/>
  <c r="D74"/>
  <c r="E74"/>
  <c r="F74"/>
  <c r="B74"/>
  <c r="C67"/>
  <c r="D67"/>
  <c r="E67"/>
  <c r="F67"/>
  <c r="B67"/>
  <c r="C62"/>
  <c r="D62"/>
  <c r="E62"/>
  <c r="F62"/>
  <c r="B62"/>
  <c r="C55"/>
  <c r="D55"/>
  <c r="E55"/>
  <c r="F55"/>
  <c r="B55"/>
  <c r="C48"/>
  <c r="D48"/>
  <c r="E48"/>
  <c r="F48"/>
  <c r="B48"/>
  <c r="B41"/>
  <c r="C41"/>
  <c r="D41"/>
  <c r="E41"/>
  <c r="F41"/>
  <c r="C35"/>
  <c r="D35"/>
  <c r="E35"/>
  <c r="F35"/>
  <c r="B35"/>
  <c r="C30"/>
  <c r="D30"/>
  <c r="E30"/>
  <c r="F30"/>
  <c r="B30"/>
  <c r="C21"/>
  <c r="D21"/>
  <c r="E21"/>
  <c r="F21"/>
  <c r="B21"/>
  <c r="C13"/>
  <c r="D13"/>
  <c r="E13"/>
  <c r="F13"/>
  <c r="B13"/>
  <c r="E11" l="1"/>
  <c r="B11"/>
  <c r="C11"/>
  <c r="F11"/>
  <c r="D11"/>
</calcChain>
</file>

<file path=xl/sharedStrings.xml><?xml version="1.0" encoding="utf-8"?>
<sst xmlns="http://schemas.openxmlformats.org/spreadsheetml/2006/main" count="214" uniqueCount="189">
  <si>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</si>
  <si>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</si>
  <si>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</si>
  <si>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</si>
  <si>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</si>
  <si>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</si>
  <si>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</si>
  <si>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</si>
  <si>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</si>
  <si>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</si>
  <si>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</si>
  <si>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</si>
  <si>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</si>
  <si>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</si>
  <si>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</si>
  <si>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</si>
  <si>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</si>
  <si>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</si>
  <si>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</si>
  <si>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</si>
  <si>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</si>
  <si>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</si>
  <si>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</si>
  <si>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</si>
  <si>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</si>
  <si>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</si>
  <si>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</si>
  <si>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</si>
  <si>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</si>
  <si>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</si>
  <si>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</si>
  <si>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</si>
  <si>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</si>
  <si>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</si>
  <si>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</si>
  <si>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</si>
  <si>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</si>
  <si>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</si>
  <si>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</si>
  <si>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</si>
  <si>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</si>
  <si>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</si>
  <si>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</si>
  <si>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</si>
  <si>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</si>
  <si>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</si>
  <si>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</si>
  <si>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</si>
  <si>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</si>
  <si>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</si>
  <si>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</si>
  <si>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</si>
  <si>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</si>
  <si>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</si>
  <si>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</si>
  <si>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</si>
  <si>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</si>
  <si>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</si>
  <si>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</si>
  <si>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</si>
  <si>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</si>
  <si>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</si>
  <si>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</si>
  <si>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</si>
  <si>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</si>
  <si>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</si>
  <si>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</si>
  <si>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</si>
  <si>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</si>
  <si>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</si>
  <si>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</si>
  <si>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</si>
  <si>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</si>
  <si>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</si>
  <si>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</si>
  <si>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</si>
  <si>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</si>
  <si>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</si>
  <si>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</si>
  <si>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</si>
  <si>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</si>
  <si>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</si>
  <si>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</si>
  <si>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</si>
  <si>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</si>
  <si>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</si>
  <si>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</si>
  <si>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</si>
  <si>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Ίπποι </t>
  </si>
  <si>
    <t xml:space="preserve">Ημίονοι </t>
  </si>
  <si>
    <t xml:space="preserve">Όνοι </t>
  </si>
  <si>
    <t>Αρρενες</t>
  </si>
  <si>
    <t>Θήλεις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</si>
  <si>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</si>
  <si>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</si>
  <si>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</si>
  <si>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</si>
  <si>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</si>
  <si>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</si>
  <si>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</si>
  <si>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</si>
  <si>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</si>
  <si>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</si>
  <si>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</si>
  <si>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</si>
  <si>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</si>
  <si>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</si>
  <si>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</si>
  <si>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</si>
  <si>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</si>
  <si>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</si>
  <si>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</si>
  <si>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</si>
  <si>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</si>
  <si>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</si>
  <si>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</si>
  <si>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</si>
  <si>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</si>
  <si>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</si>
  <si>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</si>
  <si>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</si>
  <si>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</si>
  <si>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</si>
  <si>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</si>
  <si>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</si>
  <si>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</si>
  <si>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</si>
  <si>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</si>
  <si>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</si>
  <si>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</si>
  <si>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</si>
  <si>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</si>
  <si>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</si>
  <si>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</si>
  <si>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</si>
  <si>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</si>
  <si>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</si>
  <si>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</si>
  <si>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</si>
  <si>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</si>
  <si>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</si>
  <si>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</si>
  <si>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</si>
  <si>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</si>
  <si>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</si>
  <si>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</si>
  <si>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</si>
  <si>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</si>
  <si>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</si>
  <si>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</si>
  <si>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</si>
  <si>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</si>
  <si>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</si>
  <si>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</si>
  <si>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</si>
  <si>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</si>
  <si>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</si>
  <si>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</si>
  <si>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</si>
  <si>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</si>
  <si>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</si>
  <si>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</si>
  <si>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</si>
  <si>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</si>
  <si>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</si>
  <si>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</si>
  <si>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</si>
  <si>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</si>
  <si>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</si>
  <si>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</si>
  <si>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</si>
  <si>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</si>
  <si>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</si>
  <si>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</si>
  <si>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</si>
  <si>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</si>
  <si>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</si>
  <si>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</si>
  <si>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</si>
  <si>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</si>
  <si>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</si>
  <si>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ΙΙ. ΑΝΑΛΥΤΙΚΟΙ ΠΙΝΑΚΕΣ</t>
  </si>
  <si>
    <t>Κεφάλια</t>
  </si>
  <si>
    <t>Heads</t>
  </si>
  <si>
    <t>Περιφέρεια Δυτικής Μακεδονίας</t>
  </si>
  <si>
    <t>Πίνακας 1. Ίπποι, ημίονοι και όνοι (όλων των ηλικιών) στις 31.12.2013,κατά Περιφέρεια και Περιφερειακή Ενότητα</t>
  </si>
  <si>
    <t>Table 1. Horses, mules and donkeys (all ages) on 31st December 2013, by Region and Regional Unity</t>
  </si>
  <si>
    <t>—</t>
  </si>
  <si>
    <t>Region of Western Macedonia</t>
  </si>
</sst>
</file>

<file path=xl/styles.xml><?xml version="1.0" encoding="utf-8"?>
<styleSheet xmlns="http://schemas.openxmlformats.org/spreadsheetml/2006/main">
  <numFmts count="1">
    <numFmt numFmtId="164" formatCode="#0"/>
  </numFmts>
  <fonts count="7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49" fontId="1" fillId="0" borderId="0" xfId="0" applyNumberFormat="1" applyFont="1" applyFill="1" applyBorder="1" applyAlignment="1" applyProtection="1">
      <alignment horizontal="left" wrapText="1" indent="2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1" fillId="0" borderId="1" xfId="0" applyNumberFormat="1" applyFont="1" applyFill="1" applyBorder="1" applyAlignment="1" applyProtection="1">
      <alignment horizontal="left" wrapText="1" indent="2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3" fontId="1" fillId="0" borderId="18" xfId="0" applyNumberFormat="1" applyFont="1" applyFill="1" applyBorder="1" applyAlignment="1" applyProtection="1">
      <alignment horizontal="right"/>
    </xf>
    <xf numFmtId="3" fontId="1" fillId="0" borderId="3" xfId="0" applyNumberFormat="1" applyFont="1" applyFill="1" applyBorder="1" applyAlignment="1" applyProtection="1">
      <alignment horizontal="right"/>
    </xf>
    <xf numFmtId="3" fontId="1" fillId="0" borderId="4" xfId="0" applyNumberFormat="1" applyFont="1" applyFill="1" applyBorder="1" applyAlignment="1" applyProtection="1">
      <alignment horizontal="right"/>
    </xf>
    <xf numFmtId="3" fontId="1" fillId="0" borderId="19" xfId="0" applyNumberFormat="1" applyFont="1" applyFill="1" applyBorder="1" applyAlignment="1" applyProtection="1">
      <alignment horizontal="right"/>
    </xf>
    <xf numFmtId="0" fontId="3" fillId="0" borderId="0" xfId="0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49" fontId="2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Border="1" applyAlignment="1">
      <alignment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164" fontId="6" fillId="0" borderId="0" xfId="0" applyNumberFormat="1" applyFont="1" applyBorder="1" applyAlignment="1">
      <alignment horizontal="right" vertical="top" wrapText="1"/>
    </xf>
    <xf numFmtId="164" fontId="6" fillId="0" borderId="4" xfId="0" applyNumberFormat="1" applyFont="1" applyBorder="1" applyAlignment="1">
      <alignment horizontal="right" vertical="top" wrapText="1"/>
    </xf>
    <xf numFmtId="0" fontId="6" fillId="0" borderId="0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164" fontId="6" fillId="0" borderId="19" xfId="0" applyNumberFormat="1" applyFont="1" applyBorder="1" applyAlignment="1">
      <alignment horizontal="right" vertical="top" wrapText="1"/>
    </xf>
    <xf numFmtId="3" fontId="2" fillId="0" borderId="18" xfId="0" applyNumberFormat="1" applyFont="1" applyFill="1" applyBorder="1" applyAlignment="1" applyProtection="1">
      <alignment horizontal="right" vertical="center"/>
    </xf>
    <xf numFmtId="3" fontId="2" fillId="0" borderId="19" xfId="0" applyNumberFormat="1" applyFont="1" applyFill="1" applyBorder="1" applyAlignment="1" applyProtection="1">
      <alignment horizontal="right" vertical="center"/>
    </xf>
    <xf numFmtId="0" fontId="6" fillId="0" borderId="18" xfId="0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16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5" fillId="0" borderId="19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3" fontId="5" fillId="0" borderId="27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5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16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49" fontId="2" fillId="0" borderId="28" xfId="0" applyNumberFormat="1" applyFont="1" applyFill="1" applyBorder="1" applyAlignment="1" applyProtection="1">
      <alignment horizontal="left" vertical="center" wrapText="1"/>
    </xf>
    <xf numFmtId="49" fontId="2" fillId="0" borderId="29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11"/>
  <sheetViews>
    <sheetView showGridLines="0" tabSelected="1" zoomScale="120" zoomScaleNormal="120" workbookViewId="0">
      <selection activeCell="C20" sqref="C20"/>
    </sheetView>
  </sheetViews>
  <sheetFormatPr defaultRowHeight="10.199999999999999"/>
  <cols>
    <col min="1" max="1" width="34.6640625" style="1" customWidth="1"/>
    <col min="2" max="6" width="8.88671875" style="1"/>
    <col min="7" max="7" width="10.6640625" style="1" customWidth="1"/>
    <col min="8" max="8" width="10.5546875" style="1" customWidth="1"/>
    <col min="9" max="9" width="12.33203125" style="1" customWidth="1"/>
    <col min="10" max="16384" width="8.88671875" style="1"/>
  </cols>
  <sheetData>
    <row r="2" spans="1:9">
      <c r="A2" s="30" t="s">
        <v>181</v>
      </c>
      <c r="B2" s="30"/>
      <c r="C2" s="30"/>
      <c r="D2" s="30"/>
      <c r="E2" s="30"/>
      <c r="F2" s="30"/>
      <c r="G2" s="30"/>
      <c r="H2" s="30"/>
      <c r="I2" s="30"/>
    </row>
    <row r="3" spans="1:9">
      <c r="A3" s="30" t="s">
        <v>185</v>
      </c>
      <c r="B3" s="30"/>
      <c r="C3" s="30"/>
      <c r="D3" s="30"/>
      <c r="E3" s="30"/>
      <c r="F3" s="30"/>
      <c r="G3" s="30"/>
      <c r="H3" s="30"/>
      <c r="I3" s="30"/>
    </row>
    <row r="4" spans="1:9">
      <c r="A4" s="30" t="s">
        <v>186</v>
      </c>
      <c r="B4" s="30"/>
      <c r="C4" s="30"/>
      <c r="D4" s="30"/>
      <c r="E4" s="30"/>
      <c r="F4" s="30"/>
      <c r="G4" s="30"/>
      <c r="H4" s="30"/>
      <c r="I4" s="30"/>
    </row>
    <row r="6" spans="1:9" ht="10.8" thickBot="1">
      <c r="A6" s="1" t="s">
        <v>182</v>
      </c>
      <c r="B6" s="7"/>
      <c r="C6" s="7"/>
      <c r="D6" s="7"/>
      <c r="E6" s="7"/>
      <c r="F6" s="7"/>
      <c r="G6" s="7"/>
      <c r="H6" s="7"/>
      <c r="I6" s="7" t="s">
        <v>183</v>
      </c>
    </row>
    <row r="7" spans="1:9" ht="14.4" customHeight="1">
      <c r="A7" s="58" t="s">
        <v>0</v>
      </c>
      <c r="B7" s="51" t="s">
        <v>88</v>
      </c>
      <c r="C7" s="52"/>
      <c r="D7" s="42" t="s">
        <v>89</v>
      </c>
      <c r="E7" s="45" t="s">
        <v>90</v>
      </c>
      <c r="F7" s="46"/>
      <c r="G7" s="38" t="s">
        <v>93</v>
      </c>
      <c r="H7" s="38"/>
      <c r="I7" s="38"/>
    </row>
    <row r="8" spans="1:9">
      <c r="A8" s="38"/>
      <c r="B8" s="53"/>
      <c r="C8" s="54"/>
      <c r="D8" s="43"/>
      <c r="E8" s="47"/>
      <c r="F8" s="48"/>
      <c r="G8" s="38"/>
      <c r="H8" s="38"/>
      <c r="I8" s="38"/>
    </row>
    <row r="9" spans="1:9">
      <c r="A9" s="38"/>
      <c r="B9" s="55" t="s">
        <v>91</v>
      </c>
      <c r="C9" s="57" t="s">
        <v>92</v>
      </c>
      <c r="D9" s="43"/>
      <c r="E9" s="49" t="s">
        <v>91</v>
      </c>
      <c r="F9" s="50" t="s">
        <v>92</v>
      </c>
      <c r="G9" s="38"/>
      <c r="H9" s="38"/>
      <c r="I9" s="38"/>
    </row>
    <row r="10" spans="1:9">
      <c r="A10" s="39"/>
      <c r="B10" s="55"/>
      <c r="C10" s="57"/>
      <c r="D10" s="44"/>
      <c r="E10" s="49"/>
      <c r="F10" s="50"/>
      <c r="G10" s="39"/>
      <c r="H10" s="39"/>
      <c r="I10" s="39"/>
    </row>
    <row r="11" spans="1:9">
      <c r="A11" s="62" t="s">
        <v>1</v>
      </c>
      <c r="B11" s="35">
        <f>SUM(B13,B21,B30,B35,B41,B48,B55,B62,B67,B74,B84,B91,B106)</f>
        <v>15358</v>
      </c>
      <c r="C11" s="36">
        <f t="shared" ref="C11:F11" si="0">SUM(C13,C21,C30,C35,C41,C48,C55,C62,C67,C74,C84,C91,C106)</f>
        <v>16048</v>
      </c>
      <c r="D11" s="36">
        <f t="shared" si="0"/>
        <v>13667</v>
      </c>
      <c r="E11" s="36">
        <f t="shared" si="0"/>
        <v>12806</v>
      </c>
      <c r="F11" s="37">
        <f t="shared" si="0"/>
        <v>14602</v>
      </c>
      <c r="G11" s="59" t="s">
        <v>94</v>
      </c>
      <c r="H11" s="60"/>
      <c r="I11" s="60"/>
    </row>
    <row r="12" spans="1:9">
      <c r="A12" s="63"/>
      <c r="B12" s="31"/>
      <c r="C12" s="32"/>
      <c r="D12" s="32"/>
      <c r="E12" s="32"/>
      <c r="F12" s="33"/>
      <c r="G12" s="61"/>
      <c r="H12" s="40"/>
      <c r="I12" s="40"/>
    </row>
    <row r="13" spans="1:9">
      <c r="A13" s="56" t="s">
        <v>2</v>
      </c>
      <c r="B13" s="31">
        <f>SUM(B15:B20)</f>
        <v>1502</v>
      </c>
      <c r="C13" s="32">
        <f t="shared" ref="C13:F13" si="1">SUM(C15:C20)</f>
        <v>1461</v>
      </c>
      <c r="D13" s="32">
        <f t="shared" si="1"/>
        <v>2281</v>
      </c>
      <c r="E13" s="32">
        <f t="shared" si="1"/>
        <v>657</v>
      </c>
      <c r="F13" s="33">
        <f t="shared" si="1"/>
        <v>666</v>
      </c>
      <c r="G13" s="40" t="s">
        <v>95</v>
      </c>
      <c r="H13" s="40"/>
      <c r="I13" s="40"/>
    </row>
    <row r="14" spans="1:9">
      <c r="A14" s="56"/>
      <c r="B14" s="31"/>
      <c r="C14" s="32"/>
      <c r="D14" s="32"/>
      <c r="E14" s="32"/>
      <c r="F14" s="33"/>
      <c r="G14" s="40"/>
      <c r="H14" s="40"/>
      <c r="I14" s="40"/>
    </row>
    <row r="15" spans="1:9">
      <c r="A15" s="2" t="s">
        <v>3</v>
      </c>
      <c r="B15" s="21">
        <v>92</v>
      </c>
      <c r="C15" s="17">
        <v>84</v>
      </c>
      <c r="D15" s="18">
        <v>224</v>
      </c>
      <c r="E15" s="17">
        <v>262</v>
      </c>
      <c r="F15" s="22">
        <v>366</v>
      </c>
      <c r="G15" s="12" t="s">
        <v>96</v>
      </c>
      <c r="H15" s="5"/>
      <c r="I15" s="5"/>
    </row>
    <row r="16" spans="1:9">
      <c r="A16" s="2" t="s">
        <v>4</v>
      </c>
      <c r="B16" s="21">
        <v>701</v>
      </c>
      <c r="C16" s="17">
        <v>573</v>
      </c>
      <c r="D16" s="18">
        <v>947</v>
      </c>
      <c r="E16" s="17">
        <v>80</v>
      </c>
      <c r="F16" s="22">
        <v>75</v>
      </c>
      <c r="G16" s="12" t="s">
        <v>97</v>
      </c>
      <c r="H16" s="5"/>
      <c r="I16" s="5"/>
    </row>
    <row r="17" spans="1:9">
      <c r="A17" s="2" t="s">
        <v>5</v>
      </c>
      <c r="B17" s="21">
        <v>353</v>
      </c>
      <c r="C17" s="17">
        <v>462</v>
      </c>
      <c r="D17" s="18">
        <v>287</v>
      </c>
      <c r="E17" s="17">
        <v>49</v>
      </c>
      <c r="F17" s="22">
        <v>46</v>
      </c>
      <c r="G17" s="12" t="s">
        <v>98</v>
      </c>
      <c r="H17" s="5"/>
      <c r="I17" s="5"/>
    </row>
    <row r="18" spans="1:9">
      <c r="A18" s="2" t="s">
        <v>6</v>
      </c>
      <c r="B18" s="21">
        <v>39</v>
      </c>
      <c r="C18" s="17">
        <v>36</v>
      </c>
      <c r="D18" s="18">
        <v>29</v>
      </c>
      <c r="E18" s="17">
        <v>81</v>
      </c>
      <c r="F18" s="22">
        <v>58</v>
      </c>
      <c r="G18" s="12" t="s">
        <v>99</v>
      </c>
      <c r="H18" s="5"/>
      <c r="I18" s="5"/>
    </row>
    <row r="19" spans="1:9">
      <c r="A19" s="2" t="s">
        <v>7</v>
      </c>
      <c r="B19" s="21">
        <v>75</v>
      </c>
      <c r="C19" s="17">
        <v>64</v>
      </c>
      <c r="D19" s="18">
        <v>35</v>
      </c>
      <c r="E19" s="17">
        <v>25</v>
      </c>
      <c r="F19" s="22">
        <v>18</v>
      </c>
      <c r="G19" s="12" t="s">
        <v>100</v>
      </c>
      <c r="H19" s="5"/>
      <c r="I19" s="5"/>
    </row>
    <row r="20" spans="1:9">
      <c r="A20" s="2" t="s">
        <v>8</v>
      </c>
      <c r="B20" s="21">
        <v>242</v>
      </c>
      <c r="C20" s="17">
        <v>242</v>
      </c>
      <c r="D20" s="18">
        <v>759</v>
      </c>
      <c r="E20" s="17">
        <v>160</v>
      </c>
      <c r="F20" s="22">
        <v>103</v>
      </c>
      <c r="G20" s="12" t="s">
        <v>101</v>
      </c>
      <c r="H20" s="5"/>
      <c r="I20" s="5"/>
    </row>
    <row r="21" spans="1:9">
      <c r="A21" s="56" t="s">
        <v>9</v>
      </c>
      <c r="B21" s="31">
        <f>SUM(B23:B29)</f>
        <v>3356</v>
      </c>
      <c r="C21" s="32">
        <f t="shared" ref="C21:F21" si="2">SUM(C23:C29)</f>
        <v>3555</v>
      </c>
      <c r="D21" s="32">
        <f t="shared" si="2"/>
        <v>2195</v>
      </c>
      <c r="E21" s="32">
        <f t="shared" si="2"/>
        <v>616</v>
      </c>
      <c r="F21" s="33">
        <f t="shared" si="2"/>
        <v>557</v>
      </c>
      <c r="G21" s="41" t="s">
        <v>102</v>
      </c>
      <c r="H21" s="41"/>
      <c r="I21" s="41"/>
    </row>
    <row r="22" spans="1:9">
      <c r="A22" s="56"/>
      <c r="B22" s="31"/>
      <c r="C22" s="32"/>
      <c r="D22" s="32"/>
      <c r="E22" s="32"/>
      <c r="F22" s="33"/>
      <c r="G22" s="41"/>
      <c r="H22" s="41"/>
      <c r="I22" s="41"/>
    </row>
    <row r="23" spans="1:9">
      <c r="A23" s="2" t="s">
        <v>10</v>
      </c>
      <c r="B23" s="21">
        <v>678</v>
      </c>
      <c r="C23" s="17">
        <v>876</v>
      </c>
      <c r="D23" s="18">
        <v>470</v>
      </c>
      <c r="E23" s="17">
        <v>94</v>
      </c>
      <c r="F23" s="22">
        <v>50</v>
      </c>
      <c r="G23" s="12" t="s">
        <v>103</v>
      </c>
      <c r="H23" s="5"/>
      <c r="I23" s="5"/>
    </row>
    <row r="24" spans="1:9">
      <c r="A24" s="2" t="s">
        <v>11</v>
      </c>
      <c r="B24" s="21">
        <v>279</v>
      </c>
      <c r="C24" s="17">
        <v>157</v>
      </c>
      <c r="D24" s="18">
        <v>40</v>
      </c>
      <c r="E24" s="17">
        <v>6</v>
      </c>
      <c r="F24" s="22">
        <v>9</v>
      </c>
      <c r="G24" s="12" t="s">
        <v>104</v>
      </c>
      <c r="H24" s="5"/>
      <c r="I24" s="5"/>
    </row>
    <row r="25" spans="1:9">
      <c r="A25" s="2" t="s">
        <v>12</v>
      </c>
      <c r="B25" s="21">
        <v>140</v>
      </c>
      <c r="C25" s="17">
        <v>96</v>
      </c>
      <c r="D25" s="18">
        <v>41</v>
      </c>
      <c r="E25" s="17">
        <v>36</v>
      </c>
      <c r="F25" s="22">
        <v>20</v>
      </c>
      <c r="G25" s="12" t="s">
        <v>105</v>
      </c>
      <c r="H25" s="5"/>
      <c r="I25" s="5"/>
    </row>
    <row r="26" spans="1:9">
      <c r="A26" s="2" t="s">
        <v>13</v>
      </c>
      <c r="B26" s="21">
        <v>425</v>
      </c>
      <c r="C26" s="17">
        <v>375</v>
      </c>
      <c r="D26" s="18">
        <v>116</v>
      </c>
      <c r="E26" s="17">
        <v>44</v>
      </c>
      <c r="F26" s="22">
        <v>44</v>
      </c>
      <c r="G26" s="12" t="s">
        <v>106</v>
      </c>
      <c r="H26" s="5"/>
      <c r="I26" s="5"/>
    </row>
    <row r="27" spans="1:9">
      <c r="A27" s="2" t="s">
        <v>14</v>
      </c>
      <c r="B27" s="21">
        <v>572</v>
      </c>
      <c r="C27" s="17">
        <v>495</v>
      </c>
      <c r="D27" s="18">
        <v>384</v>
      </c>
      <c r="E27" s="17">
        <v>92</v>
      </c>
      <c r="F27" s="22">
        <v>105</v>
      </c>
      <c r="G27" s="12" t="s">
        <v>107</v>
      </c>
      <c r="H27" s="5"/>
      <c r="I27" s="5"/>
    </row>
    <row r="28" spans="1:9">
      <c r="A28" s="2" t="s">
        <v>15</v>
      </c>
      <c r="B28" s="21">
        <v>1035</v>
      </c>
      <c r="C28" s="17">
        <v>1351</v>
      </c>
      <c r="D28" s="18">
        <v>628</v>
      </c>
      <c r="E28" s="17">
        <v>274</v>
      </c>
      <c r="F28" s="22">
        <v>248</v>
      </c>
      <c r="G28" s="12" t="s">
        <v>108</v>
      </c>
      <c r="H28" s="5"/>
      <c r="I28" s="5"/>
    </row>
    <row r="29" spans="1:9">
      <c r="A29" s="2" t="s">
        <v>16</v>
      </c>
      <c r="B29" s="21">
        <v>227</v>
      </c>
      <c r="C29" s="17">
        <v>205</v>
      </c>
      <c r="D29" s="18">
        <v>516</v>
      </c>
      <c r="E29" s="17">
        <v>70</v>
      </c>
      <c r="F29" s="22">
        <v>81</v>
      </c>
      <c r="G29" s="12" t="s">
        <v>109</v>
      </c>
      <c r="H29" s="5"/>
      <c r="I29" s="5"/>
    </row>
    <row r="30" spans="1:9" ht="24.6" customHeight="1">
      <c r="A30" s="14" t="s">
        <v>184</v>
      </c>
      <c r="B30" s="23">
        <f>SUM(B31:B34)</f>
        <v>1377</v>
      </c>
      <c r="C30" s="16">
        <f t="shared" ref="C30:F30" si="3">SUM(C31:C34)</f>
        <v>1439</v>
      </c>
      <c r="D30" s="16">
        <f t="shared" si="3"/>
        <v>451</v>
      </c>
      <c r="E30" s="16">
        <f t="shared" si="3"/>
        <v>254</v>
      </c>
      <c r="F30" s="24">
        <f t="shared" si="3"/>
        <v>210</v>
      </c>
      <c r="G30" s="15" t="s">
        <v>188</v>
      </c>
      <c r="H30" s="5"/>
      <c r="I30" s="5"/>
    </row>
    <row r="31" spans="1:9">
      <c r="A31" s="2" t="s">
        <v>17</v>
      </c>
      <c r="B31" s="21">
        <v>879</v>
      </c>
      <c r="C31" s="17">
        <v>911</v>
      </c>
      <c r="D31" s="18">
        <v>66</v>
      </c>
      <c r="E31" s="17">
        <v>88</v>
      </c>
      <c r="F31" s="22">
        <v>131</v>
      </c>
      <c r="G31" s="12" t="s">
        <v>110</v>
      </c>
      <c r="H31" s="5"/>
      <c r="I31" s="5"/>
    </row>
    <row r="32" spans="1:9">
      <c r="A32" s="2" t="s">
        <v>18</v>
      </c>
      <c r="B32" s="21">
        <v>194</v>
      </c>
      <c r="C32" s="17">
        <v>221</v>
      </c>
      <c r="D32" s="18">
        <v>44</v>
      </c>
      <c r="E32" s="17">
        <v>32</v>
      </c>
      <c r="F32" s="22">
        <v>30</v>
      </c>
      <c r="G32" s="12" t="s">
        <v>111</v>
      </c>
      <c r="H32" s="5"/>
      <c r="I32" s="5"/>
    </row>
    <row r="33" spans="1:9">
      <c r="A33" s="2" t="s">
        <v>19</v>
      </c>
      <c r="B33" s="21">
        <v>91</v>
      </c>
      <c r="C33" s="17">
        <v>59</v>
      </c>
      <c r="D33" s="18">
        <v>154</v>
      </c>
      <c r="E33" s="17">
        <v>29</v>
      </c>
      <c r="F33" s="22">
        <v>11</v>
      </c>
      <c r="G33" s="12" t="s">
        <v>112</v>
      </c>
      <c r="H33" s="5"/>
      <c r="I33" s="5"/>
    </row>
    <row r="34" spans="1:9">
      <c r="A34" s="2" t="s">
        <v>20</v>
      </c>
      <c r="B34" s="21">
        <v>213</v>
      </c>
      <c r="C34" s="17">
        <v>248</v>
      </c>
      <c r="D34" s="18">
        <v>187</v>
      </c>
      <c r="E34" s="17">
        <v>105</v>
      </c>
      <c r="F34" s="22">
        <v>38</v>
      </c>
      <c r="G34" s="12" t="s">
        <v>113</v>
      </c>
      <c r="H34" s="5"/>
      <c r="I34" s="5"/>
    </row>
    <row r="35" spans="1:9">
      <c r="A35" s="56" t="s">
        <v>21</v>
      </c>
      <c r="B35" s="31">
        <f>SUM(B37:B40)</f>
        <v>880</v>
      </c>
      <c r="C35" s="32">
        <f t="shared" ref="C35:F35" si="4">SUM(C37:C40)</f>
        <v>649</v>
      </c>
      <c r="D35" s="32">
        <f t="shared" si="4"/>
        <v>711</v>
      </c>
      <c r="E35" s="32">
        <f t="shared" si="4"/>
        <v>525</v>
      </c>
      <c r="F35" s="33">
        <f t="shared" si="4"/>
        <v>418</v>
      </c>
      <c r="G35" s="34" t="s">
        <v>114</v>
      </c>
      <c r="H35" s="34"/>
      <c r="I35" s="34"/>
    </row>
    <row r="36" spans="1:9">
      <c r="A36" s="56"/>
      <c r="B36" s="31"/>
      <c r="C36" s="32"/>
      <c r="D36" s="32"/>
      <c r="E36" s="32"/>
      <c r="F36" s="33"/>
      <c r="G36" s="34"/>
      <c r="H36" s="34"/>
      <c r="I36" s="34"/>
    </row>
    <row r="37" spans="1:9">
      <c r="A37" s="2" t="s">
        <v>22</v>
      </c>
      <c r="B37" s="21">
        <v>383</v>
      </c>
      <c r="C37" s="17">
        <v>268</v>
      </c>
      <c r="D37" s="18">
        <v>433</v>
      </c>
      <c r="E37" s="17">
        <v>211</v>
      </c>
      <c r="F37" s="22">
        <v>195</v>
      </c>
      <c r="G37" s="12" t="s">
        <v>115</v>
      </c>
      <c r="H37" s="5"/>
      <c r="I37" s="5"/>
    </row>
    <row r="38" spans="1:9">
      <c r="A38" s="2" t="s">
        <v>23</v>
      </c>
      <c r="B38" s="21">
        <v>72</v>
      </c>
      <c r="C38" s="17">
        <v>52</v>
      </c>
      <c r="D38" s="18">
        <v>167</v>
      </c>
      <c r="E38" s="17">
        <v>131</v>
      </c>
      <c r="F38" s="22">
        <v>76</v>
      </c>
      <c r="G38" s="12" t="s">
        <v>116</v>
      </c>
      <c r="H38" s="5"/>
      <c r="I38" s="5"/>
    </row>
    <row r="39" spans="1:9">
      <c r="A39" s="2" t="s">
        <v>24</v>
      </c>
      <c r="B39" s="21">
        <v>258</v>
      </c>
      <c r="C39" s="17">
        <v>177</v>
      </c>
      <c r="D39" s="18">
        <v>58</v>
      </c>
      <c r="E39" s="17">
        <v>98</v>
      </c>
      <c r="F39" s="22">
        <v>91</v>
      </c>
      <c r="G39" s="12" t="s">
        <v>117</v>
      </c>
      <c r="H39" s="5"/>
      <c r="I39" s="5"/>
    </row>
    <row r="40" spans="1:9">
      <c r="A40" s="2" t="s">
        <v>25</v>
      </c>
      <c r="B40" s="21">
        <v>167</v>
      </c>
      <c r="C40" s="17">
        <v>152</v>
      </c>
      <c r="D40" s="18">
        <v>53</v>
      </c>
      <c r="E40" s="17">
        <v>85</v>
      </c>
      <c r="F40" s="22">
        <v>56</v>
      </c>
      <c r="G40" s="12" t="s">
        <v>118</v>
      </c>
      <c r="H40" s="5"/>
      <c r="I40" s="5"/>
    </row>
    <row r="41" spans="1:9">
      <c r="A41" s="56" t="s">
        <v>26</v>
      </c>
      <c r="B41" s="31">
        <f>SUM(B43:B47)</f>
        <v>1991</v>
      </c>
      <c r="C41" s="32">
        <f t="shared" ref="C41:F41" si="5">SUM(C43:C47)</f>
        <v>2573</v>
      </c>
      <c r="D41" s="32">
        <f t="shared" si="5"/>
        <v>1846</v>
      </c>
      <c r="E41" s="32">
        <f t="shared" si="5"/>
        <v>717</v>
      </c>
      <c r="F41" s="33">
        <f t="shared" si="5"/>
        <v>584</v>
      </c>
      <c r="G41" s="34" t="s">
        <v>119</v>
      </c>
      <c r="H41" s="34"/>
      <c r="I41" s="34"/>
    </row>
    <row r="42" spans="1:9">
      <c r="A42" s="56"/>
      <c r="B42" s="31"/>
      <c r="C42" s="32"/>
      <c r="D42" s="32"/>
      <c r="E42" s="32"/>
      <c r="F42" s="33"/>
      <c r="G42" s="34"/>
      <c r="H42" s="34"/>
      <c r="I42" s="34"/>
    </row>
    <row r="43" spans="1:9">
      <c r="A43" s="2" t="s">
        <v>27</v>
      </c>
      <c r="B43" s="21">
        <v>846</v>
      </c>
      <c r="C43" s="17">
        <v>1087</v>
      </c>
      <c r="D43" s="18">
        <v>567</v>
      </c>
      <c r="E43" s="17">
        <v>234</v>
      </c>
      <c r="F43" s="22">
        <v>182</v>
      </c>
      <c r="G43" s="12" t="s">
        <v>120</v>
      </c>
      <c r="H43" s="5"/>
      <c r="I43" s="5"/>
    </row>
    <row r="44" spans="1:9">
      <c r="A44" s="2" t="s">
        <v>28</v>
      </c>
      <c r="B44" s="21">
        <v>281</v>
      </c>
      <c r="C44" s="17">
        <v>264</v>
      </c>
      <c r="D44" s="18">
        <v>119</v>
      </c>
      <c r="E44" s="17">
        <v>103</v>
      </c>
      <c r="F44" s="22">
        <v>63</v>
      </c>
      <c r="G44" s="12" t="s">
        <v>121</v>
      </c>
      <c r="H44" s="5"/>
      <c r="I44" s="5"/>
    </row>
    <row r="45" spans="1:9">
      <c r="A45" s="2" t="s">
        <v>29</v>
      </c>
      <c r="B45" s="21">
        <v>408</v>
      </c>
      <c r="C45" s="17">
        <v>419</v>
      </c>
      <c r="D45" s="18">
        <v>757</v>
      </c>
      <c r="E45" s="17">
        <v>202</v>
      </c>
      <c r="F45" s="22">
        <v>187</v>
      </c>
      <c r="G45" s="12" t="s">
        <v>122</v>
      </c>
      <c r="H45" s="5"/>
      <c r="I45" s="5"/>
    </row>
    <row r="46" spans="1:9">
      <c r="A46" s="2" t="s">
        <v>30</v>
      </c>
      <c r="B46" s="21">
        <v>20</v>
      </c>
      <c r="C46" s="17">
        <v>26</v>
      </c>
      <c r="D46" s="18">
        <v>61</v>
      </c>
      <c r="E46" s="17">
        <v>21</v>
      </c>
      <c r="F46" s="22">
        <v>43</v>
      </c>
      <c r="G46" s="12" t="s">
        <v>123</v>
      </c>
      <c r="H46" s="5"/>
      <c r="I46" s="5"/>
    </row>
    <row r="47" spans="1:9">
      <c r="A47" s="2" t="s">
        <v>31</v>
      </c>
      <c r="B47" s="21">
        <v>436</v>
      </c>
      <c r="C47" s="17">
        <v>777</v>
      </c>
      <c r="D47" s="18">
        <v>342</v>
      </c>
      <c r="E47" s="17">
        <v>157</v>
      </c>
      <c r="F47" s="22">
        <v>109</v>
      </c>
      <c r="G47" s="12" t="s">
        <v>124</v>
      </c>
      <c r="H47" s="5"/>
      <c r="I47" s="5"/>
    </row>
    <row r="48" spans="1:9">
      <c r="A48" s="56" t="s">
        <v>32</v>
      </c>
      <c r="B48" s="31">
        <f>SUM(B50:B54)</f>
        <v>545</v>
      </c>
      <c r="C48" s="32">
        <f t="shared" ref="C48:F48" si="6">SUM(C50:C54)</f>
        <v>506</v>
      </c>
      <c r="D48" s="32">
        <f t="shared" si="6"/>
        <v>296</v>
      </c>
      <c r="E48" s="32">
        <f t="shared" si="6"/>
        <v>518</v>
      </c>
      <c r="F48" s="33">
        <f t="shared" si="6"/>
        <v>601</v>
      </c>
      <c r="G48" s="34" t="s">
        <v>125</v>
      </c>
      <c r="H48" s="34"/>
      <c r="I48" s="34"/>
    </row>
    <row r="49" spans="1:9">
      <c r="A49" s="56"/>
      <c r="B49" s="31"/>
      <c r="C49" s="32"/>
      <c r="D49" s="32"/>
      <c r="E49" s="32"/>
      <c r="F49" s="33"/>
      <c r="G49" s="34"/>
      <c r="H49" s="34"/>
      <c r="I49" s="34"/>
    </row>
    <row r="50" spans="1:9">
      <c r="A50" s="2" t="s">
        <v>33</v>
      </c>
      <c r="B50" s="21">
        <v>139</v>
      </c>
      <c r="C50" s="17">
        <v>135</v>
      </c>
      <c r="D50" s="18">
        <v>41</v>
      </c>
      <c r="E50" s="17">
        <v>182</v>
      </c>
      <c r="F50" s="22">
        <v>216</v>
      </c>
      <c r="G50" s="12" t="s">
        <v>126</v>
      </c>
      <c r="H50" s="5"/>
      <c r="I50" s="5"/>
    </row>
    <row r="51" spans="1:9">
      <c r="A51" s="2" t="s">
        <v>34</v>
      </c>
      <c r="B51" s="21">
        <v>184</v>
      </c>
      <c r="C51" s="17">
        <v>113</v>
      </c>
      <c r="D51" s="18">
        <v>47</v>
      </c>
      <c r="E51" s="17">
        <v>44</v>
      </c>
      <c r="F51" s="22">
        <v>48</v>
      </c>
      <c r="G51" s="12" t="s">
        <v>127</v>
      </c>
      <c r="H51" s="5"/>
      <c r="I51" s="5"/>
    </row>
    <row r="52" spans="1:9">
      <c r="A52" s="2" t="s">
        <v>35</v>
      </c>
      <c r="B52" s="21">
        <v>130</v>
      </c>
      <c r="C52" s="17">
        <v>182</v>
      </c>
      <c r="D52" s="18">
        <v>125</v>
      </c>
      <c r="E52" s="17">
        <v>199</v>
      </c>
      <c r="F52" s="22">
        <v>261</v>
      </c>
      <c r="G52" s="12" t="s">
        <v>128</v>
      </c>
      <c r="H52" s="5"/>
      <c r="I52" s="5"/>
    </row>
    <row r="53" spans="1:9">
      <c r="A53" s="2" t="s">
        <v>36</v>
      </c>
      <c r="B53" s="21">
        <v>61</v>
      </c>
      <c r="C53" s="17">
        <v>63</v>
      </c>
      <c r="D53" s="18">
        <v>55</v>
      </c>
      <c r="E53" s="17">
        <v>36</v>
      </c>
      <c r="F53" s="22">
        <v>31</v>
      </c>
      <c r="G53" s="12" t="s">
        <v>129</v>
      </c>
      <c r="H53" s="5"/>
      <c r="I53" s="5"/>
    </row>
    <row r="54" spans="1:9">
      <c r="A54" s="2" t="s">
        <v>37</v>
      </c>
      <c r="B54" s="21">
        <v>31</v>
      </c>
      <c r="C54" s="17">
        <v>13</v>
      </c>
      <c r="D54" s="18">
        <v>28</v>
      </c>
      <c r="E54" s="17">
        <v>57</v>
      </c>
      <c r="F54" s="22">
        <v>45</v>
      </c>
      <c r="G54" s="12" t="s">
        <v>130</v>
      </c>
      <c r="H54" s="5"/>
      <c r="I54" s="5"/>
    </row>
    <row r="55" spans="1:9">
      <c r="A55" s="56" t="s">
        <v>38</v>
      </c>
      <c r="B55" s="31">
        <f>SUM(B57:B61)</f>
        <v>482</v>
      </c>
      <c r="C55" s="32">
        <f t="shared" ref="C55:F55" si="7">SUM(C57:C61)</f>
        <v>392</v>
      </c>
      <c r="D55" s="32">
        <f t="shared" si="7"/>
        <v>145</v>
      </c>
      <c r="E55" s="32">
        <f t="shared" si="7"/>
        <v>950</v>
      </c>
      <c r="F55" s="33">
        <f t="shared" si="7"/>
        <v>1291</v>
      </c>
      <c r="G55" s="34" t="s">
        <v>131</v>
      </c>
      <c r="H55" s="34"/>
      <c r="I55" s="34"/>
    </row>
    <row r="56" spans="1:9">
      <c r="A56" s="56"/>
      <c r="B56" s="31"/>
      <c r="C56" s="32"/>
      <c r="D56" s="32"/>
      <c r="E56" s="32"/>
      <c r="F56" s="33"/>
      <c r="G56" s="34"/>
      <c r="H56" s="34"/>
      <c r="I56" s="34"/>
    </row>
    <row r="57" spans="1:9">
      <c r="A57" s="2" t="s">
        <v>39</v>
      </c>
      <c r="B57" s="21">
        <v>188</v>
      </c>
      <c r="C57" s="17">
        <v>140</v>
      </c>
      <c r="D57" s="18">
        <v>103</v>
      </c>
      <c r="E57" s="17">
        <v>649</v>
      </c>
      <c r="F57" s="22">
        <v>1003</v>
      </c>
      <c r="G57" s="12" t="s">
        <v>132</v>
      </c>
      <c r="H57" s="5"/>
      <c r="I57" s="5"/>
    </row>
    <row r="58" spans="1:9">
      <c r="A58" s="2" t="s">
        <v>40</v>
      </c>
      <c r="B58" s="21">
        <v>166</v>
      </c>
      <c r="C58" s="17">
        <v>182</v>
      </c>
      <c r="D58" s="18">
        <v>9</v>
      </c>
      <c r="E58" s="17">
        <v>42</v>
      </c>
      <c r="F58" s="22">
        <v>48</v>
      </c>
      <c r="G58" s="12" t="s">
        <v>133</v>
      </c>
      <c r="H58" s="5"/>
      <c r="I58" s="5"/>
    </row>
    <row r="59" spans="1:9">
      <c r="A59" s="2" t="s">
        <v>41</v>
      </c>
      <c r="B59" s="21">
        <v>1</v>
      </c>
      <c r="C59" s="19" t="s">
        <v>187</v>
      </c>
      <c r="D59" s="20" t="s">
        <v>187</v>
      </c>
      <c r="E59" s="17">
        <v>12</v>
      </c>
      <c r="F59" s="22">
        <v>6</v>
      </c>
      <c r="G59" s="12" t="s">
        <v>134</v>
      </c>
      <c r="H59" s="5"/>
      <c r="I59" s="5"/>
    </row>
    <row r="60" spans="1:9">
      <c r="A60" s="2" t="s">
        <v>42</v>
      </c>
      <c r="B60" s="21">
        <v>37</v>
      </c>
      <c r="C60" s="17">
        <v>42</v>
      </c>
      <c r="D60" s="18">
        <v>18</v>
      </c>
      <c r="E60" s="17">
        <v>67</v>
      </c>
      <c r="F60" s="22">
        <v>57</v>
      </c>
      <c r="G60" s="12" t="s">
        <v>135</v>
      </c>
      <c r="H60" s="5"/>
      <c r="I60" s="5"/>
    </row>
    <row r="61" spans="1:9">
      <c r="A61" s="2" t="s">
        <v>43</v>
      </c>
      <c r="B61" s="21">
        <v>90</v>
      </c>
      <c r="C61" s="17">
        <v>28</v>
      </c>
      <c r="D61" s="18">
        <v>15</v>
      </c>
      <c r="E61" s="17">
        <v>180</v>
      </c>
      <c r="F61" s="22">
        <v>177</v>
      </c>
      <c r="G61" s="12" t="s">
        <v>136</v>
      </c>
      <c r="H61" s="5"/>
      <c r="I61" s="5"/>
    </row>
    <row r="62" spans="1:9">
      <c r="A62" s="56" t="s">
        <v>44</v>
      </c>
      <c r="B62" s="31">
        <f>SUM(B64:B66)</f>
        <v>1606</v>
      </c>
      <c r="C62" s="32">
        <f t="shared" ref="C62:F62" si="8">SUM(C64:C66)</f>
        <v>1636</v>
      </c>
      <c r="D62" s="32">
        <f t="shared" si="8"/>
        <v>1074</v>
      </c>
      <c r="E62" s="32">
        <f t="shared" si="8"/>
        <v>1980</v>
      </c>
      <c r="F62" s="33">
        <f t="shared" si="8"/>
        <v>2154</v>
      </c>
      <c r="G62" s="34" t="s">
        <v>137</v>
      </c>
      <c r="H62" s="34"/>
      <c r="I62" s="34"/>
    </row>
    <row r="63" spans="1:9">
      <c r="A63" s="56"/>
      <c r="B63" s="31"/>
      <c r="C63" s="32"/>
      <c r="D63" s="32"/>
      <c r="E63" s="32"/>
      <c r="F63" s="33"/>
      <c r="G63" s="34"/>
      <c r="H63" s="34"/>
      <c r="I63" s="34"/>
    </row>
    <row r="64" spans="1:9">
      <c r="A64" s="2" t="s">
        <v>45</v>
      </c>
      <c r="B64" s="21">
        <v>393</v>
      </c>
      <c r="C64" s="17">
        <v>372</v>
      </c>
      <c r="D64" s="18">
        <v>360</v>
      </c>
      <c r="E64" s="17">
        <v>851</v>
      </c>
      <c r="F64" s="22">
        <v>790</v>
      </c>
      <c r="G64" s="12" t="s">
        <v>138</v>
      </c>
      <c r="H64" s="5"/>
      <c r="I64" s="5"/>
    </row>
    <row r="65" spans="1:9">
      <c r="A65" s="2" t="s">
        <v>46</v>
      </c>
      <c r="B65" s="21">
        <v>786</v>
      </c>
      <c r="C65" s="17">
        <v>734</v>
      </c>
      <c r="D65" s="18">
        <v>460</v>
      </c>
      <c r="E65" s="17">
        <v>618</v>
      </c>
      <c r="F65" s="22">
        <v>662</v>
      </c>
      <c r="G65" s="12" t="s">
        <v>139</v>
      </c>
      <c r="H65" s="5"/>
      <c r="I65" s="5"/>
    </row>
    <row r="66" spans="1:9">
      <c r="A66" s="2" t="s">
        <v>47</v>
      </c>
      <c r="B66" s="21">
        <v>427</v>
      </c>
      <c r="C66" s="17">
        <v>530</v>
      </c>
      <c r="D66" s="18">
        <v>254</v>
      </c>
      <c r="E66" s="17">
        <v>511</v>
      </c>
      <c r="F66" s="22">
        <v>702</v>
      </c>
      <c r="G66" s="12" t="s">
        <v>140</v>
      </c>
      <c r="H66" s="5"/>
      <c r="I66" s="5"/>
    </row>
    <row r="67" spans="1:9">
      <c r="A67" s="56" t="s">
        <v>48</v>
      </c>
      <c r="B67" s="31">
        <f>SUM(B69:B73)</f>
        <v>778</v>
      </c>
      <c r="C67" s="32">
        <f t="shared" ref="C67:F67" si="9">SUM(C69:C73)</f>
        <v>647</v>
      </c>
      <c r="D67" s="32">
        <f t="shared" si="9"/>
        <v>749</v>
      </c>
      <c r="E67" s="32">
        <f t="shared" si="9"/>
        <v>1824</v>
      </c>
      <c r="F67" s="33">
        <f t="shared" si="9"/>
        <v>1656</v>
      </c>
      <c r="G67" s="34" t="s">
        <v>141</v>
      </c>
      <c r="H67" s="34"/>
      <c r="I67" s="34"/>
    </row>
    <row r="68" spans="1:9">
      <c r="A68" s="56"/>
      <c r="B68" s="31"/>
      <c r="C68" s="32"/>
      <c r="D68" s="32"/>
      <c r="E68" s="32"/>
      <c r="F68" s="33"/>
      <c r="G68" s="34"/>
      <c r="H68" s="34"/>
      <c r="I68" s="34"/>
    </row>
    <row r="69" spans="1:9">
      <c r="A69" s="2" t="s">
        <v>49</v>
      </c>
      <c r="B69" s="21">
        <v>212</v>
      </c>
      <c r="C69" s="17">
        <v>229</v>
      </c>
      <c r="D69" s="18">
        <v>312</v>
      </c>
      <c r="E69" s="17">
        <v>470</v>
      </c>
      <c r="F69" s="22">
        <v>458</v>
      </c>
      <c r="G69" s="12" t="s">
        <v>142</v>
      </c>
      <c r="H69" s="5"/>
      <c r="I69" s="5"/>
    </row>
    <row r="70" spans="1:9">
      <c r="A70" s="2" t="s">
        <v>50</v>
      </c>
      <c r="B70" s="21">
        <v>53</v>
      </c>
      <c r="C70" s="17">
        <v>27</v>
      </c>
      <c r="D70" s="18">
        <v>30</v>
      </c>
      <c r="E70" s="17">
        <v>46</v>
      </c>
      <c r="F70" s="22">
        <v>50</v>
      </c>
      <c r="G70" s="12" t="s">
        <v>143</v>
      </c>
      <c r="H70" s="5"/>
      <c r="I70" s="5"/>
    </row>
    <row r="71" spans="1:9">
      <c r="A71" s="2" t="s">
        <v>51</v>
      </c>
      <c r="B71" s="21">
        <v>55</v>
      </c>
      <c r="C71" s="17">
        <v>54</v>
      </c>
      <c r="D71" s="18">
        <v>26</v>
      </c>
      <c r="E71" s="17">
        <v>85</v>
      </c>
      <c r="F71" s="22">
        <v>76</v>
      </c>
      <c r="G71" s="12" t="s">
        <v>144</v>
      </c>
      <c r="H71" s="5"/>
      <c r="I71" s="5"/>
    </row>
    <row r="72" spans="1:9">
      <c r="A72" s="2" t="s">
        <v>52</v>
      </c>
      <c r="B72" s="21">
        <v>199</v>
      </c>
      <c r="C72" s="17">
        <v>119</v>
      </c>
      <c r="D72" s="18">
        <v>210</v>
      </c>
      <c r="E72" s="17">
        <v>482</v>
      </c>
      <c r="F72" s="22">
        <v>437</v>
      </c>
      <c r="G72" s="12" t="s">
        <v>145</v>
      </c>
      <c r="H72" s="5"/>
      <c r="I72" s="5"/>
    </row>
    <row r="73" spans="1:9">
      <c r="A73" s="2" t="s">
        <v>53</v>
      </c>
      <c r="B73" s="21">
        <v>259</v>
      </c>
      <c r="C73" s="17">
        <v>218</v>
      </c>
      <c r="D73" s="18">
        <v>171</v>
      </c>
      <c r="E73" s="17">
        <v>741</v>
      </c>
      <c r="F73" s="22">
        <v>635</v>
      </c>
      <c r="G73" s="12" t="s">
        <v>146</v>
      </c>
      <c r="H73" s="5"/>
      <c r="I73" s="5"/>
    </row>
    <row r="74" spans="1:9">
      <c r="A74" s="56" t="s">
        <v>54</v>
      </c>
      <c r="B74" s="31">
        <f>SUM(B76:B83)</f>
        <v>455</v>
      </c>
      <c r="C74" s="32">
        <f t="shared" ref="C74:F74" si="10">SUM(C76:C83)</f>
        <v>451</v>
      </c>
      <c r="D74" s="32">
        <f t="shared" si="10"/>
        <v>500</v>
      </c>
      <c r="E74" s="32">
        <f t="shared" si="10"/>
        <v>194</v>
      </c>
      <c r="F74" s="33">
        <f t="shared" si="10"/>
        <v>202</v>
      </c>
      <c r="G74" s="34" t="s">
        <v>147</v>
      </c>
      <c r="H74" s="34"/>
      <c r="I74" s="34"/>
    </row>
    <row r="75" spans="1:9">
      <c r="A75" s="56"/>
      <c r="B75" s="31"/>
      <c r="C75" s="32"/>
      <c r="D75" s="32"/>
      <c r="E75" s="32"/>
      <c r="F75" s="33"/>
      <c r="G75" s="34"/>
      <c r="H75" s="34"/>
      <c r="I75" s="34"/>
    </row>
    <row r="76" spans="1:9">
      <c r="A76" s="3" t="s">
        <v>55</v>
      </c>
      <c r="B76" s="8" t="s">
        <v>187</v>
      </c>
      <c r="C76" s="9" t="s">
        <v>187</v>
      </c>
      <c r="D76" s="10" t="s">
        <v>187</v>
      </c>
      <c r="E76" s="10" t="s">
        <v>187</v>
      </c>
      <c r="F76" s="11" t="s">
        <v>187</v>
      </c>
      <c r="G76" s="12" t="s">
        <v>148</v>
      </c>
      <c r="H76" s="5"/>
      <c r="I76" s="5"/>
    </row>
    <row r="77" spans="1:9">
      <c r="A77" s="3" t="s">
        <v>56</v>
      </c>
      <c r="B77" s="21">
        <v>8</v>
      </c>
      <c r="C77" s="17">
        <v>3</v>
      </c>
      <c r="D77" s="18">
        <v>2</v>
      </c>
      <c r="E77" s="17">
        <v>2</v>
      </c>
      <c r="F77" s="22">
        <v>2</v>
      </c>
      <c r="G77" s="12" t="s">
        <v>149</v>
      </c>
      <c r="H77" s="5"/>
      <c r="I77" s="5"/>
    </row>
    <row r="78" spans="1:9">
      <c r="A78" s="3" t="s">
        <v>57</v>
      </c>
      <c r="B78" s="8" t="s">
        <v>187</v>
      </c>
      <c r="C78" s="9" t="s">
        <v>187</v>
      </c>
      <c r="D78" s="10" t="s">
        <v>187</v>
      </c>
      <c r="E78" s="10" t="s">
        <v>187</v>
      </c>
      <c r="F78" s="11" t="s">
        <v>187</v>
      </c>
      <c r="G78" s="12" t="s">
        <v>150</v>
      </c>
      <c r="H78" s="5"/>
      <c r="I78" s="5"/>
    </row>
    <row r="79" spans="1:9">
      <c r="A79" s="3" t="s">
        <v>58</v>
      </c>
      <c r="B79" s="8" t="s">
        <v>187</v>
      </c>
      <c r="C79" s="9" t="s">
        <v>187</v>
      </c>
      <c r="D79" s="10" t="s">
        <v>187</v>
      </c>
      <c r="E79" s="10" t="s">
        <v>187</v>
      </c>
      <c r="F79" s="11" t="s">
        <v>187</v>
      </c>
      <c r="G79" s="12" t="s">
        <v>151</v>
      </c>
      <c r="H79" s="5"/>
      <c r="I79" s="5"/>
    </row>
    <row r="80" spans="1:9">
      <c r="A80" s="3" t="s">
        <v>59</v>
      </c>
      <c r="B80" s="21">
        <v>187</v>
      </c>
      <c r="C80" s="17">
        <v>210</v>
      </c>
      <c r="D80" s="18">
        <v>5</v>
      </c>
      <c r="E80" s="17">
        <v>21</v>
      </c>
      <c r="F80" s="22">
        <v>25</v>
      </c>
      <c r="G80" s="12" t="s">
        <v>152</v>
      </c>
      <c r="H80" s="5"/>
      <c r="I80" s="5"/>
    </row>
    <row r="81" spans="1:9">
      <c r="A81" s="3" t="s">
        <v>60</v>
      </c>
      <c r="B81" s="21">
        <v>59</v>
      </c>
      <c r="C81" s="17">
        <v>53</v>
      </c>
      <c r="D81" s="18">
        <v>12</v>
      </c>
      <c r="E81" s="17">
        <v>28</v>
      </c>
      <c r="F81" s="22">
        <v>14</v>
      </c>
      <c r="G81" s="12" t="s">
        <v>153</v>
      </c>
      <c r="H81" s="5"/>
      <c r="I81" s="5"/>
    </row>
    <row r="82" spans="1:9">
      <c r="A82" s="3" t="s">
        <v>61</v>
      </c>
      <c r="B82" s="8" t="s">
        <v>187</v>
      </c>
      <c r="C82" s="9" t="s">
        <v>187</v>
      </c>
      <c r="D82" s="10" t="s">
        <v>187</v>
      </c>
      <c r="E82" s="10" t="s">
        <v>187</v>
      </c>
      <c r="F82" s="11" t="s">
        <v>187</v>
      </c>
      <c r="G82" s="12" t="s">
        <v>154</v>
      </c>
      <c r="H82" s="5"/>
      <c r="I82" s="5"/>
    </row>
    <row r="83" spans="1:9">
      <c r="A83" s="3" t="s">
        <v>62</v>
      </c>
      <c r="B83" s="21">
        <v>201</v>
      </c>
      <c r="C83" s="17">
        <v>185</v>
      </c>
      <c r="D83" s="18">
        <v>481</v>
      </c>
      <c r="E83" s="17">
        <v>143</v>
      </c>
      <c r="F83" s="22">
        <v>161</v>
      </c>
      <c r="G83" s="12" t="s">
        <v>155</v>
      </c>
      <c r="H83" s="5"/>
      <c r="I83" s="5"/>
    </row>
    <row r="84" spans="1:9">
      <c r="A84" s="56" t="s">
        <v>63</v>
      </c>
      <c r="B84" s="31">
        <f>SUM(B86:B90)</f>
        <v>1606</v>
      </c>
      <c r="C84" s="32">
        <f t="shared" ref="C84:F84" si="11">SUM(C86:C90)</f>
        <v>1643</v>
      </c>
      <c r="D84" s="32">
        <f t="shared" si="11"/>
        <v>1013</v>
      </c>
      <c r="E84" s="32">
        <f t="shared" si="11"/>
        <v>1626</v>
      </c>
      <c r="F84" s="33">
        <f t="shared" si="11"/>
        <v>2113</v>
      </c>
      <c r="G84" s="34" t="s">
        <v>156</v>
      </c>
      <c r="H84" s="34"/>
      <c r="I84" s="34"/>
    </row>
    <row r="85" spans="1:9">
      <c r="A85" s="56"/>
      <c r="B85" s="31"/>
      <c r="C85" s="32"/>
      <c r="D85" s="32"/>
      <c r="E85" s="32"/>
      <c r="F85" s="33"/>
      <c r="G85" s="34"/>
      <c r="H85" s="34"/>
      <c r="I85" s="34"/>
    </row>
    <row r="86" spans="1:9">
      <c r="A86" s="2" t="s">
        <v>64</v>
      </c>
      <c r="B86" s="21">
        <v>1231</v>
      </c>
      <c r="C86" s="17">
        <v>1222</v>
      </c>
      <c r="D86" s="18">
        <v>683</v>
      </c>
      <c r="E86" s="17">
        <v>1186</v>
      </c>
      <c r="F86" s="22">
        <v>1464</v>
      </c>
      <c r="G86" s="12" t="s">
        <v>157</v>
      </c>
      <c r="H86" s="5"/>
      <c r="I86" s="5"/>
    </row>
    <row r="87" spans="1:9">
      <c r="A87" s="2" t="s">
        <v>65</v>
      </c>
      <c r="B87" s="21">
        <v>21</v>
      </c>
      <c r="C87" s="17">
        <v>19</v>
      </c>
      <c r="D87" s="18">
        <v>54</v>
      </c>
      <c r="E87" s="17">
        <v>42</v>
      </c>
      <c r="F87" s="22">
        <v>32</v>
      </c>
      <c r="G87" s="12" t="s">
        <v>158</v>
      </c>
      <c r="H87" s="5"/>
      <c r="I87" s="5"/>
    </row>
    <row r="88" spans="1:9">
      <c r="A88" s="2" t="s">
        <v>66</v>
      </c>
      <c r="B88" s="21">
        <v>111</v>
      </c>
      <c r="C88" s="17">
        <v>123</v>
      </c>
      <c r="D88" s="18">
        <v>97</v>
      </c>
      <c r="E88" s="17">
        <v>131</v>
      </c>
      <c r="F88" s="22">
        <v>175</v>
      </c>
      <c r="G88" s="12" t="s">
        <v>159</v>
      </c>
      <c r="H88" s="5"/>
      <c r="I88" s="5"/>
    </row>
    <row r="89" spans="1:9">
      <c r="A89" s="2" t="s">
        <v>67</v>
      </c>
      <c r="B89" s="21">
        <v>166</v>
      </c>
      <c r="C89" s="17">
        <v>118</v>
      </c>
      <c r="D89" s="18">
        <v>57</v>
      </c>
      <c r="E89" s="17">
        <v>135</v>
      </c>
      <c r="F89" s="22">
        <v>88</v>
      </c>
      <c r="G89" s="12" t="s">
        <v>160</v>
      </c>
      <c r="H89" s="5"/>
      <c r="I89" s="5"/>
    </row>
    <row r="90" spans="1:9">
      <c r="A90" s="2" t="s">
        <v>68</v>
      </c>
      <c r="B90" s="21">
        <v>77</v>
      </c>
      <c r="C90" s="17">
        <v>161</v>
      </c>
      <c r="D90" s="18">
        <v>122</v>
      </c>
      <c r="E90" s="17">
        <v>132</v>
      </c>
      <c r="F90" s="22">
        <v>354</v>
      </c>
      <c r="G90" s="12" t="s">
        <v>161</v>
      </c>
      <c r="H90" s="5"/>
      <c r="I90" s="5"/>
    </row>
    <row r="91" spans="1:9">
      <c r="A91" s="56" t="s">
        <v>69</v>
      </c>
      <c r="B91" s="31">
        <f>SUM(B93:B105)</f>
        <v>553</v>
      </c>
      <c r="C91" s="32">
        <f t="shared" ref="C91:F91" si="12">SUM(C93:C105)</f>
        <v>792</v>
      </c>
      <c r="D91" s="32">
        <f t="shared" si="12"/>
        <v>1866</v>
      </c>
      <c r="E91" s="32">
        <f t="shared" si="12"/>
        <v>1745</v>
      </c>
      <c r="F91" s="33">
        <f t="shared" si="12"/>
        <v>2349</v>
      </c>
      <c r="G91" s="34" t="s">
        <v>162</v>
      </c>
      <c r="H91" s="34"/>
      <c r="I91" s="34"/>
    </row>
    <row r="92" spans="1:9">
      <c r="A92" s="56"/>
      <c r="B92" s="31"/>
      <c r="C92" s="32"/>
      <c r="D92" s="32"/>
      <c r="E92" s="32"/>
      <c r="F92" s="33"/>
      <c r="G92" s="34"/>
      <c r="H92" s="34"/>
      <c r="I92" s="34"/>
    </row>
    <row r="93" spans="1:9">
      <c r="A93" s="2" t="s">
        <v>70</v>
      </c>
      <c r="B93" s="21">
        <v>14</v>
      </c>
      <c r="C93" s="17">
        <v>28</v>
      </c>
      <c r="D93" s="18">
        <v>11</v>
      </c>
      <c r="E93" s="17">
        <v>56</v>
      </c>
      <c r="F93" s="22">
        <v>28</v>
      </c>
      <c r="G93" s="12" t="s">
        <v>163</v>
      </c>
      <c r="H93" s="5"/>
      <c r="I93" s="5"/>
    </row>
    <row r="94" spans="1:9">
      <c r="A94" s="2" t="s">
        <v>71</v>
      </c>
      <c r="B94" s="21">
        <v>44</v>
      </c>
      <c r="C94" s="17">
        <v>78</v>
      </c>
      <c r="D94" s="18">
        <v>239</v>
      </c>
      <c r="E94" s="17">
        <v>166</v>
      </c>
      <c r="F94" s="22">
        <v>272</v>
      </c>
      <c r="G94" s="12" t="s">
        <v>164</v>
      </c>
      <c r="H94" s="5"/>
      <c r="I94" s="5"/>
    </row>
    <row r="95" spans="1:9">
      <c r="A95" s="2" t="s">
        <v>72</v>
      </c>
      <c r="B95" s="21">
        <v>142</v>
      </c>
      <c r="C95" s="17">
        <v>219</v>
      </c>
      <c r="D95" s="18">
        <v>691</v>
      </c>
      <c r="E95" s="17">
        <v>314</v>
      </c>
      <c r="F95" s="22">
        <v>499</v>
      </c>
      <c r="G95" s="12" t="s">
        <v>165</v>
      </c>
      <c r="H95" s="5"/>
      <c r="I95" s="5"/>
    </row>
    <row r="96" spans="1:9">
      <c r="A96" s="2" t="s">
        <v>73</v>
      </c>
      <c r="B96" s="21">
        <v>48</v>
      </c>
      <c r="C96" s="17">
        <v>42</v>
      </c>
      <c r="D96" s="18">
        <v>73</v>
      </c>
      <c r="E96" s="17">
        <v>85</v>
      </c>
      <c r="F96" s="22">
        <v>79</v>
      </c>
      <c r="G96" s="12" t="s">
        <v>166</v>
      </c>
      <c r="H96" s="5"/>
      <c r="I96" s="5"/>
    </row>
    <row r="97" spans="1:9">
      <c r="A97" s="2" t="s">
        <v>74</v>
      </c>
      <c r="B97" s="25" t="s">
        <v>187</v>
      </c>
      <c r="C97" s="19" t="s">
        <v>187</v>
      </c>
      <c r="D97" s="18">
        <v>10</v>
      </c>
      <c r="E97" s="17">
        <v>15</v>
      </c>
      <c r="F97" s="22">
        <v>10</v>
      </c>
      <c r="G97" s="12" t="s">
        <v>167</v>
      </c>
      <c r="H97" s="5"/>
      <c r="I97" s="5"/>
    </row>
    <row r="98" spans="1:9">
      <c r="A98" s="2" t="s">
        <v>75</v>
      </c>
      <c r="B98" s="21">
        <v>21</v>
      </c>
      <c r="C98" s="17">
        <v>10</v>
      </c>
      <c r="D98" s="18">
        <v>149</v>
      </c>
      <c r="E98" s="17">
        <v>92</v>
      </c>
      <c r="F98" s="22">
        <v>290</v>
      </c>
      <c r="G98" s="12" t="s">
        <v>168</v>
      </c>
      <c r="H98" s="5"/>
      <c r="I98" s="5"/>
    </row>
    <row r="99" spans="1:9">
      <c r="A99" s="2" t="s">
        <v>76</v>
      </c>
      <c r="B99" s="21">
        <v>52</v>
      </c>
      <c r="C99" s="17">
        <v>50</v>
      </c>
      <c r="D99" s="18">
        <v>7</v>
      </c>
      <c r="E99" s="17">
        <v>102</v>
      </c>
      <c r="F99" s="22">
        <v>212</v>
      </c>
      <c r="G99" s="12" t="s">
        <v>169</v>
      </c>
      <c r="H99" s="5"/>
      <c r="I99" s="5"/>
    </row>
    <row r="100" spans="1:9">
      <c r="A100" s="2" t="s">
        <v>77</v>
      </c>
      <c r="B100" s="21">
        <v>23</v>
      </c>
      <c r="C100" s="17">
        <v>38</v>
      </c>
      <c r="D100" s="18">
        <v>122</v>
      </c>
      <c r="E100" s="17">
        <v>132</v>
      </c>
      <c r="F100" s="22">
        <v>151</v>
      </c>
      <c r="G100" s="12" t="s">
        <v>170</v>
      </c>
      <c r="H100" s="5"/>
      <c r="I100" s="5"/>
    </row>
    <row r="101" spans="1:9">
      <c r="A101" s="2" t="s">
        <v>78</v>
      </c>
      <c r="B101" s="21">
        <v>22</v>
      </c>
      <c r="C101" s="17">
        <v>33</v>
      </c>
      <c r="D101" s="18">
        <v>20</v>
      </c>
      <c r="E101" s="17">
        <v>80</v>
      </c>
      <c r="F101" s="22">
        <v>57</v>
      </c>
      <c r="G101" s="12" t="s">
        <v>171</v>
      </c>
      <c r="H101" s="5"/>
      <c r="I101" s="5"/>
    </row>
    <row r="102" spans="1:9">
      <c r="A102" s="2" t="s">
        <v>79</v>
      </c>
      <c r="B102" s="21">
        <v>59</v>
      </c>
      <c r="C102" s="17">
        <v>178</v>
      </c>
      <c r="D102" s="18">
        <v>304</v>
      </c>
      <c r="E102" s="17">
        <v>270</v>
      </c>
      <c r="F102" s="22">
        <v>274</v>
      </c>
      <c r="G102" s="12" t="s">
        <v>172</v>
      </c>
      <c r="H102" s="5"/>
      <c r="I102" s="5"/>
    </row>
    <row r="103" spans="1:9">
      <c r="A103" s="2" t="s">
        <v>80</v>
      </c>
      <c r="B103" s="21">
        <v>30</v>
      </c>
      <c r="C103" s="17">
        <v>14</v>
      </c>
      <c r="D103" s="18">
        <v>177</v>
      </c>
      <c r="E103" s="17">
        <v>134</v>
      </c>
      <c r="F103" s="22">
        <v>142</v>
      </c>
      <c r="G103" s="12" t="s">
        <v>173</v>
      </c>
      <c r="H103" s="5"/>
      <c r="I103" s="5"/>
    </row>
    <row r="104" spans="1:9">
      <c r="A104" s="2" t="s">
        <v>81</v>
      </c>
      <c r="B104" s="21">
        <v>78</v>
      </c>
      <c r="C104" s="17">
        <v>80</v>
      </c>
      <c r="D104" s="18">
        <v>28</v>
      </c>
      <c r="E104" s="17">
        <v>245</v>
      </c>
      <c r="F104" s="22">
        <v>246</v>
      </c>
      <c r="G104" s="12" t="s">
        <v>174</v>
      </c>
      <c r="H104" s="5"/>
      <c r="I104" s="5"/>
    </row>
    <row r="105" spans="1:9">
      <c r="A105" s="2" t="s">
        <v>82</v>
      </c>
      <c r="B105" s="21">
        <v>20</v>
      </c>
      <c r="C105" s="17">
        <v>22</v>
      </c>
      <c r="D105" s="18">
        <v>35</v>
      </c>
      <c r="E105" s="17">
        <v>54</v>
      </c>
      <c r="F105" s="22">
        <v>89</v>
      </c>
      <c r="G105" s="12" t="s">
        <v>175</v>
      </c>
      <c r="H105" s="5"/>
      <c r="I105" s="5"/>
    </row>
    <row r="106" spans="1:9">
      <c r="A106" s="56" t="s">
        <v>83</v>
      </c>
      <c r="B106" s="31">
        <f>SUM(B108:B111)</f>
        <v>227</v>
      </c>
      <c r="C106" s="32">
        <f t="shared" ref="C106:F106" si="13">SUM(C108:C111)</f>
        <v>304</v>
      </c>
      <c r="D106" s="32">
        <f t="shared" si="13"/>
        <v>540</v>
      </c>
      <c r="E106" s="32">
        <f t="shared" si="13"/>
        <v>1200</v>
      </c>
      <c r="F106" s="33">
        <f t="shared" si="13"/>
        <v>1801</v>
      </c>
      <c r="G106" s="34" t="s">
        <v>176</v>
      </c>
      <c r="H106" s="34"/>
      <c r="I106" s="34"/>
    </row>
    <row r="107" spans="1:9">
      <c r="A107" s="56"/>
      <c r="B107" s="31"/>
      <c r="C107" s="32"/>
      <c r="D107" s="32"/>
      <c r="E107" s="32"/>
      <c r="F107" s="33"/>
      <c r="G107" s="34"/>
      <c r="H107" s="34"/>
      <c r="I107" s="34"/>
    </row>
    <row r="108" spans="1:9">
      <c r="A108" s="2" t="s">
        <v>84</v>
      </c>
      <c r="B108" s="21">
        <v>128</v>
      </c>
      <c r="C108" s="17">
        <v>162</v>
      </c>
      <c r="D108" s="18">
        <v>212</v>
      </c>
      <c r="E108" s="17">
        <v>432</v>
      </c>
      <c r="F108" s="22">
        <v>642</v>
      </c>
      <c r="G108" s="12" t="s">
        <v>177</v>
      </c>
      <c r="H108" s="5"/>
      <c r="I108" s="5"/>
    </row>
    <row r="109" spans="1:9">
      <c r="A109" s="2" t="s">
        <v>85</v>
      </c>
      <c r="B109" s="21">
        <v>9</v>
      </c>
      <c r="C109" s="17">
        <v>23</v>
      </c>
      <c r="D109" s="18">
        <v>148</v>
      </c>
      <c r="E109" s="17">
        <v>404</v>
      </c>
      <c r="F109" s="22">
        <v>585</v>
      </c>
      <c r="G109" s="12" t="s">
        <v>178</v>
      </c>
      <c r="H109" s="5"/>
      <c r="I109" s="5"/>
    </row>
    <row r="110" spans="1:9">
      <c r="A110" s="2" t="s">
        <v>86</v>
      </c>
      <c r="B110" s="21">
        <v>39</v>
      </c>
      <c r="C110" s="17">
        <v>60</v>
      </c>
      <c r="D110" s="18">
        <v>97</v>
      </c>
      <c r="E110" s="17">
        <v>238</v>
      </c>
      <c r="F110" s="22">
        <v>427</v>
      </c>
      <c r="G110" s="12" t="s">
        <v>179</v>
      </c>
      <c r="H110" s="5"/>
      <c r="I110" s="5"/>
    </row>
    <row r="111" spans="1:9" ht="10.8" thickBot="1">
      <c r="A111" s="4" t="s">
        <v>87</v>
      </c>
      <c r="B111" s="26">
        <v>51</v>
      </c>
      <c r="C111" s="27">
        <v>59</v>
      </c>
      <c r="D111" s="28">
        <v>83</v>
      </c>
      <c r="E111" s="27">
        <v>126</v>
      </c>
      <c r="F111" s="29">
        <v>147</v>
      </c>
      <c r="G111" s="13" t="s">
        <v>180</v>
      </c>
      <c r="H111" s="6"/>
      <c r="I111" s="6"/>
    </row>
  </sheetData>
  <mergeCells count="103">
    <mergeCell ref="A106:A107"/>
    <mergeCell ref="A62:A63"/>
    <mergeCell ref="A67:A68"/>
    <mergeCell ref="A74:A75"/>
    <mergeCell ref="A84:A85"/>
    <mergeCell ref="A11:A12"/>
    <mergeCell ref="A13:A14"/>
    <mergeCell ref="A21:A22"/>
    <mergeCell ref="A91:A9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G7:I10"/>
    <mergeCell ref="G11:I12"/>
    <mergeCell ref="G13:I14"/>
    <mergeCell ref="G21:I22"/>
    <mergeCell ref="D7:D10"/>
    <mergeCell ref="E7:F8"/>
    <mergeCell ref="E9:E10"/>
    <mergeCell ref="F9:F10"/>
    <mergeCell ref="E13:E14"/>
    <mergeCell ref="F13:F14"/>
    <mergeCell ref="D21:D22"/>
    <mergeCell ref="E21:E22"/>
    <mergeCell ref="F21:F22"/>
    <mergeCell ref="G91:I92"/>
    <mergeCell ref="G106:I107"/>
    <mergeCell ref="B11:B12"/>
    <mergeCell ref="C11:C12"/>
    <mergeCell ref="D11:D12"/>
    <mergeCell ref="E11:E12"/>
    <mergeCell ref="F11:F12"/>
    <mergeCell ref="B13:B14"/>
    <mergeCell ref="C13:C14"/>
    <mergeCell ref="D13:D14"/>
    <mergeCell ref="G62:I63"/>
    <mergeCell ref="G67:I68"/>
    <mergeCell ref="G74:I75"/>
    <mergeCell ref="G84:I85"/>
    <mergeCell ref="G35:I36"/>
    <mergeCell ref="G41:I42"/>
    <mergeCell ref="G48:I49"/>
    <mergeCell ref="G55:I56"/>
    <mergeCell ref="F48:F49"/>
    <mergeCell ref="B55:B56"/>
    <mergeCell ref="C55:C56"/>
    <mergeCell ref="D55:D56"/>
    <mergeCell ref="E55:E56"/>
    <mergeCell ref="F55:F56"/>
    <mergeCell ref="B35:B36"/>
    <mergeCell ref="C35:C36"/>
    <mergeCell ref="D35:D36"/>
    <mergeCell ref="E35:E36"/>
    <mergeCell ref="F35:F36"/>
    <mergeCell ref="B41:B42"/>
    <mergeCell ref="C41:C42"/>
    <mergeCell ref="D41:D42"/>
    <mergeCell ref="E41:E42"/>
    <mergeCell ref="F41:F42"/>
    <mergeCell ref="F106:F107"/>
    <mergeCell ref="B74:B75"/>
    <mergeCell ref="C74:C75"/>
    <mergeCell ref="D74:D75"/>
    <mergeCell ref="E74:E75"/>
    <mergeCell ref="F74:F75"/>
    <mergeCell ref="B106:B107"/>
    <mergeCell ref="C106:C107"/>
    <mergeCell ref="D106:D107"/>
    <mergeCell ref="E106:E107"/>
    <mergeCell ref="D84:D85"/>
    <mergeCell ref="E84:E85"/>
    <mergeCell ref="F84:F85"/>
    <mergeCell ref="A2:I2"/>
    <mergeCell ref="A3:I3"/>
    <mergeCell ref="A4:I4"/>
    <mergeCell ref="B91:B92"/>
    <mergeCell ref="C91:C92"/>
    <mergeCell ref="D91:D92"/>
    <mergeCell ref="E91:E92"/>
    <mergeCell ref="F91:F92"/>
    <mergeCell ref="B84:B85"/>
    <mergeCell ref="C84:C85"/>
    <mergeCell ref="B62:B63"/>
    <mergeCell ref="C62:C63"/>
    <mergeCell ref="D62:D63"/>
    <mergeCell ref="E62:E63"/>
    <mergeCell ref="F62:F63"/>
    <mergeCell ref="B67:B68"/>
    <mergeCell ref="C67:C68"/>
    <mergeCell ref="D67:D68"/>
    <mergeCell ref="E67:E68"/>
    <mergeCell ref="F67:F68"/>
    <mergeCell ref="B48:B49"/>
    <mergeCell ref="C48:C49"/>
    <mergeCell ref="D48:D49"/>
    <mergeCell ref="E48:E4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2017-01-20T15:09:10Z</dcterms:modified>
</cp:coreProperties>
</file>