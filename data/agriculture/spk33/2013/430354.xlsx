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24" yWindow="300" windowWidth="15144" windowHeight="520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E7" i="1"/>
  <c r="C7"/>
  <c r="D7"/>
  <c r="F7"/>
  <c r="G7"/>
  <c r="H7"/>
  <c r="I7"/>
  <c r="J7"/>
  <c r="K7"/>
  <c r="B7"/>
  <c r="B31"/>
  <c r="K26"/>
  <c r="J26"/>
  <c r="H26"/>
  <c r="I26"/>
  <c r="G26"/>
  <c r="F26"/>
  <c r="B26"/>
  <c r="D26"/>
  <c r="E26"/>
  <c r="C26"/>
  <c r="B23"/>
  <c r="K17"/>
  <c r="J17"/>
  <c r="F17"/>
  <c r="H17"/>
  <c r="I17"/>
  <c r="G17"/>
  <c r="D17"/>
  <c r="E17"/>
  <c r="B17" s="1"/>
  <c r="C17"/>
  <c r="B19"/>
  <c r="K9"/>
  <c r="F105"/>
  <c r="F106"/>
  <c r="F107"/>
  <c r="F104"/>
  <c r="F100"/>
  <c r="F101"/>
  <c r="F99"/>
  <c r="F98"/>
  <c r="F97"/>
  <c r="F96"/>
  <c r="F95"/>
  <c r="F94"/>
  <c r="F93"/>
  <c r="F92"/>
  <c r="F90"/>
  <c r="F91"/>
  <c r="F89"/>
  <c r="F83"/>
  <c r="F84"/>
  <c r="F85"/>
  <c r="F86"/>
  <c r="F82"/>
  <c r="F79"/>
  <c r="F77"/>
  <c r="F76"/>
  <c r="F73"/>
  <c r="F66"/>
  <c r="F67"/>
  <c r="F68"/>
  <c r="F69"/>
  <c r="F65"/>
  <c r="F61"/>
  <c r="F62"/>
  <c r="F60"/>
  <c r="F57"/>
  <c r="F56"/>
  <c r="F54"/>
  <c r="F55"/>
  <c r="F53"/>
  <c r="F47"/>
  <c r="F48"/>
  <c r="F49"/>
  <c r="F50"/>
  <c r="F46"/>
  <c r="F40"/>
  <c r="F41"/>
  <c r="F42"/>
  <c r="F43"/>
  <c r="F39"/>
  <c r="F34"/>
  <c r="F35"/>
  <c r="F36"/>
  <c r="F33"/>
  <c r="F20"/>
  <c r="F21"/>
  <c r="F22"/>
  <c r="F23"/>
  <c r="F24"/>
  <c r="F25"/>
  <c r="F27"/>
  <c r="F28"/>
  <c r="F29"/>
  <c r="F30"/>
  <c r="F19"/>
  <c r="F12"/>
  <c r="F13"/>
  <c r="F14"/>
  <c r="F15"/>
  <c r="F16"/>
  <c r="F11"/>
  <c r="B105"/>
  <c r="B106"/>
  <c r="B107"/>
  <c r="B104"/>
  <c r="B90"/>
  <c r="B91"/>
  <c r="B92"/>
  <c r="B93"/>
  <c r="B94"/>
  <c r="B95"/>
  <c r="B96"/>
  <c r="B97"/>
  <c r="B98"/>
  <c r="B99"/>
  <c r="B100"/>
  <c r="B101"/>
  <c r="B89"/>
  <c r="B83"/>
  <c r="B84"/>
  <c r="B85"/>
  <c r="B86"/>
  <c r="B82"/>
  <c r="B74"/>
  <c r="B75"/>
  <c r="B76"/>
  <c r="B77"/>
  <c r="B78"/>
  <c r="B79"/>
  <c r="B73"/>
  <c r="B66"/>
  <c r="B67"/>
  <c r="B68"/>
  <c r="B69"/>
  <c r="B65"/>
  <c r="B61"/>
  <c r="B62"/>
  <c r="B60"/>
  <c r="B54"/>
  <c r="B55"/>
  <c r="B56"/>
  <c r="B57"/>
  <c r="B53"/>
  <c r="B47"/>
  <c r="B48"/>
  <c r="B49"/>
  <c r="B50"/>
  <c r="B46"/>
  <c r="B40"/>
  <c r="B41"/>
  <c r="B42"/>
  <c r="B43"/>
  <c r="B39"/>
  <c r="B34"/>
  <c r="B35"/>
  <c r="B36"/>
  <c r="B33"/>
  <c r="B20"/>
  <c r="B21"/>
  <c r="B22"/>
  <c r="B24"/>
  <c r="B25"/>
  <c r="B27"/>
  <c r="B28"/>
  <c r="B29"/>
  <c r="B30"/>
  <c r="B12"/>
  <c r="B13"/>
  <c r="B14"/>
  <c r="B15"/>
  <c r="B16"/>
  <c r="B11"/>
  <c r="C102"/>
  <c r="C87"/>
  <c r="C80"/>
  <c r="C70"/>
  <c r="C63"/>
  <c r="C58"/>
  <c r="C51"/>
  <c r="C44"/>
  <c r="C37"/>
  <c r="C31"/>
  <c r="C9"/>
  <c r="D9"/>
  <c r="A107"/>
  <c r="A106"/>
  <c r="A105"/>
  <c r="A104"/>
  <c r="K102"/>
  <c r="J102"/>
  <c r="I102"/>
  <c r="H102"/>
  <c r="G102"/>
  <c r="E102"/>
  <c r="D102"/>
  <c r="A101"/>
  <c r="A100"/>
  <c r="A99"/>
  <c r="A98"/>
  <c r="A97"/>
  <c r="A96"/>
  <c r="A95"/>
  <c r="A94"/>
  <c r="A93"/>
  <c r="A92"/>
  <c r="A91"/>
  <c r="A90"/>
  <c r="A89"/>
  <c r="K87"/>
  <c r="J87"/>
  <c r="I87"/>
  <c r="H87"/>
  <c r="G87"/>
  <c r="E87"/>
  <c r="D87"/>
  <c r="A86"/>
  <c r="A85"/>
  <c r="A84"/>
  <c r="A83"/>
  <c r="A82"/>
  <c r="K80"/>
  <c r="J80"/>
  <c r="I80"/>
  <c r="H80"/>
  <c r="G80"/>
  <c r="E80"/>
  <c r="D80"/>
  <c r="K70"/>
  <c r="J70"/>
  <c r="I70"/>
  <c r="H70"/>
  <c r="G70"/>
  <c r="E70"/>
  <c r="D70"/>
  <c r="A69"/>
  <c r="A68"/>
  <c r="A67"/>
  <c r="A66"/>
  <c r="A65"/>
  <c r="K63"/>
  <c r="J63"/>
  <c r="I63"/>
  <c r="H63"/>
  <c r="G63"/>
  <c r="E63"/>
  <c r="D63"/>
  <c r="A62"/>
  <c r="A61"/>
  <c r="A60"/>
  <c r="K58"/>
  <c r="J58"/>
  <c r="I58"/>
  <c r="H58"/>
  <c r="G58"/>
  <c r="E58"/>
  <c r="D58"/>
  <c r="A57"/>
  <c r="A56"/>
  <c r="A55"/>
  <c r="A54"/>
  <c r="A53"/>
  <c r="K51"/>
  <c r="J51"/>
  <c r="I51"/>
  <c r="H51"/>
  <c r="G51"/>
  <c r="E51"/>
  <c r="D51"/>
  <c r="A50"/>
  <c r="A49"/>
  <c r="A48"/>
  <c r="A47"/>
  <c r="A46"/>
  <c r="K44"/>
  <c r="J44"/>
  <c r="I44"/>
  <c r="H44"/>
  <c r="G44"/>
  <c r="E44"/>
  <c r="D44"/>
  <c r="A43"/>
  <c r="A42"/>
  <c r="A41"/>
  <c r="A40"/>
  <c r="A39"/>
  <c r="K37"/>
  <c r="J37"/>
  <c r="I37"/>
  <c r="H37"/>
  <c r="G37"/>
  <c r="E37"/>
  <c r="D37"/>
  <c r="A36"/>
  <c r="A35"/>
  <c r="A34"/>
  <c r="A33"/>
  <c r="K31"/>
  <c r="J31"/>
  <c r="I31"/>
  <c r="H31"/>
  <c r="G31"/>
  <c r="E31"/>
  <c r="D31"/>
  <c r="A30"/>
  <c r="A29"/>
  <c r="A28"/>
  <c r="A27"/>
  <c r="A25"/>
  <c r="A24"/>
  <c r="A23"/>
  <c r="A22"/>
  <c r="A21"/>
  <c r="A20"/>
  <c r="A19"/>
  <c r="A16"/>
  <c r="A15"/>
  <c r="A14"/>
  <c r="A13"/>
  <c r="A12"/>
  <c r="A11"/>
  <c r="J9"/>
  <c r="I9"/>
  <c r="H9"/>
  <c r="G9"/>
  <c r="E9"/>
  <c r="B44"/>
  <c r="F70"/>
  <c r="F51"/>
  <c r="F87"/>
  <c r="B58"/>
  <c r="F37"/>
  <c r="F102"/>
  <c r="F63"/>
  <c r="B102"/>
  <c r="B87"/>
  <c r="F80"/>
  <c r="B80"/>
  <c r="B63"/>
  <c r="F58"/>
  <c r="B51"/>
  <c r="F44"/>
  <c r="B37"/>
  <c r="F31"/>
  <c r="F9"/>
  <c r="B9"/>
  <c r="B70"/>
</calcChain>
</file>

<file path=xl/sharedStrings.xml><?xml version="1.0" encoding="utf-8"?>
<sst xmlns="http://schemas.openxmlformats.org/spreadsheetml/2006/main" count="242" uniqueCount="128">
  <si>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</si>
  <si>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</si>
  <si>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</si>
  <si>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</si>
  <si>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</si>
  <si>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</si>
  <si>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</si>
  <si>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</si>
  <si>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</si>
  <si>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</si>
  <si>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</si>
  <si>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</si>
  <si>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</si>
  <si>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</si>
  <si>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</si>
  <si>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</si>
  <si>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</si>
  <si>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</si>
  <si>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</si>
  <si>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</si>
  <si>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</si>
  <si>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</si>
  <si>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</si>
  <si>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</si>
  <si>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</si>
  <si>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</si>
  <si>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</si>
  <si>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</si>
  <si>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</si>
  <si>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</si>
  <si>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</si>
  <si>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</si>
  <si>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</si>
  <si>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</si>
  <si>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</si>
  <si>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</si>
  <si>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</si>
  <si>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</si>
  <si>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</si>
  <si>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</si>
  <si>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</si>
  <si>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</si>
  <si>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</si>
  <si>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</si>
  <si>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</si>
  <si>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</si>
  <si>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</si>
  <si>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</si>
  <si>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</si>
  <si>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</si>
  <si>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</si>
  <si>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</si>
  <si>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</si>
  <si>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</si>
  <si>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</si>
  <si>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</si>
  <si>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</si>
  <si>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</si>
  <si>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</si>
  <si>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</si>
  <si>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</si>
  <si>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</si>
  <si>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</si>
  <si>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</si>
  <si>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</si>
  <si>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</si>
  <si>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</si>
  <si>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</si>
  <si>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</si>
  <si>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</si>
  <si>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</si>
  <si>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</si>
  <si>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</si>
  <si>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</si>
  <si>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</si>
  <si>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</si>
  <si>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</si>
  <si>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</si>
  <si>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</si>
  <si>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</si>
  <si>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</si>
  <si>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</si>
  <si>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</si>
  <si>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</si>
  <si>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</si>
  <si>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</si>
  <si>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</si>
  <si>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</si>
  <si>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</si>
  <si>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</si>
  <si>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</si>
  <si>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</si>
  <si>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</si>
  <si>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</si>
  <si>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</si>
  <si>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</si>
  <si>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</si>
  <si>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</si>
  <si>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</si>
  <si>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</si>
  <si>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</si>
  <si>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</si>
  <si>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</si>
  <si>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</si>
  <si>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</si>
  <si>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</si>
  <si>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</si>
  <si>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</si>
  <si>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</si>
  <si>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</si>
  <si>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</si>
  <si>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</si>
  <si>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Σύνολο           Total</t>
  </si>
  <si>
    <t>Οικόσιτα Domestic</t>
  </si>
  <si>
    <t>Κοπαδιάρικα      In flock</t>
  </si>
  <si>
    <t>Νομαδικά Nomadic</t>
  </si>
  <si>
    <t>Οικόσιτες Domestic</t>
  </si>
  <si>
    <t>Κοπαδιάρικες     In flock</t>
  </si>
  <si>
    <t>Νομαδικές Nomadic</t>
  </si>
  <si>
    <t>Από αυτούς για αναπαραγωγή Thereof for breeding</t>
  </si>
  <si>
    <t>Πρόβατα - Sheep,</t>
  </si>
  <si>
    <t>Χοίροι - Pigs</t>
  </si>
  <si>
    <t>Αίγες - Goats</t>
  </si>
  <si>
    <t>—</t>
  </si>
  <si>
    <t>Περιφέρεια Δυτικής Μακεδονίας</t>
  </si>
  <si>
    <t>Region of Western Macedonia</t>
  </si>
  <si>
    <t>Πίνακας 3. Πρόβατα, αίγες και χοίροι (όλων των ηλικιών) στις 31.12.2013, 
κατά περιφέρεια και περιφερειακή ενότητα</t>
  </si>
  <si>
    <t>Table 3. Sheep, goats and pigs (all ages) on 31st December 2013,
 by region and regional unities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</si>
</sst>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7"/>
      <name val="Tahoma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7"/>
      <name val="Tahoma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8" fillId="0" borderId="0" xfId="0" applyFon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8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/>
    <xf numFmtId="0" fontId="8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2"/>
    </xf>
    <xf numFmtId="0" fontId="8" fillId="0" borderId="0" xfId="0" applyFont="1" applyBorder="1" applyAlignment="1">
      <alignment horizontal="left"/>
    </xf>
    <xf numFmtId="49" fontId="9" fillId="0" borderId="0" xfId="0" applyNumberFormat="1" applyFont="1" applyBorder="1" applyAlignment="1" applyProtection="1">
      <alignment horizontal="left" vertical="center" wrapText="1" indent="2"/>
      <protection locked="0"/>
    </xf>
    <xf numFmtId="49" fontId="4" fillId="0" borderId="1" xfId="0" applyNumberFormat="1" applyFont="1" applyFill="1" applyBorder="1" applyAlignment="1" applyProtection="1">
      <alignment horizontal="left" wrapText="1" indent="2"/>
    </xf>
    <xf numFmtId="49" fontId="4" fillId="0" borderId="2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8" fillId="0" borderId="0" xfId="0" applyNumberFormat="1" applyFont="1" applyBorder="1"/>
    <xf numFmtId="0" fontId="6" fillId="0" borderId="0" xfId="0" applyNumberFormat="1" applyFont="1" applyFill="1" applyBorder="1" applyAlignment="1" applyProtection="1"/>
    <xf numFmtId="49" fontId="8" fillId="0" borderId="0" xfId="0" applyNumberFormat="1" applyFont="1"/>
    <xf numFmtId="3" fontId="4" fillId="0" borderId="3" xfId="0" quotePrefix="1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right"/>
    </xf>
    <xf numFmtId="3" fontId="4" fillId="0" borderId="0" xfId="0" quotePrefix="1" applyNumberFormat="1" applyFont="1" applyFill="1" applyBorder="1" applyAlignment="1" applyProtection="1">
      <alignment horizontal="right"/>
    </xf>
    <xf numFmtId="3" fontId="4" fillId="2" borderId="3" xfId="0" applyNumberFormat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right" vertical="top" wrapText="1"/>
    </xf>
    <xf numFmtId="3" fontId="7" fillId="2" borderId="3" xfId="0" applyNumberFormat="1" applyFont="1" applyFill="1" applyBorder="1" applyAlignment="1">
      <alignment horizontal="right" vertical="top" wrapText="1"/>
    </xf>
    <xf numFmtId="3" fontId="7" fillId="3" borderId="3" xfId="0" applyNumberFormat="1" applyFont="1" applyFill="1" applyBorder="1" applyAlignment="1">
      <alignment horizontal="right" vertical="top" wrapText="1"/>
    </xf>
    <xf numFmtId="3" fontId="4" fillId="0" borderId="0" xfId="0" applyNumberFormat="1" applyFont="1" applyFill="1" applyBorder="1" applyAlignment="1" applyProtection="1">
      <alignment horizontal="right"/>
    </xf>
    <xf numFmtId="3" fontId="4" fillId="0" borderId="1" xfId="0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3" fontId="11" fillId="2" borderId="3" xfId="0" applyNumberFormat="1" applyFont="1" applyFill="1" applyBorder="1" applyAlignment="1">
      <alignment horizontal="right" vertical="center" wrapText="1"/>
    </xf>
    <xf numFmtId="0" fontId="8" fillId="0" borderId="0" xfId="0" applyFont="1" applyBorder="1" applyAlignment="1">
      <alignment horizontal="left" indent="2"/>
    </xf>
    <xf numFmtId="0" fontId="10" fillId="0" borderId="0" xfId="0" applyFont="1" applyBorder="1" applyAlignment="1">
      <alignment vertical="center"/>
    </xf>
    <xf numFmtId="3" fontId="4" fillId="0" borderId="20" xfId="0" quotePrefix="1" applyNumberFormat="1" applyFont="1" applyFill="1" applyBorder="1" applyAlignment="1" applyProtection="1">
      <alignment horizontal="right"/>
    </xf>
    <xf numFmtId="3" fontId="7" fillId="2" borderId="21" xfId="0" applyNumberFormat="1" applyFont="1" applyFill="1" applyBorder="1" applyAlignment="1">
      <alignment horizontal="right" vertical="top" wrapText="1"/>
    </xf>
    <xf numFmtId="3" fontId="3" fillId="0" borderId="20" xfId="0" quotePrefix="1" applyNumberFormat="1" applyFont="1" applyFill="1" applyBorder="1" applyAlignment="1" applyProtection="1">
      <alignment horizontal="right" vertical="center"/>
    </xf>
    <xf numFmtId="3" fontId="3" fillId="0" borderId="22" xfId="0" applyNumberFormat="1" applyFont="1" applyFill="1" applyBorder="1" applyAlignment="1" applyProtection="1">
      <alignment horizontal="right" vertical="center"/>
    </xf>
    <xf numFmtId="0" fontId="7" fillId="2" borderId="21" xfId="0" applyFont="1" applyFill="1" applyBorder="1" applyAlignment="1">
      <alignment horizontal="right" vertical="top" wrapText="1"/>
    </xf>
    <xf numFmtId="3" fontId="4" fillId="0" borderId="0" xfId="0" applyNumberFormat="1" applyFont="1" applyBorder="1"/>
    <xf numFmtId="3" fontId="4" fillId="0" borderId="21" xfId="0" quotePrefix="1" applyNumberFormat="1" applyFont="1" applyFill="1" applyBorder="1" applyAlignment="1" applyProtection="1">
      <alignment horizontal="right"/>
    </xf>
    <xf numFmtId="3" fontId="4" fillId="0" borderId="23" xfId="0" quotePrefix="1" applyNumberFormat="1" applyFont="1" applyFill="1" applyBorder="1" applyAlignment="1" applyProtection="1">
      <alignment horizontal="right"/>
    </xf>
    <xf numFmtId="3" fontId="4" fillId="2" borderId="24" xfId="0" applyNumberFormat="1" applyFont="1" applyFill="1" applyBorder="1" applyAlignment="1">
      <alignment horizontal="right" vertical="top" wrapText="1"/>
    </xf>
    <xf numFmtId="3" fontId="4" fillId="0" borderId="24" xfId="0" applyNumberFormat="1" applyFont="1" applyFill="1" applyBorder="1" applyAlignment="1" applyProtection="1">
      <alignment horizontal="right"/>
    </xf>
    <xf numFmtId="3" fontId="7" fillId="2" borderId="24" xfId="0" applyNumberFormat="1" applyFont="1" applyFill="1" applyBorder="1" applyAlignment="1">
      <alignment horizontal="right" vertical="top" wrapText="1"/>
    </xf>
    <xf numFmtId="3" fontId="7" fillId="3" borderId="24" xfId="0" applyNumberFormat="1" applyFont="1" applyFill="1" applyBorder="1" applyAlignment="1">
      <alignment horizontal="right" vertical="top" wrapText="1"/>
    </xf>
    <xf numFmtId="3" fontId="7" fillId="2" borderId="25" xfId="0" applyNumberFormat="1" applyFont="1" applyFill="1" applyBorder="1" applyAlignment="1">
      <alignment horizontal="right" vertical="top" wrapText="1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left"/>
    </xf>
    <xf numFmtId="0" fontId="8" fillId="0" borderId="1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1" xfId="0" applyFont="1" applyBorder="1" applyAlignment="1">
      <alignment horizontal="left" indent="2"/>
    </xf>
    <xf numFmtId="0" fontId="10" fillId="0" borderId="0" xfId="0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49" fontId="10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49" fontId="10" fillId="0" borderId="0" xfId="0" applyNumberFormat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wrapText="1" indent="1"/>
    </xf>
    <xf numFmtId="3" fontId="3" fillId="0" borderId="3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3" fillId="0" borderId="20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 wrapText="1"/>
    </xf>
    <xf numFmtId="3" fontId="3" fillId="0" borderId="21" xfId="0" applyNumberFormat="1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3" fontId="3" fillId="0" borderId="0" xfId="0" applyNumberFormat="1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3" fontId="3" fillId="0" borderId="7" xfId="0" applyNumberFormat="1" applyFont="1" applyFill="1" applyBorder="1" applyAlignment="1" applyProtection="1">
      <alignment horizontal="right" vertical="center" wrapText="1"/>
    </xf>
    <xf numFmtId="3" fontId="3" fillId="0" borderId="5" xfId="0" applyNumberFormat="1" applyFont="1" applyFill="1" applyBorder="1" applyAlignment="1" applyProtection="1">
      <alignment horizontal="right" vertical="center" wrapText="1"/>
    </xf>
    <xf numFmtId="3" fontId="3" fillId="0" borderId="26" xfId="0" applyNumberFormat="1" applyFont="1" applyFill="1" applyBorder="1" applyAlignment="1" applyProtection="1">
      <alignment horizontal="right" vertical="center" wrapText="1"/>
    </xf>
    <xf numFmtId="3" fontId="3" fillId="0" borderId="22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 indent="1"/>
    </xf>
    <xf numFmtId="49" fontId="3" fillId="0" borderId="0" xfId="0" applyNumberFormat="1" applyFont="1" applyFill="1" applyBorder="1" applyAlignment="1" applyProtection="1">
      <alignment horizontal="left" vertical="center" wrapText="1" indent="1"/>
    </xf>
    <xf numFmtId="3" fontId="3" fillId="0" borderId="15" xfId="0" applyNumberFormat="1" applyFont="1" applyFill="1" applyBorder="1" applyAlignment="1" applyProtection="1">
      <alignment horizontal="right" vertical="center" wrapText="1"/>
    </xf>
    <xf numFmtId="3" fontId="3" fillId="0" borderId="16" xfId="0" applyNumberFormat="1" applyFont="1" applyFill="1" applyBorder="1" applyAlignment="1" applyProtection="1">
      <alignment horizontal="right" vertical="center" wrapText="1"/>
    </xf>
    <xf numFmtId="3" fontId="3" fillId="0" borderId="9" xfId="0" applyNumberFormat="1" applyFont="1" applyFill="1" applyBorder="1" applyAlignment="1" applyProtection="1">
      <alignment horizontal="right" vertical="center" wrapTex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0" fontId="3" fillId="0" borderId="15" xfId="0" applyNumberFormat="1" applyFont="1" applyFill="1" applyBorder="1" applyAlignment="1" applyProtection="1">
      <alignment horizontal="left" vertical="center" wrapText="1"/>
    </xf>
    <xf numFmtId="0" fontId="3" fillId="0" borderId="8" xfId="0" applyNumberFormat="1" applyFont="1" applyFill="1" applyBorder="1" applyAlignment="1" applyProtection="1">
      <alignment horizontal="left" vertical="center" wrapText="1"/>
    </xf>
    <xf numFmtId="0" fontId="3" fillId="0" borderId="16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showGridLines="0" tabSelected="1" zoomScale="120" zoomScaleNormal="120" workbookViewId="0">
      <selection activeCell="H13" sqref="H13"/>
    </sheetView>
  </sheetViews>
  <sheetFormatPr defaultRowHeight="10.199999999999999"/>
  <cols>
    <col min="1" max="1" width="18.5546875" style="1" customWidth="1"/>
    <col min="2" max="11" width="11.77734375" style="1" customWidth="1"/>
    <col min="12" max="12" width="9.6640625" style="1" customWidth="1"/>
    <col min="13" max="13" width="7.109375" style="1" customWidth="1"/>
    <col min="14" max="14" width="6" style="1" customWidth="1"/>
    <col min="15" max="15" width="10.109375" style="1" customWidth="1"/>
    <col min="16" max="16384" width="8.88671875" style="1"/>
  </cols>
  <sheetData>
    <row r="1" spans="1:15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4"/>
    </row>
    <row r="2" spans="1:15" ht="22.2" customHeight="1">
      <c r="A2" s="80" t="s">
        <v>126</v>
      </c>
      <c r="B2" s="80"/>
      <c r="C2" s="80"/>
      <c r="D2" s="80"/>
      <c r="E2" s="80"/>
      <c r="F2" s="80"/>
      <c r="G2" s="80" t="s">
        <v>127</v>
      </c>
      <c r="H2" s="80"/>
      <c r="I2" s="80"/>
      <c r="J2" s="80"/>
      <c r="K2" s="80"/>
      <c r="L2" s="80"/>
      <c r="M2" s="80"/>
      <c r="N2" s="80"/>
      <c r="O2" s="4"/>
    </row>
    <row r="3" spans="1:15" ht="10.8" thickBot="1">
      <c r="A3" s="5" t="s">
        <v>0</v>
      </c>
      <c r="B3" s="54"/>
      <c r="C3" s="54"/>
      <c r="D3" s="54"/>
      <c r="E3" s="54"/>
      <c r="F3" s="54"/>
      <c r="G3" s="68"/>
      <c r="H3" s="68"/>
      <c r="I3" s="68"/>
      <c r="J3" s="68"/>
      <c r="K3" s="68"/>
      <c r="L3" s="53"/>
      <c r="M3" s="86" t="s">
        <v>1</v>
      </c>
      <c r="N3" s="86"/>
      <c r="O3" s="6"/>
    </row>
    <row r="4" spans="1:15" ht="14.4" customHeight="1">
      <c r="A4" s="87" t="s">
        <v>2</v>
      </c>
      <c r="B4" s="90" t="s">
        <v>120</v>
      </c>
      <c r="C4" s="91"/>
      <c r="D4" s="91"/>
      <c r="E4" s="92"/>
      <c r="F4" s="93" t="s">
        <v>122</v>
      </c>
      <c r="G4" s="91"/>
      <c r="H4" s="91"/>
      <c r="I4" s="92"/>
      <c r="J4" s="88" t="s">
        <v>121</v>
      </c>
      <c r="K4" s="89"/>
      <c r="L4" s="80" t="s">
        <v>3</v>
      </c>
      <c r="M4" s="80"/>
      <c r="N4" s="80"/>
      <c r="O4" s="7"/>
    </row>
    <row r="5" spans="1:15" ht="31.8" customHeight="1">
      <c r="A5" s="80"/>
      <c r="B5" s="94" t="s">
        <v>112</v>
      </c>
      <c r="C5" s="60" t="s">
        <v>113</v>
      </c>
      <c r="D5" s="60" t="s">
        <v>114</v>
      </c>
      <c r="E5" s="60" t="s">
        <v>115</v>
      </c>
      <c r="F5" s="60" t="s">
        <v>112</v>
      </c>
      <c r="G5" s="60" t="s">
        <v>116</v>
      </c>
      <c r="H5" s="60" t="s">
        <v>117</v>
      </c>
      <c r="I5" s="60" t="s">
        <v>118</v>
      </c>
      <c r="J5" s="96" t="s">
        <v>112</v>
      </c>
      <c r="K5" s="98" t="s">
        <v>119</v>
      </c>
      <c r="L5" s="80"/>
      <c r="M5" s="80"/>
      <c r="N5" s="80"/>
      <c r="O5" s="7"/>
    </row>
    <row r="6" spans="1:15" ht="30.6" customHeight="1">
      <c r="A6" s="80"/>
      <c r="B6" s="95"/>
      <c r="C6" s="61"/>
      <c r="D6" s="61"/>
      <c r="E6" s="61"/>
      <c r="F6" s="61"/>
      <c r="G6" s="61"/>
      <c r="H6" s="61"/>
      <c r="I6" s="61"/>
      <c r="J6" s="97"/>
      <c r="K6" s="99"/>
      <c r="L6" s="80"/>
      <c r="M6" s="80"/>
      <c r="N6" s="80"/>
      <c r="O6" s="7"/>
    </row>
    <row r="7" spans="1:15">
      <c r="A7" s="100" t="s">
        <v>4</v>
      </c>
      <c r="B7" s="102">
        <f>SUM(B9,B17,B26,B31,B37,B44,B51,B58,B63,B70,B80,B87,B102)</f>
        <v>8611026</v>
      </c>
      <c r="C7" s="104">
        <f t="shared" ref="C7:K7" si="0">SUM(C9,C17,C26,C31,C37,C44,C51,C58,C63,C70,C80,C87,C102)</f>
        <v>557134</v>
      </c>
      <c r="D7" s="81">
        <f t="shared" si="0"/>
        <v>7561799</v>
      </c>
      <c r="E7" s="81">
        <f>SUM(E9,E17,E26,E31,E37,E44,E51,E58,E63,E70,E80,E87,E102)</f>
        <v>492093</v>
      </c>
      <c r="F7" s="81">
        <f t="shared" si="0"/>
        <v>4782003</v>
      </c>
      <c r="G7" s="81">
        <f t="shared" si="0"/>
        <v>522518</v>
      </c>
      <c r="H7" s="81">
        <f t="shared" si="0"/>
        <v>4044998</v>
      </c>
      <c r="I7" s="81">
        <f t="shared" si="0"/>
        <v>214487</v>
      </c>
      <c r="J7" s="81">
        <f t="shared" si="0"/>
        <v>761074</v>
      </c>
      <c r="K7" s="83">
        <f t="shared" si="0"/>
        <v>146083</v>
      </c>
      <c r="L7" s="106" t="s">
        <v>5</v>
      </c>
      <c r="M7" s="107"/>
      <c r="N7" s="107"/>
      <c r="O7" s="7"/>
    </row>
    <row r="8" spans="1:15">
      <c r="A8" s="101"/>
      <c r="B8" s="103"/>
      <c r="C8" s="105"/>
      <c r="D8" s="82"/>
      <c r="E8" s="82"/>
      <c r="F8" s="82"/>
      <c r="G8" s="82"/>
      <c r="H8" s="82"/>
      <c r="I8" s="82"/>
      <c r="J8" s="82"/>
      <c r="K8" s="84"/>
      <c r="L8" s="108"/>
      <c r="M8" s="78"/>
      <c r="N8" s="78"/>
      <c r="O8" s="7"/>
    </row>
    <row r="9" spans="1:15">
      <c r="A9" s="85" t="s">
        <v>6</v>
      </c>
      <c r="B9" s="75">
        <f>SUM(C9,D9,E9)</f>
        <v>592224</v>
      </c>
      <c r="C9" s="72">
        <f>SUM(C11:C16)</f>
        <v>2832</v>
      </c>
      <c r="D9" s="72">
        <f>SUM(D11:D16)</f>
        <v>588822</v>
      </c>
      <c r="E9" s="72">
        <f t="shared" ref="E9:J9" si="1">SUM(E11:E16)</f>
        <v>570</v>
      </c>
      <c r="F9" s="72">
        <f>SUM(G9,H9,I9)</f>
        <v>419154</v>
      </c>
      <c r="G9" s="72">
        <f t="shared" si="1"/>
        <v>3420</v>
      </c>
      <c r="H9" s="72">
        <f t="shared" si="1"/>
        <v>413529</v>
      </c>
      <c r="I9" s="72">
        <f t="shared" si="1"/>
        <v>2205</v>
      </c>
      <c r="J9" s="79">
        <f t="shared" si="1"/>
        <v>65254</v>
      </c>
      <c r="K9" s="77">
        <f>SUM(K11:K16)</f>
        <v>15280</v>
      </c>
      <c r="L9" s="78" t="s">
        <v>7</v>
      </c>
      <c r="M9" s="78"/>
      <c r="N9" s="78"/>
      <c r="O9" s="7"/>
    </row>
    <row r="10" spans="1:15">
      <c r="A10" s="85"/>
      <c r="B10" s="75"/>
      <c r="C10" s="72"/>
      <c r="D10" s="72"/>
      <c r="E10" s="72"/>
      <c r="F10" s="72"/>
      <c r="G10" s="72"/>
      <c r="H10" s="72"/>
      <c r="I10" s="72"/>
      <c r="J10" s="79"/>
      <c r="K10" s="77"/>
      <c r="L10" s="78"/>
      <c r="M10" s="78"/>
      <c r="N10" s="78"/>
      <c r="O10" s="7"/>
    </row>
    <row r="11" spans="1:15">
      <c r="A11" s="8" t="str">
        <f>VLOOKUP([1]ListOfRegions!$A$1,[1]ListOfRegions!$A$1:B75,2,0)</f>
        <v xml:space="preserve">  Ροδόπης</v>
      </c>
      <c r="B11" s="40">
        <f t="shared" ref="B11:B16" si="2">SUM(C11:E11)</f>
        <v>163961</v>
      </c>
      <c r="C11" s="27">
        <v>40</v>
      </c>
      <c r="D11" s="27">
        <v>163351</v>
      </c>
      <c r="E11" s="27">
        <v>570</v>
      </c>
      <c r="F11" s="25">
        <f t="shared" ref="F11:F16" si="3">SUM(G11:I11)</f>
        <v>108776</v>
      </c>
      <c r="G11" s="29">
        <v>222</v>
      </c>
      <c r="H11" s="30">
        <v>108244</v>
      </c>
      <c r="I11" s="29">
        <v>310</v>
      </c>
      <c r="J11" s="31">
        <v>5042</v>
      </c>
      <c r="K11" s="41">
        <v>685</v>
      </c>
      <c r="L11" s="38" t="s">
        <v>8</v>
      </c>
      <c r="M11" s="9"/>
      <c r="N11" s="9"/>
      <c r="O11" s="7"/>
    </row>
    <row r="12" spans="1:15">
      <c r="A12" s="8" t="str">
        <f>VLOOKUP([1]ListOfRegions!$A$2,[1]ListOfRegions!$A$2:B76,2,0)</f>
        <v xml:space="preserve">  Δράμας</v>
      </c>
      <c r="B12" s="40">
        <f t="shared" si="2"/>
        <v>103243</v>
      </c>
      <c r="C12" s="27">
        <v>749</v>
      </c>
      <c r="D12" s="27">
        <v>102494</v>
      </c>
      <c r="E12" s="24" t="s">
        <v>123</v>
      </c>
      <c r="F12" s="25">
        <f t="shared" si="3"/>
        <v>71012</v>
      </c>
      <c r="G12" s="29">
        <v>416</v>
      </c>
      <c r="H12" s="30">
        <v>70596</v>
      </c>
      <c r="I12" s="24" t="s">
        <v>123</v>
      </c>
      <c r="J12" s="31">
        <v>31631</v>
      </c>
      <c r="K12" s="41">
        <v>9778</v>
      </c>
      <c r="L12" s="38" t="s">
        <v>9</v>
      </c>
      <c r="M12" s="9"/>
      <c r="N12" s="9"/>
      <c r="O12" s="7"/>
    </row>
    <row r="13" spans="1:15">
      <c r="A13" s="8" t="str">
        <f>VLOOKUP([1]ListOfRegions!A3,[1]ListOfRegions!A3:B77,2,0)</f>
        <v xml:space="preserve">  Έβρου</v>
      </c>
      <c r="B13" s="40">
        <f t="shared" si="2"/>
        <v>113174</v>
      </c>
      <c r="C13" s="27">
        <v>1460</v>
      </c>
      <c r="D13" s="27">
        <v>111714</v>
      </c>
      <c r="E13" s="24" t="s">
        <v>123</v>
      </c>
      <c r="F13" s="25">
        <f t="shared" si="3"/>
        <v>83392</v>
      </c>
      <c r="G13" s="29">
        <v>1251</v>
      </c>
      <c r="H13" s="30">
        <v>82141</v>
      </c>
      <c r="I13" s="24" t="s">
        <v>123</v>
      </c>
      <c r="J13" s="31">
        <v>4083</v>
      </c>
      <c r="K13" s="41">
        <v>1574</v>
      </c>
      <c r="L13" s="38" t="s">
        <v>10</v>
      </c>
      <c r="M13" s="9"/>
      <c r="N13" s="9"/>
      <c r="O13" s="7"/>
    </row>
    <row r="14" spans="1:15">
      <c r="A14" s="8" t="str">
        <f>VLOOKUP([1]ListOfRegions!A4,[1]ListOfRegions!A4:B78,2,0)</f>
        <v xml:space="preserve">  Θάσου</v>
      </c>
      <c r="B14" s="40">
        <f t="shared" si="2"/>
        <v>29869</v>
      </c>
      <c r="C14" s="27">
        <v>104</v>
      </c>
      <c r="D14" s="27">
        <v>29765</v>
      </c>
      <c r="E14" s="24" t="s">
        <v>123</v>
      </c>
      <c r="F14" s="25">
        <f t="shared" si="3"/>
        <v>23507</v>
      </c>
      <c r="G14" s="29">
        <v>86</v>
      </c>
      <c r="H14" s="30">
        <v>23421</v>
      </c>
      <c r="I14" s="24" t="s">
        <v>123</v>
      </c>
      <c r="J14" s="31">
        <v>292</v>
      </c>
      <c r="K14" s="41">
        <v>57</v>
      </c>
      <c r="L14" s="38" t="s">
        <v>11</v>
      </c>
      <c r="M14" s="9"/>
      <c r="N14" s="9"/>
      <c r="O14" s="7"/>
    </row>
    <row r="15" spans="1:15">
      <c r="A15" s="8" t="str">
        <f>VLOOKUP([1]ListOfRegions!A5,[1]ListOfRegions!A5:B79,2,0)</f>
        <v xml:space="preserve">  Καβάλας</v>
      </c>
      <c r="B15" s="40">
        <f t="shared" si="2"/>
        <v>67755</v>
      </c>
      <c r="C15" s="27">
        <v>459</v>
      </c>
      <c r="D15" s="27">
        <v>67296</v>
      </c>
      <c r="E15" s="24" t="s">
        <v>123</v>
      </c>
      <c r="F15" s="25">
        <f t="shared" si="3"/>
        <v>60970</v>
      </c>
      <c r="G15" s="29">
        <v>1003</v>
      </c>
      <c r="H15" s="30">
        <v>58072</v>
      </c>
      <c r="I15" s="29">
        <v>1895</v>
      </c>
      <c r="J15" s="31">
        <v>4433</v>
      </c>
      <c r="K15" s="41">
        <v>1144</v>
      </c>
      <c r="L15" s="38" t="s">
        <v>12</v>
      </c>
      <c r="M15" s="9"/>
      <c r="N15" s="9"/>
      <c r="O15" s="7"/>
    </row>
    <row r="16" spans="1:15">
      <c r="A16" s="8" t="str">
        <f>VLOOKUP([1]ListOfRegions!A6,[1]ListOfRegions!A6:B80,2,0)</f>
        <v xml:space="preserve">  Ξάνθης</v>
      </c>
      <c r="B16" s="40">
        <f t="shared" si="2"/>
        <v>114222</v>
      </c>
      <c r="C16" s="27">
        <v>20</v>
      </c>
      <c r="D16" s="27">
        <v>114202</v>
      </c>
      <c r="E16" s="24" t="s">
        <v>123</v>
      </c>
      <c r="F16" s="25">
        <f t="shared" si="3"/>
        <v>71497</v>
      </c>
      <c r="G16" s="29">
        <v>442</v>
      </c>
      <c r="H16" s="30">
        <v>71055</v>
      </c>
      <c r="I16" s="24" t="s">
        <v>123</v>
      </c>
      <c r="J16" s="31">
        <v>19773</v>
      </c>
      <c r="K16" s="41">
        <v>2042</v>
      </c>
      <c r="L16" s="38" t="s">
        <v>13</v>
      </c>
      <c r="M16" s="9"/>
      <c r="N16" s="9"/>
      <c r="O16" s="7"/>
    </row>
    <row r="17" spans="1:15">
      <c r="A17" s="74" t="s">
        <v>14</v>
      </c>
      <c r="B17" s="75">
        <f>SUM(C17,D17,E17)</f>
        <v>892293</v>
      </c>
      <c r="C17" s="72">
        <f>SUM(C19:C25)</f>
        <v>8956</v>
      </c>
      <c r="D17" s="72">
        <f t="shared" ref="D17:E17" si="4">SUM(D19:D25)</f>
        <v>881119</v>
      </c>
      <c r="E17" s="72">
        <f t="shared" si="4"/>
        <v>2218</v>
      </c>
      <c r="F17" s="72">
        <f>SUM(G17,H17,I17)</f>
        <v>602178</v>
      </c>
      <c r="G17" s="72">
        <f>SUM(G19:G25)</f>
        <v>21464</v>
      </c>
      <c r="H17" s="72">
        <f t="shared" ref="H17:I17" si="5">SUM(H19:H25)</f>
        <v>569024</v>
      </c>
      <c r="I17" s="72">
        <f t="shared" si="5"/>
        <v>11690</v>
      </c>
      <c r="J17" s="64">
        <f>SUM(J19:J25)</f>
        <v>123764</v>
      </c>
      <c r="K17" s="65">
        <f>SUM(K19:K25)</f>
        <v>22246</v>
      </c>
      <c r="L17" s="76" t="s">
        <v>15</v>
      </c>
      <c r="M17" s="76"/>
      <c r="N17" s="76"/>
      <c r="O17" s="7"/>
    </row>
    <row r="18" spans="1:15">
      <c r="A18" s="74"/>
      <c r="B18" s="75"/>
      <c r="C18" s="72"/>
      <c r="D18" s="72"/>
      <c r="E18" s="72"/>
      <c r="F18" s="72"/>
      <c r="G18" s="72"/>
      <c r="H18" s="72"/>
      <c r="I18" s="72"/>
      <c r="J18" s="64"/>
      <c r="K18" s="65"/>
      <c r="L18" s="76"/>
      <c r="M18" s="76"/>
      <c r="N18" s="76"/>
      <c r="O18" s="7"/>
    </row>
    <row r="19" spans="1:15">
      <c r="A19" s="8" t="str">
        <f>VLOOKUP([1]ListOfRegions!A7,[1]ListOfRegions!A7:B81,2,0)</f>
        <v xml:space="preserve">  Θεσσαλονίκης</v>
      </c>
      <c r="B19" s="40">
        <f>SUM(C19:E19)</f>
        <v>139871</v>
      </c>
      <c r="C19" s="27">
        <v>1167</v>
      </c>
      <c r="D19" s="27">
        <v>138524</v>
      </c>
      <c r="E19" s="27">
        <v>180</v>
      </c>
      <c r="F19" s="25">
        <f>SUM(G19:I19)</f>
        <v>125073</v>
      </c>
      <c r="G19" s="29">
        <v>2081</v>
      </c>
      <c r="H19" s="30">
        <v>113952</v>
      </c>
      <c r="I19" s="29">
        <v>9040</v>
      </c>
      <c r="J19" s="31">
        <v>10284</v>
      </c>
      <c r="K19" s="41">
        <v>3336</v>
      </c>
      <c r="L19" s="38" t="s">
        <v>16</v>
      </c>
      <c r="M19" s="9"/>
      <c r="N19" s="9"/>
      <c r="O19" s="7"/>
    </row>
    <row r="20" spans="1:15">
      <c r="A20" s="8" t="str">
        <f>VLOOKUP([1]ListOfRegions!A8,[1]ListOfRegions!A8:B82,2,0)</f>
        <v xml:space="preserve">  Ημαθίας</v>
      </c>
      <c r="B20" s="40">
        <f t="shared" ref="B20:B30" si="6">SUM(C20:E20)</f>
        <v>60006</v>
      </c>
      <c r="C20" s="27">
        <v>815</v>
      </c>
      <c r="D20" s="27">
        <v>59191</v>
      </c>
      <c r="E20" s="24" t="s">
        <v>123</v>
      </c>
      <c r="F20" s="25">
        <f t="shared" ref="F20:F30" si="7">SUM(G20:I20)</f>
        <v>27219</v>
      </c>
      <c r="G20" s="29">
        <v>803</v>
      </c>
      <c r="H20" s="30">
        <v>26266</v>
      </c>
      <c r="I20" s="29">
        <v>150</v>
      </c>
      <c r="J20" s="31">
        <v>19894</v>
      </c>
      <c r="K20" s="41">
        <v>3300</v>
      </c>
      <c r="L20" s="38" t="s">
        <v>17</v>
      </c>
      <c r="M20" s="9"/>
      <c r="N20" s="9"/>
      <c r="O20" s="7"/>
    </row>
    <row r="21" spans="1:15">
      <c r="A21" s="8" t="str">
        <f>VLOOKUP([1]ListOfRegions!A9,[1]ListOfRegions!A9:B83,2,0)</f>
        <v xml:space="preserve">  Κιλκίς</v>
      </c>
      <c r="B21" s="40">
        <f t="shared" si="6"/>
        <v>147253</v>
      </c>
      <c r="C21" s="27">
        <v>90</v>
      </c>
      <c r="D21" s="27">
        <v>147163</v>
      </c>
      <c r="E21" s="24" t="s">
        <v>123</v>
      </c>
      <c r="F21" s="25">
        <f t="shared" si="7"/>
        <v>54700</v>
      </c>
      <c r="G21" s="29">
        <v>237</v>
      </c>
      <c r="H21" s="30">
        <v>54463</v>
      </c>
      <c r="I21" s="24" t="s">
        <v>123</v>
      </c>
      <c r="J21" s="31">
        <v>3443</v>
      </c>
      <c r="K21" s="41">
        <v>1114</v>
      </c>
      <c r="L21" s="38" t="s">
        <v>18</v>
      </c>
      <c r="M21" s="9"/>
      <c r="N21" s="9"/>
      <c r="O21" s="7"/>
    </row>
    <row r="22" spans="1:15">
      <c r="A22" s="8" t="str">
        <f>VLOOKUP([1]ListOfRegions!A10,[1]ListOfRegions!A10:B84,2,0)</f>
        <v xml:space="preserve">  Πέλλας</v>
      </c>
      <c r="B22" s="40">
        <f t="shared" si="6"/>
        <v>159854</v>
      </c>
      <c r="C22" s="27">
        <v>1806</v>
      </c>
      <c r="D22" s="27">
        <v>156010</v>
      </c>
      <c r="E22" s="27">
        <v>2038</v>
      </c>
      <c r="F22" s="25">
        <f t="shared" si="7"/>
        <v>63050</v>
      </c>
      <c r="G22" s="29">
        <v>2808</v>
      </c>
      <c r="H22" s="30">
        <v>60242</v>
      </c>
      <c r="I22" s="24" t="s">
        <v>123</v>
      </c>
      <c r="J22" s="31">
        <v>12313</v>
      </c>
      <c r="K22" s="41">
        <v>1623</v>
      </c>
      <c r="L22" s="38" t="s">
        <v>19</v>
      </c>
      <c r="M22" s="9"/>
      <c r="N22" s="9"/>
      <c r="O22" s="7"/>
    </row>
    <row r="23" spans="1:15">
      <c r="A23" s="8" t="str">
        <f>VLOOKUP([1]ListOfRegions!A11,[1]ListOfRegions!A11:B85,2,0)</f>
        <v xml:space="preserve">  Πιερίας</v>
      </c>
      <c r="B23" s="40">
        <f>SUM(C23:E23)</f>
        <v>96738</v>
      </c>
      <c r="C23" s="27">
        <v>3674</v>
      </c>
      <c r="D23" s="27">
        <v>93064</v>
      </c>
      <c r="E23" s="24" t="s">
        <v>123</v>
      </c>
      <c r="F23" s="25">
        <f t="shared" si="7"/>
        <v>70747</v>
      </c>
      <c r="G23" s="29">
        <v>8315</v>
      </c>
      <c r="H23" s="30">
        <v>62432</v>
      </c>
      <c r="I23" s="24" t="s">
        <v>123</v>
      </c>
      <c r="J23" s="31">
        <v>49530</v>
      </c>
      <c r="K23" s="41">
        <v>5772</v>
      </c>
      <c r="L23" s="38" t="s">
        <v>20</v>
      </c>
      <c r="M23" s="9"/>
      <c r="N23" s="9"/>
      <c r="O23" s="7"/>
    </row>
    <row r="24" spans="1:15">
      <c r="A24" s="8" t="str">
        <f>VLOOKUP([1]ListOfRegions!A12,[1]ListOfRegions!A12:B86,2,0)</f>
        <v xml:space="preserve">  Σερρών</v>
      </c>
      <c r="B24" s="40">
        <f t="shared" si="6"/>
        <v>217135</v>
      </c>
      <c r="C24" s="27">
        <v>508</v>
      </c>
      <c r="D24" s="27">
        <v>216627</v>
      </c>
      <c r="E24" s="24" t="s">
        <v>123</v>
      </c>
      <c r="F24" s="25">
        <f t="shared" si="7"/>
        <v>124325</v>
      </c>
      <c r="G24" s="29">
        <v>3268</v>
      </c>
      <c r="H24" s="30">
        <v>121057</v>
      </c>
      <c r="I24" s="24" t="s">
        <v>123</v>
      </c>
      <c r="J24" s="31">
        <v>17439</v>
      </c>
      <c r="K24" s="41">
        <v>3699</v>
      </c>
      <c r="L24" s="38" t="s">
        <v>21</v>
      </c>
      <c r="M24" s="9"/>
      <c r="N24" s="9"/>
      <c r="O24" s="7"/>
    </row>
    <row r="25" spans="1:15">
      <c r="A25" s="8" t="str">
        <f>VLOOKUP([1]ListOfRegions!A13,[1]ListOfRegions!A13:B87,2,0)</f>
        <v xml:space="preserve">  Χαλκιδικής</v>
      </c>
      <c r="B25" s="40">
        <f t="shared" si="6"/>
        <v>71436</v>
      </c>
      <c r="C25" s="27">
        <v>896</v>
      </c>
      <c r="D25" s="27">
        <v>70540</v>
      </c>
      <c r="E25" s="24" t="s">
        <v>123</v>
      </c>
      <c r="F25" s="25">
        <f t="shared" si="7"/>
        <v>137064</v>
      </c>
      <c r="G25" s="29">
        <v>3952</v>
      </c>
      <c r="H25" s="30">
        <v>130612</v>
      </c>
      <c r="I25" s="29">
        <v>2500</v>
      </c>
      <c r="J25" s="31">
        <v>10861</v>
      </c>
      <c r="K25" s="41">
        <v>3402</v>
      </c>
      <c r="L25" s="38" t="s">
        <v>22</v>
      </c>
      <c r="M25" s="9"/>
      <c r="N25" s="9"/>
      <c r="O25" s="7"/>
    </row>
    <row r="26" spans="1:15" ht="24" customHeight="1">
      <c r="A26" s="35" t="s">
        <v>124</v>
      </c>
      <c r="B26" s="42">
        <f>SUM(C26:E26)</f>
        <v>396143</v>
      </c>
      <c r="C26" s="36">
        <f>SUM(C27:C30)</f>
        <v>970</v>
      </c>
      <c r="D26" s="36">
        <f t="shared" ref="D26:E26" si="8">SUM(D27:D30)</f>
        <v>395173</v>
      </c>
      <c r="E26" s="36">
        <f t="shared" si="8"/>
        <v>0</v>
      </c>
      <c r="F26" s="34">
        <f>SUM(G26:I26)</f>
        <v>156786</v>
      </c>
      <c r="G26" s="37">
        <f>SUM(G27:G30)</f>
        <v>2879</v>
      </c>
      <c r="H26" s="37">
        <f t="shared" ref="H26:I26" si="9">SUM(H27:H30)</f>
        <v>153907</v>
      </c>
      <c r="I26" s="37">
        <f t="shared" si="9"/>
        <v>0</v>
      </c>
      <c r="J26" s="33">
        <f>SUM(J27:J30)</f>
        <v>13086</v>
      </c>
      <c r="K26" s="43">
        <f>SUM(K27:K30)</f>
        <v>3151</v>
      </c>
      <c r="L26" s="39" t="s">
        <v>125</v>
      </c>
      <c r="M26" s="9"/>
      <c r="N26" s="9"/>
      <c r="O26" s="7"/>
    </row>
    <row r="27" spans="1:15">
      <c r="A27" s="8" t="str">
        <f>VLOOKUP([1]ListOfRegions!A14,[1]ListOfRegions!A14:B88,2,0)</f>
        <v xml:space="preserve">  Κοζάνης</v>
      </c>
      <c r="B27" s="40">
        <f t="shared" si="6"/>
        <v>155973</v>
      </c>
      <c r="C27" s="27">
        <v>543</v>
      </c>
      <c r="D27" s="27">
        <v>155430</v>
      </c>
      <c r="E27" s="24" t="s">
        <v>123</v>
      </c>
      <c r="F27" s="25">
        <f t="shared" si="7"/>
        <v>78174</v>
      </c>
      <c r="G27" s="29">
        <v>2046</v>
      </c>
      <c r="H27" s="30">
        <v>76128</v>
      </c>
      <c r="I27" s="24" t="s">
        <v>123</v>
      </c>
      <c r="J27" s="31">
        <v>8676</v>
      </c>
      <c r="K27" s="41">
        <v>795</v>
      </c>
      <c r="L27" s="38" t="s">
        <v>23</v>
      </c>
      <c r="M27" s="9"/>
      <c r="N27" s="9"/>
      <c r="O27" s="7"/>
    </row>
    <row r="28" spans="1:15">
      <c r="A28" s="8" t="str">
        <f>VLOOKUP([1]ListOfRegions!A15,[1]ListOfRegions!A15:B89,2,0)</f>
        <v xml:space="preserve">  Γρεβενών</v>
      </c>
      <c r="B28" s="40">
        <f t="shared" si="6"/>
        <v>61992</v>
      </c>
      <c r="C28" s="27">
        <v>254</v>
      </c>
      <c r="D28" s="27">
        <v>61738</v>
      </c>
      <c r="E28" s="24" t="s">
        <v>123</v>
      </c>
      <c r="F28" s="25">
        <f t="shared" si="7"/>
        <v>37879</v>
      </c>
      <c r="G28" s="29">
        <v>497</v>
      </c>
      <c r="H28" s="30">
        <v>37382</v>
      </c>
      <c r="I28" s="24" t="s">
        <v>123</v>
      </c>
      <c r="J28" s="31">
        <v>1959</v>
      </c>
      <c r="K28" s="41">
        <v>881</v>
      </c>
      <c r="L28" s="38" t="s">
        <v>24</v>
      </c>
      <c r="M28" s="9"/>
      <c r="N28" s="9"/>
      <c r="O28" s="7"/>
    </row>
    <row r="29" spans="1:15">
      <c r="A29" s="8" t="str">
        <f>VLOOKUP([1]ListOfRegions!A16,[1]ListOfRegions!A16:B90,2,0)</f>
        <v xml:space="preserve">  Καστοριάς</v>
      </c>
      <c r="B29" s="40">
        <f t="shared" si="6"/>
        <v>66847</v>
      </c>
      <c r="C29" s="27">
        <v>173</v>
      </c>
      <c r="D29" s="27">
        <v>66674</v>
      </c>
      <c r="E29" s="24" t="s">
        <v>123</v>
      </c>
      <c r="F29" s="25">
        <f t="shared" si="7"/>
        <v>14113</v>
      </c>
      <c r="G29" s="29">
        <v>272</v>
      </c>
      <c r="H29" s="30">
        <v>13841</v>
      </c>
      <c r="I29" s="24" t="s">
        <v>123</v>
      </c>
      <c r="J29" s="31">
        <v>1346</v>
      </c>
      <c r="K29" s="41">
        <v>740</v>
      </c>
      <c r="L29" s="38" t="s">
        <v>25</v>
      </c>
      <c r="M29" s="9"/>
      <c r="N29" s="9"/>
      <c r="O29" s="7"/>
    </row>
    <row r="30" spans="1:15">
      <c r="A30" s="8" t="str">
        <f>VLOOKUP([1]ListOfRegions!A17,[1]ListOfRegions!A17:B91,2,0)</f>
        <v xml:space="preserve">  Φλώρινας</v>
      </c>
      <c r="B30" s="40">
        <f t="shared" si="6"/>
        <v>111331</v>
      </c>
      <c r="C30" s="24" t="s">
        <v>123</v>
      </c>
      <c r="D30" s="27">
        <v>111331</v>
      </c>
      <c r="E30" s="24" t="s">
        <v>123</v>
      </c>
      <c r="F30" s="25">
        <f t="shared" si="7"/>
        <v>26620</v>
      </c>
      <c r="G30" s="29">
        <v>64</v>
      </c>
      <c r="H30" s="30">
        <v>26556</v>
      </c>
      <c r="I30" s="24" t="s">
        <v>123</v>
      </c>
      <c r="J30" s="31">
        <v>1105</v>
      </c>
      <c r="K30" s="41">
        <v>735</v>
      </c>
      <c r="L30" s="38" t="s">
        <v>26</v>
      </c>
      <c r="M30" s="9"/>
      <c r="N30" s="9"/>
      <c r="O30" s="7"/>
    </row>
    <row r="31" spans="1:15">
      <c r="A31" s="74" t="s">
        <v>27</v>
      </c>
      <c r="B31" s="75">
        <f>SUM(C31,D31,E31)</f>
        <v>736826</v>
      </c>
      <c r="C31" s="72">
        <f>SUM(C33:C36)</f>
        <v>61242</v>
      </c>
      <c r="D31" s="66">
        <f>SUM(D33:D36)</f>
        <v>616870</v>
      </c>
      <c r="E31" s="66">
        <f t="shared" ref="E31:K31" si="10">SUM(E33:E36)</f>
        <v>58714</v>
      </c>
      <c r="F31" s="72">
        <f>SUM(G31,H31,I31)</f>
        <v>241372</v>
      </c>
      <c r="G31" s="66">
        <f t="shared" si="10"/>
        <v>34939</v>
      </c>
      <c r="H31" s="66">
        <f t="shared" si="10"/>
        <v>188442</v>
      </c>
      <c r="I31" s="66">
        <f t="shared" si="10"/>
        <v>17991</v>
      </c>
      <c r="J31" s="64">
        <f t="shared" si="10"/>
        <v>72631</v>
      </c>
      <c r="K31" s="65">
        <f t="shared" si="10"/>
        <v>15299</v>
      </c>
      <c r="L31" s="73" t="s">
        <v>28</v>
      </c>
      <c r="M31" s="73"/>
      <c r="N31" s="73"/>
      <c r="O31" s="7"/>
    </row>
    <row r="32" spans="1:15">
      <c r="A32" s="74"/>
      <c r="B32" s="75"/>
      <c r="C32" s="72"/>
      <c r="D32" s="66"/>
      <c r="E32" s="66"/>
      <c r="F32" s="72"/>
      <c r="G32" s="66"/>
      <c r="H32" s="66"/>
      <c r="I32" s="66"/>
      <c r="J32" s="64"/>
      <c r="K32" s="65"/>
      <c r="L32" s="73"/>
      <c r="M32" s="73"/>
      <c r="N32" s="73"/>
      <c r="O32" s="7"/>
    </row>
    <row r="33" spans="1:15">
      <c r="A33" s="8" t="str">
        <f>VLOOKUP([1]ListOfRegions!A18,[1]ListOfRegions!A18:B92,2,0)</f>
        <v xml:space="preserve">  Ιωαννίνων</v>
      </c>
      <c r="B33" s="40">
        <f>SUM(C33:E33)</f>
        <v>250233</v>
      </c>
      <c r="C33" s="27">
        <v>8217</v>
      </c>
      <c r="D33" s="27">
        <v>234486</v>
      </c>
      <c r="E33" s="27">
        <v>7530</v>
      </c>
      <c r="F33" s="25">
        <f>SUM(G33:I33)</f>
        <v>73247</v>
      </c>
      <c r="G33" s="29">
        <v>5782</v>
      </c>
      <c r="H33" s="30">
        <v>61295</v>
      </c>
      <c r="I33" s="29">
        <v>6170</v>
      </c>
      <c r="J33" s="31">
        <v>10928</v>
      </c>
      <c r="K33" s="41">
        <v>2357</v>
      </c>
      <c r="L33" s="38" t="s">
        <v>29</v>
      </c>
      <c r="M33" s="9"/>
      <c r="N33" s="9"/>
      <c r="O33" s="7"/>
    </row>
    <row r="34" spans="1:15">
      <c r="A34" s="8" t="str">
        <f>VLOOKUP([1]ListOfRegions!A19,[1]ListOfRegions!A19:B93,2,0)</f>
        <v xml:space="preserve">  Άρτας</v>
      </c>
      <c r="B34" s="40">
        <f>SUM(C34:E34)</f>
        <v>181999</v>
      </c>
      <c r="C34" s="27">
        <v>37573</v>
      </c>
      <c r="D34" s="27">
        <v>117675</v>
      </c>
      <c r="E34" s="27">
        <v>26751</v>
      </c>
      <c r="F34" s="25">
        <f>SUM(G34:I34)</f>
        <v>44217</v>
      </c>
      <c r="G34" s="29">
        <v>18497</v>
      </c>
      <c r="H34" s="30">
        <v>21592</v>
      </c>
      <c r="I34" s="29">
        <v>4128</v>
      </c>
      <c r="J34" s="31">
        <v>30805</v>
      </c>
      <c r="K34" s="41">
        <v>4715</v>
      </c>
      <c r="L34" s="38" t="s">
        <v>30</v>
      </c>
      <c r="M34" s="9"/>
      <c r="N34" s="9"/>
      <c r="O34" s="7"/>
    </row>
    <row r="35" spans="1:15">
      <c r="A35" s="8" t="str">
        <f>VLOOKUP([1]ListOfRegions!A20,[1]ListOfRegions!A20:B94,2,0)</f>
        <v xml:space="preserve">  Θεσπρωτίας</v>
      </c>
      <c r="B35" s="40">
        <f>SUM(C35:E35)</f>
        <v>125159</v>
      </c>
      <c r="C35" s="27">
        <v>9062</v>
      </c>
      <c r="D35" s="27">
        <v>98363</v>
      </c>
      <c r="E35" s="27">
        <v>17734</v>
      </c>
      <c r="F35" s="25">
        <f>SUM(G35:I35)</f>
        <v>74226</v>
      </c>
      <c r="G35" s="29">
        <v>3744</v>
      </c>
      <c r="H35" s="30">
        <v>63383</v>
      </c>
      <c r="I35" s="29">
        <v>7099</v>
      </c>
      <c r="J35" s="31">
        <v>360</v>
      </c>
      <c r="K35" s="41">
        <v>83</v>
      </c>
      <c r="L35" s="38" t="s">
        <v>31</v>
      </c>
      <c r="M35" s="9"/>
      <c r="N35" s="9"/>
      <c r="O35" s="7"/>
    </row>
    <row r="36" spans="1:15">
      <c r="A36" s="8" t="str">
        <f>VLOOKUP([1]ListOfRegions!A21,[1]ListOfRegions!A21:B95,2,0)</f>
        <v xml:space="preserve">  Πρέβεζας</v>
      </c>
      <c r="B36" s="40">
        <f>SUM(C36:E36)</f>
        <v>179435</v>
      </c>
      <c r="C36" s="27">
        <v>6390</v>
      </c>
      <c r="D36" s="27">
        <v>166346</v>
      </c>
      <c r="E36" s="27">
        <v>6699</v>
      </c>
      <c r="F36" s="25">
        <f>SUM(G36:I36)</f>
        <v>49682</v>
      </c>
      <c r="G36" s="29">
        <v>6916</v>
      </c>
      <c r="H36" s="30">
        <v>42172</v>
      </c>
      <c r="I36" s="29">
        <v>594</v>
      </c>
      <c r="J36" s="31">
        <v>30538</v>
      </c>
      <c r="K36" s="41">
        <v>8144</v>
      </c>
      <c r="L36" s="38" t="s">
        <v>32</v>
      </c>
      <c r="M36" s="9"/>
      <c r="N36" s="9"/>
      <c r="O36" s="7"/>
    </row>
    <row r="37" spans="1:15">
      <c r="A37" s="74" t="s">
        <v>33</v>
      </c>
      <c r="B37" s="75">
        <f>SUM(C37,D37,E37)</f>
        <v>1171414</v>
      </c>
      <c r="C37" s="72">
        <f>SUM(C39:C43)</f>
        <v>12541</v>
      </c>
      <c r="D37" s="66">
        <f t="shared" ref="D37:K37" si="11">SUM(D39:D43)</f>
        <v>976297</v>
      </c>
      <c r="E37" s="66">
        <f t="shared" si="11"/>
        <v>182576</v>
      </c>
      <c r="F37" s="72">
        <f>SUM(G37,H37,I37)</f>
        <v>433220</v>
      </c>
      <c r="G37" s="66">
        <f t="shared" si="11"/>
        <v>16874</v>
      </c>
      <c r="H37" s="66">
        <f t="shared" si="11"/>
        <v>361094</v>
      </c>
      <c r="I37" s="66">
        <f t="shared" si="11"/>
        <v>55252</v>
      </c>
      <c r="J37" s="64">
        <f t="shared" si="11"/>
        <v>90468</v>
      </c>
      <c r="K37" s="65">
        <f t="shared" si="11"/>
        <v>21951</v>
      </c>
      <c r="L37" s="73" t="s">
        <v>34</v>
      </c>
      <c r="M37" s="73"/>
      <c r="N37" s="73"/>
      <c r="O37" s="7"/>
    </row>
    <row r="38" spans="1:15">
      <c r="A38" s="74"/>
      <c r="B38" s="75"/>
      <c r="C38" s="72"/>
      <c r="D38" s="66"/>
      <c r="E38" s="66"/>
      <c r="F38" s="72"/>
      <c r="G38" s="66"/>
      <c r="H38" s="66"/>
      <c r="I38" s="66"/>
      <c r="J38" s="64"/>
      <c r="K38" s="65"/>
      <c r="L38" s="73"/>
      <c r="M38" s="73"/>
      <c r="N38" s="73"/>
      <c r="O38" s="7"/>
    </row>
    <row r="39" spans="1:15">
      <c r="A39" s="8" t="str">
        <f>VLOOKUP([1]ListOfRegions!A22,[1]ListOfRegions!A22:B96,2,0)</f>
        <v xml:space="preserve">  Λάρισας</v>
      </c>
      <c r="B39" s="40">
        <f>SUM(C39:E39)</f>
        <v>684237</v>
      </c>
      <c r="C39" s="27">
        <v>2528</v>
      </c>
      <c r="D39" s="27">
        <v>547274</v>
      </c>
      <c r="E39" s="27">
        <v>134435</v>
      </c>
      <c r="F39" s="25">
        <f>SUM(G39:I39)</f>
        <v>223204</v>
      </c>
      <c r="G39" s="29">
        <v>4644</v>
      </c>
      <c r="H39" s="30">
        <v>177220</v>
      </c>
      <c r="I39" s="29">
        <v>41340</v>
      </c>
      <c r="J39" s="31">
        <v>43189</v>
      </c>
      <c r="K39" s="41">
        <v>7696</v>
      </c>
      <c r="L39" s="38" t="s">
        <v>35</v>
      </c>
      <c r="M39" s="9"/>
      <c r="N39" s="9"/>
      <c r="O39" s="7"/>
    </row>
    <row r="40" spans="1:15">
      <c r="A40" s="8" t="str">
        <f>VLOOKUP([1]ListOfRegions!A23,[1]ListOfRegions!A23:B97,2,0)</f>
        <v xml:space="preserve">  Καρδίτσας</v>
      </c>
      <c r="B40" s="40">
        <f>SUM(C40:E40)</f>
        <v>164998</v>
      </c>
      <c r="C40" s="27">
        <v>2184</v>
      </c>
      <c r="D40" s="27">
        <v>145850</v>
      </c>
      <c r="E40" s="27">
        <v>16964</v>
      </c>
      <c r="F40" s="25">
        <f>SUM(G40:I40)</f>
        <v>33592</v>
      </c>
      <c r="G40" s="29">
        <v>1849</v>
      </c>
      <c r="H40" s="30">
        <v>29484</v>
      </c>
      <c r="I40" s="29">
        <v>2259</v>
      </c>
      <c r="J40" s="31">
        <v>10338</v>
      </c>
      <c r="K40" s="41">
        <v>2001</v>
      </c>
      <c r="L40" s="38" t="s">
        <v>36</v>
      </c>
      <c r="M40" s="9"/>
      <c r="N40" s="9"/>
      <c r="O40" s="7"/>
    </row>
    <row r="41" spans="1:15">
      <c r="A41" s="8" t="str">
        <f>VLOOKUP([1]ListOfRegions!A24,[1]ListOfRegions!A24:B98,2,0)</f>
        <v xml:space="preserve">  Μαγνησίας</v>
      </c>
      <c r="B41" s="40">
        <f>SUM(C41:E41)</f>
        <v>127939</v>
      </c>
      <c r="C41" s="27">
        <v>6131</v>
      </c>
      <c r="D41" s="27">
        <v>121808</v>
      </c>
      <c r="E41" s="24" t="s">
        <v>123</v>
      </c>
      <c r="F41" s="25">
        <f>SUM(G41:I41)</f>
        <v>96115</v>
      </c>
      <c r="G41" s="29">
        <v>7669</v>
      </c>
      <c r="H41" s="30">
        <v>88446</v>
      </c>
      <c r="I41" s="24" t="s">
        <v>123</v>
      </c>
      <c r="J41" s="31">
        <v>7253</v>
      </c>
      <c r="K41" s="41">
        <v>2423</v>
      </c>
      <c r="L41" s="38" t="s">
        <v>37</v>
      </c>
      <c r="M41" s="9"/>
      <c r="N41" s="9"/>
      <c r="O41" s="7"/>
    </row>
    <row r="42" spans="1:15">
      <c r="A42" s="8" t="str">
        <f>VLOOKUP([1]ListOfRegions!A25,[1]ListOfRegions!A25:B99,2,0)</f>
        <v xml:space="preserve">  Σποράδων</v>
      </c>
      <c r="B42" s="40">
        <f>SUM(C42:E42)</f>
        <v>1677</v>
      </c>
      <c r="C42" s="27">
        <v>359</v>
      </c>
      <c r="D42" s="27">
        <v>1318</v>
      </c>
      <c r="E42" s="24" t="s">
        <v>123</v>
      </c>
      <c r="F42" s="25">
        <f>SUM(G42:I42)</f>
        <v>11220</v>
      </c>
      <c r="G42" s="29">
        <v>585</v>
      </c>
      <c r="H42" s="30">
        <v>10635</v>
      </c>
      <c r="I42" s="24" t="s">
        <v>123</v>
      </c>
      <c r="J42" s="31">
        <v>10</v>
      </c>
      <c r="K42" s="44"/>
      <c r="L42" s="38" t="s">
        <v>38</v>
      </c>
      <c r="M42" s="9"/>
      <c r="N42" s="9"/>
      <c r="O42" s="7"/>
    </row>
    <row r="43" spans="1:15">
      <c r="A43" s="8" t="str">
        <f>VLOOKUP([1]ListOfRegions!A26,[1]ListOfRegions!A26:B100,2,0)</f>
        <v xml:space="preserve">  Τρικάλων</v>
      </c>
      <c r="B43" s="40">
        <f>SUM(C43:E43)</f>
        <v>192563</v>
      </c>
      <c r="C43" s="27">
        <v>1339</v>
      </c>
      <c r="D43" s="27">
        <v>160047</v>
      </c>
      <c r="E43" s="27">
        <v>31177</v>
      </c>
      <c r="F43" s="25">
        <f>SUM(G43:I43)</f>
        <v>69089</v>
      </c>
      <c r="G43" s="29">
        <v>2127</v>
      </c>
      <c r="H43" s="30">
        <v>55309</v>
      </c>
      <c r="I43" s="29">
        <v>11653</v>
      </c>
      <c r="J43" s="31">
        <v>29678</v>
      </c>
      <c r="K43" s="41">
        <v>9831</v>
      </c>
      <c r="L43" s="38" t="s">
        <v>39</v>
      </c>
      <c r="M43" s="9"/>
      <c r="N43" s="9"/>
      <c r="O43" s="7"/>
    </row>
    <row r="44" spans="1:15">
      <c r="A44" s="74" t="s">
        <v>40</v>
      </c>
      <c r="B44" s="75">
        <f>SUM(C44,D44,E44)</f>
        <v>529632</v>
      </c>
      <c r="C44" s="72">
        <f>SUM(C46:C50)</f>
        <v>57221</v>
      </c>
      <c r="D44" s="66">
        <f t="shared" ref="D44:K44" si="12">SUM(D46:D50)</f>
        <v>455813</v>
      </c>
      <c r="E44" s="66">
        <f t="shared" si="12"/>
        <v>16598</v>
      </c>
      <c r="F44" s="72">
        <f>SUM(G44,H44,I44)</f>
        <v>463207</v>
      </c>
      <c r="G44" s="66">
        <f t="shared" si="12"/>
        <v>55881</v>
      </c>
      <c r="H44" s="66">
        <f t="shared" si="12"/>
        <v>404065</v>
      </c>
      <c r="I44" s="66">
        <f t="shared" si="12"/>
        <v>3261</v>
      </c>
      <c r="J44" s="64">
        <f t="shared" si="12"/>
        <v>108257</v>
      </c>
      <c r="K44" s="65">
        <f t="shared" si="12"/>
        <v>15076</v>
      </c>
      <c r="L44" s="73" t="s">
        <v>41</v>
      </c>
      <c r="M44" s="73"/>
      <c r="N44" s="73"/>
      <c r="O44" s="7"/>
    </row>
    <row r="45" spans="1:15">
      <c r="A45" s="74"/>
      <c r="B45" s="75"/>
      <c r="C45" s="72"/>
      <c r="D45" s="66"/>
      <c r="E45" s="66"/>
      <c r="F45" s="72"/>
      <c r="G45" s="66"/>
      <c r="H45" s="66"/>
      <c r="I45" s="66"/>
      <c r="J45" s="64"/>
      <c r="K45" s="65"/>
      <c r="L45" s="73"/>
      <c r="M45" s="73"/>
      <c r="N45" s="73"/>
      <c r="O45" s="7"/>
    </row>
    <row r="46" spans="1:15">
      <c r="A46" s="8" t="str">
        <f>VLOOKUP([1]ListOfRegions!A27,[1]ListOfRegions!A27:B101,2,0)</f>
        <v xml:space="preserve">  Φθιώτιδας</v>
      </c>
      <c r="B46" s="40">
        <f>SUM(C46:E46)</f>
        <v>172094</v>
      </c>
      <c r="C46" s="27">
        <v>20532</v>
      </c>
      <c r="D46" s="27">
        <v>145019</v>
      </c>
      <c r="E46" s="27">
        <v>6543</v>
      </c>
      <c r="F46" s="25">
        <f>SUM(G46:I46)</f>
        <v>109755</v>
      </c>
      <c r="G46" s="29">
        <v>17060</v>
      </c>
      <c r="H46" s="30">
        <v>91695</v>
      </c>
      <c r="I46" s="29">
        <v>1000</v>
      </c>
      <c r="J46" s="45">
        <v>8674</v>
      </c>
      <c r="K46" s="41">
        <v>2370</v>
      </c>
      <c r="L46" s="38" t="s">
        <v>42</v>
      </c>
      <c r="M46" s="9"/>
      <c r="N46" s="9"/>
      <c r="O46" s="7"/>
    </row>
    <row r="47" spans="1:15">
      <c r="A47" s="8" t="str">
        <f>VLOOKUP([1]ListOfRegions!A28,[1]ListOfRegions!A28:B102,2,0)</f>
        <v xml:space="preserve">  Βοιωτίας</v>
      </c>
      <c r="B47" s="40">
        <f>SUM(C47:E47)</f>
        <v>126027</v>
      </c>
      <c r="C47" s="27">
        <v>8018</v>
      </c>
      <c r="D47" s="27">
        <v>111654</v>
      </c>
      <c r="E47" s="27">
        <v>6355</v>
      </c>
      <c r="F47" s="25">
        <f>SUM(G47:I47)</f>
        <v>99167</v>
      </c>
      <c r="G47" s="29">
        <v>4850</v>
      </c>
      <c r="H47" s="30">
        <v>93617</v>
      </c>
      <c r="I47" s="29">
        <v>700</v>
      </c>
      <c r="J47" s="45">
        <v>31709</v>
      </c>
      <c r="K47" s="41">
        <v>2693</v>
      </c>
      <c r="L47" s="38" t="s">
        <v>43</v>
      </c>
      <c r="M47" s="9"/>
      <c r="N47" s="9"/>
      <c r="O47" s="7"/>
    </row>
    <row r="48" spans="1:15">
      <c r="A48" s="8" t="str">
        <f>VLOOKUP([1]ListOfRegions!A29,[1]ListOfRegions!A29:B103,2,0)</f>
        <v xml:space="preserve">  Εύβοιας</v>
      </c>
      <c r="B48" s="40">
        <f>SUM(C48:E48)</f>
        <v>129501</v>
      </c>
      <c r="C48" s="27">
        <v>21451</v>
      </c>
      <c r="D48" s="27">
        <v>105120</v>
      </c>
      <c r="E48" s="27">
        <v>2930</v>
      </c>
      <c r="F48" s="25">
        <f>SUM(G48:I48)</f>
        <v>157183</v>
      </c>
      <c r="G48" s="29">
        <v>25604</v>
      </c>
      <c r="H48" s="30">
        <v>130398</v>
      </c>
      <c r="I48" s="29">
        <v>1181</v>
      </c>
      <c r="J48" s="45">
        <v>64758</v>
      </c>
      <c r="K48" s="41">
        <v>8922</v>
      </c>
      <c r="L48" s="38" t="s">
        <v>44</v>
      </c>
      <c r="M48" s="9"/>
      <c r="N48" s="9"/>
      <c r="O48" s="7"/>
    </row>
    <row r="49" spans="1:15">
      <c r="A49" s="8" t="str">
        <f>VLOOKUP([1]ListOfRegions!A30,[1]ListOfRegions!A30:B104,2,0)</f>
        <v xml:space="preserve">  Ευρυτανίας</v>
      </c>
      <c r="B49" s="40">
        <f>SUM(C49:E49)</f>
        <v>39442</v>
      </c>
      <c r="C49" s="27">
        <v>2807</v>
      </c>
      <c r="D49" s="27">
        <v>36635</v>
      </c>
      <c r="E49" s="24" t="s">
        <v>123</v>
      </c>
      <c r="F49" s="25">
        <f>SUM(G49:I49)</f>
        <v>35784</v>
      </c>
      <c r="G49" s="29">
        <v>4524</v>
      </c>
      <c r="H49" s="30">
        <v>31260</v>
      </c>
      <c r="I49" s="24" t="s">
        <v>123</v>
      </c>
      <c r="J49" s="45">
        <v>268</v>
      </c>
      <c r="K49" s="41">
        <v>103</v>
      </c>
      <c r="L49" s="38" t="s">
        <v>45</v>
      </c>
      <c r="M49" s="9"/>
      <c r="N49" s="9"/>
      <c r="O49" s="7"/>
    </row>
    <row r="50" spans="1:15">
      <c r="A50" s="8" t="str">
        <f>VLOOKUP([1]ListOfRegions!A31,[1]ListOfRegions!A31:B105,2,0)</f>
        <v xml:space="preserve">  Φωκίδας</v>
      </c>
      <c r="B50" s="40">
        <f>SUM(C50:E50)</f>
        <v>62568</v>
      </c>
      <c r="C50" s="27">
        <v>4413</v>
      </c>
      <c r="D50" s="27">
        <v>57385</v>
      </c>
      <c r="E50" s="27">
        <v>770</v>
      </c>
      <c r="F50" s="25">
        <f>SUM(G50:I50)</f>
        <v>61318</v>
      </c>
      <c r="G50" s="29">
        <v>3843</v>
      </c>
      <c r="H50" s="30">
        <v>57095</v>
      </c>
      <c r="I50" s="29">
        <v>380</v>
      </c>
      <c r="J50" s="45">
        <v>2848</v>
      </c>
      <c r="K50" s="41">
        <v>988</v>
      </c>
      <c r="L50" s="38" t="s">
        <v>46</v>
      </c>
      <c r="M50" s="9"/>
      <c r="N50" s="9"/>
      <c r="O50" s="7"/>
    </row>
    <row r="51" spans="1:15">
      <c r="A51" s="74" t="s">
        <v>47</v>
      </c>
      <c r="B51" s="75">
        <f>SUM(C51,D51,E51)</f>
        <v>140672</v>
      </c>
      <c r="C51" s="72">
        <f>SUM(C53:C57)</f>
        <v>18796</v>
      </c>
      <c r="D51" s="66">
        <f t="shared" ref="D51:K51" si="13">SUM(D53:D57)</f>
        <v>121876</v>
      </c>
      <c r="E51" s="66">
        <f t="shared" si="13"/>
        <v>0</v>
      </c>
      <c r="F51" s="72">
        <f>SUM(G51,H51,I51)</f>
        <v>146456</v>
      </c>
      <c r="G51" s="66">
        <f t="shared" si="13"/>
        <v>17736</v>
      </c>
      <c r="H51" s="66">
        <f t="shared" si="13"/>
        <v>128720</v>
      </c>
      <c r="I51" s="66">
        <f t="shared" si="13"/>
        <v>0</v>
      </c>
      <c r="J51" s="64">
        <f t="shared" si="13"/>
        <v>6085</v>
      </c>
      <c r="K51" s="65">
        <f t="shared" si="13"/>
        <v>973</v>
      </c>
      <c r="L51" s="73" t="s">
        <v>48</v>
      </c>
      <c r="M51" s="73"/>
      <c r="N51" s="73"/>
      <c r="O51" s="7"/>
    </row>
    <row r="52" spans="1:15">
      <c r="A52" s="74"/>
      <c r="B52" s="75"/>
      <c r="C52" s="72"/>
      <c r="D52" s="66"/>
      <c r="E52" s="66"/>
      <c r="F52" s="72"/>
      <c r="G52" s="66"/>
      <c r="H52" s="66"/>
      <c r="I52" s="66"/>
      <c r="J52" s="64"/>
      <c r="K52" s="65"/>
      <c r="L52" s="73"/>
      <c r="M52" s="73"/>
      <c r="N52" s="73"/>
      <c r="O52" s="7"/>
    </row>
    <row r="53" spans="1:15">
      <c r="A53" s="8" t="str">
        <f>VLOOKUP([1]ListOfRegions!A32,[1]ListOfRegions!A32:B106,2,0)</f>
        <v xml:space="preserve">  Κέρκυρας</v>
      </c>
      <c r="B53" s="40">
        <f>SUM(C53:E53)</f>
        <v>18615</v>
      </c>
      <c r="C53" s="27">
        <v>11044</v>
      </c>
      <c r="D53" s="27">
        <v>7571</v>
      </c>
      <c r="E53" s="24" t="s">
        <v>123</v>
      </c>
      <c r="F53" s="25">
        <f>SUM(G53:H53)</f>
        <v>8890</v>
      </c>
      <c r="G53" s="29">
        <v>5621</v>
      </c>
      <c r="H53" s="30">
        <v>3269</v>
      </c>
      <c r="I53" s="24" t="s">
        <v>123</v>
      </c>
      <c r="J53" s="31">
        <v>2785</v>
      </c>
      <c r="K53" s="41">
        <v>407</v>
      </c>
      <c r="L53" s="38" t="s">
        <v>49</v>
      </c>
      <c r="M53" s="9"/>
      <c r="N53" s="9"/>
      <c r="O53" s="7"/>
    </row>
    <row r="54" spans="1:15">
      <c r="A54" s="8" t="str">
        <f>VLOOKUP([1]ListOfRegions!A33,[1]ListOfRegions!A33:B107,2,0)</f>
        <v xml:space="preserve">  Ζακύνθου</v>
      </c>
      <c r="B54" s="40">
        <f>SUM(C54:E54)</f>
        <v>6684</v>
      </c>
      <c r="C54" s="27">
        <v>2607</v>
      </c>
      <c r="D54" s="27">
        <v>4077</v>
      </c>
      <c r="E54" s="24" t="s">
        <v>123</v>
      </c>
      <c r="F54" s="25">
        <f>SUM(G54:H54)</f>
        <v>10512</v>
      </c>
      <c r="G54" s="29">
        <v>6050</v>
      </c>
      <c r="H54" s="30">
        <v>4462</v>
      </c>
      <c r="I54" s="24" t="s">
        <v>123</v>
      </c>
      <c r="J54" s="31">
        <v>2277</v>
      </c>
      <c r="K54" s="41">
        <v>218</v>
      </c>
      <c r="L54" s="38" t="s">
        <v>50</v>
      </c>
      <c r="M54" s="9"/>
      <c r="N54" s="9"/>
      <c r="O54" s="7"/>
    </row>
    <row r="55" spans="1:15">
      <c r="A55" s="8" t="str">
        <f>VLOOKUP([1]ListOfRegions!A34,[1]ListOfRegions!A34:B108,2,0)</f>
        <v xml:space="preserve">  Ιθάκης</v>
      </c>
      <c r="B55" s="40">
        <f>SUM(C55:E55)</f>
        <v>1997</v>
      </c>
      <c r="C55" s="27">
        <v>104</v>
      </c>
      <c r="D55" s="27">
        <v>1893</v>
      </c>
      <c r="E55" s="24" t="s">
        <v>123</v>
      </c>
      <c r="F55" s="25">
        <f>SUM(G55:H55)</f>
        <v>4512</v>
      </c>
      <c r="G55" s="29">
        <v>79</v>
      </c>
      <c r="H55" s="30">
        <v>4433</v>
      </c>
      <c r="I55" s="24" t="s">
        <v>123</v>
      </c>
      <c r="J55" s="31">
        <v>59</v>
      </c>
      <c r="K55" s="41">
        <v>8</v>
      </c>
      <c r="L55" s="38" t="s">
        <v>51</v>
      </c>
      <c r="M55" s="9"/>
      <c r="N55" s="9"/>
      <c r="O55" s="7"/>
    </row>
    <row r="56" spans="1:15">
      <c r="A56" s="8" t="str">
        <f>VLOOKUP([1]ListOfRegions!A35,[1]ListOfRegions!A35:B109,2,0)</f>
        <v xml:space="preserve">  Κεφαλληνίας</v>
      </c>
      <c r="B56" s="40">
        <f>SUM(C56:E56)</f>
        <v>103948</v>
      </c>
      <c r="C56" s="27">
        <v>2933</v>
      </c>
      <c r="D56" s="27">
        <v>101015</v>
      </c>
      <c r="E56" s="24" t="s">
        <v>123</v>
      </c>
      <c r="F56" s="25">
        <f>SUM(G56:I56)</f>
        <v>110688</v>
      </c>
      <c r="G56" s="29">
        <v>3146</v>
      </c>
      <c r="H56" s="30">
        <v>107542</v>
      </c>
      <c r="I56" s="24" t="s">
        <v>123</v>
      </c>
      <c r="J56" s="31">
        <v>909</v>
      </c>
      <c r="K56" s="41">
        <v>325</v>
      </c>
      <c r="L56" s="38" t="s">
        <v>52</v>
      </c>
      <c r="M56" s="9"/>
      <c r="N56" s="9"/>
      <c r="O56" s="7"/>
    </row>
    <row r="57" spans="1:15">
      <c r="A57" s="8" t="str">
        <f>VLOOKUP([1]ListOfRegions!A36,[1]ListOfRegions!A36:B110,2,0)</f>
        <v xml:space="preserve">  Λευκάδας</v>
      </c>
      <c r="B57" s="40">
        <f>SUM(C57:E57)</f>
        <v>9428</v>
      </c>
      <c r="C57" s="27">
        <v>2108</v>
      </c>
      <c r="D57" s="27">
        <v>7320</v>
      </c>
      <c r="E57" s="24" t="s">
        <v>123</v>
      </c>
      <c r="F57" s="25">
        <f>SUM(G57:H57)</f>
        <v>11854</v>
      </c>
      <c r="G57" s="29">
        <v>2840</v>
      </c>
      <c r="H57" s="30">
        <v>9014</v>
      </c>
      <c r="I57" s="24" t="s">
        <v>123</v>
      </c>
      <c r="J57" s="31">
        <v>55</v>
      </c>
      <c r="K57" s="41">
        <v>15</v>
      </c>
      <c r="L57" s="38" t="s">
        <v>53</v>
      </c>
      <c r="M57" s="9"/>
      <c r="N57" s="9"/>
      <c r="O57" s="7"/>
    </row>
    <row r="58" spans="1:15">
      <c r="A58" s="74" t="s">
        <v>54</v>
      </c>
      <c r="B58" s="75">
        <f>SUM(C58,D58,E58)</f>
        <v>1584844</v>
      </c>
      <c r="C58" s="72">
        <f>SUM(C60:C62)</f>
        <v>155049</v>
      </c>
      <c r="D58" s="66">
        <f t="shared" ref="D58:K58" si="14">SUM(D60:D62)</f>
        <v>1338114</v>
      </c>
      <c r="E58" s="66">
        <f t="shared" si="14"/>
        <v>91681</v>
      </c>
      <c r="F58" s="72">
        <f>SUM(G58,H58,I58)</f>
        <v>674260</v>
      </c>
      <c r="G58" s="66">
        <f t="shared" si="14"/>
        <v>125313</v>
      </c>
      <c r="H58" s="66">
        <f t="shared" si="14"/>
        <v>525721</v>
      </c>
      <c r="I58" s="66">
        <f t="shared" si="14"/>
        <v>23226</v>
      </c>
      <c r="J58" s="64">
        <f t="shared" si="14"/>
        <v>124238</v>
      </c>
      <c r="K58" s="65">
        <f t="shared" si="14"/>
        <v>21336</v>
      </c>
      <c r="L58" s="73" t="s">
        <v>55</v>
      </c>
      <c r="M58" s="73"/>
      <c r="N58" s="73"/>
      <c r="O58" s="7"/>
    </row>
    <row r="59" spans="1:15">
      <c r="A59" s="74"/>
      <c r="B59" s="75"/>
      <c r="C59" s="72"/>
      <c r="D59" s="66"/>
      <c r="E59" s="66"/>
      <c r="F59" s="72"/>
      <c r="G59" s="66"/>
      <c r="H59" s="66"/>
      <c r="I59" s="66"/>
      <c r="J59" s="64"/>
      <c r="K59" s="65"/>
      <c r="L59" s="73"/>
      <c r="M59" s="73"/>
      <c r="N59" s="73"/>
      <c r="O59" s="7"/>
    </row>
    <row r="60" spans="1:15">
      <c r="A60" s="8" t="str">
        <f>VLOOKUP([1]ListOfRegions!A37,[1]ListOfRegions!A37:B111,2,0)</f>
        <v xml:space="preserve">  Αχαϊας</v>
      </c>
      <c r="B60" s="40">
        <f>SUM(C60:E60)</f>
        <v>359292</v>
      </c>
      <c r="C60" s="27">
        <v>27872</v>
      </c>
      <c r="D60" s="27">
        <v>322794</v>
      </c>
      <c r="E60" s="27">
        <v>8626</v>
      </c>
      <c r="F60" s="25">
        <f>SUM(G60:I60)</f>
        <v>217432</v>
      </c>
      <c r="G60" s="29">
        <v>23369</v>
      </c>
      <c r="H60" s="30">
        <v>189028</v>
      </c>
      <c r="I60" s="29">
        <v>5035</v>
      </c>
      <c r="J60" s="31">
        <v>4160</v>
      </c>
      <c r="K60" s="41">
        <v>1252</v>
      </c>
      <c r="L60" s="38" t="s">
        <v>56</v>
      </c>
      <c r="M60" s="9"/>
      <c r="N60" s="9"/>
      <c r="O60" s="7"/>
    </row>
    <row r="61" spans="1:15">
      <c r="A61" s="8" t="str">
        <f>VLOOKUP([1]ListOfRegions!A38,[1]ListOfRegions!A38:B112,2,0)</f>
        <v xml:space="preserve">  Αιτωλ/νανίας</v>
      </c>
      <c r="B61" s="40">
        <f>SUM(C61:E61)</f>
        <v>733868</v>
      </c>
      <c r="C61" s="27">
        <v>32107</v>
      </c>
      <c r="D61" s="27">
        <v>637831</v>
      </c>
      <c r="E61" s="27">
        <v>63930</v>
      </c>
      <c r="F61" s="25">
        <f>SUM(G61:I61)</f>
        <v>318430</v>
      </c>
      <c r="G61" s="29">
        <v>35816</v>
      </c>
      <c r="H61" s="30">
        <v>265456</v>
      </c>
      <c r="I61" s="29">
        <v>17158</v>
      </c>
      <c r="J61" s="31">
        <v>96061</v>
      </c>
      <c r="K61" s="41">
        <v>17039</v>
      </c>
      <c r="L61" s="38" t="s">
        <v>57</v>
      </c>
      <c r="M61" s="9"/>
      <c r="N61" s="9"/>
      <c r="O61" s="7"/>
    </row>
    <row r="62" spans="1:15">
      <c r="A62" s="8" t="str">
        <f>VLOOKUP([1]ListOfRegions!A39,[1]ListOfRegions!A39:B113,2,0)</f>
        <v xml:space="preserve">  Ηλείας</v>
      </c>
      <c r="B62" s="40">
        <f>SUM(C62:E62)</f>
        <v>491684</v>
      </c>
      <c r="C62" s="27">
        <v>95070</v>
      </c>
      <c r="D62" s="27">
        <v>377489</v>
      </c>
      <c r="E62" s="27">
        <v>19125</v>
      </c>
      <c r="F62" s="25">
        <f>SUM(G62:I62)</f>
        <v>138398</v>
      </c>
      <c r="G62" s="29">
        <v>66128</v>
      </c>
      <c r="H62" s="30">
        <v>71237</v>
      </c>
      <c r="I62" s="29">
        <v>1033</v>
      </c>
      <c r="J62" s="31">
        <v>24017</v>
      </c>
      <c r="K62" s="41">
        <v>3045</v>
      </c>
      <c r="L62" s="38" t="s">
        <v>58</v>
      </c>
      <c r="M62" s="9"/>
      <c r="N62" s="9"/>
      <c r="O62" s="7"/>
    </row>
    <row r="63" spans="1:15">
      <c r="A63" s="74" t="s">
        <v>59</v>
      </c>
      <c r="B63" s="75">
        <f>SUM(C63,D63,E63)</f>
        <v>470292</v>
      </c>
      <c r="C63" s="72">
        <f>SUM(C65:C69)</f>
        <v>38355</v>
      </c>
      <c r="D63" s="66">
        <f t="shared" ref="D63:K63" si="15">SUM(D65:D69)</f>
        <v>394052</v>
      </c>
      <c r="E63" s="66">
        <f t="shared" si="15"/>
        <v>37885</v>
      </c>
      <c r="F63" s="72">
        <f>SUM(G63,H63,I63)</f>
        <v>505810</v>
      </c>
      <c r="G63" s="66">
        <f t="shared" si="15"/>
        <v>55044</v>
      </c>
      <c r="H63" s="66">
        <f t="shared" si="15"/>
        <v>404316</v>
      </c>
      <c r="I63" s="66">
        <f t="shared" si="15"/>
        <v>46450</v>
      </c>
      <c r="J63" s="64">
        <f t="shared" si="15"/>
        <v>50584</v>
      </c>
      <c r="K63" s="65">
        <f t="shared" si="15"/>
        <v>7928</v>
      </c>
      <c r="L63" s="73" t="s">
        <v>60</v>
      </c>
      <c r="M63" s="73"/>
      <c r="N63" s="73"/>
      <c r="O63" s="7"/>
    </row>
    <row r="64" spans="1:15">
      <c r="A64" s="74"/>
      <c r="B64" s="75"/>
      <c r="C64" s="72"/>
      <c r="D64" s="66"/>
      <c r="E64" s="66"/>
      <c r="F64" s="72"/>
      <c r="G64" s="66"/>
      <c r="H64" s="66"/>
      <c r="I64" s="66"/>
      <c r="J64" s="64"/>
      <c r="K64" s="65"/>
      <c r="L64" s="73"/>
      <c r="M64" s="73"/>
      <c r="N64" s="73"/>
      <c r="O64" s="7"/>
    </row>
    <row r="65" spans="1:15">
      <c r="A65" s="8" t="str">
        <f>VLOOKUP([1]ListOfRegions!A40,[1]ListOfRegions!A40:B114,2,0)</f>
        <v xml:space="preserve">  Αρκαδίας</v>
      </c>
      <c r="B65" s="40">
        <f>SUM(C65:E65)</f>
        <v>127301</v>
      </c>
      <c r="C65" s="27">
        <v>6007</v>
      </c>
      <c r="D65" s="27">
        <v>117227</v>
      </c>
      <c r="E65" s="27">
        <v>4067</v>
      </c>
      <c r="F65" s="25">
        <f>SUM(G65:I65)</f>
        <v>107934</v>
      </c>
      <c r="G65" s="29">
        <v>8106</v>
      </c>
      <c r="H65" s="30">
        <v>95173</v>
      </c>
      <c r="I65" s="29">
        <v>4655</v>
      </c>
      <c r="J65" s="31">
        <v>13615</v>
      </c>
      <c r="K65" s="41">
        <v>2349</v>
      </c>
      <c r="L65" s="38" t="s">
        <v>61</v>
      </c>
      <c r="M65" s="9"/>
      <c r="N65" s="9"/>
      <c r="O65" s="7"/>
    </row>
    <row r="66" spans="1:15">
      <c r="A66" s="8" t="str">
        <f>VLOOKUP([1]ListOfRegions!A41,[1]ListOfRegions!A41:B115,2,0)</f>
        <v xml:space="preserve">  Αργολίδας</v>
      </c>
      <c r="B66" s="40">
        <f>SUM(C66:E66)</f>
        <v>109437</v>
      </c>
      <c r="C66" s="27">
        <v>6067</v>
      </c>
      <c r="D66" s="27">
        <v>89440</v>
      </c>
      <c r="E66" s="27">
        <v>13930</v>
      </c>
      <c r="F66" s="25">
        <f>SUM(G66:I66)</f>
        <v>114885</v>
      </c>
      <c r="G66" s="29">
        <v>6294</v>
      </c>
      <c r="H66" s="30">
        <v>90261</v>
      </c>
      <c r="I66" s="29">
        <v>18330</v>
      </c>
      <c r="J66" s="31">
        <v>7583</v>
      </c>
      <c r="K66" s="41">
        <v>888</v>
      </c>
      <c r="L66" s="38" t="s">
        <v>62</v>
      </c>
      <c r="M66" s="9"/>
      <c r="N66" s="9"/>
      <c r="O66" s="7"/>
    </row>
    <row r="67" spans="1:15">
      <c r="A67" s="8" t="str">
        <f>VLOOKUP([1]ListOfRegions!A42,[1]ListOfRegions!A42:B116,2,0)</f>
        <v xml:space="preserve">  Κορινθίας</v>
      </c>
      <c r="B67" s="40">
        <f>SUM(C67:E67)</f>
        <v>66235</v>
      </c>
      <c r="C67" s="27">
        <v>2996</v>
      </c>
      <c r="D67" s="27">
        <v>58353</v>
      </c>
      <c r="E67" s="27">
        <v>4886</v>
      </c>
      <c r="F67" s="25">
        <f>SUM(G67:I67)</f>
        <v>57608</v>
      </c>
      <c r="G67" s="29">
        <v>3345</v>
      </c>
      <c r="H67" s="30">
        <v>48971</v>
      </c>
      <c r="I67" s="29">
        <v>5292</v>
      </c>
      <c r="J67" s="31">
        <v>20296</v>
      </c>
      <c r="K67" s="41">
        <v>2823</v>
      </c>
      <c r="L67" s="38" t="s">
        <v>63</v>
      </c>
      <c r="M67" s="9"/>
      <c r="N67" s="9"/>
      <c r="O67" s="7"/>
    </row>
    <row r="68" spans="1:15">
      <c r="A68" s="8" t="str">
        <f>VLOOKUP([1]ListOfRegions!A43,[1]ListOfRegions!A43:B117,2,0)</f>
        <v xml:space="preserve">  Λακωνίας</v>
      </c>
      <c r="B68" s="40">
        <f>SUM(C68:E68)</f>
        <v>66144</v>
      </c>
      <c r="C68" s="27">
        <v>8518</v>
      </c>
      <c r="D68" s="27">
        <v>47914</v>
      </c>
      <c r="E68" s="27">
        <v>9712</v>
      </c>
      <c r="F68" s="25">
        <f>SUM(G68:I68)</f>
        <v>151940</v>
      </c>
      <c r="G68" s="29">
        <v>15407</v>
      </c>
      <c r="H68" s="30">
        <v>121685</v>
      </c>
      <c r="I68" s="29">
        <v>14848</v>
      </c>
      <c r="J68" s="31">
        <v>5967</v>
      </c>
      <c r="K68" s="41">
        <v>1300</v>
      </c>
      <c r="L68" s="38" t="s">
        <v>64</v>
      </c>
      <c r="M68" s="9"/>
      <c r="N68" s="9"/>
      <c r="O68" s="7"/>
    </row>
    <row r="69" spans="1:15">
      <c r="A69" s="8" t="str">
        <f>VLOOKUP([1]ListOfRegions!A44,[1]ListOfRegions!A44:B118,2,0)</f>
        <v xml:space="preserve">  Μεσσηνίας</v>
      </c>
      <c r="B69" s="40">
        <f>SUM(C69:E69)</f>
        <v>101175</v>
      </c>
      <c r="C69" s="27">
        <v>14767</v>
      </c>
      <c r="D69" s="27">
        <v>81118</v>
      </c>
      <c r="E69" s="27">
        <v>5290</v>
      </c>
      <c r="F69" s="25">
        <f>SUM(G69:I69)</f>
        <v>73443</v>
      </c>
      <c r="G69" s="29">
        <v>21892</v>
      </c>
      <c r="H69" s="30">
        <v>48226</v>
      </c>
      <c r="I69" s="29">
        <v>3325</v>
      </c>
      <c r="J69" s="31">
        <v>3123</v>
      </c>
      <c r="K69" s="41">
        <v>568</v>
      </c>
      <c r="L69" s="38" t="s">
        <v>65</v>
      </c>
      <c r="M69" s="9"/>
      <c r="N69" s="9"/>
      <c r="O69" s="7"/>
    </row>
    <row r="70" spans="1:15">
      <c r="A70" s="74" t="s">
        <v>66</v>
      </c>
      <c r="B70" s="75">
        <f>SUM(C70,D70,E70)</f>
        <v>100568</v>
      </c>
      <c r="C70" s="72">
        <f>SUM(C72:C79)</f>
        <v>6181</v>
      </c>
      <c r="D70" s="66">
        <f t="shared" ref="D70:K70" si="16">SUM(D72:D79)</f>
        <v>89634</v>
      </c>
      <c r="E70" s="66">
        <f t="shared" si="16"/>
        <v>4753</v>
      </c>
      <c r="F70" s="72">
        <f>SUM(G70,H70,I70)</f>
        <v>49269</v>
      </c>
      <c r="G70" s="66">
        <f t="shared" si="16"/>
        <v>5042</v>
      </c>
      <c r="H70" s="66">
        <f t="shared" si="16"/>
        <v>42922</v>
      </c>
      <c r="I70" s="66">
        <f t="shared" si="16"/>
        <v>1305</v>
      </c>
      <c r="J70" s="64">
        <f t="shared" si="16"/>
        <v>7036</v>
      </c>
      <c r="K70" s="65">
        <f t="shared" si="16"/>
        <v>2376</v>
      </c>
      <c r="L70" s="73" t="s">
        <v>67</v>
      </c>
      <c r="M70" s="73"/>
      <c r="N70" s="73"/>
      <c r="O70" s="7"/>
    </row>
    <row r="71" spans="1:15">
      <c r="A71" s="74"/>
      <c r="B71" s="75"/>
      <c r="C71" s="72"/>
      <c r="D71" s="66"/>
      <c r="E71" s="66"/>
      <c r="F71" s="72"/>
      <c r="G71" s="66"/>
      <c r="H71" s="66"/>
      <c r="I71" s="66"/>
      <c r="J71" s="64"/>
      <c r="K71" s="65"/>
      <c r="L71" s="73"/>
      <c r="M71" s="73"/>
      <c r="N71" s="73"/>
      <c r="O71" s="7"/>
    </row>
    <row r="72" spans="1:15" ht="20.399999999999999">
      <c r="A72" s="10" t="s">
        <v>68</v>
      </c>
      <c r="B72" s="40" t="s">
        <v>123</v>
      </c>
      <c r="C72" s="24" t="s">
        <v>123</v>
      </c>
      <c r="D72" s="24" t="s">
        <v>123</v>
      </c>
      <c r="E72" s="24" t="s">
        <v>123</v>
      </c>
      <c r="F72" s="24" t="s">
        <v>123</v>
      </c>
      <c r="G72" s="24" t="s">
        <v>123</v>
      </c>
      <c r="H72" s="24" t="s">
        <v>123</v>
      </c>
      <c r="I72" s="24" t="s">
        <v>123</v>
      </c>
      <c r="J72" s="26" t="s">
        <v>123</v>
      </c>
      <c r="K72" s="46" t="s">
        <v>123</v>
      </c>
      <c r="L72" s="38" t="s">
        <v>69</v>
      </c>
      <c r="M72" s="9"/>
      <c r="N72" s="9"/>
      <c r="O72" s="7"/>
    </row>
    <row r="73" spans="1:15">
      <c r="A73" s="10" t="s">
        <v>70</v>
      </c>
      <c r="B73" s="40">
        <f>SUM(C73:E73)</f>
        <v>480</v>
      </c>
      <c r="C73" s="27">
        <v>120</v>
      </c>
      <c r="D73" s="27">
        <v>360</v>
      </c>
      <c r="E73" s="24" t="s">
        <v>123</v>
      </c>
      <c r="F73" s="25">
        <f>SUM(G73:H73)</f>
        <v>362</v>
      </c>
      <c r="G73" s="29">
        <v>112</v>
      </c>
      <c r="H73" s="30">
        <v>250</v>
      </c>
      <c r="I73" s="24" t="s">
        <v>123</v>
      </c>
      <c r="J73" s="26" t="s">
        <v>123</v>
      </c>
      <c r="K73" s="46" t="s">
        <v>123</v>
      </c>
      <c r="L73" s="38" t="s">
        <v>71</v>
      </c>
      <c r="M73" s="9"/>
      <c r="N73" s="9"/>
      <c r="O73" s="7"/>
    </row>
    <row r="74" spans="1:15">
      <c r="A74" s="10" t="s">
        <v>72</v>
      </c>
      <c r="B74" s="40">
        <f t="shared" ref="B74:B79" si="17">SUM(C74:E74)</f>
        <v>0</v>
      </c>
      <c r="C74" s="24" t="s">
        <v>123</v>
      </c>
      <c r="D74" s="24" t="s">
        <v>123</v>
      </c>
      <c r="E74" s="24" t="s">
        <v>123</v>
      </c>
      <c r="F74" s="24" t="s">
        <v>123</v>
      </c>
      <c r="G74" s="24" t="s">
        <v>123</v>
      </c>
      <c r="H74" s="24" t="s">
        <v>123</v>
      </c>
      <c r="I74" s="24" t="s">
        <v>123</v>
      </c>
      <c r="J74" s="26" t="s">
        <v>123</v>
      </c>
      <c r="K74" s="46" t="s">
        <v>123</v>
      </c>
      <c r="L74" s="38" t="s">
        <v>73</v>
      </c>
      <c r="M74" s="9"/>
      <c r="N74" s="9"/>
      <c r="O74" s="7"/>
    </row>
    <row r="75" spans="1:15">
      <c r="A75" s="10" t="s">
        <v>74</v>
      </c>
      <c r="B75" s="40">
        <f t="shared" si="17"/>
        <v>0</v>
      </c>
      <c r="C75" s="24" t="s">
        <v>123</v>
      </c>
      <c r="D75" s="24" t="s">
        <v>123</v>
      </c>
      <c r="E75" s="24" t="s">
        <v>123</v>
      </c>
      <c r="F75" s="24" t="s">
        <v>123</v>
      </c>
      <c r="G75" s="24" t="s">
        <v>123</v>
      </c>
      <c r="H75" s="24" t="s">
        <v>123</v>
      </c>
      <c r="I75" s="24" t="s">
        <v>123</v>
      </c>
      <c r="J75" s="26" t="s">
        <v>123</v>
      </c>
      <c r="K75" s="46" t="s">
        <v>123</v>
      </c>
      <c r="L75" s="38" t="s">
        <v>75</v>
      </c>
      <c r="M75" s="9"/>
      <c r="N75" s="9"/>
      <c r="O75" s="7"/>
    </row>
    <row r="76" spans="1:15">
      <c r="A76" s="10" t="s">
        <v>76</v>
      </c>
      <c r="B76" s="40">
        <f t="shared" si="17"/>
        <v>43626</v>
      </c>
      <c r="C76" s="27">
        <v>1883</v>
      </c>
      <c r="D76" s="27">
        <v>41202</v>
      </c>
      <c r="E76" s="27">
        <v>541</v>
      </c>
      <c r="F76" s="25">
        <f>SUM(G76:I76)</f>
        <v>9737</v>
      </c>
      <c r="G76" s="29">
        <v>1470</v>
      </c>
      <c r="H76" s="30">
        <v>8221</v>
      </c>
      <c r="I76" s="29">
        <v>46</v>
      </c>
      <c r="J76" s="31">
        <v>2823</v>
      </c>
      <c r="K76" s="41">
        <v>1529</v>
      </c>
      <c r="L76" s="38" t="s">
        <v>77</v>
      </c>
      <c r="M76" s="9"/>
      <c r="N76" s="9"/>
      <c r="O76" s="7"/>
    </row>
    <row r="77" spans="1:15">
      <c r="A77" s="10" t="s">
        <v>78</v>
      </c>
      <c r="B77" s="40">
        <f t="shared" si="17"/>
        <v>47536</v>
      </c>
      <c r="C77" s="27">
        <v>1375</v>
      </c>
      <c r="D77" s="27">
        <v>42226</v>
      </c>
      <c r="E77" s="27">
        <v>3935</v>
      </c>
      <c r="F77" s="25">
        <f>SUM(G77:I77)</f>
        <v>28692</v>
      </c>
      <c r="G77" s="29">
        <v>1845</v>
      </c>
      <c r="H77" s="30">
        <v>26347</v>
      </c>
      <c r="I77" s="29">
        <v>500</v>
      </c>
      <c r="J77" s="31">
        <v>2980</v>
      </c>
      <c r="K77" s="41">
        <v>730</v>
      </c>
      <c r="L77" s="38" t="s">
        <v>79</v>
      </c>
      <c r="M77" s="9"/>
      <c r="N77" s="9"/>
      <c r="O77" s="7"/>
    </row>
    <row r="78" spans="1:15">
      <c r="A78" s="10" t="s">
        <v>80</v>
      </c>
      <c r="B78" s="40">
        <f t="shared" si="17"/>
        <v>72</v>
      </c>
      <c r="C78" s="24" t="s">
        <v>123</v>
      </c>
      <c r="D78" s="27">
        <v>72</v>
      </c>
      <c r="E78" s="24" t="s">
        <v>123</v>
      </c>
      <c r="F78" s="24" t="s">
        <v>123</v>
      </c>
      <c r="G78" s="24" t="s">
        <v>123</v>
      </c>
      <c r="H78" s="24" t="s">
        <v>123</v>
      </c>
      <c r="I78" s="24" t="s">
        <v>123</v>
      </c>
      <c r="J78" s="26" t="s">
        <v>123</v>
      </c>
      <c r="K78" s="46" t="s">
        <v>123</v>
      </c>
      <c r="L78" s="38" t="s">
        <v>81</v>
      </c>
      <c r="M78" s="9"/>
      <c r="N78" s="9"/>
      <c r="O78" s="7"/>
    </row>
    <row r="79" spans="1:15">
      <c r="A79" s="10" t="s">
        <v>82</v>
      </c>
      <c r="B79" s="40">
        <f t="shared" si="17"/>
        <v>8854</v>
      </c>
      <c r="C79" s="27">
        <v>2803</v>
      </c>
      <c r="D79" s="27">
        <v>5774</v>
      </c>
      <c r="E79" s="27">
        <v>277</v>
      </c>
      <c r="F79" s="25">
        <f>SUM(G79:I79)</f>
        <v>10478</v>
      </c>
      <c r="G79" s="29">
        <v>1615</v>
      </c>
      <c r="H79" s="30">
        <v>8104</v>
      </c>
      <c r="I79" s="29">
        <v>759</v>
      </c>
      <c r="J79" s="31">
        <v>1233</v>
      </c>
      <c r="K79" s="41">
        <v>117</v>
      </c>
      <c r="L79" s="38" t="s">
        <v>83</v>
      </c>
      <c r="M79" s="9"/>
      <c r="N79" s="9"/>
      <c r="O79" s="7"/>
    </row>
    <row r="80" spans="1:15">
      <c r="A80" s="74" t="s">
        <v>84</v>
      </c>
      <c r="B80" s="75">
        <f>SUM(C80,D80,E80)</f>
        <v>403550</v>
      </c>
      <c r="C80" s="72">
        <f>SUM(C82:C86)</f>
        <v>34966</v>
      </c>
      <c r="D80" s="66">
        <f t="shared" ref="D80:K80" si="18">SUM(D82:D86)</f>
        <v>365835</v>
      </c>
      <c r="E80" s="66">
        <f t="shared" si="18"/>
        <v>2749</v>
      </c>
      <c r="F80" s="72">
        <f>SUM(G80,H80,I80)</f>
        <v>152360</v>
      </c>
      <c r="G80" s="66">
        <f t="shared" si="18"/>
        <v>37419</v>
      </c>
      <c r="H80" s="66">
        <f t="shared" si="18"/>
        <v>112521</v>
      </c>
      <c r="I80" s="66">
        <f t="shared" si="18"/>
        <v>2420</v>
      </c>
      <c r="J80" s="64">
        <f t="shared" si="18"/>
        <v>10860</v>
      </c>
      <c r="K80" s="65">
        <f t="shared" si="18"/>
        <v>2806</v>
      </c>
      <c r="L80" s="73" t="s">
        <v>85</v>
      </c>
      <c r="M80" s="73"/>
      <c r="N80" s="73"/>
      <c r="O80" s="7"/>
    </row>
    <row r="81" spans="1:15">
      <c r="A81" s="74"/>
      <c r="B81" s="75"/>
      <c r="C81" s="72"/>
      <c r="D81" s="66"/>
      <c r="E81" s="66"/>
      <c r="F81" s="72"/>
      <c r="G81" s="66"/>
      <c r="H81" s="66"/>
      <c r="I81" s="66"/>
      <c r="J81" s="64"/>
      <c r="K81" s="65"/>
      <c r="L81" s="73"/>
      <c r="M81" s="73"/>
      <c r="N81" s="73"/>
      <c r="O81" s="7"/>
    </row>
    <row r="82" spans="1:15">
      <c r="A82" s="8" t="str">
        <f>VLOOKUP([1]ListOfRegions!A53,[1]ListOfRegions!A53:B127,2,0)</f>
        <v xml:space="preserve">  Λέσβου</v>
      </c>
      <c r="B82" s="40">
        <f>SUM(C82:E82)</f>
        <v>306676</v>
      </c>
      <c r="C82" s="27">
        <v>27215</v>
      </c>
      <c r="D82" s="27">
        <v>279461</v>
      </c>
      <c r="E82" s="24" t="s">
        <v>123</v>
      </c>
      <c r="F82" s="25">
        <f>SUM(G82:H82)</f>
        <v>43269</v>
      </c>
      <c r="G82" s="29">
        <v>22249</v>
      </c>
      <c r="H82" s="30">
        <v>21020</v>
      </c>
      <c r="I82" s="24" t="s">
        <v>123</v>
      </c>
      <c r="J82" s="31">
        <v>4379</v>
      </c>
      <c r="K82" s="41">
        <v>1302</v>
      </c>
      <c r="L82" s="38" t="s">
        <v>86</v>
      </c>
      <c r="M82" s="9"/>
      <c r="N82" s="9"/>
      <c r="O82" s="7"/>
    </row>
    <row r="83" spans="1:15">
      <c r="A83" s="8" t="str">
        <f>VLOOKUP([1]ListOfRegions!A54,[1]ListOfRegions!A54:B128,2,0)</f>
        <v xml:space="preserve">  Ικαρίας</v>
      </c>
      <c r="B83" s="40">
        <f>SUM(C83:E83)</f>
        <v>4936</v>
      </c>
      <c r="C83" s="27">
        <v>1482</v>
      </c>
      <c r="D83" s="27">
        <v>3454</v>
      </c>
      <c r="E83" s="24" t="s">
        <v>123</v>
      </c>
      <c r="F83" s="25">
        <f>SUM(G83:H83)</f>
        <v>23665</v>
      </c>
      <c r="G83" s="29">
        <v>5250</v>
      </c>
      <c r="H83" s="30">
        <v>18415</v>
      </c>
      <c r="I83" s="24" t="s">
        <v>123</v>
      </c>
      <c r="J83" s="31">
        <v>949</v>
      </c>
      <c r="K83" s="41">
        <v>237</v>
      </c>
      <c r="L83" s="38" t="s">
        <v>87</v>
      </c>
      <c r="M83" s="9"/>
      <c r="N83" s="9"/>
      <c r="O83" s="7"/>
    </row>
    <row r="84" spans="1:15">
      <c r="A84" s="8" t="str">
        <f>VLOOKUP([1]ListOfRegions!A55,[1]ListOfRegions!A55:B129,2,0)</f>
        <v xml:space="preserve">  Λήμνου</v>
      </c>
      <c r="B84" s="40">
        <f>SUM(C84:E84)</f>
        <v>72916</v>
      </c>
      <c r="C84" s="27">
        <v>4732</v>
      </c>
      <c r="D84" s="27">
        <v>68129</v>
      </c>
      <c r="E84" s="27">
        <v>55</v>
      </c>
      <c r="F84" s="25">
        <f>SUM(G84:H84)</f>
        <v>18115</v>
      </c>
      <c r="G84" s="29">
        <v>2628</v>
      </c>
      <c r="H84" s="30">
        <v>15487</v>
      </c>
      <c r="I84" s="24" t="s">
        <v>123</v>
      </c>
      <c r="J84" s="31">
        <v>1487</v>
      </c>
      <c r="K84" s="41">
        <v>533</v>
      </c>
      <c r="L84" s="38" t="s">
        <v>88</v>
      </c>
      <c r="M84" s="9"/>
      <c r="N84" s="9"/>
      <c r="O84" s="7"/>
    </row>
    <row r="85" spans="1:15">
      <c r="A85" s="8" t="str">
        <f>VLOOKUP([1]ListOfRegions!A56,[1]ListOfRegions!A56:B130,2,0)</f>
        <v xml:space="preserve">  Σάμου.</v>
      </c>
      <c r="B85" s="40">
        <f>SUM(C85:E85)</f>
        <v>2503</v>
      </c>
      <c r="C85" s="27">
        <v>477</v>
      </c>
      <c r="D85" s="27">
        <v>2016</v>
      </c>
      <c r="E85" s="27">
        <v>10</v>
      </c>
      <c r="F85" s="25">
        <f>SUM(G85:H85)</f>
        <v>12239</v>
      </c>
      <c r="G85" s="29">
        <v>1595</v>
      </c>
      <c r="H85" s="30">
        <v>10644</v>
      </c>
      <c r="I85" s="29">
        <v>70</v>
      </c>
      <c r="J85" s="31">
        <v>977</v>
      </c>
      <c r="K85" s="41">
        <v>223</v>
      </c>
      <c r="L85" s="38" t="s">
        <v>89</v>
      </c>
      <c r="M85" s="9"/>
      <c r="N85" s="9"/>
      <c r="O85" s="7"/>
    </row>
    <row r="86" spans="1:15">
      <c r="A86" s="8" t="str">
        <f>VLOOKUP([1]ListOfRegions!A57,[1]ListOfRegions!A57:B131,2,0)</f>
        <v xml:space="preserve">  Χίου</v>
      </c>
      <c r="B86" s="40">
        <f>SUM(C86:E86)</f>
        <v>16519</v>
      </c>
      <c r="C86" s="27">
        <v>1060</v>
      </c>
      <c r="D86" s="27">
        <v>12775</v>
      </c>
      <c r="E86" s="27">
        <v>2684</v>
      </c>
      <c r="F86" s="25">
        <f>SUM(G86:H86)</f>
        <v>52652</v>
      </c>
      <c r="G86" s="29">
        <v>5697</v>
      </c>
      <c r="H86" s="30">
        <v>46955</v>
      </c>
      <c r="I86" s="29">
        <v>2350</v>
      </c>
      <c r="J86" s="31">
        <v>3068</v>
      </c>
      <c r="K86" s="41">
        <v>511</v>
      </c>
      <c r="L86" s="38" t="s">
        <v>90</v>
      </c>
      <c r="M86" s="9"/>
      <c r="N86" s="9"/>
      <c r="O86" s="7"/>
    </row>
    <row r="87" spans="1:15">
      <c r="A87" s="74" t="s">
        <v>91</v>
      </c>
      <c r="B87" s="75">
        <f>SUM(C87,D87,E87)</f>
        <v>168579</v>
      </c>
      <c r="C87" s="72">
        <f>SUM(C89:C101)</f>
        <v>20932</v>
      </c>
      <c r="D87" s="66">
        <f t="shared" ref="D87:K87" si="19">SUM(D89:D101)</f>
        <v>147374</v>
      </c>
      <c r="E87" s="66">
        <f t="shared" si="19"/>
        <v>273</v>
      </c>
      <c r="F87" s="72">
        <f>SUM(G87,H87,I87)</f>
        <v>254596</v>
      </c>
      <c r="G87" s="66">
        <f t="shared" si="19"/>
        <v>33559</v>
      </c>
      <c r="H87" s="66">
        <f t="shared" si="19"/>
        <v>217437</v>
      </c>
      <c r="I87" s="66">
        <f t="shared" si="19"/>
        <v>3600</v>
      </c>
      <c r="J87" s="64">
        <f t="shared" si="19"/>
        <v>29431</v>
      </c>
      <c r="K87" s="65">
        <f t="shared" si="19"/>
        <v>5044</v>
      </c>
      <c r="L87" s="73" t="s">
        <v>92</v>
      </c>
      <c r="M87" s="73"/>
      <c r="N87" s="73"/>
      <c r="O87" s="7"/>
    </row>
    <row r="88" spans="1:15">
      <c r="A88" s="74"/>
      <c r="B88" s="75"/>
      <c r="C88" s="72"/>
      <c r="D88" s="66"/>
      <c r="E88" s="66"/>
      <c r="F88" s="72"/>
      <c r="G88" s="66"/>
      <c r="H88" s="66"/>
      <c r="I88" s="66"/>
      <c r="J88" s="64"/>
      <c r="K88" s="65"/>
      <c r="L88" s="73"/>
      <c r="M88" s="73"/>
      <c r="N88" s="73"/>
      <c r="O88" s="7"/>
    </row>
    <row r="89" spans="1:15">
      <c r="A89" s="8" t="str">
        <f>VLOOKUP([1]ListOfRegions!A58,[1]ListOfRegions!A58:B132,2,0)</f>
        <v xml:space="preserve">  Σύρου</v>
      </c>
      <c r="B89" s="40">
        <f>SUM(C89:E89)</f>
        <v>2510</v>
      </c>
      <c r="C89" s="27">
        <v>517</v>
      </c>
      <c r="D89" s="27">
        <v>1993</v>
      </c>
      <c r="E89" s="24" t="s">
        <v>123</v>
      </c>
      <c r="F89" s="25">
        <f>SUM(G89:H89)</f>
        <v>1890</v>
      </c>
      <c r="G89" s="29">
        <v>570</v>
      </c>
      <c r="H89" s="30">
        <v>1320</v>
      </c>
      <c r="I89" s="24" t="s">
        <v>123</v>
      </c>
      <c r="J89" s="31">
        <v>537</v>
      </c>
      <c r="K89" s="41">
        <v>112</v>
      </c>
      <c r="L89" s="38" t="s">
        <v>93</v>
      </c>
      <c r="M89" s="9"/>
      <c r="N89" s="9"/>
      <c r="O89" s="7"/>
    </row>
    <row r="90" spans="1:15">
      <c r="A90" s="8" t="str">
        <f>VLOOKUP([1]ListOfRegions!A59,[1]ListOfRegions!A59:B133,2,0)</f>
        <v xml:space="preserve">  Άνδρου</v>
      </c>
      <c r="B90" s="40">
        <f t="shared" ref="B90:B101" si="20">SUM(C90:E90)</f>
        <v>16872</v>
      </c>
      <c r="C90" s="27">
        <v>1169</v>
      </c>
      <c r="D90" s="27">
        <v>15703</v>
      </c>
      <c r="E90" s="24" t="s">
        <v>123</v>
      </c>
      <c r="F90" s="25">
        <f>SUM(G90:H90)</f>
        <v>18284</v>
      </c>
      <c r="G90" s="29">
        <v>1667</v>
      </c>
      <c r="H90" s="30">
        <v>16617</v>
      </c>
      <c r="I90" s="24" t="s">
        <v>123</v>
      </c>
      <c r="J90" s="31">
        <v>1079</v>
      </c>
      <c r="K90" s="41">
        <v>240</v>
      </c>
      <c r="L90" s="38" t="s">
        <v>94</v>
      </c>
      <c r="M90" s="9"/>
      <c r="N90" s="9"/>
      <c r="O90" s="7"/>
    </row>
    <row r="91" spans="1:15">
      <c r="A91" s="8" t="str">
        <f>VLOOKUP([1]ListOfRegions!A60,[1]ListOfRegions!A60:B134,2,0)</f>
        <v xml:space="preserve">  Θήρας</v>
      </c>
      <c r="B91" s="40">
        <f t="shared" si="20"/>
        <v>1787</v>
      </c>
      <c r="C91" s="27">
        <v>828</v>
      </c>
      <c r="D91" s="27">
        <v>959</v>
      </c>
      <c r="E91" s="24" t="s">
        <v>123</v>
      </c>
      <c r="F91" s="25">
        <f>SUM(G91:H91)</f>
        <v>5633</v>
      </c>
      <c r="G91" s="29">
        <v>1898</v>
      </c>
      <c r="H91" s="30">
        <v>3735</v>
      </c>
      <c r="I91" s="24" t="s">
        <v>123</v>
      </c>
      <c r="J91" s="31">
        <v>1322</v>
      </c>
      <c r="K91" s="41">
        <v>280</v>
      </c>
      <c r="L91" s="38" t="s">
        <v>95</v>
      </c>
      <c r="M91" s="9"/>
      <c r="N91" s="9"/>
      <c r="O91" s="7"/>
    </row>
    <row r="92" spans="1:15">
      <c r="A92" s="8" t="str">
        <f>VLOOKUP([1]ListOfRegions!A61,[1]ListOfRegions!A61:B135,2,0)</f>
        <v xml:space="preserve">  Καλύμνου</v>
      </c>
      <c r="B92" s="40">
        <f t="shared" si="20"/>
        <v>8923</v>
      </c>
      <c r="C92" s="27">
        <v>326</v>
      </c>
      <c r="D92" s="27">
        <v>8324</v>
      </c>
      <c r="E92" s="27">
        <v>273</v>
      </c>
      <c r="F92" s="25">
        <f>SUM(G92:I92)</f>
        <v>23540</v>
      </c>
      <c r="G92" s="29">
        <v>780</v>
      </c>
      <c r="H92" s="30">
        <v>19160</v>
      </c>
      <c r="I92" s="29">
        <v>3600</v>
      </c>
      <c r="J92" s="31">
        <v>1232</v>
      </c>
      <c r="K92" s="41">
        <v>210</v>
      </c>
      <c r="L92" s="38" t="s">
        <v>96</v>
      </c>
      <c r="M92" s="9"/>
      <c r="N92" s="9"/>
      <c r="O92" s="7"/>
    </row>
    <row r="93" spans="1:15">
      <c r="A93" s="8" t="str">
        <f>VLOOKUP([1]ListOfRegions!A62,[1]ListOfRegions!A62:B136,2,0)</f>
        <v xml:space="preserve">  Καρπάθου</v>
      </c>
      <c r="B93" s="40">
        <f t="shared" si="20"/>
        <v>3769</v>
      </c>
      <c r="C93" s="27">
        <v>69</v>
      </c>
      <c r="D93" s="27">
        <v>3700</v>
      </c>
      <c r="E93" s="24" t="s">
        <v>123</v>
      </c>
      <c r="F93" s="25">
        <f t="shared" ref="F93:F101" si="21">SUM(G93:H93)</f>
        <v>2590</v>
      </c>
      <c r="G93" s="29">
        <v>90</v>
      </c>
      <c r="H93" s="30">
        <v>2500</v>
      </c>
      <c r="I93" s="24" t="s">
        <v>123</v>
      </c>
      <c r="J93" s="31">
        <v>0</v>
      </c>
      <c r="K93" s="46" t="s">
        <v>123</v>
      </c>
      <c r="L93" s="38" t="s">
        <v>97</v>
      </c>
      <c r="M93" s="9"/>
      <c r="N93" s="9"/>
      <c r="O93" s="7"/>
    </row>
    <row r="94" spans="1:15">
      <c r="A94" s="8" t="str">
        <f>VLOOKUP([1]ListOfRegions!A63,[1]ListOfRegions!A63:B137,2,0)</f>
        <v xml:space="preserve">  Κύθνου</v>
      </c>
      <c r="B94" s="40">
        <f t="shared" si="20"/>
        <v>8460</v>
      </c>
      <c r="C94" s="27">
        <v>260</v>
      </c>
      <c r="D94" s="27">
        <v>8200</v>
      </c>
      <c r="E94" s="24" t="s">
        <v>123</v>
      </c>
      <c r="F94" s="25">
        <f t="shared" si="21"/>
        <v>8950</v>
      </c>
      <c r="G94" s="29">
        <v>250</v>
      </c>
      <c r="H94" s="30">
        <v>8700</v>
      </c>
      <c r="I94" s="24" t="s">
        <v>123</v>
      </c>
      <c r="J94" s="31">
        <v>381</v>
      </c>
      <c r="K94" s="41">
        <v>45</v>
      </c>
      <c r="L94" s="38" t="s">
        <v>98</v>
      </c>
      <c r="M94" s="9"/>
      <c r="N94" s="9"/>
      <c r="O94" s="7"/>
    </row>
    <row r="95" spans="1:15">
      <c r="A95" s="8" t="str">
        <f>VLOOKUP([1]ListOfRegions!A64,[1]ListOfRegions!A64:B138,2,0)</f>
        <v xml:space="preserve">  Κω</v>
      </c>
      <c r="B95" s="40">
        <f t="shared" si="20"/>
        <v>10948</v>
      </c>
      <c r="C95" s="27">
        <v>442</v>
      </c>
      <c r="D95" s="27">
        <v>10506</v>
      </c>
      <c r="E95" s="24" t="s">
        <v>123</v>
      </c>
      <c r="F95" s="25">
        <f t="shared" si="21"/>
        <v>17478</v>
      </c>
      <c r="G95" s="29">
        <v>1050</v>
      </c>
      <c r="H95" s="30">
        <v>16428</v>
      </c>
      <c r="I95" s="24" t="s">
        <v>123</v>
      </c>
      <c r="J95" s="31">
        <v>1272</v>
      </c>
      <c r="K95" s="41">
        <v>295</v>
      </c>
      <c r="L95" s="38" t="s">
        <v>99</v>
      </c>
      <c r="M95" s="9"/>
      <c r="N95" s="9"/>
      <c r="O95" s="7"/>
    </row>
    <row r="96" spans="1:15">
      <c r="A96" s="8" t="str">
        <f>VLOOKUP([1]ListOfRegions!A65,[1]ListOfRegions!A65:B139,2,0)</f>
        <v xml:space="preserve">  Μήλου</v>
      </c>
      <c r="B96" s="40">
        <f t="shared" si="20"/>
        <v>11396</v>
      </c>
      <c r="C96" s="27">
        <v>1994</v>
      </c>
      <c r="D96" s="27">
        <v>9402</v>
      </c>
      <c r="E96" s="24" t="s">
        <v>123</v>
      </c>
      <c r="F96" s="25">
        <f t="shared" si="21"/>
        <v>14870</v>
      </c>
      <c r="G96" s="29">
        <v>2186</v>
      </c>
      <c r="H96" s="30">
        <v>12684</v>
      </c>
      <c r="I96" s="24" t="s">
        <v>123</v>
      </c>
      <c r="J96" s="31">
        <v>950</v>
      </c>
      <c r="K96" s="41">
        <v>207</v>
      </c>
      <c r="L96" s="38" t="s">
        <v>100</v>
      </c>
      <c r="M96" s="9"/>
      <c r="N96" s="9"/>
      <c r="O96" s="7"/>
    </row>
    <row r="97" spans="1:15">
      <c r="A97" s="8" t="str">
        <f>VLOOKUP([1]ListOfRegions!A66,[1]ListOfRegions!A66:B140,2,0)</f>
        <v xml:space="preserve">  Μυκόνου.</v>
      </c>
      <c r="B97" s="40">
        <f t="shared" si="20"/>
        <v>5760</v>
      </c>
      <c r="C97" s="27">
        <v>1820</v>
      </c>
      <c r="D97" s="27">
        <v>3940</v>
      </c>
      <c r="E97" s="24" t="s">
        <v>123</v>
      </c>
      <c r="F97" s="25">
        <f t="shared" si="21"/>
        <v>2020</v>
      </c>
      <c r="G97" s="29">
        <v>260</v>
      </c>
      <c r="H97" s="30">
        <v>1760</v>
      </c>
      <c r="I97" s="24" t="s">
        <v>123</v>
      </c>
      <c r="J97" s="31">
        <v>334</v>
      </c>
      <c r="K97" s="41">
        <v>68</v>
      </c>
      <c r="L97" s="38" t="s">
        <v>101</v>
      </c>
      <c r="M97" s="9"/>
      <c r="N97" s="9"/>
      <c r="O97" s="7"/>
    </row>
    <row r="98" spans="1:15">
      <c r="A98" s="8" t="str">
        <f>VLOOKUP([1]ListOfRegions!A67,[1]ListOfRegions!A67:B141,2,0)</f>
        <v xml:space="preserve">  Νάξου</v>
      </c>
      <c r="B98" s="40">
        <f t="shared" si="20"/>
        <v>53258</v>
      </c>
      <c r="C98" s="27">
        <v>8124</v>
      </c>
      <c r="D98" s="27">
        <v>45134</v>
      </c>
      <c r="E98" s="24" t="s">
        <v>123</v>
      </c>
      <c r="F98" s="25">
        <f t="shared" si="21"/>
        <v>86273</v>
      </c>
      <c r="G98" s="29">
        <v>16071</v>
      </c>
      <c r="H98" s="30">
        <v>70202</v>
      </c>
      <c r="I98" s="24" t="s">
        <v>123</v>
      </c>
      <c r="J98" s="31">
        <v>4603</v>
      </c>
      <c r="K98" s="41">
        <v>879</v>
      </c>
      <c r="L98" s="38" t="s">
        <v>102</v>
      </c>
      <c r="M98" s="9"/>
      <c r="N98" s="9"/>
      <c r="O98" s="7"/>
    </row>
    <row r="99" spans="1:15">
      <c r="A99" s="8" t="str">
        <f>VLOOKUP([1]ListOfRegions!A68,[1]ListOfRegions!A68:B142,2,0)</f>
        <v xml:space="preserve">  Πάρου</v>
      </c>
      <c r="B99" s="40">
        <f t="shared" si="20"/>
        <v>3361</v>
      </c>
      <c r="C99" s="27">
        <v>1499</v>
      </c>
      <c r="D99" s="27">
        <v>1862</v>
      </c>
      <c r="E99" s="24" t="s">
        <v>123</v>
      </c>
      <c r="F99" s="25">
        <f t="shared" si="21"/>
        <v>7002</v>
      </c>
      <c r="G99" s="29">
        <v>2362</v>
      </c>
      <c r="H99" s="30">
        <v>4640</v>
      </c>
      <c r="I99" s="24" t="s">
        <v>123</v>
      </c>
      <c r="J99" s="31">
        <v>1993</v>
      </c>
      <c r="K99" s="41">
        <v>275</v>
      </c>
      <c r="L99" s="38" t="s">
        <v>103</v>
      </c>
      <c r="M99" s="9"/>
      <c r="N99" s="9"/>
      <c r="O99" s="7"/>
    </row>
    <row r="100" spans="1:15">
      <c r="A100" s="8" t="str">
        <f>VLOOKUP([1]ListOfRegions!A69,[1]ListOfRegions!A69:B143,2,0)</f>
        <v xml:space="preserve">  Ρόδου</v>
      </c>
      <c r="B100" s="40">
        <f t="shared" si="20"/>
        <v>31620</v>
      </c>
      <c r="C100" s="27">
        <v>3884</v>
      </c>
      <c r="D100" s="27">
        <v>27736</v>
      </c>
      <c r="E100" s="24" t="s">
        <v>123</v>
      </c>
      <c r="F100" s="25">
        <f t="shared" si="21"/>
        <v>54725</v>
      </c>
      <c r="G100" s="29">
        <v>6294</v>
      </c>
      <c r="H100" s="30">
        <v>48431</v>
      </c>
      <c r="I100" s="24" t="s">
        <v>123</v>
      </c>
      <c r="J100" s="31">
        <v>14989</v>
      </c>
      <c r="K100" s="41">
        <v>2329</v>
      </c>
      <c r="L100" s="38" t="s">
        <v>104</v>
      </c>
      <c r="M100" s="9"/>
      <c r="N100" s="9"/>
      <c r="O100" s="7"/>
    </row>
    <row r="101" spans="1:15">
      <c r="A101" s="8" t="str">
        <f>VLOOKUP([1]ListOfRegions!A70,[1]ListOfRegions!A70:B144,2,0)</f>
        <v xml:space="preserve">  Τήνου</v>
      </c>
      <c r="B101" s="40">
        <f t="shared" si="20"/>
        <v>9915</v>
      </c>
      <c r="C101" s="28"/>
      <c r="D101" s="27">
        <v>9915</v>
      </c>
      <c r="E101" s="24" t="s">
        <v>123</v>
      </c>
      <c r="F101" s="25">
        <f t="shared" si="21"/>
        <v>11341</v>
      </c>
      <c r="G101" s="29">
        <v>81</v>
      </c>
      <c r="H101" s="30">
        <v>11260</v>
      </c>
      <c r="I101" s="24" t="s">
        <v>123</v>
      </c>
      <c r="J101" s="31">
        <v>739</v>
      </c>
      <c r="K101" s="41">
        <v>104</v>
      </c>
      <c r="L101" s="38" t="s">
        <v>105</v>
      </c>
      <c r="M101" s="9"/>
      <c r="N101" s="9"/>
      <c r="O101" s="7"/>
    </row>
    <row r="102" spans="1:15">
      <c r="A102" s="74" t="s">
        <v>106</v>
      </c>
      <c r="B102" s="75">
        <f>SUM(C102,D102,E102)</f>
        <v>1423989</v>
      </c>
      <c r="C102" s="72">
        <f>SUM(C104:C107)</f>
        <v>139093</v>
      </c>
      <c r="D102" s="66">
        <f t="shared" ref="D102:K102" si="22">SUM(D104:D107)</f>
        <v>1190820</v>
      </c>
      <c r="E102" s="66">
        <f t="shared" si="22"/>
        <v>94076</v>
      </c>
      <c r="F102" s="72">
        <f>SUM(G102,H102,I102)</f>
        <v>683335</v>
      </c>
      <c r="G102" s="66">
        <f t="shared" si="22"/>
        <v>112948</v>
      </c>
      <c r="H102" s="66">
        <f t="shared" si="22"/>
        <v>523300</v>
      </c>
      <c r="I102" s="66">
        <f t="shared" si="22"/>
        <v>47087</v>
      </c>
      <c r="J102" s="64">
        <f t="shared" si="22"/>
        <v>59380</v>
      </c>
      <c r="K102" s="65">
        <f t="shared" si="22"/>
        <v>12617</v>
      </c>
      <c r="L102" s="73" t="s">
        <v>107</v>
      </c>
      <c r="M102" s="73"/>
      <c r="N102" s="73"/>
      <c r="O102" s="7"/>
    </row>
    <row r="103" spans="1:15">
      <c r="A103" s="74"/>
      <c r="B103" s="75"/>
      <c r="C103" s="72"/>
      <c r="D103" s="66"/>
      <c r="E103" s="66"/>
      <c r="F103" s="72"/>
      <c r="G103" s="66"/>
      <c r="H103" s="66"/>
      <c r="I103" s="66"/>
      <c r="J103" s="64"/>
      <c r="K103" s="65"/>
      <c r="L103" s="73"/>
      <c r="M103" s="73"/>
      <c r="N103" s="73"/>
      <c r="O103" s="7"/>
    </row>
    <row r="104" spans="1:15">
      <c r="A104" s="8" t="str">
        <f>VLOOKUP([1]ListOfRegions!A71,[1]ListOfRegions!A71:B145,2,0)</f>
        <v xml:space="preserve">  Ηρακλείου</v>
      </c>
      <c r="B104" s="40">
        <f>SUM(C104:E104)</f>
        <v>443053</v>
      </c>
      <c r="C104" s="27">
        <v>35652</v>
      </c>
      <c r="D104" s="27">
        <v>361046</v>
      </c>
      <c r="E104" s="27">
        <v>46355</v>
      </c>
      <c r="F104" s="25">
        <f>SUM(G104:I104)</f>
        <v>210798</v>
      </c>
      <c r="G104" s="29">
        <v>37591</v>
      </c>
      <c r="H104" s="30">
        <v>147387</v>
      </c>
      <c r="I104" s="29">
        <v>25820</v>
      </c>
      <c r="J104" s="31">
        <v>13012</v>
      </c>
      <c r="K104" s="41">
        <v>4405</v>
      </c>
      <c r="L104" s="38" t="s">
        <v>108</v>
      </c>
      <c r="M104" s="9"/>
      <c r="N104" s="9"/>
      <c r="O104" s="7"/>
    </row>
    <row r="105" spans="1:15">
      <c r="A105" s="8" t="str">
        <f>VLOOKUP([1]ListOfRegions!A72,[1]ListOfRegions!A72:B146,2,0)</f>
        <v xml:space="preserve">  Λασιθίου</v>
      </c>
      <c r="B105" s="40">
        <f>SUM(C105:E105)</f>
        <v>200297</v>
      </c>
      <c r="C105" s="27">
        <v>8092</v>
      </c>
      <c r="D105" s="27">
        <v>178035</v>
      </c>
      <c r="E105" s="27">
        <v>14170</v>
      </c>
      <c r="F105" s="25">
        <f>SUM(G105:I105)</f>
        <v>149149</v>
      </c>
      <c r="G105" s="29">
        <v>14599</v>
      </c>
      <c r="H105" s="30">
        <v>125355</v>
      </c>
      <c r="I105" s="29">
        <v>9195</v>
      </c>
      <c r="J105" s="31">
        <v>8227</v>
      </c>
      <c r="K105" s="41">
        <v>1099</v>
      </c>
      <c r="L105" s="38" t="s">
        <v>109</v>
      </c>
      <c r="M105" s="9"/>
      <c r="N105" s="9"/>
      <c r="O105" s="7"/>
    </row>
    <row r="106" spans="1:15">
      <c r="A106" s="8" t="str">
        <f>VLOOKUP([1]ListOfRegions!A73,[1]ListOfRegions!A73:B147,2,0)</f>
        <v xml:space="preserve">  Ρεθύμνης</v>
      </c>
      <c r="B106" s="40">
        <f>SUM(C106:E106)</f>
        <v>476981</v>
      </c>
      <c r="C106" s="27">
        <v>40409</v>
      </c>
      <c r="D106" s="27">
        <v>418369</v>
      </c>
      <c r="E106" s="27">
        <v>18203</v>
      </c>
      <c r="F106" s="25">
        <f>SUM(G106:I106)</f>
        <v>162148</v>
      </c>
      <c r="G106" s="29">
        <v>22843</v>
      </c>
      <c r="H106" s="30">
        <v>132681</v>
      </c>
      <c r="I106" s="29">
        <v>6624</v>
      </c>
      <c r="J106" s="31">
        <v>29822</v>
      </c>
      <c r="K106" s="41">
        <v>5891</v>
      </c>
      <c r="L106" s="38" t="s">
        <v>110</v>
      </c>
      <c r="M106" s="9"/>
      <c r="N106" s="9"/>
      <c r="O106" s="7"/>
    </row>
    <row r="107" spans="1:15" ht="10.8" thickBot="1">
      <c r="A107" s="11" t="str">
        <f>VLOOKUP([1]ListOfRegions!A74,[1]ListOfRegions!A74:B148,2,0)</f>
        <v xml:space="preserve">  Χανίων</v>
      </c>
      <c r="B107" s="47">
        <f>SUM(C107:E107)</f>
        <v>303658</v>
      </c>
      <c r="C107" s="48">
        <v>54940</v>
      </c>
      <c r="D107" s="48">
        <v>233370</v>
      </c>
      <c r="E107" s="48">
        <v>15348</v>
      </c>
      <c r="F107" s="49">
        <f>SUM(G107:I107)</f>
        <v>161240</v>
      </c>
      <c r="G107" s="50">
        <v>37915</v>
      </c>
      <c r="H107" s="51">
        <v>117877</v>
      </c>
      <c r="I107" s="50">
        <v>5448</v>
      </c>
      <c r="J107" s="32">
        <v>8319</v>
      </c>
      <c r="K107" s="52">
        <v>1222</v>
      </c>
      <c r="L107" s="57" t="s">
        <v>111</v>
      </c>
      <c r="M107" s="55"/>
      <c r="N107" s="56"/>
      <c r="O107" s="7"/>
    </row>
    <row r="108" spans="1:15">
      <c r="A108" s="12"/>
      <c r="K108" s="4"/>
      <c r="M108" s="67"/>
      <c r="N108" s="67"/>
    </row>
    <row r="109" spans="1:15">
      <c r="A109" s="13"/>
      <c r="K109" s="14"/>
      <c r="L109" s="13"/>
      <c r="M109" s="13"/>
      <c r="N109" s="13"/>
    </row>
    <row r="110" spans="1:15" ht="10.199999999999999" customHeight="1">
      <c r="A110" s="15"/>
      <c r="B110" s="16"/>
      <c r="C110" s="16"/>
      <c r="D110" s="16"/>
      <c r="E110" s="16"/>
      <c r="L110" s="16"/>
      <c r="M110" s="16"/>
      <c r="N110" s="16"/>
    </row>
    <row r="111" spans="1:15" ht="10.199999999999999" customHeight="1">
      <c r="A111" s="15"/>
      <c r="B111" s="16"/>
      <c r="C111" s="16"/>
      <c r="D111" s="16"/>
      <c r="E111" s="16"/>
      <c r="L111" s="16"/>
      <c r="M111" s="16"/>
      <c r="N111" s="16"/>
    </row>
    <row r="112" spans="1:15" ht="10.199999999999999" customHeight="1">
      <c r="A112" s="71"/>
      <c r="B112" s="71"/>
      <c r="C112" s="71"/>
      <c r="D112" s="71"/>
      <c r="E112" s="71"/>
      <c r="L112" s="71"/>
      <c r="M112" s="71"/>
      <c r="N112" s="71"/>
    </row>
    <row r="113" spans="1:14">
      <c r="A113" s="71"/>
      <c r="B113" s="71"/>
      <c r="C113" s="71"/>
      <c r="D113" s="71"/>
      <c r="E113" s="71"/>
      <c r="L113" s="71"/>
      <c r="M113" s="71"/>
      <c r="N113" s="71"/>
    </row>
    <row r="114" spans="1:14">
      <c r="A114" s="7"/>
    </row>
    <row r="115" spans="1:14">
      <c r="A115" s="7"/>
    </row>
    <row r="116" spans="1:14">
      <c r="A116" s="7"/>
    </row>
    <row r="117" spans="1:14">
      <c r="A117" s="7"/>
    </row>
    <row r="118" spans="1:14">
      <c r="A118" s="7"/>
    </row>
    <row r="119" spans="1:14">
      <c r="A119" s="7"/>
    </row>
    <row r="120" spans="1:14">
      <c r="A120" s="7"/>
    </row>
    <row r="121" spans="1:14">
      <c r="A121" s="7"/>
    </row>
    <row r="122" spans="1:14">
      <c r="A122" s="17"/>
    </row>
    <row r="123" spans="1:14" s="7" customFormat="1">
      <c r="A123" s="59"/>
      <c r="B123" s="59"/>
      <c r="C123" s="59"/>
      <c r="D123" s="59"/>
      <c r="E123" s="59"/>
      <c r="F123" s="59"/>
      <c r="G123" s="67"/>
      <c r="H123" s="67"/>
      <c r="I123" s="67"/>
      <c r="J123" s="67"/>
      <c r="K123" s="67"/>
    </row>
    <row r="124" spans="1:14" s="7" customFormat="1">
      <c r="A124" s="59"/>
      <c r="B124" s="59"/>
      <c r="C124" s="59"/>
      <c r="D124" s="59"/>
      <c r="E124" s="59"/>
      <c r="F124" s="59"/>
      <c r="G124" s="67"/>
      <c r="H124" s="67"/>
      <c r="I124" s="67"/>
      <c r="J124" s="67"/>
      <c r="K124" s="67"/>
    </row>
    <row r="125" spans="1:14" s="7" customFormat="1">
      <c r="A125" s="59"/>
      <c r="B125" s="59"/>
      <c r="C125" s="59"/>
      <c r="D125" s="59"/>
      <c r="E125" s="59"/>
      <c r="F125" s="59"/>
      <c r="G125" s="67"/>
      <c r="H125" s="67"/>
      <c r="I125" s="67"/>
      <c r="J125" s="67"/>
      <c r="K125" s="67"/>
    </row>
    <row r="126" spans="1:14" s="7" customFormat="1">
      <c r="A126" s="18"/>
      <c r="F126" s="68"/>
      <c r="G126" s="68"/>
      <c r="H126" s="68"/>
      <c r="I126" s="68"/>
      <c r="J126" s="68"/>
      <c r="K126" s="68"/>
    </row>
    <row r="127" spans="1:14" s="7" customFormat="1">
      <c r="A127" s="69"/>
      <c r="B127" s="63"/>
      <c r="C127" s="63"/>
      <c r="D127" s="63"/>
      <c r="E127" s="63"/>
      <c r="F127" s="63"/>
      <c r="G127" s="63"/>
      <c r="H127" s="63"/>
      <c r="I127" s="63"/>
      <c r="J127" s="63"/>
      <c r="K127" s="63"/>
    </row>
    <row r="128" spans="1:14" s="7" customFormat="1">
      <c r="A128" s="69"/>
      <c r="B128" s="63"/>
      <c r="C128" s="63"/>
      <c r="D128" s="63"/>
      <c r="E128" s="63"/>
      <c r="F128" s="63"/>
      <c r="G128" s="63"/>
      <c r="H128" s="63"/>
      <c r="I128" s="63"/>
      <c r="J128" s="63"/>
      <c r="K128" s="63"/>
    </row>
    <row r="129" spans="1:11" s="7" customFormat="1">
      <c r="A129" s="69"/>
      <c r="B129" s="63"/>
      <c r="C129" s="63"/>
      <c r="D129" s="63"/>
      <c r="E129" s="63"/>
      <c r="F129" s="63"/>
      <c r="G129" s="63"/>
      <c r="H129" s="63"/>
      <c r="I129" s="63"/>
      <c r="J129" s="63"/>
      <c r="K129" s="63"/>
    </row>
    <row r="130" spans="1:11" s="7" customFormat="1">
      <c r="A130" s="6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s="7" customFormat="1">
      <c r="A131" s="20"/>
    </row>
    <row r="132" spans="1:11" s="7" customFormat="1">
      <c r="A132" s="21"/>
    </row>
    <row r="133" spans="1:11" s="7" customFormat="1">
      <c r="A133" s="70"/>
      <c r="B133" s="58"/>
      <c r="C133" s="58"/>
      <c r="D133" s="58"/>
      <c r="E133" s="58"/>
      <c r="F133" s="58"/>
      <c r="G133" s="58"/>
      <c r="H133" s="58"/>
      <c r="I133" s="58"/>
      <c r="J133" s="58"/>
      <c r="K133" s="58"/>
    </row>
    <row r="134" spans="1:11" s="7" customFormat="1">
      <c r="A134" s="70"/>
      <c r="B134" s="58"/>
      <c r="C134" s="58"/>
      <c r="D134" s="58"/>
      <c r="E134" s="58"/>
      <c r="F134" s="58"/>
      <c r="G134" s="58"/>
      <c r="H134" s="58"/>
      <c r="I134" s="58"/>
      <c r="J134" s="58"/>
      <c r="K134" s="58"/>
    </row>
    <row r="135" spans="1:11" s="7" customFormat="1">
      <c r="A135" s="70"/>
      <c r="B135" s="58"/>
      <c r="C135" s="58"/>
      <c r="D135" s="58"/>
      <c r="E135" s="58"/>
      <c r="F135" s="58"/>
      <c r="G135" s="58"/>
      <c r="H135" s="58"/>
      <c r="I135" s="58"/>
      <c r="J135" s="58"/>
      <c r="K135" s="58"/>
    </row>
    <row r="136" spans="1:11" s="7" customFormat="1">
      <c r="A136" s="21"/>
      <c r="F136" s="22"/>
      <c r="G136" s="22"/>
    </row>
    <row r="137" spans="1:11" s="7" customFormat="1">
      <c r="A137" s="21"/>
      <c r="F137" s="22"/>
      <c r="G137" s="22"/>
    </row>
    <row r="138" spans="1:11" s="7" customFormat="1">
      <c r="A138" s="21"/>
      <c r="F138" s="22"/>
      <c r="G138" s="22"/>
    </row>
    <row r="139" spans="1:11" s="7" customFormat="1">
      <c r="A139" s="21"/>
      <c r="F139" s="22"/>
      <c r="G139" s="22"/>
    </row>
    <row r="140" spans="1:11" s="7" customFormat="1">
      <c r="A140" s="21"/>
      <c r="F140" s="22"/>
      <c r="G140" s="22"/>
    </row>
    <row r="141" spans="1:11" s="7" customFormat="1">
      <c r="A141" s="21"/>
      <c r="F141" s="22"/>
      <c r="G141" s="22"/>
    </row>
    <row r="142" spans="1:11" s="7" customFormat="1">
      <c r="A142" s="70"/>
    </row>
    <row r="143" spans="1:11" s="7" customFormat="1">
      <c r="A143" s="70"/>
    </row>
    <row r="144" spans="1:11" s="7" customFormat="1">
      <c r="A144" s="21"/>
      <c r="F144" s="22"/>
      <c r="G144" s="22"/>
    </row>
    <row r="145" spans="1:7" s="7" customFormat="1">
      <c r="A145" s="21"/>
      <c r="F145" s="22"/>
      <c r="G145" s="22"/>
    </row>
    <row r="146" spans="1:7" s="7" customFormat="1">
      <c r="A146" s="21"/>
      <c r="F146" s="22"/>
      <c r="G146" s="22"/>
    </row>
    <row r="147" spans="1:7" s="7" customFormat="1">
      <c r="A147" s="21"/>
      <c r="F147" s="22"/>
      <c r="G147" s="22"/>
    </row>
    <row r="148" spans="1:7" s="7" customFormat="1">
      <c r="A148" s="21"/>
      <c r="F148" s="22"/>
      <c r="G148" s="22"/>
    </row>
    <row r="149" spans="1:7" s="7" customFormat="1">
      <c r="A149" s="21"/>
      <c r="F149" s="22"/>
      <c r="G149" s="22"/>
    </row>
    <row r="150" spans="1:7" s="7" customFormat="1">
      <c r="A150" s="21"/>
      <c r="F150" s="22"/>
      <c r="G150" s="22"/>
    </row>
    <row r="151" spans="1:7" s="7" customFormat="1">
      <c r="A151" s="21"/>
      <c r="F151" s="22"/>
      <c r="G151" s="22"/>
    </row>
    <row r="152" spans="1:7" s="7" customFormat="1">
      <c r="A152" s="21"/>
      <c r="F152" s="22"/>
      <c r="G152" s="22"/>
    </row>
    <row r="153" spans="1:7" s="7" customFormat="1">
      <c r="A153" s="21"/>
      <c r="F153" s="22"/>
      <c r="G153" s="22"/>
    </row>
    <row r="154" spans="1:7" s="7" customFormat="1">
      <c r="A154" s="21"/>
      <c r="F154" s="22"/>
      <c r="G154" s="22"/>
    </row>
    <row r="155" spans="1:7" s="7" customFormat="1">
      <c r="A155" s="62"/>
    </row>
    <row r="156" spans="1:7" s="7" customFormat="1">
      <c r="A156" s="62"/>
    </row>
    <row r="157" spans="1:7" s="7" customFormat="1">
      <c r="A157" s="21"/>
      <c r="F157" s="22"/>
      <c r="G157" s="22"/>
    </row>
    <row r="158" spans="1:7" s="7" customFormat="1">
      <c r="A158" s="21"/>
      <c r="F158" s="22"/>
      <c r="G158" s="22"/>
    </row>
    <row r="159" spans="1:7" s="7" customFormat="1">
      <c r="A159" s="21"/>
      <c r="F159" s="22"/>
      <c r="G159" s="22"/>
    </row>
    <row r="160" spans="1:7" s="7" customFormat="1">
      <c r="A160" s="21"/>
      <c r="F160" s="22"/>
      <c r="G160" s="22"/>
    </row>
    <row r="161" spans="1:7" s="7" customFormat="1">
      <c r="A161" s="62"/>
    </row>
    <row r="162" spans="1:7" s="7" customFormat="1">
      <c r="A162" s="62"/>
    </row>
    <row r="163" spans="1:7" s="7" customFormat="1">
      <c r="A163" s="21"/>
      <c r="F163" s="22"/>
      <c r="G163" s="22"/>
    </row>
    <row r="164" spans="1:7" s="7" customFormat="1">
      <c r="A164" s="21"/>
      <c r="F164" s="22"/>
      <c r="G164" s="22"/>
    </row>
    <row r="165" spans="1:7" s="7" customFormat="1">
      <c r="A165" s="21"/>
      <c r="F165" s="22"/>
      <c r="G165" s="22"/>
    </row>
    <row r="166" spans="1:7" s="7" customFormat="1">
      <c r="A166" s="21"/>
      <c r="F166" s="22"/>
      <c r="G166" s="22"/>
    </row>
    <row r="167" spans="1:7" s="7" customFormat="1">
      <c r="A167" s="21"/>
      <c r="F167" s="22"/>
      <c r="G167" s="22"/>
    </row>
    <row r="168" spans="1:7" s="7" customFormat="1">
      <c r="A168" s="62"/>
    </row>
    <row r="169" spans="1:7" s="7" customFormat="1">
      <c r="A169" s="62"/>
    </row>
    <row r="170" spans="1:7" s="7" customFormat="1">
      <c r="A170" s="21"/>
      <c r="F170" s="22"/>
      <c r="G170" s="22"/>
    </row>
    <row r="171" spans="1:7" s="7" customFormat="1">
      <c r="A171" s="21"/>
      <c r="F171" s="22"/>
      <c r="G171" s="22"/>
    </row>
    <row r="172" spans="1:7" s="7" customFormat="1">
      <c r="A172" s="21"/>
      <c r="F172" s="22"/>
      <c r="G172" s="22"/>
    </row>
    <row r="173" spans="1:7" s="7" customFormat="1">
      <c r="A173" s="21"/>
      <c r="F173" s="22"/>
      <c r="G173" s="22"/>
    </row>
    <row r="174" spans="1:7" s="7" customFormat="1">
      <c r="A174" s="21"/>
      <c r="F174" s="22"/>
      <c r="G174" s="22"/>
    </row>
    <row r="175" spans="1:7" s="7" customFormat="1">
      <c r="A175" s="62"/>
    </row>
    <row r="176" spans="1:7" s="7" customFormat="1">
      <c r="A176" s="62"/>
    </row>
    <row r="177" spans="1:7" s="7" customFormat="1">
      <c r="A177" s="21"/>
      <c r="F177" s="22"/>
      <c r="G177" s="22"/>
    </row>
    <row r="178" spans="1:7" s="7" customFormat="1">
      <c r="A178" s="21"/>
      <c r="F178" s="22"/>
      <c r="G178" s="22"/>
    </row>
    <row r="179" spans="1:7" s="7" customFormat="1">
      <c r="A179" s="21"/>
      <c r="F179" s="22"/>
      <c r="G179" s="22"/>
    </row>
    <row r="180" spans="1:7" s="7" customFormat="1">
      <c r="A180" s="21"/>
      <c r="F180" s="22"/>
      <c r="G180" s="22"/>
    </row>
    <row r="181" spans="1:7" s="7" customFormat="1">
      <c r="A181" s="21"/>
      <c r="F181" s="22"/>
      <c r="G181" s="22"/>
    </row>
    <row r="182" spans="1:7" s="7" customFormat="1">
      <c r="A182" s="62"/>
    </row>
    <row r="183" spans="1:7" s="7" customFormat="1">
      <c r="A183" s="62"/>
    </row>
    <row r="184" spans="1:7" s="7" customFormat="1">
      <c r="A184" s="21"/>
      <c r="F184" s="22"/>
      <c r="G184" s="22"/>
    </row>
    <row r="185" spans="1:7" s="7" customFormat="1">
      <c r="A185" s="21"/>
      <c r="F185" s="22"/>
      <c r="G185" s="22"/>
    </row>
    <row r="186" spans="1:7" s="7" customFormat="1">
      <c r="A186" s="21"/>
      <c r="F186" s="22"/>
      <c r="G186" s="22"/>
    </row>
    <row r="187" spans="1:7" s="7" customFormat="1">
      <c r="A187" s="62"/>
    </row>
    <row r="188" spans="1:7" s="7" customFormat="1">
      <c r="A188" s="62"/>
    </row>
    <row r="189" spans="1:7" s="7" customFormat="1">
      <c r="A189" s="21"/>
      <c r="F189" s="22"/>
      <c r="G189" s="22"/>
    </row>
    <row r="190" spans="1:7" s="7" customFormat="1">
      <c r="A190" s="21"/>
      <c r="F190" s="22"/>
      <c r="G190" s="22"/>
    </row>
    <row r="191" spans="1:7" s="7" customFormat="1">
      <c r="A191" s="21"/>
      <c r="F191" s="22"/>
      <c r="G191" s="22"/>
    </row>
    <row r="192" spans="1:7" s="7" customFormat="1">
      <c r="A192" s="21"/>
      <c r="F192" s="22"/>
      <c r="G192" s="22"/>
    </row>
    <row r="193" spans="1:7" s="7" customFormat="1">
      <c r="A193" s="21"/>
      <c r="F193" s="22"/>
      <c r="G193" s="22"/>
    </row>
    <row r="194" spans="1:7" s="7" customFormat="1">
      <c r="A194" s="62"/>
    </row>
    <row r="195" spans="1:7" s="7" customFormat="1">
      <c r="A195" s="62"/>
    </row>
    <row r="196" spans="1:7" s="7" customFormat="1">
      <c r="A196" s="21"/>
      <c r="F196" s="22"/>
      <c r="G196" s="22"/>
    </row>
    <row r="197" spans="1:7" s="7" customFormat="1">
      <c r="A197" s="21"/>
      <c r="F197" s="22"/>
      <c r="G197" s="22"/>
    </row>
    <row r="198" spans="1:7" s="7" customFormat="1">
      <c r="A198" s="21"/>
      <c r="F198" s="22"/>
      <c r="G198" s="22"/>
    </row>
    <row r="199" spans="1:7" s="7" customFormat="1">
      <c r="A199" s="21"/>
      <c r="F199" s="22"/>
      <c r="G199" s="22"/>
    </row>
    <row r="200" spans="1:7" s="7" customFormat="1">
      <c r="A200" s="21"/>
      <c r="F200" s="22"/>
      <c r="G200" s="22"/>
    </row>
    <row r="201" spans="1:7" s="7" customFormat="1">
      <c r="A201" s="21"/>
      <c r="F201" s="22"/>
      <c r="G201" s="22"/>
    </row>
    <row r="202" spans="1:7" s="7" customFormat="1">
      <c r="A202" s="21"/>
      <c r="F202" s="22"/>
      <c r="G202" s="22"/>
    </row>
    <row r="203" spans="1:7" s="7" customFormat="1">
      <c r="A203" s="21"/>
      <c r="F203" s="22"/>
      <c r="G203" s="22"/>
    </row>
    <row r="204" spans="1:7" s="7" customFormat="1">
      <c r="A204" s="62"/>
    </row>
    <row r="205" spans="1:7" s="7" customFormat="1">
      <c r="A205" s="62"/>
    </row>
    <row r="206" spans="1:7" s="7" customFormat="1">
      <c r="A206" s="21"/>
      <c r="F206" s="22"/>
      <c r="G206" s="22"/>
    </row>
    <row r="207" spans="1:7" s="7" customFormat="1">
      <c r="A207" s="21"/>
      <c r="F207" s="22"/>
      <c r="G207" s="22"/>
    </row>
    <row r="208" spans="1:7" s="7" customFormat="1">
      <c r="A208" s="21"/>
      <c r="F208" s="22"/>
      <c r="G208" s="22"/>
    </row>
    <row r="209" spans="1:7" s="7" customFormat="1">
      <c r="A209" s="21"/>
      <c r="F209" s="22"/>
      <c r="G209" s="22"/>
    </row>
    <row r="210" spans="1:7" s="7" customFormat="1">
      <c r="A210" s="21"/>
      <c r="F210" s="22"/>
      <c r="G210" s="22"/>
    </row>
    <row r="211" spans="1:7" s="7" customFormat="1">
      <c r="A211" s="62"/>
    </row>
    <row r="212" spans="1:7" s="7" customFormat="1">
      <c r="A212" s="62"/>
    </row>
    <row r="213" spans="1:7" s="7" customFormat="1">
      <c r="A213" s="21"/>
      <c r="F213" s="22"/>
      <c r="G213" s="22"/>
    </row>
    <row r="214" spans="1:7" s="7" customFormat="1">
      <c r="A214" s="21"/>
      <c r="F214" s="22"/>
      <c r="G214" s="22"/>
    </row>
    <row r="215" spans="1:7" s="7" customFormat="1">
      <c r="A215" s="21"/>
      <c r="F215" s="22"/>
      <c r="G215" s="22"/>
    </row>
    <row r="216" spans="1:7" s="7" customFormat="1">
      <c r="A216" s="21"/>
      <c r="F216" s="22"/>
      <c r="G216" s="22"/>
    </row>
    <row r="217" spans="1:7" s="7" customFormat="1">
      <c r="A217" s="21"/>
      <c r="F217" s="22"/>
      <c r="G217" s="22"/>
    </row>
    <row r="218" spans="1:7" s="7" customFormat="1">
      <c r="A218" s="21"/>
      <c r="F218" s="22"/>
      <c r="G218" s="22"/>
    </row>
    <row r="219" spans="1:7" s="7" customFormat="1">
      <c r="A219" s="21"/>
      <c r="F219" s="22"/>
      <c r="G219" s="22"/>
    </row>
    <row r="220" spans="1:7" s="7" customFormat="1">
      <c r="A220" s="21"/>
      <c r="F220" s="22"/>
      <c r="G220" s="22"/>
    </row>
    <row r="221" spans="1:7" s="7" customFormat="1">
      <c r="A221" s="21"/>
      <c r="F221" s="22"/>
      <c r="G221" s="22"/>
    </row>
    <row r="222" spans="1:7" s="7" customFormat="1">
      <c r="A222" s="21"/>
      <c r="F222" s="22"/>
      <c r="G222" s="22"/>
    </row>
    <row r="223" spans="1:7" s="7" customFormat="1">
      <c r="A223" s="21"/>
      <c r="F223" s="22"/>
      <c r="G223" s="22"/>
    </row>
    <row r="224" spans="1:7" s="7" customFormat="1">
      <c r="A224" s="21"/>
      <c r="F224" s="22"/>
      <c r="G224" s="22"/>
    </row>
    <row r="225" spans="1:7" s="7" customFormat="1">
      <c r="A225" s="21"/>
      <c r="F225" s="22"/>
      <c r="G225" s="22"/>
    </row>
    <row r="226" spans="1:7" s="7" customFormat="1">
      <c r="A226" s="62"/>
    </row>
    <row r="227" spans="1:7" s="7" customFormat="1">
      <c r="A227" s="62"/>
    </row>
    <row r="228" spans="1:7" s="7" customFormat="1">
      <c r="A228" s="21"/>
      <c r="F228" s="22"/>
      <c r="G228" s="22"/>
    </row>
    <row r="229" spans="1:7" s="7" customFormat="1">
      <c r="A229" s="21"/>
      <c r="F229" s="22"/>
      <c r="G229" s="22"/>
    </row>
    <row r="230" spans="1:7" s="7" customFormat="1">
      <c r="A230" s="21"/>
      <c r="F230" s="22"/>
      <c r="G230" s="22"/>
    </row>
    <row r="231" spans="1:7" s="7" customFormat="1">
      <c r="A231" s="21"/>
      <c r="F231" s="22"/>
      <c r="G231" s="22"/>
    </row>
    <row r="232" spans="1:7" s="7" customFormat="1">
      <c r="A232" s="21"/>
    </row>
    <row r="233" spans="1:7">
      <c r="A233" s="23"/>
    </row>
  </sheetData>
  <mergeCells count="212">
    <mergeCell ref="A2:F2"/>
    <mergeCell ref="G2:N2"/>
    <mergeCell ref="G3:K3"/>
    <mergeCell ref="M3:N3"/>
    <mergeCell ref="A4:A6"/>
    <mergeCell ref="J4:K4"/>
    <mergeCell ref="L4:N6"/>
    <mergeCell ref="B4:E4"/>
    <mergeCell ref="F4:I4"/>
    <mergeCell ref="B5:B6"/>
    <mergeCell ref="E5:E6"/>
    <mergeCell ref="F5:F6"/>
    <mergeCell ref="G5:G6"/>
    <mergeCell ref="J5:J6"/>
    <mergeCell ref="K5:K6"/>
    <mergeCell ref="H5:H6"/>
    <mergeCell ref="I5:I6"/>
    <mergeCell ref="C5:C6"/>
    <mergeCell ref="L7:N8"/>
    <mergeCell ref="F7:F8"/>
    <mergeCell ref="G7:G8"/>
    <mergeCell ref="H7:H8"/>
    <mergeCell ref="I7:I8"/>
    <mergeCell ref="J7:J8"/>
    <mergeCell ref="K7:K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7:A8"/>
    <mergeCell ref="B7:B8"/>
    <mergeCell ref="C7:C8"/>
    <mergeCell ref="D7:D8"/>
    <mergeCell ref="E7:E8"/>
    <mergeCell ref="J17:J18"/>
    <mergeCell ref="K17:K18"/>
    <mergeCell ref="L17:N18"/>
    <mergeCell ref="K9:K10"/>
    <mergeCell ref="L9:N10"/>
    <mergeCell ref="H17:H18"/>
    <mergeCell ref="I17:I18"/>
    <mergeCell ref="A31:A32"/>
    <mergeCell ref="B31:B32"/>
    <mergeCell ref="C31:C32"/>
    <mergeCell ref="D31:D32"/>
    <mergeCell ref="E31:E32"/>
    <mergeCell ref="J9:J10"/>
    <mergeCell ref="A17:A18"/>
    <mergeCell ref="B17:B18"/>
    <mergeCell ref="C17:C18"/>
    <mergeCell ref="D17:D18"/>
    <mergeCell ref="E17:E18"/>
    <mergeCell ref="F17:F18"/>
    <mergeCell ref="G17:G18"/>
    <mergeCell ref="L31:N32"/>
    <mergeCell ref="F31:F32"/>
    <mergeCell ref="G31:G32"/>
    <mergeCell ref="H31:H32"/>
    <mergeCell ref="J31:J32"/>
    <mergeCell ref="K31:K32"/>
    <mergeCell ref="L44:N45"/>
    <mergeCell ref="A51:A52"/>
    <mergeCell ref="B51:B52"/>
    <mergeCell ref="C51:C52"/>
    <mergeCell ref="D51:D52"/>
    <mergeCell ref="E51:E52"/>
    <mergeCell ref="L51:N52"/>
    <mergeCell ref="F51:F52"/>
    <mergeCell ref="G51:G52"/>
    <mergeCell ref="H51:H52"/>
    <mergeCell ref="J37:J38"/>
    <mergeCell ref="K37:K38"/>
    <mergeCell ref="L37:N38"/>
    <mergeCell ref="A44:A45"/>
    <mergeCell ref="B44:B45"/>
    <mergeCell ref="C44:C45"/>
    <mergeCell ref="D44:D45"/>
    <mergeCell ref="E44:E45"/>
    <mergeCell ref="F44:F45"/>
    <mergeCell ref="G44:G45"/>
    <mergeCell ref="I51:I52"/>
    <mergeCell ref="L70:N71"/>
    <mergeCell ref="F70:F71"/>
    <mergeCell ref="G70:G71"/>
    <mergeCell ref="H70:H71"/>
    <mergeCell ref="J44:J45"/>
    <mergeCell ref="K44:K45"/>
    <mergeCell ref="D37:D38"/>
    <mergeCell ref="E37:E38"/>
    <mergeCell ref="F37:F38"/>
    <mergeCell ref="G37:G38"/>
    <mergeCell ref="H37:H38"/>
    <mergeCell ref="I37:I38"/>
    <mergeCell ref="H44:H45"/>
    <mergeCell ref="I44:I45"/>
    <mergeCell ref="D58:D59"/>
    <mergeCell ref="E58:E59"/>
    <mergeCell ref="F58:F59"/>
    <mergeCell ref="G58:G59"/>
    <mergeCell ref="H58:H59"/>
    <mergeCell ref="I58:I59"/>
    <mergeCell ref="J58:J59"/>
    <mergeCell ref="K58:K59"/>
    <mergeCell ref="L58:N59"/>
    <mergeCell ref="A63:A64"/>
    <mergeCell ref="B63:B64"/>
    <mergeCell ref="C63:C64"/>
    <mergeCell ref="D63:D64"/>
    <mergeCell ref="E63:E64"/>
    <mergeCell ref="F63:F64"/>
    <mergeCell ref="G63:G64"/>
    <mergeCell ref="A58:A59"/>
    <mergeCell ref="B58:B59"/>
    <mergeCell ref="C58:C59"/>
    <mergeCell ref="K63:K64"/>
    <mergeCell ref="L63:N64"/>
    <mergeCell ref="L87:N88"/>
    <mergeCell ref="A102:A103"/>
    <mergeCell ref="B102:B103"/>
    <mergeCell ref="C102:C103"/>
    <mergeCell ref="D102:D103"/>
    <mergeCell ref="E102:E103"/>
    <mergeCell ref="K80:K81"/>
    <mergeCell ref="L80:N81"/>
    <mergeCell ref="A87:A88"/>
    <mergeCell ref="B87:B88"/>
    <mergeCell ref="C87:C88"/>
    <mergeCell ref="D87:D88"/>
    <mergeCell ref="E87:E88"/>
    <mergeCell ref="F87:F88"/>
    <mergeCell ref="G87:G88"/>
    <mergeCell ref="L102:N103"/>
    <mergeCell ref="A80:A81"/>
    <mergeCell ref="B80:B81"/>
    <mergeCell ref="C80:C81"/>
    <mergeCell ref="D80:D81"/>
    <mergeCell ref="E80:E81"/>
    <mergeCell ref="F80:F81"/>
    <mergeCell ref="G80:G81"/>
    <mergeCell ref="K102:K103"/>
    <mergeCell ref="M108:N108"/>
    <mergeCell ref="A112:E112"/>
    <mergeCell ref="L112:N112"/>
    <mergeCell ref="A113:E113"/>
    <mergeCell ref="L113:N113"/>
    <mergeCell ref="F102:F103"/>
    <mergeCell ref="G102:G103"/>
    <mergeCell ref="H102:H103"/>
    <mergeCell ref="I102:I103"/>
    <mergeCell ref="J102:J103"/>
    <mergeCell ref="J133:J135"/>
    <mergeCell ref="K133:K135"/>
    <mergeCell ref="F133:F135"/>
    <mergeCell ref="I70:I71"/>
    <mergeCell ref="J70:J71"/>
    <mergeCell ref="K70:K71"/>
    <mergeCell ref="J80:J81"/>
    <mergeCell ref="J87:J88"/>
    <mergeCell ref="K87:K88"/>
    <mergeCell ref="H80:H81"/>
    <mergeCell ref="I80:I81"/>
    <mergeCell ref="H87:H88"/>
    <mergeCell ref="J51:J52"/>
    <mergeCell ref="K51:K52"/>
    <mergeCell ref="J63:J64"/>
    <mergeCell ref="H63:H64"/>
    <mergeCell ref="I63:I64"/>
    <mergeCell ref="I87:I88"/>
    <mergeCell ref="A226:A227"/>
    <mergeCell ref="A182:A183"/>
    <mergeCell ref="A187:A188"/>
    <mergeCell ref="G123:K125"/>
    <mergeCell ref="F126:K126"/>
    <mergeCell ref="A127:A130"/>
    <mergeCell ref="B127:E128"/>
    <mergeCell ref="F127:G129"/>
    <mergeCell ref="H127:I129"/>
    <mergeCell ref="J127:K129"/>
    <mergeCell ref="A168:A169"/>
    <mergeCell ref="A175:A176"/>
    <mergeCell ref="G133:G135"/>
    <mergeCell ref="A194:A195"/>
    <mergeCell ref="A204:A205"/>
    <mergeCell ref="A211:A212"/>
    <mergeCell ref="A142:A143"/>
    <mergeCell ref="A133:A135"/>
    <mergeCell ref="B133:B135"/>
    <mergeCell ref="C133:C135"/>
    <mergeCell ref="H133:H135"/>
    <mergeCell ref="I133:I135"/>
    <mergeCell ref="A123:F125"/>
    <mergeCell ref="D5:D6"/>
    <mergeCell ref="A155:A156"/>
    <mergeCell ref="A161:A162"/>
    <mergeCell ref="B129:C129"/>
    <mergeCell ref="D129:E129"/>
    <mergeCell ref="D133:D135"/>
    <mergeCell ref="E133:E135"/>
    <mergeCell ref="A70:A71"/>
    <mergeCell ref="B70:B71"/>
    <mergeCell ref="C70:C71"/>
    <mergeCell ref="D70:D71"/>
    <mergeCell ref="E70:E71"/>
    <mergeCell ref="A37:A38"/>
    <mergeCell ref="B37:B38"/>
    <mergeCell ref="C37:C38"/>
    <mergeCell ref="I31:I32"/>
  </mergeCells>
  <pageMargins left="0.7" right="0.7" top="0.75" bottom="0.75" header="0.3" footer="0.3"/>
  <pageSetup paperSize="9" orientation="portrait" horizontalDpi="200" verticalDpi="200" r:id="rId1"/>
  <ignoredErrors>
    <ignoredError sqref="F9:F10" formula="1"/>
    <ignoredError sqref="F11:K16" formulaRange="1"/>
    <ignoredError sqref="F17:K107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2017-01-20T15:10:52Z</dcterms:modified>
</cp:coreProperties>
</file>