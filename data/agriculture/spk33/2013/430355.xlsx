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80" yWindow="0" windowWidth="15144" windowHeight="5520"/>
  </bookViews>
  <sheets>
    <sheet name="Sheet1" sheetId="1" r:id="rId1"/>
    <sheet name="Sheet2" sheetId="2" r:id="rId2"/>
    <sheet name="Sheet3" sheetId="3" r:id="rId3"/>
  </sheets>
  <externalReferences>
    <externalReference r:id="rId4"/>
  </externalReferences>
  <calcPr calcId="124519"/>
</workbook>
</file>

<file path=xl/calcChain.xml><?xml version="1.0" encoding="utf-8"?>
<calcChain xmlns="http://schemas.openxmlformats.org/spreadsheetml/2006/main">
  <c r="F17" i="1"/>
  <c r="D9"/>
  <c r="C7"/>
  <c r="D7"/>
  <c r="E7"/>
  <c r="F7"/>
  <c r="G7"/>
  <c r="H7"/>
  <c r="I7"/>
  <c r="J7"/>
  <c r="B7"/>
  <c r="B9"/>
  <c r="C26"/>
  <c r="D26"/>
  <c r="E26"/>
  <c r="F26"/>
  <c r="G26"/>
  <c r="H26"/>
  <c r="I26"/>
  <c r="J26"/>
  <c r="B26"/>
  <c r="C17"/>
  <c r="D17"/>
  <c r="E17"/>
  <c r="G17"/>
  <c r="H17"/>
  <c r="I17"/>
  <c r="J17"/>
  <c r="B17"/>
  <c r="E102"/>
  <c r="F102"/>
  <c r="G102"/>
  <c r="H102"/>
  <c r="I102"/>
  <c r="J102"/>
  <c r="B102"/>
  <c r="C102"/>
  <c r="E87"/>
  <c r="F87"/>
  <c r="G87"/>
  <c r="H87"/>
  <c r="I87"/>
  <c r="J87"/>
  <c r="B87"/>
  <c r="C87"/>
  <c r="E80"/>
  <c r="F80"/>
  <c r="G80"/>
  <c r="H80"/>
  <c r="I80"/>
  <c r="J80"/>
  <c r="B80"/>
  <c r="C80"/>
  <c r="F70"/>
  <c r="G70"/>
  <c r="H70"/>
  <c r="I70"/>
  <c r="J70"/>
  <c r="B70"/>
  <c r="C70"/>
  <c r="D70"/>
  <c r="C63"/>
  <c r="D63"/>
  <c r="E63"/>
  <c r="F63"/>
  <c r="G63"/>
  <c r="H63"/>
  <c r="I63"/>
  <c r="J63"/>
  <c r="B63"/>
  <c r="C58"/>
  <c r="D58"/>
  <c r="E58"/>
  <c r="F58"/>
  <c r="G58"/>
  <c r="H58"/>
  <c r="I58"/>
  <c r="J58"/>
  <c r="B58"/>
  <c r="C51"/>
  <c r="D51"/>
  <c r="E51"/>
  <c r="F51"/>
  <c r="G51"/>
  <c r="H51"/>
  <c r="I51"/>
  <c r="J51"/>
  <c r="B51"/>
  <c r="C44"/>
  <c r="D44"/>
  <c r="E44"/>
  <c r="F44"/>
  <c r="G44"/>
  <c r="H44"/>
  <c r="I44"/>
  <c r="J44"/>
  <c r="B44"/>
  <c r="C37"/>
  <c r="D37"/>
  <c r="E37"/>
  <c r="F37"/>
  <c r="G37"/>
  <c r="H37"/>
  <c r="I37"/>
  <c r="J37"/>
  <c r="B37"/>
  <c r="C31"/>
  <c r="D31"/>
  <c r="E31"/>
  <c r="F31"/>
  <c r="G31"/>
  <c r="H31"/>
  <c r="I31"/>
  <c r="J31"/>
  <c r="B31"/>
  <c r="C9"/>
  <c r="E9"/>
  <c r="F9"/>
  <c r="G9"/>
  <c r="H9"/>
  <c r="I9"/>
  <c r="J9"/>
  <c r="A107"/>
  <c r="A106"/>
  <c r="A105"/>
  <c r="A104"/>
  <c r="D102"/>
  <c r="A101"/>
  <c r="A100"/>
  <c r="A99"/>
  <c r="A98"/>
  <c r="A97"/>
  <c r="A96"/>
  <c r="A95"/>
  <c r="A94"/>
  <c r="A93"/>
  <c r="A92"/>
  <c r="A91"/>
  <c r="A90"/>
  <c r="A89"/>
  <c r="D87"/>
  <c r="A86"/>
  <c r="A85"/>
  <c r="A84"/>
  <c r="A83"/>
  <c r="A82"/>
  <c r="D80"/>
  <c r="E70"/>
  <c r="A69"/>
  <c r="A68"/>
  <c r="A67"/>
  <c r="A66"/>
  <c r="A65"/>
  <c r="A62"/>
  <c r="A61"/>
  <c r="A60"/>
  <c r="A57"/>
  <c r="A56"/>
  <c r="A55"/>
  <c r="A54"/>
  <c r="A53"/>
  <c r="A50"/>
  <c r="A49"/>
  <c r="A48"/>
  <c r="A47"/>
  <c r="A46"/>
  <c r="A43"/>
  <c r="A42"/>
  <c r="A41"/>
  <c r="A40"/>
  <c r="A39"/>
  <c r="A36"/>
  <c r="A35"/>
  <c r="A34"/>
  <c r="A33"/>
  <c r="A30"/>
  <c r="A29"/>
  <c r="A28"/>
  <c r="A27"/>
  <c r="A25"/>
  <c r="A24"/>
  <c r="A23"/>
  <c r="A22"/>
  <c r="A21"/>
  <c r="A20"/>
  <c r="A19"/>
  <c r="A16"/>
  <c r="A15"/>
  <c r="A14"/>
  <c r="A13"/>
  <c r="A12"/>
  <c r="A11"/>
</calcChain>
</file>

<file path=xl/sharedStrings.xml><?xml version="1.0" encoding="utf-8"?>
<sst xmlns="http://schemas.openxmlformats.org/spreadsheetml/2006/main" count="223" uniqueCount="128">
  <si>
    <t xml:space="preserve">Περιφέρειες και Περιφερειακές Ενότητες      </t>
  </si>
  <si>
    <t>Regions and Regional Unities (NUTS 2)</t>
  </si>
  <si>
    <t>Σύνολο Ελλάδας</t>
  </si>
  <si>
    <t>Greece Total</t>
  </si>
  <si>
    <t>Περιφέρεια Ανατολικής Μακεδονίας και Θράκης</t>
  </si>
  <si>
    <t>Region of Eastern Macedonia and Thrace</t>
  </si>
  <si>
    <t xml:space="preserve">  Rodopi</t>
  </si>
  <si>
    <t xml:space="preserve">  Drama</t>
  </si>
  <si>
    <t xml:space="preserve">  Evros</t>
  </si>
  <si>
    <t xml:space="preserve">  Thasos</t>
  </si>
  <si>
    <t xml:space="preserve">  Kavala</t>
  </si>
  <si>
    <t xml:space="preserve">  Xanthi</t>
  </si>
  <si>
    <t>Περιφέρεια Κεντρικής Μακεδονίας</t>
  </si>
  <si>
    <t>Region of Central Macedonia</t>
  </si>
  <si>
    <t xml:space="preserve">  Thessaloniki</t>
  </si>
  <si>
    <t xml:space="preserve">  Imathia</t>
  </si>
  <si>
    <t xml:space="preserve">  Kilkis</t>
  </si>
  <si>
    <t xml:space="preserve">  Pella</t>
  </si>
  <si>
    <t xml:space="preserve">  Pieria</t>
  </si>
  <si>
    <t xml:space="preserve">  Serres</t>
  </si>
  <si>
    <t xml:space="preserve">  Chalkidiki</t>
  </si>
  <si>
    <t xml:space="preserve">  Kozani</t>
  </si>
  <si>
    <t xml:space="preserve">  Grevena</t>
  </si>
  <si>
    <t xml:space="preserve">  Kastoria</t>
  </si>
  <si>
    <t xml:space="preserve">  Florina</t>
  </si>
  <si>
    <t>Περιφέρεια Ηπείρου</t>
  </si>
  <si>
    <t>Region of Epirus</t>
  </si>
  <si>
    <t xml:space="preserve">  Ionnina</t>
  </si>
  <si>
    <t xml:space="preserve">  Arta</t>
  </si>
  <si>
    <t xml:space="preserve">  Thesprotia</t>
  </si>
  <si>
    <t xml:space="preserve">  Preveza</t>
  </si>
  <si>
    <t>Περιφέρεια Θεσσαλίας</t>
  </si>
  <si>
    <t>Region of Thessally</t>
  </si>
  <si>
    <t xml:space="preserve">  Larissa</t>
  </si>
  <si>
    <t xml:space="preserve">  Karditsa</t>
  </si>
  <si>
    <t xml:space="preserve">  Magnesia</t>
  </si>
  <si>
    <t xml:space="preserve">  Sporades Islands</t>
  </si>
  <si>
    <t xml:space="preserve">  Trikala</t>
  </si>
  <si>
    <t>Περιφέρεια Στερεάς Ελλάδας</t>
  </si>
  <si>
    <t>Region of Central Greece</t>
  </si>
  <si>
    <t xml:space="preserve">  Pthiotida</t>
  </si>
  <si>
    <t xml:space="preserve">  Viotia</t>
  </si>
  <si>
    <t xml:space="preserve">  Evia</t>
  </si>
  <si>
    <t xml:space="preserve">  Evritania</t>
  </si>
  <si>
    <t xml:space="preserve">  Fokida</t>
  </si>
  <si>
    <t>Περιφέρεια Ιονίων Νήσων</t>
  </si>
  <si>
    <t>Region of Ionian Islands</t>
  </si>
  <si>
    <t xml:space="preserve">  Corfu</t>
  </si>
  <si>
    <t xml:space="preserve">  Zakynthos</t>
  </si>
  <si>
    <t xml:space="preserve">  Ithaka</t>
  </si>
  <si>
    <t xml:space="preserve">  Kefallonia</t>
  </si>
  <si>
    <t xml:space="preserve">  Lefkada</t>
  </si>
  <si>
    <t>Περιφέρεια Δυτικής Ελλάδας</t>
  </si>
  <si>
    <t>Region of Western Greece</t>
  </si>
  <si>
    <t xml:space="preserve">  Achaia</t>
  </si>
  <si>
    <t xml:space="preserve">  Etolia and Akarnania</t>
  </si>
  <si>
    <t xml:space="preserve">  Ilia</t>
  </si>
  <si>
    <t>Περιφέρεια Πελοποννήσου</t>
  </si>
  <si>
    <t>Region of Peloponnese</t>
  </si>
  <si>
    <t xml:space="preserve">  Arkadia</t>
  </si>
  <si>
    <t xml:space="preserve">  Argolida</t>
  </si>
  <si>
    <t xml:space="preserve">  Korinthia</t>
  </si>
  <si>
    <t xml:space="preserve">  Lakonia</t>
  </si>
  <si>
    <t xml:space="preserve">  Mesinia</t>
  </si>
  <si>
    <t>Περιφέρεια Αττικής</t>
  </si>
  <si>
    <t>Region of Attica</t>
  </si>
  <si>
    <t>Κεντρικού Τομέα Αθηνών</t>
  </si>
  <si>
    <t xml:space="preserve">  Athens Central Section</t>
  </si>
  <si>
    <t>Βορείου Τομέα Αθηνών</t>
  </si>
  <si>
    <t xml:space="preserve">  Athens North Section</t>
  </si>
  <si>
    <t>Δυτικού Τομέα Αθηνών</t>
  </si>
  <si>
    <t xml:space="preserve">  Athens West Section</t>
  </si>
  <si>
    <t>Νοτίου Τομέα Αθηνών</t>
  </si>
  <si>
    <t xml:space="preserve">  Athens South Section</t>
  </si>
  <si>
    <t>Ανατολικής Αττικής</t>
  </si>
  <si>
    <t xml:space="preserve">  Athens East Section</t>
  </si>
  <si>
    <t>Δυτικής Αττικής</t>
  </si>
  <si>
    <t xml:space="preserve">  West Attica</t>
  </si>
  <si>
    <t>Πειραιώς</t>
  </si>
  <si>
    <t xml:space="preserve">  Pireaus</t>
  </si>
  <si>
    <t>Νήσων</t>
  </si>
  <si>
    <t xml:space="preserve">  Attica Islands</t>
  </si>
  <si>
    <t>Περιφέρεια Βορείου Αιγαίου</t>
  </si>
  <si>
    <t>Region of Northern Aegean</t>
  </si>
  <si>
    <t xml:space="preserve">  Lesbos</t>
  </si>
  <si>
    <t xml:space="preserve">  Ikaria</t>
  </si>
  <si>
    <t xml:space="preserve">  Limnos</t>
  </si>
  <si>
    <t xml:space="preserve">  Samos</t>
  </si>
  <si>
    <t xml:space="preserve">  Chios</t>
  </si>
  <si>
    <t>Περιφέρεια Νοτίου Αιγαίου</t>
  </si>
  <si>
    <t>Region of Southern Aegean</t>
  </si>
  <si>
    <t xml:space="preserve">  Syros</t>
  </si>
  <si>
    <t xml:space="preserve">  Andros</t>
  </si>
  <si>
    <t xml:space="preserve">  Thira</t>
  </si>
  <si>
    <t xml:space="preserve">  Kalimnos</t>
  </si>
  <si>
    <t xml:space="preserve">  Karpathos</t>
  </si>
  <si>
    <t xml:space="preserve">  Kythnos</t>
  </si>
  <si>
    <t xml:space="preserve">  Kos</t>
  </si>
  <si>
    <t xml:space="preserve">  Milos</t>
  </si>
  <si>
    <t xml:space="preserve">  Mykonos</t>
  </si>
  <si>
    <t xml:space="preserve">  Naxos</t>
  </si>
  <si>
    <t xml:space="preserve">  Paros</t>
  </si>
  <si>
    <t xml:space="preserve">  Rhodes</t>
  </si>
  <si>
    <t xml:space="preserve">  Tinos</t>
  </si>
  <si>
    <t>Περιφέρεια Κρήτης</t>
  </si>
  <si>
    <t>Region of Crete</t>
  </si>
  <si>
    <t xml:space="preserve">  Heraklion</t>
  </si>
  <si>
    <t xml:space="preserve">  Lasithi</t>
  </si>
  <si>
    <t xml:space="preserve">  Rethymno</t>
  </si>
  <si>
    <t xml:space="preserve">  Chania</t>
  </si>
  <si>
    <t>Number of heads or beehives</t>
  </si>
  <si>
    <t>Αριθμός κεφαλών ή κυψελών</t>
  </si>
  <si>
    <t>Όρνιθες - Hens</t>
  </si>
  <si>
    <t>Συστηματικών πτηνοτροφείων In organized poultry-farms</t>
  </si>
  <si>
    <t>Χωρικής εκτροφής     Local breed</t>
  </si>
  <si>
    <t>Εγχώριες          Local hives</t>
  </si>
  <si>
    <t>Ευρωπαϊκές European hives</t>
  </si>
  <si>
    <t>Χήνες       Geese</t>
  </si>
  <si>
    <t>Πάπιες         Ducks</t>
  </si>
  <si>
    <t>Ινδιάνοι (Γαλοπούλες) Turkeys</t>
  </si>
  <si>
    <t>Κουνέλια Rabbits</t>
  </si>
  <si>
    <t>Στρουθοκάμηλοι Ostriches</t>
  </si>
  <si>
    <t>Κυψέλες μελισσών - Beehives</t>
  </si>
  <si>
    <t>—</t>
  </si>
  <si>
    <t>Περιφέρεια Δυτικής Μακεδονίας</t>
  </si>
  <si>
    <t>Πίνακας 4. Πουλερικά, κουνέλια (όλων των ηλικιών) και κυψέλες μελισσών στις 31.12.2013, 
κατά περιφέρεια και περιφερειακή ενότητα</t>
  </si>
  <si>
    <t>Table 4. Poultry, rabbits (all ages) and beehoves on 31st December 2013, 
by region and regional unity</t>
  </si>
  <si>
    <t>Region of Western Macedonia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</si>
</sst>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charset val="161"/>
      <scheme val="minor"/>
    </font>
    <font>
      <b/>
      <sz val="8"/>
      <name val="Arial"/>
      <family val="2"/>
      <charset val="161"/>
    </font>
    <font>
      <sz val="8"/>
      <name val="Arial"/>
      <family val="2"/>
      <charset val="161"/>
    </font>
    <font>
      <sz val="8"/>
      <color indexed="8"/>
      <name val="Arial"/>
      <family val="2"/>
      <charset val="161"/>
    </font>
    <font>
      <sz val="8"/>
      <color theme="1"/>
      <name val="Arial"/>
      <family val="2"/>
      <charset val="161"/>
    </font>
    <font>
      <sz val="8"/>
      <color rgb="FF000000"/>
      <name val="Arial"/>
      <family val="2"/>
      <charset val="161"/>
    </font>
    <font>
      <b/>
      <sz val="8"/>
      <color theme="1"/>
      <name val="Arial"/>
      <family val="2"/>
      <charset val="16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98">
    <xf numFmtId="0" fontId="0" fillId="0" borderId="0" xfId="0"/>
    <xf numFmtId="0" fontId="4" fillId="0" borderId="0" xfId="0" applyFont="1"/>
    <xf numFmtId="0" fontId="4" fillId="0" borderId="0" xfId="0" applyFont="1" applyBorder="1" applyAlignment="1">
      <alignment vertical="center"/>
    </xf>
    <xf numFmtId="0" fontId="2" fillId="0" borderId="0" xfId="0" applyNumberFormat="1" applyFont="1" applyFill="1" applyBorder="1" applyAlignment="1" applyProtection="1"/>
    <xf numFmtId="0" fontId="4" fillId="0" borderId="0" xfId="0" applyFont="1" applyBorder="1"/>
    <xf numFmtId="49" fontId="2" fillId="0" borderId="0" xfId="0" applyNumberFormat="1" applyFont="1" applyFill="1" applyBorder="1" applyAlignment="1" applyProtection="1">
      <alignment horizontal="left" wrapText="1" indent="2"/>
    </xf>
    <xf numFmtId="0" fontId="4" fillId="0" borderId="0" xfId="0" applyFont="1" applyBorder="1" applyAlignment="1">
      <alignment horizontal="left"/>
    </xf>
    <xf numFmtId="49" fontId="5" fillId="0" borderId="0" xfId="0" applyNumberFormat="1" applyFont="1" applyBorder="1" applyAlignment="1" applyProtection="1">
      <alignment horizontal="left" vertical="center" wrapText="1" indent="2"/>
      <protection locked="0"/>
    </xf>
    <xf numFmtId="49" fontId="2" fillId="0" borderId="1" xfId="0" applyNumberFormat="1" applyFont="1" applyFill="1" applyBorder="1" applyAlignment="1" applyProtection="1">
      <alignment horizontal="left" wrapText="1" indent="2"/>
    </xf>
    <xf numFmtId="49" fontId="2" fillId="0" borderId="2" xfId="0" applyNumberFormat="1" applyFont="1" applyFill="1" applyBorder="1" applyAlignment="1">
      <alignment vertical="center"/>
    </xf>
    <xf numFmtId="49" fontId="2" fillId="0" borderId="0" xfId="0" applyNumberFormat="1" applyFont="1" applyFill="1" applyBorder="1" applyAlignment="1">
      <alignment vertical="center"/>
    </xf>
    <xf numFmtId="0" fontId="4" fillId="0" borderId="0" xfId="0" applyFont="1" applyAlignment="1">
      <alignment horizontal="right" vertical="center"/>
    </xf>
    <xf numFmtId="49" fontId="2" fillId="0" borderId="0" xfId="0" applyNumberFormat="1" applyFont="1" applyFill="1" applyBorder="1" applyAlignment="1"/>
    <xf numFmtId="49" fontId="2" fillId="0" borderId="0" xfId="0" applyNumberFormat="1" applyFont="1" applyFill="1" applyBorder="1" applyAlignment="1">
      <alignment wrapText="1"/>
    </xf>
    <xf numFmtId="0" fontId="2" fillId="0" borderId="0" xfId="0" applyNumberFormat="1" applyFont="1" applyFill="1" applyBorder="1" applyAlignment="1" applyProtection="1">
      <alignment horizontal="left" indent="2"/>
    </xf>
    <xf numFmtId="0" fontId="2" fillId="0" borderId="0" xfId="0" applyFont="1" applyFill="1" applyBorder="1" applyAlignment="1" applyProtection="1">
      <alignment horizontal="left" indent="2"/>
    </xf>
    <xf numFmtId="0" fontId="3" fillId="0" borderId="0" xfId="0" applyFont="1" applyBorder="1" applyAlignment="1">
      <alignment horizontal="center"/>
    </xf>
    <xf numFmtId="49" fontId="1" fillId="0" borderId="0" xfId="0" applyNumberFormat="1" applyFont="1" applyFill="1" applyBorder="1" applyAlignment="1" applyProtection="1">
      <alignment horizontal="left" indent="2"/>
    </xf>
    <xf numFmtId="49" fontId="4" fillId="0" borderId="0" xfId="0" applyNumberFormat="1" applyFont="1" applyBorder="1"/>
    <xf numFmtId="49" fontId="4" fillId="0" borderId="0" xfId="0" applyNumberFormat="1" applyFont="1"/>
    <xf numFmtId="3" fontId="2" fillId="0" borderId="3" xfId="0" quotePrefix="1" applyNumberFormat="1" applyFont="1" applyFill="1" applyBorder="1" applyAlignment="1" applyProtection="1">
      <alignment horizontal="right"/>
    </xf>
    <xf numFmtId="3" fontId="2" fillId="0" borderId="3" xfId="0" applyNumberFormat="1" applyFont="1" applyFill="1" applyBorder="1" applyAlignment="1" applyProtection="1">
      <alignment horizontal="right"/>
    </xf>
    <xf numFmtId="49" fontId="1" fillId="0" borderId="0" xfId="0" applyNumberFormat="1" applyFont="1" applyFill="1" applyBorder="1" applyAlignment="1" applyProtection="1">
      <alignment vertical="center" wrapText="1"/>
    </xf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>
      <alignment vertical="center"/>
    </xf>
    <xf numFmtId="3" fontId="5" fillId="2" borderId="3" xfId="0" applyNumberFormat="1" applyFont="1" applyFill="1" applyBorder="1" applyAlignment="1">
      <alignment horizontal="right" vertical="top" wrapText="1"/>
    </xf>
    <xf numFmtId="3" fontId="2" fillId="2" borderId="3" xfId="0" applyNumberFormat="1" applyFont="1" applyFill="1" applyBorder="1" applyAlignment="1">
      <alignment horizontal="right" vertical="top" wrapText="1"/>
    </xf>
    <xf numFmtId="0" fontId="2" fillId="2" borderId="3" xfId="0" applyFont="1" applyFill="1" applyBorder="1" applyAlignment="1">
      <alignment horizontal="right" vertical="top" wrapText="1"/>
    </xf>
    <xf numFmtId="3" fontId="1" fillId="2" borderId="3" xfId="0" applyNumberFormat="1" applyFont="1" applyFill="1" applyBorder="1" applyAlignment="1">
      <alignment horizontal="right" vertical="center" wrapText="1"/>
    </xf>
    <xf numFmtId="0" fontId="4" fillId="0" borderId="1" xfId="0" applyFont="1" applyBorder="1" applyAlignment="1">
      <alignment horizontal="left"/>
    </xf>
    <xf numFmtId="0" fontId="4" fillId="0" borderId="0" xfId="0" applyFont="1" applyBorder="1" applyAlignment="1">
      <alignment horizontal="left" indent="2"/>
    </xf>
    <xf numFmtId="0" fontId="6" fillId="0" borderId="0" xfId="0" applyFont="1" applyBorder="1" applyAlignment="1">
      <alignment vertical="center"/>
    </xf>
    <xf numFmtId="0" fontId="4" fillId="0" borderId="1" xfId="0" applyFont="1" applyBorder="1" applyAlignment="1">
      <alignment horizontal="left" indent="2"/>
    </xf>
    <xf numFmtId="0" fontId="2" fillId="0" borderId="0" xfId="0" applyNumberFormat="1" applyFont="1" applyFill="1" applyBorder="1" applyAlignment="1" applyProtection="1">
      <alignment horizontal="left"/>
    </xf>
    <xf numFmtId="3" fontId="5" fillId="2" borderId="20" xfId="0" applyNumberFormat="1" applyFont="1" applyFill="1" applyBorder="1" applyAlignment="1">
      <alignment horizontal="right" vertical="top" wrapText="1"/>
    </xf>
    <xf numFmtId="3" fontId="2" fillId="2" borderId="21" xfId="0" applyNumberFormat="1" applyFont="1" applyFill="1" applyBorder="1" applyAlignment="1">
      <alignment horizontal="right" vertical="top" wrapText="1"/>
    </xf>
    <xf numFmtId="3" fontId="2" fillId="2" borderId="20" xfId="0" applyNumberFormat="1" applyFont="1" applyFill="1" applyBorder="1" applyAlignment="1">
      <alignment horizontal="right" vertical="top" wrapText="1"/>
    </xf>
    <xf numFmtId="3" fontId="1" fillId="2" borderId="20" xfId="0" applyNumberFormat="1" applyFont="1" applyFill="1" applyBorder="1" applyAlignment="1">
      <alignment horizontal="right" vertical="center" wrapText="1"/>
    </xf>
    <xf numFmtId="3" fontId="1" fillId="2" borderId="21" xfId="0" applyNumberFormat="1" applyFont="1" applyFill="1" applyBorder="1" applyAlignment="1">
      <alignment horizontal="right" vertical="center" wrapText="1"/>
    </xf>
    <xf numFmtId="3" fontId="2" fillId="0" borderId="20" xfId="0" quotePrefix="1" applyNumberFormat="1" applyFont="1" applyFill="1" applyBorder="1" applyAlignment="1" applyProtection="1">
      <alignment horizontal="right"/>
    </xf>
    <xf numFmtId="3" fontId="2" fillId="0" borderId="20" xfId="0" applyNumberFormat="1" applyFont="1" applyFill="1" applyBorder="1" applyAlignment="1" applyProtection="1">
      <alignment horizontal="right"/>
    </xf>
    <xf numFmtId="3" fontId="2" fillId="0" borderId="21" xfId="0" quotePrefix="1" applyNumberFormat="1" applyFont="1" applyFill="1" applyBorder="1" applyAlignment="1" applyProtection="1">
      <alignment horizontal="right"/>
    </xf>
    <xf numFmtId="3" fontId="2" fillId="0" borderId="21" xfId="0" applyNumberFormat="1" applyFont="1" applyFill="1" applyBorder="1" applyAlignment="1" applyProtection="1">
      <alignment horizontal="right"/>
    </xf>
    <xf numFmtId="3" fontId="2" fillId="2" borderId="22" xfId="0" applyNumberFormat="1" applyFont="1" applyFill="1" applyBorder="1" applyAlignment="1">
      <alignment horizontal="right" vertical="top" wrapText="1"/>
    </xf>
    <xf numFmtId="3" fontId="2" fillId="2" borderId="23" xfId="0" applyNumberFormat="1" applyFont="1" applyFill="1" applyBorder="1" applyAlignment="1">
      <alignment horizontal="right" vertical="top" wrapText="1"/>
    </xf>
    <xf numFmtId="3" fontId="5" fillId="2" borderId="23" xfId="0" applyNumberFormat="1" applyFont="1" applyFill="1" applyBorder="1" applyAlignment="1">
      <alignment horizontal="right" vertical="top" wrapText="1"/>
    </xf>
    <xf numFmtId="3" fontId="2" fillId="2" borderId="24" xfId="0" applyNumberFormat="1" applyFont="1" applyFill="1" applyBorder="1" applyAlignment="1">
      <alignment horizontal="right" vertical="top" wrapText="1"/>
    </xf>
    <xf numFmtId="3" fontId="1" fillId="0" borderId="21" xfId="0" applyNumberFormat="1" applyFont="1" applyBorder="1" applyAlignment="1">
      <alignment horizontal="right" vertical="center"/>
    </xf>
    <xf numFmtId="0" fontId="2" fillId="0" borderId="17" xfId="0" applyNumberFormat="1" applyFont="1" applyFill="1" applyBorder="1" applyAlignment="1" applyProtection="1">
      <alignment horizontal="center" vertical="center" wrapText="1"/>
    </xf>
    <xf numFmtId="0" fontId="2" fillId="0" borderId="18" xfId="0" applyNumberFormat="1" applyFont="1" applyFill="1" applyBorder="1" applyAlignment="1" applyProtection="1">
      <alignment horizontal="center" vertical="center" wrapText="1"/>
    </xf>
    <xf numFmtId="3" fontId="1" fillId="0" borderId="8" xfId="0" applyNumberFormat="1" applyFont="1" applyFill="1" applyBorder="1" applyAlignment="1" applyProtection="1">
      <alignment horizontal="right" vertical="center" wrapText="1"/>
    </xf>
    <xf numFmtId="3" fontId="1" fillId="0" borderId="3" xfId="0" applyNumberFormat="1" applyFont="1" applyFill="1" applyBorder="1" applyAlignment="1" applyProtection="1">
      <alignment horizontal="right" vertical="center" wrapText="1"/>
    </xf>
    <xf numFmtId="3" fontId="1" fillId="0" borderId="3" xfId="0" applyNumberFormat="1" applyFont="1" applyBorder="1" applyAlignment="1">
      <alignment horizontal="right" vertical="center"/>
    </xf>
    <xf numFmtId="0" fontId="2" fillId="0" borderId="9" xfId="0" applyNumberFormat="1" applyFont="1" applyFill="1" applyBorder="1" applyAlignment="1" applyProtection="1">
      <alignment horizontal="center" vertical="center" wrapText="1"/>
    </xf>
    <xf numFmtId="0" fontId="2" fillId="0" borderId="6" xfId="0" applyNumberFormat="1" applyFont="1" applyFill="1" applyBorder="1" applyAlignment="1" applyProtection="1">
      <alignment horizontal="center" vertical="center" wrapText="1"/>
    </xf>
    <xf numFmtId="0" fontId="6" fillId="0" borderId="0" xfId="0" applyFont="1" applyBorder="1" applyAlignment="1">
      <alignment horizontal="right" vertical="center"/>
    </xf>
    <xf numFmtId="49" fontId="6" fillId="0" borderId="0" xfId="0" applyNumberFormat="1" applyFont="1" applyBorder="1" applyAlignment="1">
      <alignment horizontal="left" vertical="center" wrapText="1"/>
    </xf>
    <xf numFmtId="49" fontId="1" fillId="0" borderId="10" xfId="0" applyNumberFormat="1" applyFont="1" applyFill="1" applyBorder="1" applyAlignment="1" applyProtection="1">
      <alignment horizontal="left" vertical="center" wrapText="1" indent="1"/>
    </xf>
    <xf numFmtId="49" fontId="1" fillId="0" borderId="0" xfId="0" applyNumberFormat="1" applyFont="1" applyFill="1" applyBorder="1" applyAlignment="1" applyProtection="1">
      <alignment horizontal="left" vertical="center" wrapText="1" indent="1"/>
    </xf>
    <xf numFmtId="3" fontId="1" fillId="0" borderId="19" xfId="0" applyNumberFormat="1" applyFont="1" applyFill="1" applyBorder="1" applyAlignment="1" applyProtection="1">
      <alignment horizontal="right" vertical="center" wrapText="1"/>
    </xf>
    <xf numFmtId="3" fontId="1" fillId="0" borderId="20" xfId="0" applyNumberFormat="1" applyFont="1" applyFill="1" applyBorder="1" applyAlignment="1" applyProtection="1">
      <alignment horizontal="right" vertical="center" wrapText="1"/>
    </xf>
    <xf numFmtId="0" fontId="2" fillId="0" borderId="11" xfId="0" applyNumberFormat="1" applyFont="1" applyFill="1" applyBorder="1" applyAlignment="1" applyProtection="1">
      <alignment horizontal="center" vertical="center" wrapText="1"/>
    </xf>
    <xf numFmtId="0" fontId="2" fillId="0" borderId="3" xfId="0" applyNumberFormat="1" applyFont="1" applyFill="1" applyBorder="1" applyAlignment="1" applyProtection="1">
      <alignment horizontal="center" vertical="center" wrapText="1"/>
    </xf>
    <xf numFmtId="0" fontId="2" fillId="0" borderId="4" xfId="0" applyNumberFormat="1" applyFont="1" applyFill="1" applyBorder="1" applyAlignment="1" applyProtection="1">
      <alignment horizontal="center" vertical="center" wrapText="1"/>
    </xf>
    <xf numFmtId="0" fontId="2" fillId="0" borderId="7" xfId="0" applyNumberFormat="1" applyFont="1" applyFill="1" applyBorder="1" applyAlignment="1" applyProtection="1">
      <alignment horizontal="center" vertical="center" wrapText="1"/>
    </xf>
    <xf numFmtId="0" fontId="2" fillId="0" borderId="5" xfId="0" applyNumberFormat="1" applyFont="1" applyFill="1" applyBorder="1" applyAlignment="1" applyProtection="1">
      <alignment horizontal="center" vertical="center" wrapText="1"/>
    </xf>
    <xf numFmtId="49" fontId="6" fillId="0" borderId="0" xfId="0" applyNumberFormat="1" applyFont="1" applyBorder="1" applyAlignment="1">
      <alignment horizontal="left" vertical="center"/>
    </xf>
    <xf numFmtId="0" fontId="2" fillId="0" borderId="0" xfId="0" applyNumberFormat="1" applyFont="1" applyFill="1" applyBorder="1" applyAlignment="1" applyProtection="1">
      <alignment horizontal="center" vertical="center" wrapText="1"/>
    </xf>
    <xf numFmtId="3" fontId="1" fillId="0" borderId="3" xfId="0" applyNumberFormat="1" applyFont="1" applyFill="1" applyBorder="1" applyAlignment="1" applyProtection="1">
      <alignment horizontal="right" vertical="center"/>
    </xf>
    <xf numFmtId="49" fontId="1" fillId="0" borderId="0" xfId="0" applyNumberFormat="1" applyFont="1" applyFill="1" applyBorder="1" applyAlignment="1" applyProtection="1">
      <alignment horizontal="left" vertical="center" wrapText="1"/>
    </xf>
    <xf numFmtId="3" fontId="1" fillId="0" borderId="20" xfId="0" applyNumberFormat="1" applyFont="1" applyBorder="1" applyAlignment="1">
      <alignment horizontal="right" vertical="center"/>
    </xf>
    <xf numFmtId="3" fontId="1" fillId="0" borderId="21" xfId="0" applyNumberFormat="1" applyFont="1" applyFill="1" applyBorder="1" applyAlignment="1" applyProtection="1">
      <alignment horizontal="right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Fill="1" applyBorder="1" applyAlignment="1" applyProtection="1">
      <alignment horizontal="center" vertical="center" wrapText="1"/>
    </xf>
    <xf numFmtId="0" fontId="4" fillId="0" borderId="0" xfId="0" applyFont="1" applyBorder="1" applyAlignment="1">
      <alignment horizontal="left" wrapText="1" indent="1"/>
    </xf>
    <xf numFmtId="0" fontId="2" fillId="0" borderId="0" xfId="0" applyNumberFormat="1" applyFont="1" applyFill="1" applyBorder="1" applyAlignment="1" applyProtection="1">
      <alignment horizontal="right"/>
    </xf>
    <xf numFmtId="0" fontId="6" fillId="0" borderId="0" xfId="0" applyFont="1" applyBorder="1" applyAlignment="1">
      <alignment horizontal="left" vertical="center"/>
    </xf>
    <xf numFmtId="3" fontId="1" fillId="0" borderId="20" xfId="0" applyNumberFormat="1" applyFont="1" applyFill="1" applyBorder="1" applyAlignment="1" applyProtection="1">
      <alignment horizontal="right" vertical="center"/>
    </xf>
    <xf numFmtId="0" fontId="6" fillId="0" borderId="0" xfId="0" applyFont="1" applyBorder="1" applyAlignment="1">
      <alignment horizontal="left" vertical="center"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49" fontId="1" fillId="0" borderId="0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3" fontId="1" fillId="0" borderId="17" xfId="0" applyNumberFormat="1" applyFont="1" applyFill="1" applyBorder="1" applyAlignment="1" applyProtection="1">
      <alignment horizontal="right" vertical="center" wrapText="1"/>
    </xf>
    <xf numFmtId="3" fontId="1" fillId="0" borderId="21" xfId="0" applyNumberFormat="1" applyFont="1" applyFill="1" applyBorder="1" applyAlignment="1" applyProtection="1">
      <alignment horizontal="right" vertical="center" wrapText="1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2" fillId="0" borderId="2" xfId="0" applyNumberFormat="1" applyFont="1" applyFill="1" applyBorder="1" applyAlignment="1" applyProtection="1">
      <alignment horizontal="center" vertical="center" wrapText="1"/>
    </xf>
    <xf numFmtId="0" fontId="2" fillId="0" borderId="16" xfId="0" applyNumberFormat="1" applyFont="1" applyFill="1" applyBorder="1" applyAlignment="1" applyProtection="1">
      <alignment horizontal="center" vertical="center" wrapText="1"/>
    </xf>
    <xf numFmtId="0" fontId="2" fillId="0" borderId="12" xfId="0" applyNumberFormat="1" applyFont="1" applyFill="1" applyBorder="1" applyAlignment="1" applyProtection="1">
      <alignment horizontal="center" vertical="center" wrapText="1"/>
    </xf>
    <xf numFmtId="0" fontId="2" fillId="0" borderId="13" xfId="0" applyNumberFormat="1" applyFont="1" applyFill="1" applyBorder="1" applyAlignment="1" applyProtection="1">
      <alignment horizontal="center" vertical="center" wrapText="1"/>
    </xf>
    <xf numFmtId="0" fontId="2" fillId="0" borderId="1" xfId="0" applyNumberFormat="1" applyFont="1" applyFill="1" applyBorder="1" applyAlignment="1" applyProtection="1">
      <alignment horizontal="center"/>
    </xf>
    <xf numFmtId="0" fontId="2" fillId="0" borderId="1" xfId="0" applyNumberFormat="1" applyFont="1" applyFill="1" applyBorder="1" applyAlignment="1" applyProtection="1">
      <alignment horizontal="left"/>
    </xf>
    <xf numFmtId="0" fontId="2" fillId="0" borderId="0" xfId="0" applyNumberFormat="1" applyFont="1" applyFill="1" applyBorder="1" applyAlignment="1" applyProtection="1">
      <alignment horizontal="left"/>
    </xf>
    <xf numFmtId="0" fontId="2" fillId="0" borderId="14" xfId="0" applyNumberFormat="1" applyFont="1" applyFill="1" applyBorder="1" applyAlignment="1" applyProtection="1">
      <alignment horizontal="center" vertical="center" wrapText="1"/>
    </xf>
    <xf numFmtId="0" fontId="2" fillId="0" borderId="15" xfId="0" applyNumberFormat="1" applyFont="1" applyFill="1" applyBorder="1" applyAlignment="1" applyProtection="1">
      <alignment horizontal="center" vertical="center" wrapText="1"/>
    </xf>
    <xf numFmtId="0" fontId="1" fillId="0" borderId="12" xfId="0" applyNumberFormat="1" applyFont="1" applyFill="1" applyBorder="1" applyAlignment="1" applyProtection="1">
      <alignment horizontal="left" vertical="center" wrapText="1"/>
    </xf>
    <xf numFmtId="0" fontId="1" fillId="0" borderId="10" xfId="0" applyNumberFormat="1" applyFont="1" applyFill="1" applyBorder="1" applyAlignment="1" applyProtection="1">
      <alignment horizontal="left" vertical="center" wrapText="1"/>
    </xf>
    <xf numFmtId="0" fontId="1" fillId="0" borderId="25" xfId="0" applyNumberFormat="1" applyFont="1" applyFill="1" applyBorder="1" applyAlignment="1" applyProtection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s.spyroulis/&#917;&#960;&#953;&#966;&#940;&#957;&#949;&#953;&#945;%20&#949;&#961;&#947;&#945;&#963;&#943;&#945;&#962;/&#916;&#925;&#931;&#919;_&#928;&#929;&#937;&#932;&#927;&#915;_&#917;&#923;&#931;&#932;&#913;&#932;/&#917;&#932;&#919;&#931;&#921;&#913;%20&#915;&#917;&#937;&#929;&#915;&#921;&#922;&#919;%20&#917;&#929;&#917;&#933;&#925;&#913;/&#913;&#925;&#913;&#923;&#933;&#932;&#921;&#922;&#913;%20&#917;&#915;&#917;%20&#928;&#929;&#927;&#931;%20&#916;&#919;&#924;&#927;&#931;&#921;&#917;&#933;&#931;&#919;/&#917;&#915;&#917;%20&#913;&#929;&#927;&#932;&#929;&#913;&#921;&#917;&#931;%202011%20&#913;&#925;&#913;&#923;&#933;&#932;&#921;&#922;&#927;&#921;%20&#928;&#921;&#925;&#913;&#922;&#917;&#931;/&#928;&#921;&#925;&#913;&#922;&#913;&#931;%202(&#945;)%20&#913;&#929;&#927;&#932;&#929;&#913;&#921;&#917;&#931;%20&#931;&#921;&#932;&#919;&#929;&#913;%20&#915;&#921;&#913;%20&#922;&#913;&#929;&#928;&#927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ListOfRegions"/>
      <sheetName val="Πίνακας2(α)"/>
    </sheetNames>
    <sheetDataSet>
      <sheetData sheetId="0">
        <row r="1">
          <cell r="A1" t="str">
            <v>01</v>
          </cell>
          <cell r="B1" t="str">
            <v xml:space="preserve">  Ροδόπης</v>
          </cell>
        </row>
        <row r="2">
          <cell r="A2" t="str">
            <v>02</v>
          </cell>
          <cell r="B2" t="str">
            <v xml:space="preserve">  Δράμας</v>
          </cell>
        </row>
        <row r="3">
          <cell r="A3" t="str">
            <v>03</v>
          </cell>
          <cell r="B3" t="str">
            <v xml:space="preserve">  Έβρου</v>
          </cell>
        </row>
        <row r="4">
          <cell r="A4" t="str">
            <v>04</v>
          </cell>
          <cell r="B4" t="str">
            <v xml:space="preserve">  Θάσου</v>
          </cell>
        </row>
        <row r="5">
          <cell r="A5" t="str">
            <v>05</v>
          </cell>
          <cell r="B5" t="str">
            <v xml:space="preserve">  Καβάλας</v>
          </cell>
        </row>
        <row r="6">
          <cell r="A6" t="str">
            <v>06</v>
          </cell>
          <cell r="B6" t="str">
            <v xml:space="preserve">  Ξάνθης</v>
          </cell>
        </row>
        <row r="7">
          <cell r="A7" t="str">
            <v>07</v>
          </cell>
          <cell r="B7" t="str">
            <v xml:space="preserve">  Θεσσαλονίκης</v>
          </cell>
        </row>
        <row r="8">
          <cell r="A8" t="str">
            <v>08</v>
          </cell>
          <cell r="B8" t="str">
            <v xml:space="preserve">  Ημαθίας</v>
          </cell>
        </row>
        <row r="9">
          <cell r="A9" t="str">
            <v>09</v>
          </cell>
          <cell r="B9" t="str">
            <v xml:space="preserve">  Κιλκίς</v>
          </cell>
        </row>
        <row r="10">
          <cell r="A10" t="str">
            <v>10</v>
          </cell>
          <cell r="B10" t="str">
            <v xml:space="preserve">  Πέλλας</v>
          </cell>
        </row>
        <row r="11">
          <cell r="A11" t="str">
            <v>11</v>
          </cell>
          <cell r="B11" t="str">
            <v xml:space="preserve">  Πιερίας</v>
          </cell>
        </row>
        <row r="12">
          <cell r="A12" t="str">
            <v>12</v>
          </cell>
          <cell r="B12" t="str">
            <v xml:space="preserve">  Σερρών</v>
          </cell>
        </row>
        <row r="13">
          <cell r="A13" t="str">
            <v>13</v>
          </cell>
          <cell r="B13" t="str">
            <v xml:space="preserve">  Χαλκιδικής</v>
          </cell>
        </row>
        <row r="14">
          <cell r="A14" t="str">
            <v>14</v>
          </cell>
          <cell r="B14" t="str">
            <v xml:space="preserve">  Κοζάνης</v>
          </cell>
        </row>
        <row r="15">
          <cell r="A15" t="str">
            <v>15</v>
          </cell>
          <cell r="B15" t="str">
            <v xml:space="preserve">  Γρεβενών</v>
          </cell>
        </row>
        <row r="16">
          <cell r="A16" t="str">
            <v>16</v>
          </cell>
          <cell r="B16" t="str">
            <v xml:space="preserve">  Καστοριάς</v>
          </cell>
        </row>
        <row r="17">
          <cell r="A17" t="str">
            <v>17</v>
          </cell>
          <cell r="B17" t="str">
            <v xml:space="preserve">  Φλώρινας</v>
          </cell>
        </row>
        <row r="18">
          <cell r="A18" t="str">
            <v>18</v>
          </cell>
          <cell r="B18" t="str">
            <v xml:space="preserve">  Ιωαννίνων</v>
          </cell>
        </row>
        <row r="19">
          <cell r="A19" t="str">
            <v>19</v>
          </cell>
          <cell r="B19" t="str">
            <v xml:space="preserve">  Άρτας</v>
          </cell>
        </row>
        <row r="20">
          <cell r="A20" t="str">
            <v>20</v>
          </cell>
          <cell r="B20" t="str">
            <v xml:space="preserve">  Θεσπρωτίας</v>
          </cell>
        </row>
        <row r="21">
          <cell r="A21" t="str">
            <v>21</v>
          </cell>
          <cell r="B21" t="str">
            <v xml:space="preserve">  Πρέβεζας</v>
          </cell>
        </row>
        <row r="22">
          <cell r="A22" t="str">
            <v>22</v>
          </cell>
          <cell r="B22" t="str">
            <v xml:space="preserve">  Λάρισας</v>
          </cell>
        </row>
        <row r="23">
          <cell r="A23" t="str">
            <v>23</v>
          </cell>
          <cell r="B23" t="str">
            <v xml:space="preserve">  Καρδίτσας</v>
          </cell>
        </row>
        <row r="24">
          <cell r="A24" t="str">
            <v>24</v>
          </cell>
          <cell r="B24" t="str">
            <v xml:space="preserve">  Μαγνησίας</v>
          </cell>
        </row>
        <row r="25">
          <cell r="A25" t="str">
            <v>25</v>
          </cell>
          <cell r="B25" t="str">
            <v xml:space="preserve">  Σποράδων</v>
          </cell>
        </row>
        <row r="26">
          <cell r="A26" t="str">
            <v>26</v>
          </cell>
          <cell r="B26" t="str">
            <v xml:space="preserve">  Τρικάλων</v>
          </cell>
        </row>
        <row r="27">
          <cell r="A27" t="str">
            <v>27</v>
          </cell>
          <cell r="B27" t="str">
            <v xml:space="preserve">  Φθιώτιδας</v>
          </cell>
        </row>
        <row r="28">
          <cell r="A28" t="str">
            <v>28</v>
          </cell>
          <cell r="B28" t="str">
            <v xml:space="preserve">  Βοιωτίας</v>
          </cell>
        </row>
        <row r="29">
          <cell r="A29" t="str">
            <v>29</v>
          </cell>
          <cell r="B29" t="str">
            <v xml:space="preserve">  Εύβοιας</v>
          </cell>
        </row>
        <row r="30">
          <cell r="A30" t="str">
            <v>30</v>
          </cell>
          <cell r="B30" t="str">
            <v xml:space="preserve">  Ευρυτανίας</v>
          </cell>
        </row>
        <row r="31">
          <cell r="A31" t="str">
            <v>31</v>
          </cell>
          <cell r="B31" t="str">
            <v xml:space="preserve">  Φωκίδας</v>
          </cell>
        </row>
        <row r="32">
          <cell r="A32" t="str">
            <v>32</v>
          </cell>
          <cell r="B32" t="str">
            <v xml:space="preserve">  Κέρκυρας</v>
          </cell>
        </row>
        <row r="33">
          <cell r="A33" t="str">
            <v>33</v>
          </cell>
          <cell r="B33" t="str">
            <v xml:space="preserve">  Ζακύνθου</v>
          </cell>
        </row>
        <row r="34">
          <cell r="A34" t="str">
            <v>34</v>
          </cell>
          <cell r="B34" t="str">
            <v xml:space="preserve">  Ιθάκης</v>
          </cell>
        </row>
        <row r="35">
          <cell r="A35" t="str">
            <v>35</v>
          </cell>
          <cell r="B35" t="str">
            <v xml:space="preserve">  Κεφαλληνίας</v>
          </cell>
        </row>
        <row r="36">
          <cell r="A36" t="str">
            <v>36</v>
          </cell>
          <cell r="B36" t="str">
            <v xml:space="preserve">  Λευκάδας</v>
          </cell>
        </row>
        <row r="37">
          <cell r="A37" t="str">
            <v>37</v>
          </cell>
          <cell r="B37" t="str">
            <v xml:space="preserve">  Αχαϊας</v>
          </cell>
        </row>
        <row r="38">
          <cell r="A38" t="str">
            <v>38</v>
          </cell>
          <cell r="B38" t="str">
            <v xml:space="preserve">  Αιτωλ/νανίας</v>
          </cell>
        </row>
        <row r="39">
          <cell r="A39" t="str">
            <v>39</v>
          </cell>
          <cell r="B39" t="str">
            <v xml:space="preserve">  Ηλείας</v>
          </cell>
        </row>
        <row r="40">
          <cell r="A40" t="str">
            <v>40</v>
          </cell>
          <cell r="B40" t="str">
            <v xml:space="preserve">  Αρκαδίας</v>
          </cell>
        </row>
        <row r="41">
          <cell r="A41" t="str">
            <v>41</v>
          </cell>
          <cell r="B41" t="str">
            <v xml:space="preserve">  Αργολίδας</v>
          </cell>
        </row>
        <row r="42">
          <cell r="A42" t="str">
            <v>42</v>
          </cell>
          <cell r="B42" t="str">
            <v xml:space="preserve">  Κορινθίας</v>
          </cell>
        </row>
        <row r="43">
          <cell r="A43" t="str">
            <v>43</v>
          </cell>
          <cell r="B43" t="str">
            <v xml:space="preserve">  Λακωνίας</v>
          </cell>
        </row>
        <row r="44">
          <cell r="A44" t="str">
            <v>44</v>
          </cell>
          <cell r="B44" t="str">
            <v xml:space="preserve">  Μεσσηνίας</v>
          </cell>
        </row>
        <row r="45">
          <cell r="A45" t="str">
            <v>45</v>
          </cell>
          <cell r="B45" t="str">
            <v xml:space="preserve">  Κεντρικού Τομέα Αθηνών</v>
          </cell>
        </row>
        <row r="46">
          <cell r="A46" t="str">
            <v>46</v>
          </cell>
          <cell r="B46" t="str">
            <v xml:space="preserve"> Βορείου Τομέα Αθηνών</v>
          </cell>
        </row>
        <row r="47">
          <cell r="A47" t="str">
            <v>47</v>
          </cell>
          <cell r="B47" t="str">
            <v xml:space="preserve">  Δυτικού Τομέα Αθηνών</v>
          </cell>
        </row>
        <row r="48">
          <cell r="A48" t="str">
            <v>48</v>
          </cell>
          <cell r="B48" t="str">
            <v xml:space="preserve">  Νοτίου Τομέα Αθηνών</v>
          </cell>
        </row>
        <row r="49">
          <cell r="A49" t="str">
            <v>49</v>
          </cell>
          <cell r="B49" t="str">
            <v xml:space="preserve">  Ανατολικής Αττικής</v>
          </cell>
        </row>
        <row r="50">
          <cell r="A50" t="str">
            <v>50</v>
          </cell>
          <cell r="B50" t="str">
            <v xml:space="preserve">  Δυτικής Αττικής</v>
          </cell>
        </row>
        <row r="51">
          <cell r="A51" t="str">
            <v>51</v>
          </cell>
          <cell r="B51" t="str">
            <v xml:space="preserve">  Πειραιώς</v>
          </cell>
        </row>
        <row r="52">
          <cell r="A52" t="str">
            <v>52</v>
          </cell>
          <cell r="B52" t="str">
            <v xml:space="preserve">  Νήσων</v>
          </cell>
        </row>
        <row r="53">
          <cell r="A53" t="str">
            <v>53</v>
          </cell>
          <cell r="B53" t="str">
            <v xml:space="preserve">  Λέσβου</v>
          </cell>
        </row>
        <row r="54">
          <cell r="A54" t="str">
            <v>54</v>
          </cell>
          <cell r="B54" t="str">
            <v xml:space="preserve">  Ικαρίας</v>
          </cell>
        </row>
        <row r="55">
          <cell r="A55" t="str">
            <v>55</v>
          </cell>
          <cell r="B55" t="str">
            <v xml:space="preserve">  Λήμνου</v>
          </cell>
        </row>
        <row r="56">
          <cell r="A56" t="str">
            <v>56</v>
          </cell>
          <cell r="B56" t="str">
            <v xml:space="preserve">  Σάμου.</v>
          </cell>
        </row>
        <row r="57">
          <cell r="A57" t="str">
            <v>57</v>
          </cell>
          <cell r="B57" t="str">
            <v xml:space="preserve">  Χίου</v>
          </cell>
        </row>
        <row r="58">
          <cell r="A58" t="str">
            <v>58</v>
          </cell>
          <cell r="B58" t="str">
            <v xml:space="preserve">  Σύρου</v>
          </cell>
        </row>
        <row r="59">
          <cell r="A59" t="str">
            <v>59</v>
          </cell>
          <cell r="B59" t="str">
            <v xml:space="preserve">  Άνδρου</v>
          </cell>
        </row>
        <row r="60">
          <cell r="A60" t="str">
            <v>60</v>
          </cell>
          <cell r="B60" t="str">
            <v xml:space="preserve">  Θήρας</v>
          </cell>
        </row>
        <row r="61">
          <cell r="A61" t="str">
            <v>61</v>
          </cell>
          <cell r="B61" t="str">
            <v xml:space="preserve">  Καλύμνου</v>
          </cell>
        </row>
        <row r="62">
          <cell r="A62" t="str">
            <v>62</v>
          </cell>
          <cell r="B62" t="str">
            <v xml:space="preserve">  Καρπάθου</v>
          </cell>
        </row>
        <row r="63">
          <cell r="A63" t="str">
            <v>63</v>
          </cell>
          <cell r="B63" t="str">
            <v xml:space="preserve">  Κύθνου</v>
          </cell>
        </row>
        <row r="64">
          <cell r="A64" t="str">
            <v>64</v>
          </cell>
          <cell r="B64" t="str">
            <v xml:space="preserve">  Κω</v>
          </cell>
        </row>
        <row r="65">
          <cell r="A65" t="str">
            <v>65</v>
          </cell>
          <cell r="B65" t="str">
            <v xml:space="preserve">  Μήλου</v>
          </cell>
        </row>
        <row r="66">
          <cell r="A66" t="str">
            <v>66</v>
          </cell>
          <cell r="B66" t="str">
            <v xml:space="preserve">  Μυκόνου.</v>
          </cell>
        </row>
        <row r="67">
          <cell r="A67" t="str">
            <v>67</v>
          </cell>
          <cell r="B67" t="str">
            <v xml:space="preserve">  Νάξου</v>
          </cell>
        </row>
        <row r="68">
          <cell r="A68" t="str">
            <v>68</v>
          </cell>
          <cell r="B68" t="str">
            <v xml:space="preserve">  Πάρου</v>
          </cell>
        </row>
        <row r="69">
          <cell r="A69" t="str">
            <v>69</v>
          </cell>
          <cell r="B69" t="str">
            <v xml:space="preserve">  Ρόδου</v>
          </cell>
        </row>
        <row r="70">
          <cell r="A70" t="str">
            <v>70</v>
          </cell>
          <cell r="B70" t="str">
            <v xml:space="preserve">  Τήνου</v>
          </cell>
        </row>
        <row r="71">
          <cell r="A71" t="str">
            <v>71</v>
          </cell>
          <cell r="B71" t="str">
            <v xml:space="preserve">  Ηρακλείου</v>
          </cell>
        </row>
        <row r="72">
          <cell r="A72" t="str">
            <v>72</v>
          </cell>
          <cell r="B72" t="str">
            <v xml:space="preserve">  Λασιθίου</v>
          </cell>
        </row>
        <row r="73">
          <cell r="A73" t="str">
            <v>73</v>
          </cell>
          <cell r="B73" t="str">
            <v xml:space="preserve">  Ρεθύμνης</v>
          </cell>
        </row>
        <row r="74">
          <cell r="A74" t="str">
            <v>74</v>
          </cell>
          <cell r="B74" t="str">
            <v xml:space="preserve">  Χανίων</v>
          </cell>
        </row>
        <row r="75">
          <cell r="A75" t="str">
            <v>99</v>
          </cell>
          <cell r="B75" t="str">
            <v xml:space="preserve">  Αγίου Όρους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33"/>
  <sheetViews>
    <sheetView showGridLines="0" tabSelected="1" zoomScale="130" zoomScaleNormal="130" workbookViewId="0">
      <selection activeCell="K31" sqref="K31:M32"/>
    </sheetView>
  </sheetViews>
  <sheetFormatPr defaultRowHeight="10.199999999999999"/>
  <cols>
    <col min="1" max="1" width="20.88671875" style="1" customWidth="1"/>
    <col min="2" max="3" width="11.77734375" style="1" customWidth="1"/>
    <col min="4" max="4" width="9.6640625" style="1" customWidth="1"/>
    <col min="5" max="6" width="11.77734375" style="1" customWidth="1"/>
    <col min="7" max="7" width="10.44140625" style="1" customWidth="1"/>
    <col min="8" max="10" width="11.77734375" style="1" customWidth="1"/>
    <col min="11" max="11" width="9.6640625" style="1" customWidth="1"/>
    <col min="12" max="12" width="7.109375" style="1" customWidth="1"/>
    <col min="13" max="13" width="6" style="1" customWidth="1"/>
    <col min="14" max="14" width="10.109375" style="1" customWidth="1"/>
    <col min="15" max="16384" width="8.88671875" style="1"/>
  </cols>
  <sheetData>
    <row r="1" spans="1:14" ht="14.4" customHeight="1">
      <c r="A1" s="23"/>
      <c r="B1" s="23"/>
      <c r="C1" s="23"/>
      <c r="D1" s="23"/>
      <c r="E1" s="23"/>
      <c r="F1" s="23"/>
      <c r="G1" s="23"/>
      <c r="H1" s="23"/>
      <c r="I1" s="23"/>
      <c r="J1" s="23"/>
      <c r="K1" s="24"/>
      <c r="L1" s="24"/>
      <c r="M1" s="24"/>
      <c r="N1" s="2"/>
    </row>
    <row r="2" spans="1:14" ht="22.2" customHeight="1">
      <c r="A2" s="82" t="s">
        <v>125</v>
      </c>
      <c r="B2" s="82"/>
      <c r="C2" s="82"/>
      <c r="D2" s="82"/>
      <c r="E2" s="82"/>
      <c r="F2" s="82"/>
      <c r="G2" s="82" t="s">
        <v>126</v>
      </c>
      <c r="H2" s="82"/>
      <c r="I2" s="82"/>
      <c r="J2" s="82"/>
      <c r="K2" s="82"/>
      <c r="L2" s="82"/>
      <c r="M2" s="82"/>
      <c r="N2" s="2"/>
    </row>
    <row r="3" spans="1:14" ht="15" customHeight="1" thickBot="1">
      <c r="A3" s="91" t="s">
        <v>111</v>
      </c>
      <c r="B3" s="92"/>
      <c r="C3" s="33"/>
      <c r="D3" s="33"/>
      <c r="E3" s="33"/>
      <c r="F3" s="33"/>
      <c r="G3" s="76"/>
      <c r="H3" s="76"/>
      <c r="I3" s="76"/>
      <c r="J3" s="76"/>
      <c r="K3" s="90" t="s">
        <v>110</v>
      </c>
      <c r="L3" s="90"/>
      <c r="M3" s="90"/>
      <c r="N3" s="3"/>
    </row>
    <row r="4" spans="1:14" ht="14.4" customHeight="1">
      <c r="A4" s="85" t="s">
        <v>0</v>
      </c>
      <c r="B4" s="93" t="s">
        <v>112</v>
      </c>
      <c r="C4" s="94"/>
      <c r="D4" s="61" t="s">
        <v>117</v>
      </c>
      <c r="E4" s="61" t="s">
        <v>118</v>
      </c>
      <c r="F4" s="61" t="s">
        <v>119</v>
      </c>
      <c r="G4" s="61" t="s">
        <v>120</v>
      </c>
      <c r="H4" s="61" t="s">
        <v>121</v>
      </c>
      <c r="I4" s="86" t="s">
        <v>122</v>
      </c>
      <c r="J4" s="87"/>
      <c r="K4" s="82" t="s">
        <v>1</v>
      </c>
      <c r="L4" s="82"/>
      <c r="M4" s="82"/>
      <c r="N4" s="4"/>
    </row>
    <row r="5" spans="1:14" ht="31.8" customHeight="1">
      <c r="A5" s="82"/>
      <c r="B5" s="88" t="s">
        <v>113</v>
      </c>
      <c r="C5" s="64" t="s">
        <v>114</v>
      </c>
      <c r="D5" s="62"/>
      <c r="E5" s="62"/>
      <c r="F5" s="62"/>
      <c r="G5" s="62"/>
      <c r="H5" s="62"/>
      <c r="I5" s="53" t="s">
        <v>115</v>
      </c>
      <c r="J5" s="48" t="s">
        <v>116</v>
      </c>
      <c r="K5" s="82"/>
      <c r="L5" s="82"/>
      <c r="M5" s="82"/>
      <c r="N5" s="4"/>
    </row>
    <row r="6" spans="1:14" ht="30.6" customHeight="1">
      <c r="A6" s="82"/>
      <c r="B6" s="89"/>
      <c r="C6" s="65"/>
      <c r="D6" s="63"/>
      <c r="E6" s="63"/>
      <c r="F6" s="63"/>
      <c r="G6" s="63"/>
      <c r="H6" s="63"/>
      <c r="I6" s="54"/>
      <c r="J6" s="49"/>
      <c r="K6" s="82"/>
      <c r="L6" s="82"/>
      <c r="M6" s="82"/>
      <c r="N6" s="4"/>
    </row>
    <row r="7" spans="1:14">
      <c r="A7" s="57" t="s">
        <v>2</v>
      </c>
      <c r="B7" s="59">
        <f>SUM(B9,B17,B26,B31,B37,B44,B51,B58,B63,B70,B80,B87,B102)</f>
        <v>24939606</v>
      </c>
      <c r="C7" s="50">
        <f t="shared" ref="C7:J7" si="0">SUM(C9,C17,C26,C31,C37,C44,C51,C58,C63,C70,C80,C87,C102)</f>
        <v>5955488</v>
      </c>
      <c r="D7" s="50">
        <f t="shared" si="0"/>
        <v>30059</v>
      </c>
      <c r="E7" s="50">
        <f t="shared" si="0"/>
        <v>52517</v>
      </c>
      <c r="F7" s="50">
        <f t="shared" si="0"/>
        <v>100734</v>
      </c>
      <c r="G7" s="50">
        <f t="shared" si="0"/>
        <v>1183761</v>
      </c>
      <c r="H7" s="50">
        <f t="shared" si="0"/>
        <v>2130</v>
      </c>
      <c r="I7" s="50">
        <f t="shared" si="0"/>
        <v>74051</v>
      </c>
      <c r="J7" s="83">
        <f t="shared" si="0"/>
        <v>1382660</v>
      </c>
      <c r="K7" s="95" t="s">
        <v>3</v>
      </c>
      <c r="L7" s="96"/>
      <c r="M7" s="96"/>
      <c r="N7" s="4"/>
    </row>
    <row r="8" spans="1:14">
      <c r="A8" s="58"/>
      <c r="B8" s="60"/>
      <c r="C8" s="51"/>
      <c r="D8" s="51"/>
      <c r="E8" s="51"/>
      <c r="F8" s="51"/>
      <c r="G8" s="51"/>
      <c r="H8" s="51"/>
      <c r="I8" s="51"/>
      <c r="J8" s="84"/>
      <c r="K8" s="97"/>
      <c r="L8" s="80"/>
      <c r="M8" s="80"/>
      <c r="N8" s="4"/>
    </row>
    <row r="9" spans="1:14">
      <c r="A9" s="81" t="s">
        <v>4</v>
      </c>
      <c r="B9" s="70">
        <f>SUM(B11:B16)</f>
        <v>933070</v>
      </c>
      <c r="C9" s="52">
        <f t="shared" ref="C9:J9" si="1">SUM(C11:C16)</f>
        <v>494567</v>
      </c>
      <c r="D9" s="52">
        <f>SUM(D11:D16)</f>
        <v>5664</v>
      </c>
      <c r="E9" s="52">
        <f t="shared" si="1"/>
        <v>10867</v>
      </c>
      <c r="F9" s="52">
        <f t="shared" si="1"/>
        <v>7299</v>
      </c>
      <c r="G9" s="52">
        <f t="shared" si="1"/>
        <v>20202</v>
      </c>
      <c r="H9" s="52">
        <f t="shared" si="1"/>
        <v>45</v>
      </c>
      <c r="I9" s="52">
        <f t="shared" si="1"/>
        <v>7168</v>
      </c>
      <c r="J9" s="47">
        <f t="shared" si="1"/>
        <v>101900</v>
      </c>
      <c r="K9" s="80" t="s">
        <v>5</v>
      </c>
      <c r="L9" s="80"/>
      <c r="M9" s="80"/>
      <c r="N9" s="4"/>
    </row>
    <row r="10" spans="1:14">
      <c r="A10" s="81"/>
      <c r="B10" s="70"/>
      <c r="C10" s="52"/>
      <c r="D10" s="52"/>
      <c r="E10" s="52"/>
      <c r="F10" s="52"/>
      <c r="G10" s="52"/>
      <c r="H10" s="52"/>
      <c r="I10" s="52"/>
      <c r="J10" s="47"/>
      <c r="K10" s="80"/>
      <c r="L10" s="80"/>
      <c r="M10" s="80"/>
      <c r="N10" s="4"/>
    </row>
    <row r="11" spans="1:14">
      <c r="A11" s="5" t="str">
        <f>VLOOKUP([1]ListOfRegions!$A$1,[1]ListOfRegions!$A$1:B75,2,0)</f>
        <v xml:space="preserve">  Ροδόπης</v>
      </c>
      <c r="B11" s="34">
        <v>6100</v>
      </c>
      <c r="C11" s="25">
        <v>142883</v>
      </c>
      <c r="D11" s="26">
        <v>1658</v>
      </c>
      <c r="E11" s="26">
        <v>4163</v>
      </c>
      <c r="F11" s="26">
        <v>4515</v>
      </c>
      <c r="G11" s="26">
        <v>10472</v>
      </c>
      <c r="H11" s="26">
        <v>15</v>
      </c>
      <c r="I11" s="26">
        <v>4544</v>
      </c>
      <c r="J11" s="35">
        <v>10308</v>
      </c>
      <c r="K11" s="30" t="s">
        <v>6</v>
      </c>
      <c r="L11" s="6"/>
      <c r="M11" s="6"/>
      <c r="N11" s="4"/>
    </row>
    <row r="12" spans="1:14">
      <c r="A12" s="5" t="str">
        <f>VLOOKUP([1]ListOfRegions!$A$2,[1]ListOfRegions!$A$2:B76,2,0)</f>
        <v xml:space="preserve">  Δράμας</v>
      </c>
      <c r="B12" s="34">
        <v>62500</v>
      </c>
      <c r="C12" s="25">
        <v>77587</v>
      </c>
      <c r="D12" s="26">
        <v>293</v>
      </c>
      <c r="E12" s="26">
        <v>368</v>
      </c>
      <c r="F12" s="26">
        <v>47</v>
      </c>
      <c r="G12" s="26">
        <v>3048</v>
      </c>
      <c r="H12" s="20" t="s">
        <v>123</v>
      </c>
      <c r="I12" s="26">
        <v>720</v>
      </c>
      <c r="J12" s="35">
        <v>12317</v>
      </c>
      <c r="K12" s="30" t="s">
        <v>7</v>
      </c>
      <c r="L12" s="6"/>
      <c r="M12" s="6"/>
      <c r="N12" s="4"/>
    </row>
    <row r="13" spans="1:14">
      <c r="A13" s="5" t="str">
        <f>VLOOKUP([1]ListOfRegions!A3,[1]ListOfRegions!A3:B77,2,0)</f>
        <v xml:space="preserve">  Έβρου</v>
      </c>
      <c r="B13" s="34">
        <v>625000</v>
      </c>
      <c r="C13" s="25">
        <v>128676</v>
      </c>
      <c r="D13" s="26">
        <v>471</v>
      </c>
      <c r="E13" s="26">
        <v>1130</v>
      </c>
      <c r="F13" s="26">
        <v>1573</v>
      </c>
      <c r="G13" s="26">
        <v>5712</v>
      </c>
      <c r="H13" s="26">
        <v>2</v>
      </c>
      <c r="I13" s="26">
        <v>1074</v>
      </c>
      <c r="J13" s="35">
        <v>34789</v>
      </c>
      <c r="K13" s="30" t="s">
        <v>8</v>
      </c>
      <c r="L13" s="6"/>
      <c r="M13" s="6"/>
      <c r="N13" s="4"/>
    </row>
    <row r="14" spans="1:14">
      <c r="A14" s="5" t="str">
        <f>VLOOKUP([1]ListOfRegions!A4,[1]ListOfRegions!A4:B78,2,0)</f>
        <v xml:space="preserve">  Θάσου</v>
      </c>
      <c r="B14" s="34">
        <v>750</v>
      </c>
      <c r="C14" s="25">
        <v>5250</v>
      </c>
      <c r="D14" s="26">
        <v>126</v>
      </c>
      <c r="E14" s="26">
        <v>154</v>
      </c>
      <c r="F14" s="26">
        <v>228</v>
      </c>
      <c r="G14" s="26">
        <v>3</v>
      </c>
      <c r="H14" s="26">
        <v>1</v>
      </c>
      <c r="I14" s="27"/>
      <c r="J14" s="35">
        <v>23707</v>
      </c>
      <c r="K14" s="30" t="s">
        <v>9</v>
      </c>
      <c r="L14" s="6"/>
      <c r="M14" s="6"/>
      <c r="N14" s="4"/>
    </row>
    <row r="15" spans="1:14">
      <c r="A15" s="5" t="str">
        <f>VLOOKUP([1]ListOfRegions!A5,[1]ListOfRegions!A5:B79,2,0)</f>
        <v xml:space="preserve">  Καβάλας</v>
      </c>
      <c r="B15" s="34">
        <v>59120</v>
      </c>
      <c r="C15" s="25">
        <v>66809</v>
      </c>
      <c r="D15" s="26">
        <v>50</v>
      </c>
      <c r="E15" s="26">
        <v>45</v>
      </c>
      <c r="F15" s="26">
        <v>50</v>
      </c>
      <c r="G15" s="26">
        <v>165</v>
      </c>
      <c r="H15" s="26">
        <v>27</v>
      </c>
      <c r="I15" s="26">
        <v>347</v>
      </c>
      <c r="J15" s="35">
        <v>10544</v>
      </c>
      <c r="K15" s="30" t="s">
        <v>10</v>
      </c>
      <c r="L15" s="6"/>
      <c r="M15" s="6"/>
      <c r="N15" s="4"/>
    </row>
    <row r="16" spans="1:14">
      <c r="A16" s="5" t="str">
        <f>VLOOKUP([1]ListOfRegions!A6,[1]ListOfRegions!A6:B80,2,0)</f>
        <v xml:space="preserve">  Ξάνθης</v>
      </c>
      <c r="B16" s="36">
        <v>179600</v>
      </c>
      <c r="C16" s="26">
        <v>73362</v>
      </c>
      <c r="D16" s="26">
        <v>3066</v>
      </c>
      <c r="E16" s="26">
        <v>5007</v>
      </c>
      <c r="F16" s="26">
        <v>886</v>
      </c>
      <c r="G16" s="26">
        <v>802</v>
      </c>
      <c r="H16" s="20" t="s">
        <v>123</v>
      </c>
      <c r="I16" s="26">
        <v>483</v>
      </c>
      <c r="J16" s="35">
        <v>10235</v>
      </c>
      <c r="K16" s="30" t="s">
        <v>11</v>
      </c>
      <c r="L16" s="6"/>
      <c r="M16" s="6"/>
      <c r="N16" s="4"/>
    </row>
    <row r="17" spans="1:14">
      <c r="A17" s="69" t="s">
        <v>12</v>
      </c>
      <c r="B17" s="70">
        <f>SUM(B19:B25)</f>
        <v>4681334</v>
      </c>
      <c r="C17" s="52">
        <f t="shared" ref="C17:J17" si="2">SUM(C19:C25)</f>
        <v>677019</v>
      </c>
      <c r="D17" s="52">
        <f t="shared" si="2"/>
        <v>1855</v>
      </c>
      <c r="E17" s="52">
        <f t="shared" si="2"/>
        <v>5653</v>
      </c>
      <c r="F17" s="52">
        <f>SUM(F19:F25)</f>
        <v>12785</v>
      </c>
      <c r="G17" s="52">
        <f t="shared" si="2"/>
        <v>64663</v>
      </c>
      <c r="H17" s="52">
        <f t="shared" si="2"/>
        <v>245</v>
      </c>
      <c r="I17" s="52">
        <f t="shared" si="2"/>
        <v>10451</v>
      </c>
      <c r="J17" s="47">
        <f t="shared" si="2"/>
        <v>277644</v>
      </c>
      <c r="K17" s="79" t="s">
        <v>13</v>
      </c>
      <c r="L17" s="79"/>
      <c r="M17" s="79"/>
      <c r="N17" s="4"/>
    </row>
    <row r="18" spans="1:14">
      <c r="A18" s="69"/>
      <c r="B18" s="70"/>
      <c r="C18" s="52"/>
      <c r="D18" s="52"/>
      <c r="E18" s="52"/>
      <c r="F18" s="52"/>
      <c r="G18" s="52"/>
      <c r="H18" s="52"/>
      <c r="I18" s="52"/>
      <c r="J18" s="47"/>
      <c r="K18" s="79"/>
      <c r="L18" s="79"/>
      <c r="M18" s="79"/>
      <c r="N18" s="4"/>
    </row>
    <row r="19" spans="1:14">
      <c r="A19" s="5" t="str">
        <f>VLOOKUP([1]ListOfRegions!A7,[1]ListOfRegions!A7:B81,2,0)</f>
        <v xml:space="preserve">  Θεσσαλονίκης</v>
      </c>
      <c r="B19" s="36">
        <v>1450400</v>
      </c>
      <c r="C19" s="26">
        <v>103055</v>
      </c>
      <c r="D19" s="26">
        <v>286</v>
      </c>
      <c r="E19" s="26">
        <v>1214</v>
      </c>
      <c r="F19" s="26">
        <v>10290</v>
      </c>
      <c r="G19" s="26">
        <v>5759</v>
      </c>
      <c r="H19" s="26">
        <v>4</v>
      </c>
      <c r="I19" s="26">
        <v>650</v>
      </c>
      <c r="J19" s="35">
        <v>34421</v>
      </c>
      <c r="K19" s="30" t="s">
        <v>14</v>
      </c>
      <c r="L19" s="6"/>
      <c r="M19" s="6"/>
      <c r="N19" s="4"/>
    </row>
    <row r="20" spans="1:14">
      <c r="A20" s="5" t="str">
        <f>VLOOKUP([1]ListOfRegions!A8,[1]ListOfRegions!A8:B82,2,0)</f>
        <v xml:space="preserve">  Ημαθίας</v>
      </c>
      <c r="B20" s="36">
        <v>100760</v>
      </c>
      <c r="C20" s="26">
        <v>48804</v>
      </c>
      <c r="D20" s="26">
        <v>370</v>
      </c>
      <c r="E20" s="26">
        <v>1565</v>
      </c>
      <c r="F20" s="26">
        <v>641</v>
      </c>
      <c r="G20" s="26">
        <v>5710</v>
      </c>
      <c r="H20" s="20" t="s">
        <v>123</v>
      </c>
      <c r="I20" s="26">
        <v>871</v>
      </c>
      <c r="J20" s="35">
        <v>13585</v>
      </c>
      <c r="K20" s="30" t="s">
        <v>15</v>
      </c>
      <c r="L20" s="6"/>
      <c r="M20" s="6"/>
      <c r="N20" s="4"/>
    </row>
    <row r="21" spans="1:14">
      <c r="A21" s="5" t="str">
        <f>VLOOKUP([1]ListOfRegions!A9,[1]ListOfRegions!A9:B83,2,0)</f>
        <v xml:space="preserve">  Κιλκίς</v>
      </c>
      <c r="B21" s="36">
        <v>336500</v>
      </c>
      <c r="C21" s="26">
        <v>53178</v>
      </c>
      <c r="D21" s="26">
        <v>41</v>
      </c>
      <c r="E21" s="26">
        <v>168</v>
      </c>
      <c r="F21" s="26">
        <v>17</v>
      </c>
      <c r="G21" s="26">
        <v>2886</v>
      </c>
      <c r="H21" s="26">
        <v>60</v>
      </c>
      <c r="I21" s="26">
        <v>1646</v>
      </c>
      <c r="J21" s="35">
        <v>5044</v>
      </c>
      <c r="K21" s="30" t="s">
        <v>16</v>
      </c>
      <c r="L21" s="6"/>
      <c r="M21" s="6"/>
      <c r="N21" s="4"/>
    </row>
    <row r="22" spans="1:14">
      <c r="A22" s="5" t="str">
        <f>VLOOKUP([1]ListOfRegions!A10,[1]ListOfRegions!A10:B84,2,0)</f>
        <v xml:space="preserve">  Πέλλας</v>
      </c>
      <c r="B22" s="36">
        <v>144350</v>
      </c>
      <c r="C22" s="26">
        <v>98222</v>
      </c>
      <c r="D22" s="26">
        <v>172</v>
      </c>
      <c r="E22" s="26">
        <v>497</v>
      </c>
      <c r="F22" s="26">
        <v>487</v>
      </c>
      <c r="G22" s="26">
        <v>12627</v>
      </c>
      <c r="H22" s="26">
        <v>17</v>
      </c>
      <c r="I22" s="27"/>
      <c r="J22" s="35">
        <v>26805</v>
      </c>
      <c r="K22" s="30" t="s">
        <v>17</v>
      </c>
      <c r="L22" s="6"/>
      <c r="M22" s="6"/>
      <c r="N22" s="4"/>
    </row>
    <row r="23" spans="1:14">
      <c r="A23" s="5" t="str">
        <f>VLOOKUP([1]ListOfRegions!A11,[1]ListOfRegions!A11:B85,2,0)</f>
        <v xml:space="preserve">  Πιερίας</v>
      </c>
      <c r="B23" s="36">
        <v>768400</v>
      </c>
      <c r="C23" s="26">
        <v>111291</v>
      </c>
      <c r="D23" s="26">
        <v>196</v>
      </c>
      <c r="E23" s="26">
        <v>450</v>
      </c>
      <c r="F23" s="26">
        <v>249</v>
      </c>
      <c r="G23" s="26">
        <v>5079</v>
      </c>
      <c r="H23" s="26">
        <v>77</v>
      </c>
      <c r="I23" s="26">
        <v>35</v>
      </c>
      <c r="J23" s="35">
        <v>12682</v>
      </c>
      <c r="K23" s="30" t="s">
        <v>18</v>
      </c>
      <c r="L23" s="6"/>
      <c r="M23" s="6"/>
      <c r="N23" s="4"/>
    </row>
    <row r="24" spans="1:14">
      <c r="A24" s="5" t="str">
        <f>VLOOKUP([1]ListOfRegions!A12,[1]ListOfRegions!A12:B86,2,0)</f>
        <v xml:space="preserve">  Σερρών</v>
      </c>
      <c r="B24" s="36">
        <v>1403084</v>
      </c>
      <c r="C24" s="26">
        <v>213790</v>
      </c>
      <c r="D24" s="26">
        <v>718</v>
      </c>
      <c r="E24" s="26">
        <v>1671</v>
      </c>
      <c r="F24" s="26">
        <v>1007</v>
      </c>
      <c r="G24" s="26">
        <v>30976</v>
      </c>
      <c r="H24" s="26">
        <v>87</v>
      </c>
      <c r="I24" s="26">
        <v>289</v>
      </c>
      <c r="J24" s="35">
        <v>24203</v>
      </c>
      <c r="K24" s="30" t="s">
        <v>19</v>
      </c>
      <c r="L24" s="6"/>
      <c r="M24" s="6"/>
      <c r="N24" s="4"/>
    </row>
    <row r="25" spans="1:14">
      <c r="A25" s="5" t="str">
        <f>VLOOKUP([1]ListOfRegions!A13,[1]ListOfRegions!A13:B87,2,0)</f>
        <v xml:space="preserve">  Χαλκιδικής</v>
      </c>
      <c r="B25" s="36">
        <v>477840</v>
      </c>
      <c r="C25" s="26">
        <v>48679</v>
      </c>
      <c r="D25" s="26">
        <v>72</v>
      </c>
      <c r="E25" s="26">
        <v>88</v>
      </c>
      <c r="F25" s="26">
        <v>94</v>
      </c>
      <c r="G25" s="26">
        <v>1626</v>
      </c>
      <c r="H25" s="21" t="s">
        <v>123</v>
      </c>
      <c r="I25" s="26">
        <v>6960</v>
      </c>
      <c r="J25" s="35">
        <v>160904</v>
      </c>
      <c r="K25" s="30" t="s">
        <v>20</v>
      </c>
      <c r="L25" s="6"/>
      <c r="M25" s="6"/>
      <c r="N25" s="4"/>
    </row>
    <row r="26" spans="1:14" ht="24.6" customHeight="1">
      <c r="A26" s="22" t="s">
        <v>124</v>
      </c>
      <c r="B26" s="37">
        <f>SUM(B27:B30)</f>
        <v>33800</v>
      </c>
      <c r="C26" s="28">
        <f t="shared" ref="C26:J26" si="3">SUM(C27:C30)</f>
        <v>249299</v>
      </c>
      <c r="D26" s="28">
        <f t="shared" si="3"/>
        <v>215</v>
      </c>
      <c r="E26" s="28">
        <f t="shared" si="3"/>
        <v>857</v>
      </c>
      <c r="F26" s="28">
        <f t="shared" si="3"/>
        <v>1074</v>
      </c>
      <c r="G26" s="28">
        <f t="shared" si="3"/>
        <v>9711</v>
      </c>
      <c r="H26" s="28">
        <f t="shared" si="3"/>
        <v>6</v>
      </c>
      <c r="I26" s="28">
        <f t="shared" si="3"/>
        <v>918</v>
      </c>
      <c r="J26" s="38">
        <f t="shared" si="3"/>
        <v>26954</v>
      </c>
      <c r="K26" s="31" t="s">
        <v>127</v>
      </c>
      <c r="L26" s="6"/>
      <c r="M26" s="6"/>
      <c r="N26" s="4"/>
    </row>
    <row r="27" spans="1:14">
      <c r="A27" s="5" t="str">
        <f>VLOOKUP([1]ListOfRegions!A14,[1]ListOfRegions!A14:B88,2,0)</f>
        <v xml:space="preserve">  Κοζάνης</v>
      </c>
      <c r="B27" s="36">
        <v>29800</v>
      </c>
      <c r="C27" s="26">
        <v>111573</v>
      </c>
      <c r="D27" s="26">
        <v>113</v>
      </c>
      <c r="E27" s="26">
        <v>102</v>
      </c>
      <c r="F27" s="26">
        <v>648</v>
      </c>
      <c r="G27" s="26">
        <v>4877</v>
      </c>
      <c r="H27" s="26">
        <v>6</v>
      </c>
      <c r="I27" s="26">
        <v>665</v>
      </c>
      <c r="J27" s="35">
        <v>13708</v>
      </c>
      <c r="K27" s="30" t="s">
        <v>21</v>
      </c>
      <c r="L27" s="6"/>
      <c r="M27" s="6"/>
      <c r="N27" s="4"/>
    </row>
    <row r="28" spans="1:14">
      <c r="A28" s="5" t="str">
        <f>VLOOKUP([1]ListOfRegions!A15,[1]ListOfRegions!A15:B89,2,0)</f>
        <v xml:space="preserve">  Γρεβενών</v>
      </c>
      <c r="B28" s="39" t="s">
        <v>123</v>
      </c>
      <c r="C28" s="26">
        <v>34650</v>
      </c>
      <c r="D28" s="26">
        <v>41</v>
      </c>
      <c r="E28" s="26">
        <v>64</v>
      </c>
      <c r="F28" s="26">
        <v>118</v>
      </c>
      <c r="G28" s="26">
        <v>782</v>
      </c>
      <c r="H28" s="20" t="s">
        <v>123</v>
      </c>
      <c r="I28" s="26">
        <v>19</v>
      </c>
      <c r="J28" s="35">
        <v>5325</v>
      </c>
      <c r="K28" s="30" t="s">
        <v>22</v>
      </c>
      <c r="L28" s="6"/>
      <c r="M28" s="6"/>
      <c r="N28" s="4"/>
    </row>
    <row r="29" spans="1:14">
      <c r="A29" s="5" t="str">
        <f>VLOOKUP([1]ListOfRegions!A16,[1]ListOfRegions!A16:B90,2,0)</f>
        <v xml:space="preserve">  Καστοριάς</v>
      </c>
      <c r="B29" s="40">
        <v>4000</v>
      </c>
      <c r="C29" s="26">
        <v>40161</v>
      </c>
      <c r="D29" s="26">
        <v>13</v>
      </c>
      <c r="E29" s="26">
        <v>18</v>
      </c>
      <c r="F29" s="26">
        <v>118</v>
      </c>
      <c r="G29" s="26">
        <v>567</v>
      </c>
      <c r="H29" s="20" t="s">
        <v>123</v>
      </c>
      <c r="I29" s="26">
        <v>234</v>
      </c>
      <c r="J29" s="35">
        <v>2621</v>
      </c>
      <c r="K29" s="30" t="s">
        <v>23</v>
      </c>
      <c r="L29" s="6"/>
      <c r="M29" s="6"/>
      <c r="N29" s="4"/>
    </row>
    <row r="30" spans="1:14">
      <c r="A30" s="5" t="str">
        <f>VLOOKUP([1]ListOfRegions!A17,[1]ListOfRegions!A17:B91,2,0)</f>
        <v xml:space="preserve">  Φλώρινας</v>
      </c>
      <c r="B30" s="39" t="s">
        <v>123</v>
      </c>
      <c r="C30" s="26">
        <v>62915</v>
      </c>
      <c r="D30" s="26">
        <v>48</v>
      </c>
      <c r="E30" s="26">
        <v>673</v>
      </c>
      <c r="F30" s="26">
        <v>190</v>
      </c>
      <c r="G30" s="26">
        <v>3485</v>
      </c>
      <c r="H30" s="20" t="s">
        <v>123</v>
      </c>
      <c r="I30" s="27"/>
      <c r="J30" s="35">
        <v>5300</v>
      </c>
      <c r="K30" s="30" t="s">
        <v>24</v>
      </c>
      <c r="L30" s="6"/>
      <c r="M30" s="6"/>
      <c r="N30" s="4"/>
    </row>
    <row r="31" spans="1:14">
      <c r="A31" s="69" t="s">
        <v>25</v>
      </c>
      <c r="B31" s="70">
        <f>SUM(B33:B36)</f>
        <v>10626950</v>
      </c>
      <c r="C31" s="52">
        <f t="shared" ref="C31:J31" si="4">SUM(C33:C36)</f>
        <v>485871</v>
      </c>
      <c r="D31" s="52">
        <f t="shared" si="4"/>
        <v>1541</v>
      </c>
      <c r="E31" s="52">
        <f t="shared" si="4"/>
        <v>1724</v>
      </c>
      <c r="F31" s="52">
        <f t="shared" si="4"/>
        <v>4234</v>
      </c>
      <c r="G31" s="52">
        <f t="shared" si="4"/>
        <v>14172</v>
      </c>
      <c r="H31" s="52">
        <f t="shared" si="4"/>
        <v>32</v>
      </c>
      <c r="I31" s="52">
        <f t="shared" si="4"/>
        <v>5312</v>
      </c>
      <c r="J31" s="47">
        <f t="shared" si="4"/>
        <v>61132</v>
      </c>
      <c r="K31" s="77" t="s">
        <v>26</v>
      </c>
      <c r="L31" s="77"/>
      <c r="M31" s="77"/>
      <c r="N31" s="4"/>
    </row>
    <row r="32" spans="1:14">
      <c r="A32" s="69"/>
      <c r="B32" s="70"/>
      <c r="C32" s="52"/>
      <c r="D32" s="52"/>
      <c r="E32" s="52"/>
      <c r="F32" s="52"/>
      <c r="G32" s="52"/>
      <c r="H32" s="52"/>
      <c r="I32" s="52"/>
      <c r="J32" s="47"/>
      <c r="K32" s="77"/>
      <c r="L32" s="77"/>
      <c r="M32" s="77"/>
      <c r="N32" s="4"/>
    </row>
    <row r="33" spans="1:14">
      <c r="A33" s="5" t="str">
        <f>VLOOKUP([1]ListOfRegions!A18,[1]ListOfRegions!A18:B92,2,0)</f>
        <v xml:space="preserve">  Ιωαννίνων</v>
      </c>
      <c r="B33" s="36">
        <v>7376250</v>
      </c>
      <c r="C33" s="26">
        <v>152985</v>
      </c>
      <c r="D33" s="26">
        <v>6</v>
      </c>
      <c r="E33" s="26">
        <v>21</v>
      </c>
      <c r="F33" s="26">
        <v>44</v>
      </c>
      <c r="G33" s="26">
        <v>3744</v>
      </c>
      <c r="H33" s="26">
        <v>26</v>
      </c>
      <c r="I33" s="26">
        <v>292</v>
      </c>
      <c r="J33" s="35">
        <v>17397</v>
      </c>
      <c r="K33" s="30" t="s">
        <v>27</v>
      </c>
      <c r="L33" s="6"/>
      <c r="M33" s="6"/>
      <c r="N33" s="4"/>
    </row>
    <row r="34" spans="1:14">
      <c r="A34" s="5" t="str">
        <f>VLOOKUP([1]ListOfRegions!A19,[1]ListOfRegions!A19:B93,2,0)</f>
        <v xml:space="preserve">  Άρτας</v>
      </c>
      <c r="B34" s="36">
        <v>3092600</v>
      </c>
      <c r="C34" s="26">
        <v>181730</v>
      </c>
      <c r="D34" s="26">
        <v>267</v>
      </c>
      <c r="E34" s="26">
        <v>580</v>
      </c>
      <c r="F34" s="26">
        <v>4070</v>
      </c>
      <c r="G34" s="26">
        <v>6770</v>
      </c>
      <c r="H34" s="26">
        <v>2</v>
      </c>
      <c r="I34" s="26">
        <v>2444</v>
      </c>
      <c r="J34" s="35">
        <v>25401</v>
      </c>
      <c r="K34" s="30" t="s">
        <v>28</v>
      </c>
      <c r="L34" s="6"/>
      <c r="M34" s="6"/>
      <c r="N34" s="4"/>
    </row>
    <row r="35" spans="1:14">
      <c r="A35" s="5" t="str">
        <f>VLOOKUP([1]ListOfRegions!A20,[1]ListOfRegions!A20:B94,2,0)</f>
        <v xml:space="preserve">  Θεσπρωτίας</v>
      </c>
      <c r="B35" s="36">
        <v>400</v>
      </c>
      <c r="C35" s="26">
        <v>49996</v>
      </c>
      <c r="D35" s="26">
        <v>47</v>
      </c>
      <c r="E35" s="26">
        <v>31</v>
      </c>
      <c r="F35" s="26">
        <v>17</v>
      </c>
      <c r="G35" s="26">
        <v>1012</v>
      </c>
      <c r="H35" s="20" t="s">
        <v>123</v>
      </c>
      <c r="I35" s="26">
        <v>1237</v>
      </c>
      <c r="J35" s="35">
        <v>10973</v>
      </c>
      <c r="K35" s="30" t="s">
        <v>29</v>
      </c>
      <c r="L35" s="6"/>
      <c r="M35" s="6"/>
      <c r="N35" s="4"/>
    </row>
    <row r="36" spans="1:14">
      <c r="A36" s="5" t="str">
        <f>VLOOKUP([1]ListOfRegions!A21,[1]ListOfRegions!A21:B95,2,0)</f>
        <v xml:space="preserve">  Πρέβεζας</v>
      </c>
      <c r="B36" s="36">
        <v>157700</v>
      </c>
      <c r="C36" s="26">
        <v>101160</v>
      </c>
      <c r="D36" s="26">
        <v>1221</v>
      </c>
      <c r="E36" s="26">
        <v>1092</v>
      </c>
      <c r="F36" s="26">
        <v>103</v>
      </c>
      <c r="G36" s="26">
        <v>2646</v>
      </c>
      <c r="H36" s="26">
        <v>4</v>
      </c>
      <c r="I36" s="26">
        <v>1339</v>
      </c>
      <c r="J36" s="35">
        <v>7361</v>
      </c>
      <c r="K36" s="30" t="s">
        <v>30</v>
      </c>
      <c r="L36" s="6"/>
      <c r="M36" s="6"/>
      <c r="N36" s="4"/>
    </row>
    <row r="37" spans="1:14">
      <c r="A37" s="69" t="s">
        <v>31</v>
      </c>
      <c r="B37" s="70">
        <f>SUM(B39:B43)</f>
        <v>89652</v>
      </c>
      <c r="C37" s="52">
        <f t="shared" ref="C37:J37" si="5">SUM(C39:C43)</f>
        <v>712282</v>
      </c>
      <c r="D37" s="52">
        <f t="shared" si="5"/>
        <v>3613</v>
      </c>
      <c r="E37" s="52">
        <f t="shared" si="5"/>
        <v>5407</v>
      </c>
      <c r="F37" s="52">
        <f t="shared" si="5"/>
        <v>18030</v>
      </c>
      <c r="G37" s="52">
        <f t="shared" si="5"/>
        <v>39769</v>
      </c>
      <c r="H37" s="52">
        <f t="shared" si="5"/>
        <v>152</v>
      </c>
      <c r="I37" s="52">
        <f t="shared" si="5"/>
        <v>3019</v>
      </c>
      <c r="J37" s="47">
        <f t="shared" si="5"/>
        <v>118292</v>
      </c>
      <c r="K37" s="77" t="s">
        <v>32</v>
      </c>
      <c r="L37" s="77"/>
      <c r="M37" s="77"/>
      <c r="N37" s="4"/>
    </row>
    <row r="38" spans="1:14">
      <c r="A38" s="69"/>
      <c r="B38" s="70"/>
      <c r="C38" s="52"/>
      <c r="D38" s="52"/>
      <c r="E38" s="52"/>
      <c r="F38" s="52"/>
      <c r="G38" s="52"/>
      <c r="H38" s="52"/>
      <c r="I38" s="52"/>
      <c r="J38" s="47"/>
      <c r="K38" s="77"/>
      <c r="L38" s="77"/>
      <c r="M38" s="77"/>
      <c r="N38" s="4"/>
    </row>
    <row r="39" spans="1:14">
      <c r="A39" s="5" t="str">
        <f>VLOOKUP([1]ListOfRegions!A22,[1]ListOfRegions!A22:B96,2,0)</f>
        <v xml:space="preserve">  Λάρισας</v>
      </c>
      <c r="B39" s="36">
        <v>32422</v>
      </c>
      <c r="C39" s="26">
        <v>208422</v>
      </c>
      <c r="D39" s="26">
        <v>323</v>
      </c>
      <c r="E39" s="26">
        <v>670</v>
      </c>
      <c r="F39" s="26">
        <v>1278</v>
      </c>
      <c r="G39" s="26">
        <v>17162</v>
      </c>
      <c r="H39" s="26">
        <v>2</v>
      </c>
      <c r="I39" s="26">
        <v>1576</v>
      </c>
      <c r="J39" s="35">
        <v>27171</v>
      </c>
      <c r="K39" s="30" t="s">
        <v>33</v>
      </c>
      <c r="L39" s="6"/>
      <c r="M39" s="6"/>
      <c r="N39" s="4"/>
    </row>
    <row r="40" spans="1:14">
      <c r="A40" s="5" t="str">
        <f>VLOOKUP([1]ListOfRegions!A23,[1]ListOfRegions!A23:B97,2,0)</f>
        <v xml:space="preserve">  Καρδίτσας</v>
      </c>
      <c r="B40" s="36">
        <v>13690</v>
      </c>
      <c r="C40" s="26">
        <v>210345</v>
      </c>
      <c r="D40" s="26">
        <v>2378</v>
      </c>
      <c r="E40" s="26">
        <v>2845</v>
      </c>
      <c r="F40" s="26">
        <v>2272</v>
      </c>
      <c r="G40" s="26">
        <v>7611</v>
      </c>
      <c r="H40" s="20" t="s">
        <v>123</v>
      </c>
      <c r="I40" s="26">
        <v>1268</v>
      </c>
      <c r="J40" s="35">
        <v>41571</v>
      </c>
      <c r="K40" s="30" t="s">
        <v>34</v>
      </c>
      <c r="L40" s="6"/>
      <c r="M40" s="6"/>
      <c r="N40" s="4"/>
    </row>
    <row r="41" spans="1:14">
      <c r="A41" s="5" t="str">
        <f>VLOOKUP([1]ListOfRegions!A24,[1]ListOfRegions!A24:B98,2,0)</f>
        <v xml:space="preserve">  Μαγνησίας</v>
      </c>
      <c r="B41" s="36">
        <v>31500</v>
      </c>
      <c r="C41" s="26">
        <v>105715</v>
      </c>
      <c r="D41" s="20" t="s">
        <v>123</v>
      </c>
      <c r="E41" s="26">
        <v>30</v>
      </c>
      <c r="F41" s="26">
        <v>20</v>
      </c>
      <c r="G41" s="26">
        <v>6500</v>
      </c>
      <c r="H41" s="26">
        <v>50</v>
      </c>
      <c r="I41" s="27"/>
      <c r="J41" s="35">
        <v>28605</v>
      </c>
      <c r="K41" s="30" t="s">
        <v>35</v>
      </c>
      <c r="L41" s="6"/>
      <c r="M41" s="6"/>
      <c r="N41" s="4"/>
    </row>
    <row r="42" spans="1:14">
      <c r="A42" s="5" t="str">
        <f>VLOOKUP([1]ListOfRegions!A25,[1]ListOfRegions!A25:B99,2,0)</f>
        <v xml:space="preserve">  Σποράδων</v>
      </c>
      <c r="B42" s="39" t="s">
        <v>123</v>
      </c>
      <c r="C42" s="26">
        <v>1640</v>
      </c>
      <c r="D42" s="20" t="s">
        <v>123</v>
      </c>
      <c r="E42" s="20" t="s">
        <v>123</v>
      </c>
      <c r="F42" s="27"/>
      <c r="G42" s="26">
        <v>230</v>
      </c>
      <c r="H42" s="20" t="s">
        <v>123</v>
      </c>
      <c r="I42" s="27"/>
      <c r="J42" s="35">
        <v>3595</v>
      </c>
      <c r="K42" s="30" t="s">
        <v>36</v>
      </c>
      <c r="L42" s="6"/>
      <c r="M42" s="6"/>
      <c r="N42" s="4"/>
    </row>
    <row r="43" spans="1:14">
      <c r="A43" s="5" t="str">
        <f>VLOOKUP([1]ListOfRegions!A26,[1]ListOfRegions!A26:B100,2,0)</f>
        <v xml:space="preserve">  Τρικάλων</v>
      </c>
      <c r="B43" s="36">
        <v>12040</v>
      </c>
      <c r="C43" s="26">
        <v>186160</v>
      </c>
      <c r="D43" s="26">
        <v>912</v>
      </c>
      <c r="E43" s="26">
        <v>1862</v>
      </c>
      <c r="F43" s="26">
        <v>14460</v>
      </c>
      <c r="G43" s="26">
        <v>8266</v>
      </c>
      <c r="H43" s="26">
        <v>100</v>
      </c>
      <c r="I43" s="26">
        <v>175</v>
      </c>
      <c r="J43" s="35">
        <v>17350</v>
      </c>
      <c r="K43" s="30" t="s">
        <v>37</v>
      </c>
      <c r="L43" s="6"/>
      <c r="M43" s="6"/>
      <c r="N43" s="4"/>
    </row>
    <row r="44" spans="1:14">
      <c r="A44" s="69" t="s">
        <v>38</v>
      </c>
      <c r="B44" s="70">
        <f>SUM(B46:B50)</f>
        <v>3693140</v>
      </c>
      <c r="C44" s="52">
        <f t="shared" ref="C44:J44" si="6">SUM(C46:C50)</f>
        <v>328464</v>
      </c>
      <c r="D44" s="52">
        <f t="shared" si="6"/>
        <v>1325</v>
      </c>
      <c r="E44" s="52">
        <f t="shared" si="6"/>
        <v>1894</v>
      </c>
      <c r="F44" s="52">
        <f t="shared" si="6"/>
        <v>1324</v>
      </c>
      <c r="G44" s="52">
        <f t="shared" si="6"/>
        <v>56658</v>
      </c>
      <c r="H44" s="52">
        <f t="shared" si="6"/>
        <v>158</v>
      </c>
      <c r="I44" s="52">
        <f t="shared" si="6"/>
        <v>6828</v>
      </c>
      <c r="J44" s="47">
        <f t="shared" si="6"/>
        <v>161997</v>
      </c>
      <c r="K44" s="77" t="s">
        <v>39</v>
      </c>
      <c r="L44" s="77"/>
      <c r="M44" s="77"/>
      <c r="N44" s="4"/>
    </row>
    <row r="45" spans="1:14">
      <c r="A45" s="69"/>
      <c r="B45" s="70"/>
      <c r="C45" s="52"/>
      <c r="D45" s="52"/>
      <c r="E45" s="52"/>
      <c r="F45" s="52"/>
      <c r="G45" s="52"/>
      <c r="H45" s="52"/>
      <c r="I45" s="52"/>
      <c r="J45" s="47"/>
      <c r="K45" s="77"/>
      <c r="L45" s="77"/>
      <c r="M45" s="77"/>
      <c r="N45" s="4"/>
    </row>
    <row r="46" spans="1:14">
      <c r="A46" s="5" t="str">
        <f>VLOOKUP([1]ListOfRegions!A27,[1]ListOfRegions!A27:B101,2,0)</f>
        <v xml:space="preserve">  Φθιώτιδας</v>
      </c>
      <c r="B46" s="36">
        <v>36700</v>
      </c>
      <c r="C46" s="26">
        <v>128967</v>
      </c>
      <c r="D46" s="26">
        <v>473</v>
      </c>
      <c r="E46" s="26">
        <v>872</v>
      </c>
      <c r="F46" s="26">
        <v>185</v>
      </c>
      <c r="G46" s="26">
        <v>24476</v>
      </c>
      <c r="H46" s="26">
        <v>65</v>
      </c>
      <c r="I46" s="26">
        <v>3983</v>
      </c>
      <c r="J46" s="35">
        <v>20353</v>
      </c>
      <c r="K46" s="30" t="s">
        <v>40</v>
      </c>
      <c r="L46" s="6"/>
      <c r="M46" s="6"/>
      <c r="N46" s="4"/>
    </row>
    <row r="47" spans="1:14">
      <c r="A47" s="5" t="str">
        <f>VLOOKUP([1]ListOfRegions!A28,[1]ListOfRegions!A28:B102,2,0)</f>
        <v xml:space="preserve">  Βοιωτίας</v>
      </c>
      <c r="B47" s="36">
        <v>2332760</v>
      </c>
      <c r="C47" s="26">
        <v>29439</v>
      </c>
      <c r="D47" s="26">
        <v>289</v>
      </c>
      <c r="E47" s="26">
        <v>364</v>
      </c>
      <c r="F47" s="26">
        <v>401</v>
      </c>
      <c r="G47" s="26">
        <v>4550</v>
      </c>
      <c r="H47" s="26">
        <v>75</v>
      </c>
      <c r="I47" s="26">
        <v>20</v>
      </c>
      <c r="J47" s="35">
        <v>30916</v>
      </c>
      <c r="K47" s="30" t="s">
        <v>41</v>
      </c>
      <c r="L47" s="6"/>
      <c r="M47" s="6"/>
      <c r="N47" s="4"/>
    </row>
    <row r="48" spans="1:14">
      <c r="A48" s="5" t="str">
        <f>VLOOKUP([1]ListOfRegions!A29,[1]ListOfRegions!A29:B103,2,0)</f>
        <v xml:space="preserve">  Εύβοιας</v>
      </c>
      <c r="B48" s="36">
        <v>1275480</v>
      </c>
      <c r="C48" s="26">
        <v>123504</v>
      </c>
      <c r="D48" s="26">
        <v>442</v>
      </c>
      <c r="E48" s="26">
        <v>610</v>
      </c>
      <c r="F48" s="26">
        <v>480</v>
      </c>
      <c r="G48" s="26">
        <v>14407</v>
      </c>
      <c r="H48" s="26">
        <v>18</v>
      </c>
      <c r="I48" s="26">
        <v>1024</v>
      </c>
      <c r="J48" s="35">
        <v>79936</v>
      </c>
      <c r="K48" s="30" t="s">
        <v>42</v>
      </c>
      <c r="L48" s="6"/>
      <c r="M48" s="6"/>
      <c r="N48" s="4"/>
    </row>
    <row r="49" spans="1:14">
      <c r="A49" s="5" t="str">
        <f>VLOOKUP([1]ListOfRegions!A30,[1]ListOfRegions!A30:B104,2,0)</f>
        <v xml:space="preserve">  Ευρυτανίας</v>
      </c>
      <c r="B49" s="39" t="s">
        <v>123</v>
      </c>
      <c r="C49" s="26">
        <v>23209</v>
      </c>
      <c r="D49" s="26">
        <v>118</v>
      </c>
      <c r="E49" s="26">
        <v>32</v>
      </c>
      <c r="F49" s="26">
        <v>217</v>
      </c>
      <c r="G49" s="26">
        <v>4954</v>
      </c>
      <c r="H49" s="20" t="s">
        <v>123</v>
      </c>
      <c r="I49" s="26">
        <v>470</v>
      </c>
      <c r="J49" s="35">
        <v>13891</v>
      </c>
      <c r="K49" s="30" t="s">
        <v>43</v>
      </c>
      <c r="L49" s="6"/>
      <c r="M49" s="6"/>
      <c r="N49" s="4"/>
    </row>
    <row r="50" spans="1:14">
      <c r="A50" s="5" t="str">
        <f>VLOOKUP([1]ListOfRegions!A31,[1]ListOfRegions!A31:B105,2,0)</f>
        <v xml:space="preserve">  Φωκίδας</v>
      </c>
      <c r="B50" s="36">
        <v>48200</v>
      </c>
      <c r="C50" s="26">
        <v>23345</v>
      </c>
      <c r="D50" s="26">
        <v>3</v>
      </c>
      <c r="E50" s="26">
        <v>16</v>
      </c>
      <c r="F50" s="26">
        <v>41</v>
      </c>
      <c r="G50" s="26">
        <v>8271</v>
      </c>
      <c r="H50" s="20" t="s">
        <v>123</v>
      </c>
      <c r="I50" s="26">
        <v>1331</v>
      </c>
      <c r="J50" s="35">
        <v>16901</v>
      </c>
      <c r="K50" s="30" t="s">
        <v>44</v>
      </c>
      <c r="L50" s="6"/>
      <c r="M50" s="6"/>
      <c r="N50" s="4"/>
    </row>
    <row r="51" spans="1:14">
      <c r="A51" s="69" t="s">
        <v>45</v>
      </c>
      <c r="B51" s="70">
        <f>SUM(B53:B57)</f>
        <v>4690</v>
      </c>
      <c r="C51" s="52">
        <f t="shared" ref="C51:J51" si="7">SUM(C53:C57)</f>
        <v>191469</v>
      </c>
      <c r="D51" s="52">
        <f t="shared" si="7"/>
        <v>477</v>
      </c>
      <c r="E51" s="52">
        <f t="shared" si="7"/>
        <v>746</v>
      </c>
      <c r="F51" s="52">
        <f t="shared" si="7"/>
        <v>7387</v>
      </c>
      <c r="G51" s="52">
        <f t="shared" si="7"/>
        <v>57198</v>
      </c>
      <c r="H51" s="52">
        <f t="shared" si="7"/>
        <v>23</v>
      </c>
      <c r="I51" s="52">
        <f t="shared" si="7"/>
        <v>5143</v>
      </c>
      <c r="J51" s="47">
        <f t="shared" si="7"/>
        <v>25775</v>
      </c>
      <c r="K51" s="77" t="s">
        <v>46</v>
      </c>
      <c r="L51" s="77"/>
      <c r="M51" s="77"/>
      <c r="N51" s="4"/>
    </row>
    <row r="52" spans="1:14">
      <c r="A52" s="69"/>
      <c r="B52" s="70"/>
      <c r="C52" s="52"/>
      <c r="D52" s="52"/>
      <c r="E52" s="52"/>
      <c r="F52" s="52"/>
      <c r="G52" s="52"/>
      <c r="H52" s="52"/>
      <c r="I52" s="52"/>
      <c r="J52" s="47"/>
      <c r="K52" s="77"/>
      <c r="L52" s="77"/>
      <c r="M52" s="77"/>
      <c r="N52" s="4"/>
    </row>
    <row r="53" spans="1:14">
      <c r="A53" s="5" t="str">
        <f>VLOOKUP([1]ListOfRegions!A32,[1]ListOfRegions!A32:B106,2,0)</f>
        <v xml:space="preserve">  Κέρκυρας</v>
      </c>
      <c r="B53" s="36">
        <v>4000</v>
      </c>
      <c r="C53" s="26">
        <v>117032</v>
      </c>
      <c r="D53" s="26">
        <v>70</v>
      </c>
      <c r="E53" s="26">
        <v>263</v>
      </c>
      <c r="F53" s="26">
        <v>3295</v>
      </c>
      <c r="G53" s="26">
        <v>7974</v>
      </c>
      <c r="H53" s="20" t="s">
        <v>123</v>
      </c>
      <c r="I53" s="26">
        <v>681</v>
      </c>
      <c r="J53" s="35">
        <v>5102</v>
      </c>
      <c r="K53" s="30" t="s">
        <v>47</v>
      </c>
      <c r="L53" s="6"/>
      <c r="M53" s="6"/>
      <c r="N53" s="4"/>
    </row>
    <row r="54" spans="1:14">
      <c r="A54" s="5" t="str">
        <f>VLOOKUP([1]ListOfRegions!A33,[1]ListOfRegions!A33:B107,2,0)</f>
        <v xml:space="preserve">  Ζακύνθου</v>
      </c>
      <c r="B54" s="39" t="s">
        <v>123</v>
      </c>
      <c r="C54" s="26">
        <v>37974</v>
      </c>
      <c r="D54" s="26">
        <v>264</v>
      </c>
      <c r="E54" s="26">
        <v>355</v>
      </c>
      <c r="F54" s="26">
        <v>3637</v>
      </c>
      <c r="G54" s="26">
        <v>33190</v>
      </c>
      <c r="H54" s="26">
        <v>18</v>
      </c>
      <c r="I54" s="26">
        <v>2122</v>
      </c>
      <c r="J54" s="35">
        <v>4536</v>
      </c>
      <c r="K54" s="30" t="s">
        <v>48</v>
      </c>
      <c r="L54" s="6"/>
      <c r="M54" s="6"/>
      <c r="N54" s="4"/>
    </row>
    <row r="55" spans="1:14">
      <c r="A55" s="5" t="str">
        <f>VLOOKUP([1]ListOfRegions!A34,[1]ListOfRegions!A34:B108,2,0)</f>
        <v xml:space="preserve">  Ιθάκης</v>
      </c>
      <c r="B55" s="36">
        <v>190</v>
      </c>
      <c r="C55" s="26">
        <v>598</v>
      </c>
      <c r="D55" s="20" t="s">
        <v>123</v>
      </c>
      <c r="E55" s="26">
        <v>3</v>
      </c>
      <c r="F55" s="26">
        <v>2</v>
      </c>
      <c r="G55" s="26">
        <v>116</v>
      </c>
      <c r="H55" s="20" t="s">
        <v>123</v>
      </c>
      <c r="I55" s="26">
        <v>18</v>
      </c>
      <c r="J55" s="35">
        <v>90</v>
      </c>
      <c r="K55" s="30" t="s">
        <v>49</v>
      </c>
      <c r="L55" s="6"/>
      <c r="M55" s="6"/>
      <c r="N55" s="4"/>
    </row>
    <row r="56" spans="1:14">
      <c r="A56" s="5" t="str">
        <f>VLOOKUP([1]ListOfRegions!A35,[1]ListOfRegions!A35:B109,2,0)</f>
        <v xml:space="preserve">  Κεφαλληνίας</v>
      </c>
      <c r="B56" s="36">
        <v>500</v>
      </c>
      <c r="C56" s="26">
        <v>21910</v>
      </c>
      <c r="D56" s="26">
        <v>89</v>
      </c>
      <c r="E56" s="26">
        <v>82</v>
      </c>
      <c r="F56" s="26">
        <v>309</v>
      </c>
      <c r="G56" s="26">
        <v>12911</v>
      </c>
      <c r="H56" s="26">
        <v>2</v>
      </c>
      <c r="I56" s="26">
        <v>2322</v>
      </c>
      <c r="J56" s="35">
        <v>9393</v>
      </c>
      <c r="K56" s="30" t="s">
        <v>50</v>
      </c>
      <c r="L56" s="6"/>
      <c r="M56" s="6"/>
      <c r="N56" s="4"/>
    </row>
    <row r="57" spans="1:14">
      <c r="A57" s="5" t="str">
        <f>VLOOKUP([1]ListOfRegions!A36,[1]ListOfRegions!A36:B110,2,0)</f>
        <v xml:space="preserve">  Λευκάδας</v>
      </c>
      <c r="B57" s="39" t="s">
        <v>123</v>
      </c>
      <c r="C57" s="26">
        <v>13955</v>
      </c>
      <c r="D57" s="26">
        <v>54</v>
      </c>
      <c r="E57" s="26">
        <v>43</v>
      </c>
      <c r="F57" s="26">
        <v>144</v>
      </c>
      <c r="G57" s="26">
        <v>3007</v>
      </c>
      <c r="H57" s="26">
        <v>3</v>
      </c>
      <c r="I57" s="27"/>
      <c r="J57" s="35">
        <v>6654</v>
      </c>
      <c r="K57" s="30" t="s">
        <v>51</v>
      </c>
      <c r="L57" s="6"/>
      <c r="M57" s="6"/>
      <c r="N57" s="4"/>
    </row>
    <row r="58" spans="1:14">
      <c r="A58" s="69" t="s">
        <v>52</v>
      </c>
      <c r="B58" s="70">
        <f>SUM(B60:B62)</f>
        <v>52290</v>
      </c>
      <c r="C58" s="52">
        <f t="shared" ref="C58:J58" si="8">SUM(C60:C62)</f>
        <v>1209365</v>
      </c>
      <c r="D58" s="52">
        <f t="shared" si="8"/>
        <v>10534</v>
      </c>
      <c r="E58" s="52">
        <f t="shared" si="8"/>
        <v>16640</v>
      </c>
      <c r="F58" s="52">
        <f t="shared" si="8"/>
        <v>12750</v>
      </c>
      <c r="G58" s="52">
        <f t="shared" si="8"/>
        <v>198951</v>
      </c>
      <c r="H58" s="52">
        <f t="shared" si="8"/>
        <v>715</v>
      </c>
      <c r="I58" s="52">
        <f t="shared" si="8"/>
        <v>16579</v>
      </c>
      <c r="J58" s="47">
        <f t="shared" si="8"/>
        <v>85482</v>
      </c>
      <c r="K58" s="77" t="s">
        <v>53</v>
      </c>
      <c r="L58" s="77"/>
      <c r="M58" s="77"/>
      <c r="N58" s="4"/>
    </row>
    <row r="59" spans="1:14">
      <c r="A59" s="69"/>
      <c r="B59" s="70"/>
      <c r="C59" s="52"/>
      <c r="D59" s="52"/>
      <c r="E59" s="52"/>
      <c r="F59" s="52"/>
      <c r="G59" s="52"/>
      <c r="H59" s="52"/>
      <c r="I59" s="52"/>
      <c r="J59" s="47"/>
      <c r="K59" s="77"/>
      <c r="L59" s="77"/>
      <c r="M59" s="77"/>
      <c r="N59" s="4"/>
    </row>
    <row r="60" spans="1:14">
      <c r="A60" s="5" t="str">
        <f>VLOOKUP([1]ListOfRegions!A37,[1]ListOfRegions!A37:B111,2,0)</f>
        <v xml:space="preserve">  Αχαϊας</v>
      </c>
      <c r="B60" s="36">
        <v>8550</v>
      </c>
      <c r="C60" s="26">
        <v>201451</v>
      </c>
      <c r="D60" s="26">
        <v>2130</v>
      </c>
      <c r="E60" s="26">
        <v>2229</v>
      </c>
      <c r="F60" s="26">
        <v>4044</v>
      </c>
      <c r="G60" s="26">
        <v>61595</v>
      </c>
      <c r="H60" s="26">
        <v>246</v>
      </c>
      <c r="I60" s="26">
        <v>7346</v>
      </c>
      <c r="J60" s="35">
        <v>32954</v>
      </c>
      <c r="K60" s="30" t="s">
        <v>54</v>
      </c>
      <c r="L60" s="6"/>
      <c r="M60" s="6"/>
      <c r="N60" s="4"/>
    </row>
    <row r="61" spans="1:14">
      <c r="A61" s="5" t="str">
        <f>VLOOKUP([1]ListOfRegions!A38,[1]ListOfRegions!A38:B112,2,0)</f>
        <v xml:space="preserve">  Αιτωλ/νανίας</v>
      </c>
      <c r="B61" s="36">
        <v>32840</v>
      </c>
      <c r="C61" s="26">
        <v>499975</v>
      </c>
      <c r="D61" s="26">
        <v>1647</v>
      </c>
      <c r="E61" s="26">
        <v>3618</v>
      </c>
      <c r="F61" s="26">
        <v>766</v>
      </c>
      <c r="G61" s="26">
        <v>48721</v>
      </c>
      <c r="H61" s="26">
        <v>74</v>
      </c>
      <c r="I61" s="26">
        <v>5674</v>
      </c>
      <c r="J61" s="35">
        <v>32538</v>
      </c>
      <c r="K61" s="30" t="s">
        <v>55</v>
      </c>
      <c r="L61" s="6"/>
      <c r="M61" s="6"/>
      <c r="N61" s="4"/>
    </row>
    <row r="62" spans="1:14">
      <c r="A62" s="5" t="str">
        <f>VLOOKUP([1]ListOfRegions!A39,[1]ListOfRegions!A39:B113,2,0)</f>
        <v xml:space="preserve">  Ηλείας</v>
      </c>
      <c r="B62" s="36">
        <v>10900</v>
      </c>
      <c r="C62" s="26">
        <v>507939</v>
      </c>
      <c r="D62" s="26">
        <v>6757</v>
      </c>
      <c r="E62" s="26">
        <v>10793</v>
      </c>
      <c r="F62" s="26">
        <v>7940</v>
      </c>
      <c r="G62" s="26">
        <v>88635</v>
      </c>
      <c r="H62" s="26">
        <v>395</v>
      </c>
      <c r="I62" s="26">
        <v>3559</v>
      </c>
      <c r="J62" s="35">
        <v>19990</v>
      </c>
      <c r="K62" s="30" t="s">
        <v>56</v>
      </c>
      <c r="L62" s="6"/>
      <c r="M62" s="6"/>
      <c r="N62" s="4"/>
    </row>
    <row r="63" spans="1:14">
      <c r="A63" s="69" t="s">
        <v>57</v>
      </c>
      <c r="B63" s="70">
        <f>SUM(B65:B69)</f>
        <v>1250015</v>
      </c>
      <c r="C63" s="52">
        <f t="shared" ref="C63:J63" si="9">SUM(C65:C69)</f>
        <v>508167</v>
      </c>
      <c r="D63" s="52">
        <f t="shared" si="9"/>
        <v>1390</v>
      </c>
      <c r="E63" s="52">
        <f t="shared" si="9"/>
        <v>1368</v>
      </c>
      <c r="F63" s="52">
        <f t="shared" si="9"/>
        <v>14842</v>
      </c>
      <c r="G63" s="52">
        <f t="shared" si="9"/>
        <v>79869</v>
      </c>
      <c r="H63" s="52">
        <f t="shared" si="9"/>
        <v>135</v>
      </c>
      <c r="I63" s="52">
        <f t="shared" si="9"/>
        <v>3900</v>
      </c>
      <c r="J63" s="47">
        <f t="shared" si="9"/>
        <v>198704</v>
      </c>
      <c r="K63" s="77" t="s">
        <v>58</v>
      </c>
      <c r="L63" s="77"/>
      <c r="M63" s="77"/>
      <c r="N63" s="4"/>
    </row>
    <row r="64" spans="1:14">
      <c r="A64" s="69"/>
      <c r="B64" s="70"/>
      <c r="C64" s="52"/>
      <c r="D64" s="52"/>
      <c r="E64" s="52"/>
      <c r="F64" s="52"/>
      <c r="G64" s="52"/>
      <c r="H64" s="52"/>
      <c r="I64" s="52"/>
      <c r="J64" s="47"/>
      <c r="K64" s="77"/>
      <c r="L64" s="77"/>
      <c r="M64" s="77"/>
      <c r="N64" s="4"/>
    </row>
    <row r="65" spans="1:14">
      <c r="A65" s="5" t="str">
        <f>VLOOKUP([1]ListOfRegions!A40,[1]ListOfRegions!A40:B114,2,0)</f>
        <v xml:space="preserve">  Αρκαδίας</v>
      </c>
      <c r="B65" s="36">
        <v>414270</v>
      </c>
      <c r="C65" s="26">
        <v>79169</v>
      </c>
      <c r="D65" s="26">
        <v>362</v>
      </c>
      <c r="E65" s="26">
        <v>162</v>
      </c>
      <c r="F65" s="26">
        <v>251</v>
      </c>
      <c r="G65" s="26">
        <v>12755</v>
      </c>
      <c r="H65" s="26">
        <v>35</v>
      </c>
      <c r="I65" s="27"/>
      <c r="J65" s="35">
        <v>54715</v>
      </c>
      <c r="K65" s="30" t="s">
        <v>59</v>
      </c>
      <c r="L65" s="6"/>
      <c r="M65" s="6"/>
      <c r="N65" s="4"/>
    </row>
    <row r="66" spans="1:14">
      <c r="A66" s="5" t="str">
        <f>VLOOKUP([1]ListOfRegions!A41,[1]ListOfRegions!A41:B115,2,0)</f>
        <v xml:space="preserve">  Αργολίδας</v>
      </c>
      <c r="B66" s="36">
        <v>159910</v>
      </c>
      <c r="C66" s="26">
        <v>90995</v>
      </c>
      <c r="D66" s="26">
        <v>147</v>
      </c>
      <c r="E66" s="26">
        <v>250</v>
      </c>
      <c r="F66" s="26">
        <v>5685</v>
      </c>
      <c r="G66" s="26">
        <v>15358</v>
      </c>
      <c r="H66" s="20" t="s">
        <v>123</v>
      </c>
      <c r="I66" s="26">
        <v>945</v>
      </c>
      <c r="J66" s="35">
        <v>23483</v>
      </c>
      <c r="K66" s="30" t="s">
        <v>60</v>
      </c>
      <c r="L66" s="6"/>
      <c r="M66" s="6"/>
      <c r="N66" s="4"/>
    </row>
    <row r="67" spans="1:14">
      <c r="A67" s="5" t="str">
        <f>VLOOKUP([1]ListOfRegions!A42,[1]ListOfRegions!A42:B116,2,0)</f>
        <v xml:space="preserve">  Κορινθίας</v>
      </c>
      <c r="B67" s="36">
        <v>614130</v>
      </c>
      <c r="C67" s="26">
        <v>76504</v>
      </c>
      <c r="D67" s="26">
        <v>232</v>
      </c>
      <c r="E67" s="26">
        <v>326</v>
      </c>
      <c r="F67" s="26">
        <v>5966</v>
      </c>
      <c r="G67" s="26">
        <v>22403</v>
      </c>
      <c r="H67" s="26">
        <v>16</v>
      </c>
      <c r="I67" s="26">
        <v>263</v>
      </c>
      <c r="J67" s="35">
        <v>35864</v>
      </c>
      <c r="K67" s="30" t="s">
        <v>61</v>
      </c>
      <c r="L67" s="6"/>
      <c r="M67" s="6"/>
      <c r="N67" s="4"/>
    </row>
    <row r="68" spans="1:14">
      <c r="A68" s="5" t="str">
        <f>VLOOKUP([1]ListOfRegions!A43,[1]ListOfRegions!A43:B117,2,0)</f>
        <v xml:space="preserve">  Λακωνίας</v>
      </c>
      <c r="B68" s="36">
        <v>46155</v>
      </c>
      <c r="C68" s="26">
        <v>123487</v>
      </c>
      <c r="D68" s="26">
        <v>284</v>
      </c>
      <c r="E68" s="26">
        <v>323</v>
      </c>
      <c r="F68" s="26">
        <v>1047</v>
      </c>
      <c r="G68" s="26">
        <v>14010</v>
      </c>
      <c r="H68" s="26">
        <v>72</v>
      </c>
      <c r="I68" s="26">
        <v>558</v>
      </c>
      <c r="J68" s="35">
        <v>47723</v>
      </c>
      <c r="K68" s="30" t="s">
        <v>62</v>
      </c>
      <c r="L68" s="6"/>
      <c r="M68" s="6"/>
      <c r="N68" s="4"/>
    </row>
    <row r="69" spans="1:14">
      <c r="A69" s="5" t="str">
        <f>VLOOKUP([1]ListOfRegions!A44,[1]ListOfRegions!A44:B118,2,0)</f>
        <v xml:space="preserve">  Μεσσηνίας</v>
      </c>
      <c r="B69" s="36">
        <v>15550</v>
      </c>
      <c r="C69" s="26">
        <v>138012</v>
      </c>
      <c r="D69" s="26">
        <v>365</v>
      </c>
      <c r="E69" s="26">
        <v>307</v>
      </c>
      <c r="F69" s="26">
        <v>1893</v>
      </c>
      <c r="G69" s="26">
        <v>15343</v>
      </c>
      <c r="H69" s="26">
        <v>12</v>
      </c>
      <c r="I69" s="26">
        <v>2134</v>
      </c>
      <c r="J69" s="35">
        <v>36919</v>
      </c>
      <c r="K69" s="30" t="s">
        <v>63</v>
      </c>
      <c r="L69" s="6"/>
      <c r="M69" s="6"/>
      <c r="N69" s="4"/>
    </row>
    <row r="70" spans="1:14">
      <c r="A70" s="69" t="s">
        <v>64</v>
      </c>
      <c r="B70" s="78">
        <f t="shared" ref="B70:J70" si="10">SUM(B72:B79)</f>
        <v>2750600</v>
      </c>
      <c r="C70" s="68">
        <f t="shared" si="10"/>
        <v>40138</v>
      </c>
      <c r="D70" s="68">
        <f t="shared" si="10"/>
        <v>172</v>
      </c>
      <c r="E70" s="68">
        <f t="shared" si="10"/>
        <v>871</v>
      </c>
      <c r="F70" s="68">
        <f t="shared" si="10"/>
        <v>1718</v>
      </c>
      <c r="G70" s="68">
        <f t="shared" si="10"/>
        <v>12635</v>
      </c>
      <c r="H70" s="68">
        <f t="shared" si="10"/>
        <v>85</v>
      </c>
      <c r="I70" s="68">
        <f t="shared" si="10"/>
        <v>0</v>
      </c>
      <c r="J70" s="71">
        <f t="shared" si="10"/>
        <v>35021</v>
      </c>
      <c r="K70" s="77" t="s">
        <v>65</v>
      </c>
      <c r="L70" s="77"/>
      <c r="M70" s="77"/>
      <c r="N70" s="4"/>
    </row>
    <row r="71" spans="1:14">
      <c r="A71" s="69"/>
      <c r="B71" s="78"/>
      <c r="C71" s="68"/>
      <c r="D71" s="68"/>
      <c r="E71" s="68"/>
      <c r="F71" s="68"/>
      <c r="G71" s="68"/>
      <c r="H71" s="68"/>
      <c r="I71" s="68"/>
      <c r="J71" s="71"/>
      <c r="K71" s="77"/>
      <c r="L71" s="77"/>
      <c r="M71" s="77"/>
      <c r="N71" s="4"/>
    </row>
    <row r="72" spans="1:14">
      <c r="A72" s="7" t="s">
        <v>66</v>
      </c>
      <c r="B72" s="39" t="s">
        <v>123</v>
      </c>
      <c r="C72" s="20" t="s">
        <v>123</v>
      </c>
      <c r="D72" s="20" t="s">
        <v>123</v>
      </c>
      <c r="E72" s="20" t="s">
        <v>123</v>
      </c>
      <c r="F72" s="20" t="s">
        <v>123</v>
      </c>
      <c r="G72" s="20" t="s">
        <v>123</v>
      </c>
      <c r="H72" s="20" t="s">
        <v>123</v>
      </c>
      <c r="I72" s="20" t="s">
        <v>123</v>
      </c>
      <c r="J72" s="41" t="s">
        <v>123</v>
      </c>
      <c r="K72" s="30" t="s">
        <v>67</v>
      </c>
      <c r="L72" s="6"/>
      <c r="M72" s="6"/>
      <c r="N72" s="4"/>
    </row>
    <row r="73" spans="1:14">
      <c r="A73" s="7" t="s">
        <v>68</v>
      </c>
      <c r="B73" s="39" t="s">
        <v>123</v>
      </c>
      <c r="C73" s="26">
        <v>1510</v>
      </c>
      <c r="D73" s="26">
        <v>2</v>
      </c>
      <c r="E73" s="26">
        <v>3</v>
      </c>
      <c r="F73" s="20" t="s">
        <v>123</v>
      </c>
      <c r="G73" s="26">
        <v>706</v>
      </c>
      <c r="H73" s="20" t="s">
        <v>123</v>
      </c>
      <c r="I73" s="20" t="s">
        <v>123</v>
      </c>
      <c r="J73" s="35">
        <v>260</v>
      </c>
      <c r="K73" s="30" t="s">
        <v>69</v>
      </c>
      <c r="L73" s="6"/>
      <c r="M73" s="6"/>
      <c r="N73" s="4"/>
    </row>
    <row r="74" spans="1:14">
      <c r="A74" s="7" t="s">
        <v>70</v>
      </c>
      <c r="B74" s="39" t="s">
        <v>123</v>
      </c>
      <c r="C74" s="20" t="s">
        <v>123</v>
      </c>
      <c r="D74" s="20" t="s">
        <v>123</v>
      </c>
      <c r="E74" s="20" t="s">
        <v>123</v>
      </c>
      <c r="F74" s="20" t="s">
        <v>123</v>
      </c>
      <c r="G74" s="20" t="s">
        <v>123</v>
      </c>
      <c r="H74" s="20" t="s">
        <v>123</v>
      </c>
      <c r="I74" s="20" t="s">
        <v>123</v>
      </c>
      <c r="J74" s="42" t="s">
        <v>123</v>
      </c>
      <c r="K74" s="30" t="s">
        <v>71</v>
      </c>
      <c r="L74" s="6"/>
      <c r="M74" s="6"/>
      <c r="N74" s="4"/>
    </row>
    <row r="75" spans="1:14">
      <c r="A75" s="7" t="s">
        <v>72</v>
      </c>
      <c r="B75" s="39" t="s">
        <v>123</v>
      </c>
      <c r="C75" s="20" t="s">
        <v>123</v>
      </c>
      <c r="D75" s="20" t="s">
        <v>123</v>
      </c>
      <c r="E75" s="20" t="s">
        <v>123</v>
      </c>
      <c r="F75" s="20" t="s">
        <v>123</v>
      </c>
      <c r="G75" s="20" t="s">
        <v>123</v>
      </c>
      <c r="H75" s="20" t="s">
        <v>123</v>
      </c>
      <c r="I75" s="20" t="s">
        <v>123</v>
      </c>
      <c r="J75" s="41" t="s">
        <v>123</v>
      </c>
      <c r="K75" s="30" t="s">
        <v>73</v>
      </c>
      <c r="L75" s="6"/>
      <c r="M75" s="6"/>
      <c r="N75" s="4"/>
    </row>
    <row r="76" spans="1:14">
      <c r="A76" s="7" t="s">
        <v>74</v>
      </c>
      <c r="B76" s="36">
        <v>811500</v>
      </c>
      <c r="C76" s="26">
        <v>24842</v>
      </c>
      <c r="D76" s="26">
        <v>88</v>
      </c>
      <c r="E76" s="26">
        <v>105</v>
      </c>
      <c r="F76" s="26">
        <v>79</v>
      </c>
      <c r="G76" s="26">
        <v>5545</v>
      </c>
      <c r="H76" s="20" t="s">
        <v>123</v>
      </c>
      <c r="I76" s="20" t="s">
        <v>123</v>
      </c>
      <c r="J76" s="35">
        <v>13693</v>
      </c>
      <c r="K76" s="30" t="s">
        <v>75</v>
      </c>
      <c r="L76" s="6"/>
      <c r="M76" s="6"/>
      <c r="N76" s="4"/>
    </row>
    <row r="77" spans="1:14">
      <c r="A77" s="7" t="s">
        <v>76</v>
      </c>
      <c r="B77" s="36">
        <v>1937000</v>
      </c>
      <c r="C77" s="26">
        <v>3750</v>
      </c>
      <c r="D77" s="26">
        <v>50</v>
      </c>
      <c r="E77" s="26">
        <v>540</v>
      </c>
      <c r="F77" s="26">
        <v>140</v>
      </c>
      <c r="G77" s="26">
        <v>3650</v>
      </c>
      <c r="H77" s="26">
        <v>80</v>
      </c>
      <c r="I77" s="20" t="s">
        <v>123</v>
      </c>
      <c r="J77" s="35">
        <v>10050</v>
      </c>
      <c r="K77" s="30" t="s">
        <v>77</v>
      </c>
      <c r="L77" s="6"/>
      <c r="M77" s="6"/>
      <c r="N77" s="4"/>
    </row>
    <row r="78" spans="1:14">
      <c r="A78" s="7" t="s">
        <v>78</v>
      </c>
      <c r="B78" s="39" t="s">
        <v>123</v>
      </c>
      <c r="C78" s="26">
        <v>150</v>
      </c>
      <c r="D78" s="20" t="s">
        <v>123</v>
      </c>
      <c r="E78" s="20" t="s">
        <v>123</v>
      </c>
      <c r="F78" s="20" t="s">
        <v>123</v>
      </c>
      <c r="G78" s="20" t="s">
        <v>123</v>
      </c>
      <c r="H78" s="20" t="s">
        <v>123</v>
      </c>
      <c r="I78" s="20" t="s">
        <v>123</v>
      </c>
      <c r="J78" s="35">
        <v>70</v>
      </c>
      <c r="K78" s="30" t="s">
        <v>79</v>
      </c>
      <c r="L78" s="6"/>
      <c r="M78" s="6"/>
      <c r="N78" s="4"/>
    </row>
    <row r="79" spans="1:14">
      <c r="A79" s="7" t="s">
        <v>80</v>
      </c>
      <c r="B79" s="36">
        <v>2100</v>
      </c>
      <c r="C79" s="26">
        <v>9886</v>
      </c>
      <c r="D79" s="26">
        <v>32</v>
      </c>
      <c r="E79" s="26">
        <v>223</v>
      </c>
      <c r="F79" s="26">
        <v>1499</v>
      </c>
      <c r="G79" s="26">
        <v>2734</v>
      </c>
      <c r="H79" s="26">
        <v>5</v>
      </c>
      <c r="I79" s="20" t="s">
        <v>123</v>
      </c>
      <c r="J79" s="35">
        <v>10948</v>
      </c>
      <c r="K79" s="30" t="s">
        <v>81</v>
      </c>
      <c r="L79" s="6"/>
      <c r="M79" s="6"/>
      <c r="N79" s="4"/>
    </row>
    <row r="80" spans="1:14">
      <c r="A80" s="69" t="s">
        <v>82</v>
      </c>
      <c r="B80" s="78">
        <f t="shared" ref="B80:J80" si="11">SUM(B82:B86)</f>
        <v>192620</v>
      </c>
      <c r="C80" s="68">
        <f t="shared" si="11"/>
        <v>194419</v>
      </c>
      <c r="D80" s="68">
        <f t="shared" si="11"/>
        <v>1080</v>
      </c>
      <c r="E80" s="68">
        <f t="shared" si="11"/>
        <v>1947</v>
      </c>
      <c r="F80" s="68">
        <f t="shared" si="11"/>
        <v>4080</v>
      </c>
      <c r="G80" s="68">
        <f t="shared" si="11"/>
        <v>19927</v>
      </c>
      <c r="H80" s="68">
        <f t="shared" si="11"/>
        <v>22</v>
      </c>
      <c r="I80" s="68">
        <f t="shared" si="11"/>
        <v>4406</v>
      </c>
      <c r="J80" s="71">
        <f t="shared" si="11"/>
        <v>46887</v>
      </c>
      <c r="K80" s="77" t="s">
        <v>83</v>
      </c>
      <c r="L80" s="77"/>
      <c r="M80" s="77"/>
      <c r="N80" s="4"/>
    </row>
    <row r="81" spans="1:14">
      <c r="A81" s="69"/>
      <c r="B81" s="78"/>
      <c r="C81" s="68"/>
      <c r="D81" s="68"/>
      <c r="E81" s="68"/>
      <c r="F81" s="68"/>
      <c r="G81" s="68"/>
      <c r="H81" s="68"/>
      <c r="I81" s="68"/>
      <c r="J81" s="71"/>
      <c r="K81" s="77"/>
      <c r="L81" s="77"/>
      <c r="M81" s="77"/>
      <c r="N81" s="4"/>
    </row>
    <row r="82" spans="1:14">
      <c r="A82" s="5" t="str">
        <f>VLOOKUP([1]ListOfRegions!A53,[1]ListOfRegions!A53:B127,2,0)</f>
        <v xml:space="preserve">  Λέσβου</v>
      </c>
      <c r="B82" s="36">
        <v>125600</v>
      </c>
      <c r="C82" s="26">
        <v>92616</v>
      </c>
      <c r="D82" s="26">
        <v>745</v>
      </c>
      <c r="E82" s="26">
        <v>1241</v>
      </c>
      <c r="F82" s="26">
        <v>2384</v>
      </c>
      <c r="G82" s="26">
        <v>4040</v>
      </c>
      <c r="H82" s="26">
        <v>6</v>
      </c>
      <c r="I82" s="26">
        <v>2702</v>
      </c>
      <c r="J82" s="35">
        <v>9260</v>
      </c>
      <c r="K82" s="30" t="s">
        <v>84</v>
      </c>
      <c r="L82" s="6"/>
      <c r="M82" s="6"/>
      <c r="N82" s="4"/>
    </row>
    <row r="83" spans="1:14">
      <c r="A83" s="5" t="str">
        <f>VLOOKUP([1]ListOfRegions!A54,[1]ListOfRegions!A54:B128,2,0)</f>
        <v xml:space="preserve">  Ικαρίας</v>
      </c>
      <c r="B83" s="39" t="s">
        <v>123</v>
      </c>
      <c r="C83" s="26">
        <v>15496</v>
      </c>
      <c r="D83" s="20" t="s">
        <v>123</v>
      </c>
      <c r="E83" s="20" t="s">
        <v>123</v>
      </c>
      <c r="F83" s="26">
        <v>180</v>
      </c>
      <c r="G83" s="26">
        <v>2625</v>
      </c>
      <c r="H83" s="20" t="s">
        <v>123</v>
      </c>
      <c r="I83" s="26">
        <v>340</v>
      </c>
      <c r="J83" s="35">
        <v>10480</v>
      </c>
      <c r="K83" s="30" t="s">
        <v>85</v>
      </c>
      <c r="L83" s="6"/>
      <c r="M83" s="6"/>
      <c r="N83" s="4"/>
    </row>
    <row r="84" spans="1:14">
      <c r="A84" s="5" t="str">
        <f>VLOOKUP([1]ListOfRegions!A55,[1]ListOfRegions!A55:B129,2,0)</f>
        <v xml:space="preserve">  Λήμνου</v>
      </c>
      <c r="B84" s="39" t="s">
        <v>123</v>
      </c>
      <c r="C84" s="26">
        <v>38388</v>
      </c>
      <c r="D84" s="26">
        <v>267</v>
      </c>
      <c r="E84" s="26">
        <v>446</v>
      </c>
      <c r="F84" s="26">
        <v>888</v>
      </c>
      <c r="G84" s="26">
        <v>74</v>
      </c>
      <c r="H84" s="26">
        <v>16</v>
      </c>
      <c r="I84" s="26">
        <v>515</v>
      </c>
      <c r="J84" s="35">
        <v>6331</v>
      </c>
      <c r="K84" s="30" t="s">
        <v>86</v>
      </c>
      <c r="L84" s="6"/>
      <c r="M84" s="6"/>
      <c r="N84" s="4"/>
    </row>
    <row r="85" spans="1:14">
      <c r="A85" s="5" t="str">
        <f>VLOOKUP([1]ListOfRegions!A56,[1]ListOfRegions!A56:B130,2,0)</f>
        <v xml:space="preserve">  Σάμου.</v>
      </c>
      <c r="B85" s="36">
        <v>22220</v>
      </c>
      <c r="C85" s="26">
        <v>14229</v>
      </c>
      <c r="D85" s="26">
        <v>25</v>
      </c>
      <c r="E85" s="26">
        <v>148</v>
      </c>
      <c r="F85" s="26">
        <v>423</v>
      </c>
      <c r="G85" s="26">
        <v>4018</v>
      </c>
      <c r="H85" s="20" t="s">
        <v>123</v>
      </c>
      <c r="I85" s="26">
        <v>224</v>
      </c>
      <c r="J85" s="35">
        <v>11869</v>
      </c>
      <c r="K85" s="30" t="s">
        <v>87</v>
      </c>
      <c r="L85" s="6"/>
      <c r="M85" s="6"/>
      <c r="N85" s="4"/>
    </row>
    <row r="86" spans="1:14">
      <c r="A86" s="5" t="str">
        <f>VLOOKUP([1]ListOfRegions!A57,[1]ListOfRegions!A57:B131,2,0)</f>
        <v xml:space="preserve">  Χίου</v>
      </c>
      <c r="B86" s="36">
        <v>44800</v>
      </c>
      <c r="C86" s="26">
        <v>33690</v>
      </c>
      <c r="D86" s="26">
        <v>43</v>
      </c>
      <c r="E86" s="26">
        <v>112</v>
      </c>
      <c r="F86" s="26">
        <v>205</v>
      </c>
      <c r="G86" s="26">
        <v>9170</v>
      </c>
      <c r="H86" s="20" t="s">
        <v>123</v>
      </c>
      <c r="I86" s="26">
        <v>625</v>
      </c>
      <c r="J86" s="35">
        <v>8947</v>
      </c>
      <c r="K86" s="30" t="s">
        <v>88</v>
      </c>
      <c r="L86" s="6"/>
      <c r="M86" s="6"/>
      <c r="N86" s="4"/>
    </row>
    <row r="87" spans="1:14">
      <c r="A87" s="69" t="s">
        <v>89</v>
      </c>
      <c r="B87" s="78">
        <f t="shared" ref="B87:J87" si="12">SUM(B89:B101)</f>
        <v>252750</v>
      </c>
      <c r="C87" s="68">
        <f t="shared" si="12"/>
        <v>209661</v>
      </c>
      <c r="D87" s="68">
        <f t="shared" si="12"/>
        <v>940</v>
      </c>
      <c r="E87" s="68">
        <f t="shared" si="12"/>
        <v>1913</v>
      </c>
      <c r="F87" s="68">
        <f t="shared" si="12"/>
        <v>6790</v>
      </c>
      <c r="G87" s="68">
        <f t="shared" si="12"/>
        <v>58117</v>
      </c>
      <c r="H87" s="68">
        <f t="shared" si="12"/>
        <v>161</v>
      </c>
      <c r="I87" s="68">
        <f t="shared" si="12"/>
        <v>2007</v>
      </c>
      <c r="J87" s="71">
        <f t="shared" si="12"/>
        <v>80702</v>
      </c>
      <c r="K87" s="77" t="s">
        <v>90</v>
      </c>
      <c r="L87" s="77"/>
      <c r="M87" s="77"/>
      <c r="N87" s="4"/>
    </row>
    <row r="88" spans="1:14">
      <c r="A88" s="69"/>
      <c r="B88" s="78"/>
      <c r="C88" s="68"/>
      <c r="D88" s="68"/>
      <c r="E88" s="68"/>
      <c r="F88" s="68"/>
      <c r="G88" s="68"/>
      <c r="H88" s="68"/>
      <c r="I88" s="68"/>
      <c r="J88" s="71"/>
      <c r="K88" s="77"/>
      <c r="L88" s="77"/>
      <c r="M88" s="77"/>
      <c r="N88" s="4"/>
    </row>
    <row r="89" spans="1:14">
      <c r="A89" s="5" t="str">
        <f>VLOOKUP([1]ListOfRegions!A58,[1]ListOfRegions!A58:B132,2,0)</f>
        <v xml:space="preserve">  Σύρου</v>
      </c>
      <c r="B89" s="36">
        <v>2500</v>
      </c>
      <c r="C89" s="26">
        <v>5850</v>
      </c>
      <c r="D89" s="26">
        <v>31</v>
      </c>
      <c r="E89" s="26">
        <v>98</v>
      </c>
      <c r="F89" s="26">
        <v>68</v>
      </c>
      <c r="G89" s="26">
        <v>2650</v>
      </c>
      <c r="H89" s="20" t="s">
        <v>123</v>
      </c>
      <c r="I89" s="26">
        <v>105</v>
      </c>
      <c r="J89" s="35">
        <v>1155</v>
      </c>
      <c r="K89" s="30" t="s">
        <v>91</v>
      </c>
      <c r="L89" s="6"/>
      <c r="M89" s="6"/>
      <c r="N89" s="4"/>
    </row>
    <row r="90" spans="1:14">
      <c r="A90" s="5" t="str">
        <f>VLOOKUP([1]ListOfRegions!A59,[1]ListOfRegions!A59:B133,2,0)</f>
        <v xml:space="preserve">  Άνδρου</v>
      </c>
      <c r="B90" s="36">
        <v>1510</v>
      </c>
      <c r="C90" s="26">
        <v>30094</v>
      </c>
      <c r="D90" s="26">
        <v>8</v>
      </c>
      <c r="E90" s="26">
        <v>20</v>
      </c>
      <c r="F90" s="26">
        <v>433</v>
      </c>
      <c r="G90" s="26">
        <v>3202</v>
      </c>
      <c r="H90" s="20" t="s">
        <v>123</v>
      </c>
      <c r="I90" s="26">
        <v>441</v>
      </c>
      <c r="J90" s="35">
        <v>4993</v>
      </c>
      <c r="K90" s="30" t="s">
        <v>92</v>
      </c>
      <c r="L90" s="6"/>
      <c r="M90" s="6"/>
      <c r="N90" s="4"/>
    </row>
    <row r="91" spans="1:14">
      <c r="A91" s="5" t="str">
        <f>VLOOKUP([1]ListOfRegions!A60,[1]ListOfRegions!A60:B134,2,0)</f>
        <v xml:space="preserve">  Θήρας</v>
      </c>
      <c r="B91" s="39" t="s">
        <v>123</v>
      </c>
      <c r="C91" s="26">
        <v>11684</v>
      </c>
      <c r="D91" s="26">
        <v>2</v>
      </c>
      <c r="E91" s="26">
        <v>63</v>
      </c>
      <c r="F91" s="26">
        <v>48</v>
      </c>
      <c r="G91" s="26">
        <v>11779</v>
      </c>
      <c r="H91" s="20" t="s">
        <v>123</v>
      </c>
      <c r="I91" s="26">
        <v>70</v>
      </c>
      <c r="J91" s="35">
        <v>6144</v>
      </c>
      <c r="K91" s="30" t="s">
        <v>93</v>
      </c>
      <c r="L91" s="6"/>
      <c r="M91" s="6"/>
      <c r="N91" s="4"/>
    </row>
    <row r="92" spans="1:14">
      <c r="A92" s="5" t="str">
        <f>VLOOKUP([1]ListOfRegions!A61,[1]ListOfRegions!A61:B135,2,0)</f>
        <v xml:space="preserve">  Καλύμνου</v>
      </c>
      <c r="B92" s="36">
        <v>24000</v>
      </c>
      <c r="C92" s="26">
        <v>10700</v>
      </c>
      <c r="D92" s="20" t="s">
        <v>123</v>
      </c>
      <c r="E92" s="26">
        <v>90</v>
      </c>
      <c r="F92" s="26">
        <v>670</v>
      </c>
      <c r="G92" s="26">
        <v>2200</v>
      </c>
      <c r="H92" s="26">
        <v>7</v>
      </c>
      <c r="I92" s="26">
        <v>8</v>
      </c>
      <c r="J92" s="35">
        <v>9800</v>
      </c>
      <c r="K92" s="30" t="s">
        <v>94</v>
      </c>
      <c r="L92" s="6"/>
      <c r="M92" s="6"/>
      <c r="N92" s="4"/>
    </row>
    <row r="93" spans="1:14">
      <c r="A93" s="5" t="str">
        <f>VLOOKUP([1]ListOfRegions!A62,[1]ListOfRegions!A62:B136,2,0)</f>
        <v xml:space="preserve">  Καρπάθου</v>
      </c>
      <c r="B93" s="40" t="s">
        <v>123</v>
      </c>
      <c r="C93" s="26">
        <v>150</v>
      </c>
      <c r="D93" s="20" t="s">
        <v>123</v>
      </c>
      <c r="E93" s="20" t="s">
        <v>123</v>
      </c>
      <c r="F93" s="26">
        <v>15</v>
      </c>
      <c r="G93" s="26">
        <v>80</v>
      </c>
      <c r="H93" s="20" t="s">
        <v>123</v>
      </c>
      <c r="I93" s="26">
        <v>150</v>
      </c>
      <c r="J93" s="35">
        <v>130</v>
      </c>
      <c r="K93" s="30" t="s">
        <v>95</v>
      </c>
      <c r="L93" s="6"/>
      <c r="M93" s="6"/>
      <c r="N93" s="4"/>
    </row>
    <row r="94" spans="1:14">
      <c r="A94" s="5" t="str">
        <f>VLOOKUP([1]ListOfRegions!A63,[1]ListOfRegions!A63:B137,2,0)</f>
        <v xml:space="preserve">  Κύθνου</v>
      </c>
      <c r="B94" s="39" t="s">
        <v>123</v>
      </c>
      <c r="C94" s="26">
        <v>5040</v>
      </c>
      <c r="D94" s="20" t="s">
        <v>123</v>
      </c>
      <c r="E94" s="20" t="s">
        <v>123</v>
      </c>
      <c r="F94" s="26">
        <v>18</v>
      </c>
      <c r="G94" s="26">
        <v>750</v>
      </c>
      <c r="H94" s="20" t="s">
        <v>123</v>
      </c>
      <c r="I94" s="26">
        <v>240</v>
      </c>
      <c r="J94" s="35">
        <v>12136</v>
      </c>
      <c r="K94" s="30" t="s">
        <v>96</v>
      </c>
      <c r="L94" s="6"/>
      <c r="M94" s="6"/>
      <c r="N94" s="4"/>
    </row>
    <row r="95" spans="1:14">
      <c r="A95" s="5" t="str">
        <f>VLOOKUP([1]ListOfRegions!A64,[1]ListOfRegions!A64:B138,2,0)</f>
        <v xml:space="preserve">  Κω</v>
      </c>
      <c r="B95" s="36">
        <v>1500</v>
      </c>
      <c r="C95" s="26">
        <v>11863</v>
      </c>
      <c r="D95" s="20" t="s">
        <v>123</v>
      </c>
      <c r="E95" s="26">
        <v>25</v>
      </c>
      <c r="F95" s="26">
        <v>400</v>
      </c>
      <c r="G95" s="26">
        <v>3200</v>
      </c>
      <c r="H95" s="20" t="s">
        <v>123</v>
      </c>
      <c r="I95" s="26">
        <v>100</v>
      </c>
      <c r="J95" s="35">
        <v>11685</v>
      </c>
      <c r="K95" s="30" t="s">
        <v>97</v>
      </c>
      <c r="L95" s="6"/>
      <c r="M95" s="6"/>
      <c r="N95" s="4"/>
    </row>
    <row r="96" spans="1:14">
      <c r="A96" s="5" t="str">
        <f>VLOOKUP([1]ListOfRegions!A65,[1]ListOfRegions!A65:B139,2,0)</f>
        <v xml:space="preserve">  Μήλου</v>
      </c>
      <c r="B96" s="39" t="s">
        <v>123</v>
      </c>
      <c r="C96" s="26">
        <v>20333</v>
      </c>
      <c r="D96" s="20" t="s">
        <v>123</v>
      </c>
      <c r="E96" s="26">
        <v>40</v>
      </c>
      <c r="F96" s="26">
        <v>714</v>
      </c>
      <c r="G96" s="26">
        <v>1202</v>
      </c>
      <c r="H96" s="26">
        <v>6</v>
      </c>
      <c r="I96" s="26">
        <v>124</v>
      </c>
      <c r="J96" s="35">
        <v>4628</v>
      </c>
      <c r="K96" s="30" t="s">
        <v>98</v>
      </c>
      <c r="L96" s="6"/>
      <c r="M96" s="6"/>
      <c r="N96" s="4"/>
    </row>
    <row r="97" spans="1:14">
      <c r="A97" s="5" t="str">
        <f>VLOOKUP([1]ListOfRegions!A66,[1]ListOfRegions!A66:B140,2,0)</f>
        <v xml:space="preserve">  Μυκόνου.</v>
      </c>
      <c r="B97" s="39" t="s">
        <v>123</v>
      </c>
      <c r="C97" s="26">
        <v>2200</v>
      </c>
      <c r="D97" s="26">
        <v>80</v>
      </c>
      <c r="E97" s="26">
        <v>53</v>
      </c>
      <c r="F97" s="26">
        <v>28</v>
      </c>
      <c r="G97" s="26">
        <v>1428</v>
      </c>
      <c r="H97" s="20" t="s">
        <v>123</v>
      </c>
      <c r="I97" s="27"/>
      <c r="J97" s="35">
        <v>150</v>
      </c>
      <c r="K97" s="30" t="s">
        <v>99</v>
      </c>
      <c r="L97" s="6"/>
      <c r="M97" s="6"/>
      <c r="N97" s="4"/>
    </row>
    <row r="98" spans="1:14">
      <c r="A98" s="5" t="str">
        <f>VLOOKUP([1]ListOfRegions!A67,[1]ListOfRegions!A67:B141,2,0)</f>
        <v xml:space="preserve">  Νάξου</v>
      </c>
      <c r="B98" s="39" t="s">
        <v>123</v>
      </c>
      <c r="C98" s="26">
        <v>41100</v>
      </c>
      <c r="D98" s="26">
        <v>409</v>
      </c>
      <c r="E98" s="26">
        <v>488</v>
      </c>
      <c r="F98" s="26">
        <v>1812</v>
      </c>
      <c r="G98" s="26">
        <v>12074</v>
      </c>
      <c r="H98" s="20" t="s">
        <v>123</v>
      </c>
      <c r="I98" s="26">
        <v>330</v>
      </c>
      <c r="J98" s="35">
        <v>6884</v>
      </c>
      <c r="K98" s="30" t="s">
        <v>100</v>
      </c>
      <c r="L98" s="6"/>
      <c r="M98" s="6"/>
      <c r="N98" s="4"/>
    </row>
    <row r="99" spans="1:14">
      <c r="A99" s="5" t="str">
        <f>VLOOKUP([1]ListOfRegions!A68,[1]ListOfRegions!A68:B142,2,0)</f>
        <v xml:space="preserve">  Πάρου</v>
      </c>
      <c r="B99" s="36">
        <v>1500</v>
      </c>
      <c r="C99" s="26">
        <v>30800</v>
      </c>
      <c r="D99" s="26">
        <v>261</v>
      </c>
      <c r="E99" s="26">
        <v>337</v>
      </c>
      <c r="F99" s="26">
        <v>1259</v>
      </c>
      <c r="G99" s="26">
        <v>6905</v>
      </c>
      <c r="H99" s="26">
        <v>1</v>
      </c>
      <c r="I99" s="26">
        <v>100</v>
      </c>
      <c r="J99" s="35">
        <v>1330</v>
      </c>
      <c r="K99" s="30" t="s">
        <v>101</v>
      </c>
      <c r="L99" s="6"/>
      <c r="M99" s="6"/>
      <c r="N99" s="4"/>
    </row>
    <row r="100" spans="1:14">
      <c r="A100" s="5" t="str">
        <f>VLOOKUP([1]ListOfRegions!A69,[1]ListOfRegions!A69:B143,2,0)</f>
        <v xml:space="preserve">  Ρόδου</v>
      </c>
      <c r="B100" s="36">
        <v>221740</v>
      </c>
      <c r="C100" s="26">
        <v>32302</v>
      </c>
      <c r="D100" s="26">
        <v>137</v>
      </c>
      <c r="E100" s="26">
        <v>490</v>
      </c>
      <c r="F100" s="26">
        <v>1305</v>
      </c>
      <c r="G100" s="26">
        <v>7792</v>
      </c>
      <c r="H100" s="26">
        <v>143</v>
      </c>
      <c r="I100" s="26">
        <v>240</v>
      </c>
      <c r="J100" s="35">
        <v>19065</v>
      </c>
      <c r="K100" s="30" t="s">
        <v>102</v>
      </c>
      <c r="L100" s="6"/>
      <c r="M100" s="6"/>
      <c r="N100" s="4"/>
    </row>
    <row r="101" spans="1:14">
      <c r="A101" s="5" t="str">
        <f>VLOOKUP([1]ListOfRegions!A70,[1]ListOfRegions!A70:B144,2,0)</f>
        <v xml:space="preserve">  Τήνου</v>
      </c>
      <c r="B101" s="39" t="s">
        <v>123</v>
      </c>
      <c r="C101" s="26">
        <v>7545</v>
      </c>
      <c r="D101" s="26">
        <v>12</v>
      </c>
      <c r="E101" s="26">
        <v>209</v>
      </c>
      <c r="F101" s="26">
        <v>20</v>
      </c>
      <c r="G101" s="26">
        <v>4855</v>
      </c>
      <c r="H101" s="26">
        <v>4</v>
      </c>
      <c r="I101" s="26">
        <v>99</v>
      </c>
      <c r="J101" s="35">
        <v>2602</v>
      </c>
      <c r="K101" s="30" t="s">
        <v>103</v>
      </c>
      <c r="L101" s="6"/>
      <c r="M101" s="6"/>
      <c r="N101" s="4"/>
    </row>
    <row r="102" spans="1:14">
      <c r="A102" s="69" t="s">
        <v>104</v>
      </c>
      <c r="B102" s="78">
        <f t="shared" ref="B102:J102" si="13">SUM(B104:B107)</f>
        <v>378695</v>
      </c>
      <c r="C102" s="68">
        <f t="shared" si="13"/>
        <v>654767</v>
      </c>
      <c r="D102" s="68">
        <f t="shared" si="13"/>
        <v>1253</v>
      </c>
      <c r="E102" s="68">
        <f t="shared" si="13"/>
        <v>2630</v>
      </c>
      <c r="F102" s="68">
        <f t="shared" si="13"/>
        <v>8421</v>
      </c>
      <c r="G102" s="68">
        <f t="shared" si="13"/>
        <v>551889</v>
      </c>
      <c r="H102" s="68">
        <f t="shared" si="13"/>
        <v>351</v>
      </c>
      <c r="I102" s="68">
        <f t="shared" si="13"/>
        <v>8320</v>
      </c>
      <c r="J102" s="71">
        <f t="shared" si="13"/>
        <v>162170</v>
      </c>
      <c r="K102" s="77" t="s">
        <v>105</v>
      </c>
      <c r="L102" s="77"/>
      <c r="M102" s="77"/>
      <c r="N102" s="4"/>
    </row>
    <row r="103" spans="1:14">
      <c r="A103" s="69"/>
      <c r="B103" s="78"/>
      <c r="C103" s="68"/>
      <c r="D103" s="68"/>
      <c r="E103" s="68"/>
      <c r="F103" s="68"/>
      <c r="G103" s="68"/>
      <c r="H103" s="68"/>
      <c r="I103" s="68"/>
      <c r="J103" s="71"/>
      <c r="K103" s="77"/>
      <c r="L103" s="77"/>
      <c r="M103" s="77"/>
      <c r="N103" s="4"/>
    </row>
    <row r="104" spans="1:14">
      <c r="A104" s="5" t="str">
        <f>VLOOKUP([1]ListOfRegions!A71,[1]ListOfRegions!A71:B145,2,0)</f>
        <v xml:space="preserve">  Ηρακλείου</v>
      </c>
      <c r="B104" s="36">
        <v>159860</v>
      </c>
      <c r="C104" s="26">
        <v>224528</v>
      </c>
      <c r="D104" s="25">
        <v>830</v>
      </c>
      <c r="E104" s="26">
        <v>1616</v>
      </c>
      <c r="F104" s="26">
        <v>1468</v>
      </c>
      <c r="G104" s="26">
        <v>201350</v>
      </c>
      <c r="H104" s="26">
        <v>58</v>
      </c>
      <c r="I104" s="26">
        <v>5762</v>
      </c>
      <c r="J104" s="35">
        <v>68346</v>
      </c>
      <c r="K104" s="30" t="s">
        <v>106</v>
      </c>
      <c r="L104" s="6"/>
      <c r="M104" s="6"/>
      <c r="N104" s="4"/>
    </row>
    <row r="105" spans="1:14">
      <c r="A105" s="5" t="str">
        <f>VLOOKUP([1]ListOfRegions!A72,[1]ListOfRegions!A72:B146,2,0)</f>
        <v xml:space="preserve">  Λασιθίου</v>
      </c>
      <c r="B105" s="36">
        <v>16300</v>
      </c>
      <c r="C105" s="26">
        <v>153752</v>
      </c>
      <c r="D105" s="25">
        <v>75</v>
      </c>
      <c r="E105" s="26">
        <v>280</v>
      </c>
      <c r="F105" s="26">
        <v>4585</v>
      </c>
      <c r="G105" s="26">
        <v>140389</v>
      </c>
      <c r="H105" s="26">
        <v>21</v>
      </c>
      <c r="I105" s="26">
        <v>614</v>
      </c>
      <c r="J105" s="35">
        <v>26326</v>
      </c>
      <c r="K105" s="30" t="s">
        <v>107</v>
      </c>
      <c r="L105" s="6"/>
      <c r="M105" s="6"/>
      <c r="N105" s="4"/>
    </row>
    <row r="106" spans="1:14">
      <c r="A106" s="5" t="str">
        <f>VLOOKUP([1]ListOfRegions!A73,[1]ListOfRegions!A73:B147,2,0)</f>
        <v xml:space="preserve">  Ρεθύμνης</v>
      </c>
      <c r="B106" s="36">
        <v>137600</v>
      </c>
      <c r="C106" s="26">
        <v>72237</v>
      </c>
      <c r="D106" s="25">
        <v>56</v>
      </c>
      <c r="E106" s="26">
        <v>74</v>
      </c>
      <c r="F106" s="26">
        <v>260</v>
      </c>
      <c r="G106" s="26">
        <v>80046</v>
      </c>
      <c r="H106" s="26">
        <v>35</v>
      </c>
      <c r="I106" s="26">
        <v>1731</v>
      </c>
      <c r="J106" s="35">
        <v>14608</v>
      </c>
      <c r="K106" s="30" t="s">
        <v>108</v>
      </c>
      <c r="L106" s="6"/>
      <c r="M106" s="6"/>
      <c r="N106" s="4"/>
    </row>
    <row r="107" spans="1:14" ht="10.8" thickBot="1">
      <c r="A107" s="8" t="str">
        <f>VLOOKUP([1]ListOfRegions!A74,[1]ListOfRegions!A74:B148,2,0)</f>
        <v xml:space="preserve">  Χανίων</v>
      </c>
      <c r="B107" s="43">
        <v>64935</v>
      </c>
      <c r="C107" s="44">
        <v>204250</v>
      </c>
      <c r="D107" s="45">
        <v>292</v>
      </c>
      <c r="E107" s="44">
        <v>660</v>
      </c>
      <c r="F107" s="44">
        <v>2108</v>
      </c>
      <c r="G107" s="44">
        <v>130104</v>
      </c>
      <c r="H107" s="44">
        <v>237</v>
      </c>
      <c r="I107" s="44">
        <v>213</v>
      </c>
      <c r="J107" s="46">
        <v>52890</v>
      </c>
      <c r="K107" s="32" t="s">
        <v>109</v>
      </c>
      <c r="L107" s="29"/>
      <c r="M107" s="29"/>
      <c r="N107" s="4"/>
    </row>
    <row r="108" spans="1:14">
      <c r="A108" s="9"/>
      <c r="J108" s="2"/>
      <c r="L108" s="73"/>
      <c r="M108" s="73"/>
    </row>
    <row r="109" spans="1:14">
      <c r="A109" s="10"/>
      <c r="J109" s="11"/>
      <c r="K109" s="10"/>
      <c r="L109" s="10"/>
      <c r="M109" s="10"/>
    </row>
    <row r="110" spans="1:14" ht="10.199999999999999" customHeight="1">
      <c r="A110" s="12"/>
      <c r="B110" s="13"/>
      <c r="C110" s="13"/>
      <c r="D110" s="13"/>
      <c r="E110" s="13"/>
      <c r="K110" s="13"/>
      <c r="L110" s="13"/>
      <c r="M110" s="13"/>
    </row>
    <row r="111" spans="1:14" ht="10.199999999999999" customHeight="1">
      <c r="A111" s="12"/>
      <c r="B111" s="13"/>
      <c r="C111" s="13"/>
      <c r="D111" s="13"/>
      <c r="E111" s="13"/>
      <c r="K111" s="13"/>
      <c r="L111" s="13"/>
      <c r="M111" s="13"/>
    </row>
    <row r="112" spans="1:14" ht="10.199999999999999" customHeight="1">
      <c r="A112" s="75"/>
      <c r="B112" s="75"/>
      <c r="C112" s="75"/>
      <c r="D112" s="75"/>
      <c r="E112" s="75"/>
      <c r="K112" s="75"/>
      <c r="L112" s="75"/>
      <c r="M112" s="75"/>
    </row>
    <row r="113" spans="1:13">
      <c r="A113" s="75"/>
      <c r="B113" s="75"/>
      <c r="C113" s="75"/>
      <c r="D113" s="75"/>
      <c r="E113" s="75"/>
      <c r="K113" s="75"/>
      <c r="L113" s="75"/>
      <c r="M113" s="75"/>
    </row>
    <row r="114" spans="1:13">
      <c r="A114" s="4"/>
    </row>
    <row r="115" spans="1:13">
      <c r="A115" s="4"/>
    </row>
    <row r="116" spans="1:13">
      <c r="A116" s="4"/>
    </row>
    <row r="117" spans="1:13">
      <c r="A117" s="4"/>
    </row>
    <row r="118" spans="1:13">
      <c r="A118" s="4"/>
    </row>
    <row r="119" spans="1:13">
      <c r="A119" s="4"/>
    </row>
    <row r="120" spans="1:13">
      <c r="A120" s="4"/>
    </row>
    <row r="121" spans="1:13">
      <c r="A121" s="4"/>
    </row>
    <row r="122" spans="1:13">
      <c r="A122" s="14"/>
    </row>
    <row r="123" spans="1:13" s="4" customFormat="1">
      <c r="A123" s="72"/>
      <c r="B123" s="72"/>
      <c r="C123" s="72"/>
      <c r="D123" s="72"/>
      <c r="E123" s="72"/>
      <c r="F123" s="72"/>
      <c r="G123" s="73"/>
      <c r="H123" s="73"/>
      <c r="I123" s="73"/>
      <c r="J123" s="73"/>
    </row>
    <row r="124" spans="1:13" s="4" customFormat="1">
      <c r="A124" s="72"/>
      <c r="B124" s="72"/>
      <c r="C124" s="72"/>
      <c r="D124" s="72"/>
      <c r="E124" s="72"/>
      <c r="F124" s="72"/>
      <c r="G124" s="73"/>
      <c r="H124" s="73"/>
      <c r="I124" s="73"/>
      <c r="J124" s="73"/>
    </row>
    <row r="125" spans="1:13" s="4" customFormat="1">
      <c r="A125" s="72"/>
      <c r="B125" s="72"/>
      <c r="C125" s="72"/>
      <c r="D125" s="72"/>
      <c r="E125" s="72"/>
      <c r="F125" s="72"/>
      <c r="G125" s="73"/>
      <c r="H125" s="73"/>
      <c r="I125" s="73"/>
      <c r="J125" s="73"/>
    </row>
    <row r="126" spans="1:13" s="4" customFormat="1">
      <c r="A126" s="15"/>
      <c r="F126" s="76"/>
      <c r="G126" s="76"/>
      <c r="H126" s="76"/>
      <c r="I126" s="76"/>
      <c r="J126" s="76"/>
    </row>
    <row r="127" spans="1:13" s="4" customFormat="1">
      <c r="A127" s="74"/>
      <c r="B127" s="67"/>
      <c r="C127" s="67"/>
      <c r="D127" s="67"/>
      <c r="E127" s="67"/>
      <c r="F127" s="67"/>
      <c r="G127" s="67"/>
      <c r="H127" s="67"/>
      <c r="I127" s="67"/>
      <c r="J127" s="67"/>
    </row>
    <row r="128" spans="1:13" s="4" customFormat="1">
      <c r="A128" s="74"/>
      <c r="B128" s="67"/>
      <c r="C128" s="67"/>
      <c r="D128" s="67"/>
      <c r="E128" s="67"/>
      <c r="F128" s="67"/>
      <c r="G128" s="67"/>
      <c r="H128" s="67"/>
      <c r="I128" s="67"/>
      <c r="J128" s="67"/>
    </row>
    <row r="129" spans="1:10" s="4" customFormat="1">
      <c r="A129" s="74"/>
      <c r="B129" s="67"/>
      <c r="C129" s="67"/>
      <c r="D129" s="67"/>
      <c r="E129" s="67"/>
      <c r="F129" s="67"/>
      <c r="G129" s="67"/>
      <c r="H129" s="67"/>
      <c r="I129" s="67"/>
      <c r="J129" s="67"/>
    </row>
    <row r="130" spans="1:10" s="4" customFormat="1">
      <c r="A130" s="74"/>
      <c r="B130" s="16"/>
      <c r="C130" s="16"/>
      <c r="D130" s="16"/>
      <c r="E130" s="16"/>
      <c r="F130" s="16"/>
      <c r="G130" s="16"/>
      <c r="H130" s="16"/>
      <c r="I130" s="16"/>
      <c r="J130" s="16"/>
    </row>
    <row r="131" spans="1:10" s="4" customFormat="1">
      <c r="A131" s="17"/>
    </row>
    <row r="132" spans="1:10" s="4" customFormat="1">
      <c r="A132" s="18"/>
    </row>
    <row r="133" spans="1:10" s="4" customFormat="1">
      <c r="A133" s="56"/>
      <c r="B133" s="55"/>
      <c r="C133" s="55"/>
      <c r="D133" s="55"/>
      <c r="E133" s="55"/>
      <c r="F133" s="55"/>
      <c r="G133" s="55"/>
      <c r="H133" s="55"/>
      <c r="I133" s="55"/>
      <c r="J133" s="55"/>
    </row>
    <row r="134" spans="1:10" s="4" customFormat="1">
      <c r="A134" s="56"/>
      <c r="B134" s="55"/>
      <c r="C134" s="55"/>
      <c r="D134" s="55"/>
      <c r="E134" s="55"/>
      <c r="F134" s="55"/>
      <c r="G134" s="55"/>
      <c r="H134" s="55"/>
      <c r="I134" s="55"/>
      <c r="J134" s="55"/>
    </row>
    <row r="135" spans="1:10" s="4" customFormat="1">
      <c r="A135" s="56"/>
      <c r="B135" s="55"/>
      <c r="C135" s="55"/>
      <c r="D135" s="55"/>
      <c r="E135" s="55"/>
      <c r="F135" s="55"/>
      <c r="G135" s="55"/>
      <c r="H135" s="55"/>
      <c r="I135" s="55"/>
      <c r="J135" s="55"/>
    </row>
    <row r="136" spans="1:10" s="4" customFormat="1">
      <c r="A136" s="18"/>
      <c r="F136" s="3"/>
      <c r="G136" s="3"/>
    </row>
    <row r="137" spans="1:10" s="4" customFormat="1">
      <c r="A137" s="18"/>
      <c r="F137" s="3"/>
      <c r="G137" s="3"/>
    </row>
    <row r="138" spans="1:10" s="4" customFormat="1">
      <c r="A138" s="18"/>
      <c r="F138" s="3"/>
      <c r="G138" s="3"/>
    </row>
    <row r="139" spans="1:10" s="4" customFormat="1">
      <c r="A139" s="18"/>
      <c r="F139" s="3"/>
      <c r="G139" s="3"/>
    </row>
    <row r="140" spans="1:10" s="4" customFormat="1">
      <c r="A140" s="18"/>
      <c r="F140" s="3"/>
      <c r="G140" s="3"/>
    </row>
    <row r="141" spans="1:10" s="4" customFormat="1">
      <c r="A141" s="18"/>
      <c r="F141" s="3"/>
      <c r="G141" s="3"/>
    </row>
    <row r="142" spans="1:10" s="4" customFormat="1">
      <c r="A142" s="56"/>
    </row>
    <row r="143" spans="1:10" s="4" customFormat="1">
      <c r="A143" s="56"/>
    </row>
    <row r="144" spans="1:10" s="4" customFormat="1">
      <c r="A144" s="18"/>
      <c r="F144" s="3"/>
      <c r="G144" s="3"/>
    </row>
    <row r="145" spans="1:7" s="4" customFormat="1">
      <c r="A145" s="18"/>
      <c r="F145" s="3"/>
      <c r="G145" s="3"/>
    </row>
    <row r="146" spans="1:7" s="4" customFormat="1">
      <c r="A146" s="18"/>
      <c r="F146" s="3"/>
      <c r="G146" s="3"/>
    </row>
    <row r="147" spans="1:7" s="4" customFormat="1">
      <c r="A147" s="18"/>
      <c r="F147" s="3"/>
      <c r="G147" s="3"/>
    </row>
    <row r="148" spans="1:7" s="4" customFormat="1">
      <c r="A148" s="18"/>
      <c r="F148" s="3"/>
      <c r="G148" s="3"/>
    </row>
    <row r="149" spans="1:7" s="4" customFormat="1">
      <c r="A149" s="18"/>
      <c r="F149" s="3"/>
      <c r="G149" s="3"/>
    </row>
    <row r="150" spans="1:7" s="4" customFormat="1">
      <c r="A150" s="18"/>
      <c r="F150" s="3"/>
      <c r="G150" s="3"/>
    </row>
    <row r="151" spans="1:7" s="4" customFormat="1">
      <c r="A151" s="18"/>
      <c r="F151" s="3"/>
      <c r="G151" s="3"/>
    </row>
    <row r="152" spans="1:7" s="4" customFormat="1">
      <c r="A152" s="18"/>
      <c r="F152" s="3"/>
      <c r="G152" s="3"/>
    </row>
    <row r="153" spans="1:7" s="4" customFormat="1">
      <c r="A153" s="18"/>
      <c r="F153" s="3"/>
      <c r="G153" s="3"/>
    </row>
    <row r="154" spans="1:7" s="4" customFormat="1">
      <c r="A154" s="18"/>
      <c r="F154" s="3"/>
      <c r="G154" s="3"/>
    </row>
    <row r="155" spans="1:7" s="4" customFormat="1">
      <c r="A155" s="66"/>
    </row>
    <row r="156" spans="1:7" s="4" customFormat="1">
      <c r="A156" s="66"/>
    </row>
    <row r="157" spans="1:7" s="4" customFormat="1">
      <c r="A157" s="18"/>
      <c r="F157" s="3"/>
      <c r="G157" s="3"/>
    </row>
    <row r="158" spans="1:7" s="4" customFormat="1">
      <c r="A158" s="18"/>
      <c r="F158" s="3"/>
      <c r="G158" s="3"/>
    </row>
    <row r="159" spans="1:7" s="4" customFormat="1">
      <c r="A159" s="18"/>
      <c r="F159" s="3"/>
      <c r="G159" s="3"/>
    </row>
    <row r="160" spans="1:7" s="4" customFormat="1">
      <c r="A160" s="18"/>
      <c r="F160" s="3"/>
      <c r="G160" s="3"/>
    </row>
    <row r="161" spans="1:7" s="4" customFormat="1">
      <c r="A161" s="66"/>
    </row>
    <row r="162" spans="1:7" s="4" customFormat="1">
      <c r="A162" s="66"/>
    </row>
    <row r="163" spans="1:7" s="4" customFormat="1">
      <c r="A163" s="18"/>
      <c r="F163" s="3"/>
      <c r="G163" s="3"/>
    </row>
    <row r="164" spans="1:7" s="4" customFormat="1">
      <c r="A164" s="18"/>
      <c r="F164" s="3"/>
      <c r="G164" s="3"/>
    </row>
    <row r="165" spans="1:7" s="4" customFormat="1">
      <c r="A165" s="18"/>
      <c r="F165" s="3"/>
      <c r="G165" s="3"/>
    </row>
    <row r="166" spans="1:7" s="4" customFormat="1">
      <c r="A166" s="18"/>
      <c r="F166" s="3"/>
      <c r="G166" s="3"/>
    </row>
    <row r="167" spans="1:7" s="4" customFormat="1">
      <c r="A167" s="18"/>
      <c r="F167" s="3"/>
      <c r="G167" s="3"/>
    </row>
    <row r="168" spans="1:7" s="4" customFormat="1">
      <c r="A168" s="66"/>
    </row>
    <row r="169" spans="1:7" s="4" customFormat="1">
      <c r="A169" s="66"/>
    </row>
    <row r="170" spans="1:7" s="4" customFormat="1">
      <c r="A170" s="18"/>
      <c r="F170" s="3"/>
      <c r="G170" s="3"/>
    </row>
    <row r="171" spans="1:7" s="4" customFormat="1">
      <c r="A171" s="18"/>
      <c r="F171" s="3"/>
      <c r="G171" s="3"/>
    </row>
    <row r="172" spans="1:7" s="4" customFormat="1">
      <c r="A172" s="18"/>
      <c r="F172" s="3"/>
      <c r="G172" s="3"/>
    </row>
    <row r="173" spans="1:7" s="4" customFormat="1">
      <c r="A173" s="18"/>
      <c r="F173" s="3"/>
      <c r="G173" s="3"/>
    </row>
    <row r="174" spans="1:7" s="4" customFormat="1">
      <c r="A174" s="18"/>
      <c r="F174" s="3"/>
      <c r="G174" s="3"/>
    </row>
    <row r="175" spans="1:7" s="4" customFormat="1">
      <c r="A175" s="66"/>
    </row>
    <row r="176" spans="1:7" s="4" customFormat="1">
      <c r="A176" s="66"/>
    </row>
    <row r="177" spans="1:7" s="4" customFormat="1">
      <c r="A177" s="18"/>
      <c r="F177" s="3"/>
      <c r="G177" s="3"/>
    </row>
    <row r="178" spans="1:7" s="4" customFormat="1">
      <c r="A178" s="18"/>
      <c r="F178" s="3"/>
      <c r="G178" s="3"/>
    </row>
    <row r="179" spans="1:7" s="4" customFormat="1">
      <c r="A179" s="18"/>
      <c r="F179" s="3"/>
      <c r="G179" s="3"/>
    </row>
    <row r="180" spans="1:7" s="4" customFormat="1">
      <c r="A180" s="18"/>
      <c r="F180" s="3"/>
      <c r="G180" s="3"/>
    </row>
    <row r="181" spans="1:7" s="4" customFormat="1">
      <c r="A181" s="18"/>
      <c r="F181" s="3"/>
      <c r="G181" s="3"/>
    </row>
    <row r="182" spans="1:7" s="4" customFormat="1">
      <c r="A182" s="66"/>
    </row>
    <row r="183" spans="1:7" s="4" customFormat="1">
      <c r="A183" s="66"/>
    </row>
    <row r="184" spans="1:7" s="4" customFormat="1">
      <c r="A184" s="18"/>
      <c r="F184" s="3"/>
      <c r="G184" s="3"/>
    </row>
    <row r="185" spans="1:7" s="4" customFormat="1">
      <c r="A185" s="18"/>
      <c r="F185" s="3"/>
      <c r="G185" s="3"/>
    </row>
    <row r="186" spans="1:7" s="4" customFormat="1">
      <c r="A186" s="18"/>
      <c r="F186" s="3"/>
      <c r="G186" s="3"/>
    </row>
    <row r="187" spans="1:7" s="4" customFormat="1">
      <c r="A187" s="66"/>
    </row>
    <row r="188" spans="1:7" s="4" customFormat="1">
      <c r="A188" s="66"/>
    </row>
    <row r="189" spans="1:7" s="4" customFormat="1">
      <c r="A189" s="18"/>
      <c r="F189" s="3"/>
      <c r="G189" s="3"/>
    </row>
    <row r="190" spans="1:7" s="4" customFormat="1">
      <c r="A190" s="18"/>
      <c r="F190" s="3"/>
      <c r="G190" s="3"/>
    </row>
    <row r="191" spans="1:7" s="4" customFormat="1">
      <c r="A191" s="18"/>
      <c r="F191" s="3"/>
      <c r="G191" s="3"/>
    </row>
    <row r="192" spans="1:7" s="4" customFormat="1">
      <c r="A192" s="18"/>
      <c r="F192" s="3"/>
      <c r="G192" s="3"/>
    </row>
    <row r="193" spans="1:7" s="4" customFormat="1">
      <c r="A193" s="18"/>
      <c r="F193" s="3"/>
      <c r="G193" s="3"/>
    </row>
    <row r="194" spans="1:7" s="4" customFormat="1">
      <c r="A194" s="66"/>
    </row>
    <row r="195" spans="1:7" s="4" customFormat="1">
      <c r="A195" s="66"/>
    </row>
    <row r="196" spans="1:7" s="4" customFormat="1">
      <c r="A196" s="18"/>
      <c r="F196" s="3"/>
      <c r="G196" s="3"/>
    </row>
    <row r="197" spans="1:7" s="4" customFormat="1">
      <c r="A197" s="18"/>
      <c r="F197" s="3"/>
      <c r="G197" s="3"/>
    </row>
    <row r="198" spans="1:7" s="4" customFormat="1">
      <c r="A198" s="18"/>
      <c r="F198" s="3"/>
      <c r="G198" s="3"/>
    </row>
    <row r="199" spans="1:7" s="4" customFormat="1">
      <c r="A199" s="18"/>
      <c r="F199" s="3"/>
      <c r="G199" s="3"/>
    </row>
    <row r="200" spans="1:7" s="4" customFormat="1">
      <c r="A200" s="18"/>
      <c r="F200" s="3"/>
      <c r="G200" s="3"/>
    </row>
    <row r="201" spans="1:7" s="4" customFormat="1">
      <c r="A201" s="18"/>
      <c r="F201" s="3"/>
      <c r="G201" s="3"/>
    </row>
    <row r="202" spans="1:7" s="4" customFormat="1">
      <c r="A202" s="18"/>
      <c r="F202" s="3"/>
      <c r="G202" s="3"/>
    </row>
    <row r="203" spans="1:7" s="4" customFormat="1">
      <c r="A203" s="18"/>
      <c r="F203" s="3"/>
      <c r="G203" s="3"/>
    </row>
    <row r="204" spans="1:7" s="4" customFormat="1">
      <c r="A204" s="66"/>
    </row>
    <row r="205" spans="1:7" s="4" customFormat="1">
      <c r="A205" s="66"/>
    </row>
    <row r="206" spans="1:7" s="4" customFormat="1">
      <c r="A206" s="18"/>
      <c r="F206" s="3"/>
      <c r="G206" s="3"/>
    </row>
    <row r="207" spans="1:7" s="4" customFormat="1">
      <c r="A207" s="18"/>
      <c r="F207" s="3"/>
      <c r="G207" s="3"/>
    </row>
    <row r="208" spans="1:7" s="4" customFormat="1">
      <c r="A208" s="18"/>
      <c r="F208" s="3"/>
      <c r="G208" s="3"/>
    </row>
    <row r="209" spans="1:7" s="4" customFormat="1">
      <c r="A209" s="18"/>
      <c r="F209" s="3"/>
      <c r="G209" s="3"/>
    </row>
    <row r="210" spans="1:7" s="4" customFormat="1">
      <c r="A210" s="18"/>
      <c r="F210" s="3"/>
      <c r="G210" s="3"/>
    </row>
    <row r="211" spans="1:7" s="4" customFormat="1">
      <c r="A211" s="66"/>
    </row>
    <row r="212" spans="1:7" s="4" customFormat="1">
      <c r="A212" s="66"/>
    </row>
    <row r="213" spans="1:7" s="4" customFormat="1">
      <c r="A213" s="18"/>
      <c r="F213" s="3"/>
      <c r="G213" s="3"/>
    </row>
    <row r="214" spans="1:7" s="4" customFormat="1">
      <c r="A214" s="18"/>
      <c r="F214" s="3"/>
      <c r="G214" s="3"/>
    </row>
    <row r="215" spans="1:7" s="4" customFormat="1">
      <c r="A215" s="18"/>
      <c r="F215" s="3"/>
      <c r="G215" s="3"/>
    </row>
    <row r="216" spans="1:7" s="4" customFormat="1">
      <c r="A216" s="18"/>
      <c r="F216" s="3"/>
      <c r="G216" s="3"/>
    </row>
    <row r="217" spans="1:7" s="4" customFormat="1">
      <c r="A217" s="18"/>
      <c r="F217" s="3"/>
      <c r="G217" s="3"/>
    </row>
    <row r="218" spans="1:7" s="4" customFormat="1">
      <c r="A218" s="18"/>
      <c r="F218" s="3"/>
      <c r="G218" s="3"/>
    </row>
    <row r="219" spans="1:7" s="4" customFormat="1">
      <c r="A219" s="18"/>
      <c r="F219" s="3"/>
      <c r="G219" s="3"/>
    </row>
    <row r="220" spans="1:7" s="4" customFormat="1">
      <c r="A220" s="18"/>
      <c r="F220" s="3"/>
      <c r="G220" s="3"/>
    </row>
    <row r="221" spans="1:7" s="4" customFormat="1">
      <c r="A221" s="18"/>
      <c r="F221" s="3"/>
      <c r="G221" s="3"/>
    </row>
    <row r="222" spans="1:7" s="4" customFormat="1">
      <c r="A222" s="18"/>
      <c r="F222" s="3"/>
      <c r="G222" s="3"/>
    </row>
    <row r="223" spans="1:7" s="4" customFormat="1">
      <c r="A223" s="18"/>
      <c r="F223" s="3"/>
      <c r="G223" s="3"/>
    </row>
    <row r="224" spans="1:7" s="4" customFormat="1">
      <c r="A224" s="18"/>
      <c r="F224" s="3"/>
      <c r="G224" s="3"/>
    </row>
    <row r="225" spans="1:7" s="4" customFormat="1">
      <c r="A225" s="18"/>
      <c r="F225" s="3"/>
      <c r="G225" s="3"/>
    </row>
    <row r="226" spans="1:7" s="4" customFormat="1">
      <c r="A226" s="66"/>
    </row>
    <row r="227" spans="1:7" s="4" customFormat="1">
      <c r="A227" s="66"/>
    </row>
    <row r="228" spans="1:7" s="4" customFormat="1">
      <c r="A228" s="18"/>
      <c r="F228" s="3"/>
      <c r="G228" s="3"/>
    </row>
    <row r="229" spans="1:7" s="4" customFormat="1">
      <c r="A229" s="18"/>
      <c r="F229" s="3"/>
      <c r="G229" s="3"/>
    </row>
    <row r="230" spans="1:7" s="4" customFormat="1">
      <c r="A230" s="18"/>
      <c r="F230" s="3"/>
      <c r="G230" s="3"/>
    </row>
    <row r="231" spans="1:7" s="4" customFormat="1">
      <c r="A231" s="18"/>
      <c r="F231" s="3"/>
      <c r="G231" s="3"/>
    </row>
    <row r="232" spans="1:7" s="4" customFormat="1">
      <c r="A232" s="18"/>
    </row>
    <row r="233" spans="1:7">
      <c r="A233" s="19"/>
    </row>
  </sheetData>
  <mergeCells count="197">
    <mergeCell ref="A9:A10"/>
    <mergeCell ref="K7:M8"/>
    <mergeCell ref="F7:F8"/>
    <mergeCell ref="G7:G8"/>
    <mergeCell ref="H7:H8"/>
    <mergeCell ref="I7:I8"/>
    <mergeCell ref="J7:J8"/>
    <mergeCell ref="A2:F2"/>
    <mergeCell ref="G2:M2"/>
    <mergeCell ref="G3:J3"/>
    <mergeCell ref="A4:A6"/>
    <mergeCell ref="I4:J4"/>
    <mergeCell ref="K4:M6"/>
    <mergeCell ref="B5:B6"/>
    <mergeCell ref="K3:M3"/>
    <mergeCell ref="A3:B3"/>
    <mergeCell ref="B4:C4"/>
    <mergeCell ref="K37:M38"/>
    <mergeCell ref="H9:H10"/>
    <mergeCell ref="K17:M18"/>
    <mergeCell ref="C31:C32"/>
    <mergeCell ref="D31:D32"/>
    <mergeCell ref="E31:E32"/>
    <mergeCell ref="K31:M32"/>
    <mergeCell ref="F31:F32"/>
    <mergeCell ref="G31:G32"/>
    <mergeCell ref="H31:H32"/>
    <mergeCell ref="I31:I32"/>
    <mergeCell ref="C9:C10"/>
    <mergeCell ref="D9:D10"/>
    <mergeCell ref="E9:E10"/>
    <mergeCell ref="F9:F10"/>
    <mergeCell ref="G9:G10"/>
    <mergeCell ref="K9:M10"/>
    <mergeCell ref="C17:C18"/>
    <mergeCell ref="D17:D18"/>
    <mergeCell ref="E17:E18"/>
    <mergeCell ref="F17:F18"/>
    <mergeCell ref="G17:G18"/>
    <mergeCell ref="K51:M52"/>
    <mergeCell ref="F51:F52"/>
    <mergeCell ref="G51:G52"/>
    <mergeCell ref="H51:H52"/>
    <mergeCell ref="F44:F45"/>
    <mergeCell ref="J51:J52"/>
    <mergeCell ref="A37:A38"/>
    <mergeCell ref="B37:B38"/>
    <mergeCell ref="C37:C38"/>
    <mergeCell ref="D37:D38"/>
    <mergeCell ref="H44:H45"/>
    <mergeCell ref="A44:A45"/>
    <mergeCell ref="B44:B45"/>
    <mergeCell ref="C44:C45"/>
    <mergeCell ref="D44:D45"/>
    <mergeCell ref="E44:E45"/>
    <mergeCell ref="K44:M45"/>
    <mergeCell ref="A51:A52"/>
    <mergeCell ref="B51:B52"/>
    <mergeCell ref="C51:C52"/>
    <mergeCell ref="D51:D52"/>
    <mergeCell ref="E51:E52"/>
    <mergeCell ref="I37:I38"/>
    <mergeCell ref="J37:J38"/>
    <mergeCell ref="K87:M88"/>
    <mergeCell ref="J58:J59"/>
    <mergeCell ref="K58:M59"/>
    <mergeCell ref="E63:E64"/>
    <mergeCell ref="F63:F64"/>
    <mergeCell ref="G63:G64"/>
    <mergeCell ref="K63:M64"/>
    <mergeCell ref="J80:J81"/>
    <mergeCell ref="A102:A103"/>
    <mergeCell ref="B102:B103"/>
    <mergeCell ref="C102:C103"/>
    <mergeCell ref="D102:D103"/>
    <mergeCell ref="E102:E103"/>
    <mergeCell ref="I58:I59"/>
    <mergeCell ref="A63:A64"/>
    <mergeCell ref="B63:B64"/>
    <mergeCell ref="C63:C64"/>
    <mergeCell ref="D63:D64"/>
    <mergeCell ref="A70:A71"/>
    <mergeCell ref="B70:B71"/>
    <mergeCell ref="C70:C71"/>
    <mergeCell ref="D70:D71"/>
    <mergeCell ref="E70:E71"/>
    <mergeCell ref="K70:M71"/>
    <mergeCell ref="L108:M108"/>
    <mergeCell ref="A112:E112"/>
    <mergeCell ref="K112:M112"/>
    <mergeCell ref="A113:E113"/>
    <mergeCell ref="K113:M113"/>
    <mergeCell ref="F126:J126"/>
    <mergeCell ref="J102:J103"/>
    <mergeCell ref="K102:M103"/>
    <mergeCell ref="A80:A81"/>
    <mergeCell ref="B80:B81"/>
    <mergeCell ref="C80:C81"/>
    <mergeCell ref="D80:D81"/>
    <mergeCell ref="E80:E81"/>
    <mergeCell ref="F80:F81"/>
    <mergeCell ref="G80:G81"/>
    <mergeCell ref="I80:I81"/>
    <mergeCell ref="K80:M81"/>
    <mergeCell ref="A87:A88"/>
    <mergeCell ref="B87:B88"/>
    <mergeCell ref="C87:C88"/>
    <mergeCell ref="D87:D88"/>
    <mergeCell ref="E87:E88"/>
    <mergeCell ref="F87:F88"/>
    <mergeCell ref="G87:G88"/>
    <mergeCell ref="A226:A227"/>
    <mergeCell ref="A182:A183"/>
    <mergeCell ref="A187:A188"/>
    <mergeCell ref="H63:H64"/>
    <mergeCell ref="I63:I64"/>
    <mergeCell ref="A127:A130"/>
    <mergeCell ref="B127:E128"/>
    <mergeCell ref="F127:G129"/>
    <mergeCell ref="A204:A205"/>
    <mergeCell ref="I87:I88"/>
    <mergeCell ref="F70:F71"/>
    <mergeCell ref="G70:G71"/>
    <mergeCell ref="H70:H71"/>
    <mergeCell ref="I70:I71"/>
    <mergeCell ref="A175:A176"/>
    <mergeCell ref="G133:G135"/>
    <mergeCell ref="H133:H135"/>
    <mergeCell ref="A123:F125"/>
    <mergeCell ref="G123:J125"/>
    <mergeCell ref="H127:H129"/>
    <mergeCell ref="I127:J129"/>
    <mergeCell ref="B129:C129"/>
    <mergeCell ref="A211:A212"/>
    <mergeCell ref="C5:C6"/>
    <mergeCell ref="H58:H59"/>
    <mergeCell ref="E37:E38"/>
    <mergeCell ref="F133:F135"/>
    <mergeCell ref="G37:G38"/>
    <mergeCell ref="H37:H38"/>
    <mergeCell ref="A194:A195"/>
    <mergeCell ref="G58:G59"/>
    <mergeCell ref="D129:E129"/>
    <mergeCell ref="H87:H88"/>
    <mergeCell ref="A155:A156"/>
    <mergeCell ref="A31:A32"/>
    <mergeCell ref="B31:B32"/>
    <mergeCell ref="H80:H81"/>
    <mergeCell ref="E58:E59"/>
    <mergeCell ref="F58:F59"/>
    <mergeCell ref="F37:F38"/>
    <mergeCell ref="A58:A59"/>
    <mergeCell ref="B58:B59"/>
    <mergeCell ref="F102:F103"/>
    <mergeCell ref="G102:G103"/>
    <mergeCell ref="H102:H103"/>
    <mergeCell ref="A161:A162"/>
    <mergeCell ref="A168:A169"/>
    <mergeCell ref="J133:J135"/>
    <mergeCell ref="A142:A143"/>
    <mergeCell ref="A133:A135"/>
    <mergeCell ref="B133:B135"/>
    <mergeCell ref="C133:C135"/>
    <mergeCell ref="D133:D135"/>
    <mergeCell ref="E133:E135"/>
    <mergeCell ref="I133:I135"/>
    <mergeCell ref="A7:A8"/>
    <mergeCell ref="B7:B8"/>
    <mergeCell ref="C7:C8"/>
    <mergeCell ref="E7:E8"/>
    <mergeCell ref="I51:I52"/>
    <mergeCell ref="I44:I45"/>
    <mergeCell ref="J70:J71"/>
    <mergeCell ref="J87:J88"/>
    <mergeCell ref="I102:I103"/>
    <mergeCell ref="C58:C59"/>
    <mergeCell ref="D58:D59"/>
    <mergeCell ref="G44:G45"/>
    <mergeCell ref="J31:J32"/>
    <mergeCell ref="B9:B10"/>
    <mergeCell ref="A17:A18"/>
    <mergeCell ref="B17:B18"/>
    <mergeCell ref="J63:J64"/>
    <mergeCell ref="J44:J45"/>
    <mergeCell ref="J17:J18"/>
    <mergeCell ref="J9:J10"/>
    <mergeCell ref="J5:J6"/>
    <mergeCell ref="D7:D8"/>
    <mergeCell ref="I9:I10"/>
    <mergeCell ref="I5:I6"/>
    <mergeCell ref="H17:H18"/>
    <mergeCell ref="I17:I18"/>
    <mergeCell ref="G4:G6"/>
    <mergeCell ref="F4:F6"/>
    <mergeCell ref="D4:D6"/>
    <mergeCell ref="E4:E6"/>
    <mergeCell ref="H4:H6"/>
  </mergeCells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s.spyroulis</cp:lastModifiedBy>
  <dcterms:created xsi:type="dcterms:W3CDTF">2015-05-15T07:43:01Z</dcterms:created>
  <dcterms:modified xsi:type="dcterms:W3CDTF">2017-01-20T15:11:30Z</dcterms:modified>
</cp:coreProperties>
</file>