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K107" i="1"/>
  <c r="K106"/>
  <c r="K105"/>
  <c r="K104"/>
  <c r="K101"/>
  <c r="K100"/>
  <c r="K99"/>
  <c r="K98"/>
  <c r="K97"/>
  <c r="K96"/>
  <c r="K95"/>
  <c r="K94"/>
  <c r="K93"/>
  <c r="K92"/>
  <c r="K91"/>
  <c r="K90"/>
  <c r="K89"/>
  <c r="K86"/>
  <c r="K85"/>
  <c r="K84"/>
  <c r="K83"/>
  <c r="K82"/>
  <c r="K79"/>
  <c r="K78"/>
  <c r="K77"/>
  <c r="K76"/>
  <c r="K75"/>
  <c r="K74"/>
  <c r="K73"/>
  <c r="K72"/>
  <c r="K69"/>
  <c r="K68"/>
  <c r="K67"/>
  <c r="K66"/>
  <c r="K65"/>
  <c r="K62"/>
  <c r="K61"/>
  <c r="K60"/>
  <c r="K57"/>
  <c r="K56"/>
  <c r="K55"/>
  <c r="K54"/>
  <c r="K53"/>
  <c r="K50"/>
  <c r="K49"/>
  <c r="K48"/>
  <c r="K47"/>
  <c r="K46"/>
  <c r="K43"/>
  <c r="K42"/>
  <c r="K41"/>
  <c r="K40"/>
  <c r="K39"/>
  <c r="K36"/>
  <c r="K35"/>
  <c r="K34"/>
  <c r="K33"/>
  <c r="K30"/>
  <c r="K29"/>
  <c r="K28"/>
  <c r="K27"/>
  <c r="K25"/>
  <c r="K24"/>
  <c r="K23"/>
  <c r="K22"/>
  <c r="K21"/>
  <c r="K20"/>
  <c r="K19"/>
  <c r="K16"/>
  <c r="K15"/>
  <c r="K14"/>
  <c r="K13"/>
  <c r="K12"/>
  <c r="K11"/>
  <c r="N102"/>
  <c r="M102"/>
  <c r="L102"/>
  <c r="J102"/>
  <c r="I102"/>
  <c r="H102"/>
  <c r="N87"/>
  <c r="M87"/>
  <c r="L87"/>
  <c r="J87"/>
  <c r="I87"/>
  <c r="H87"/>
  <c r="G87" s="1"/>
  <c r="N80"/>
  <c r="M80"/>
  <c r="L80"/>
  <c r="K80" s="1"/>
  <c r="J80"/>
  <c r="I80"/>
  <c r="H80"/>
  <c r="N70"/>
  <c r="M70"/>
  <c r="L70"/>
  <c r="J70"/>
  <c r="I70"/>
  <c r="H70"/>
  <c r="N63"/>
  <c r="M63"/>
  <c r="L63"/>
  <c r="J63"/>
  <c r="I63"/>
  <c r="H63"/>
  <c r="N58"/>
  <c r="M58"/>
  <c r="K58" s="1"/>
  <c r="L58"/>
  <c r="J58"/>
  <c r="I58"/>
  <c r="H58"/>
  <c r="N51"/>
  <c r="M51"/>
  <c r="L51"/>
  <c r="K51" s="1"/>
  <c r="J51"/>
  <c r="I51"/>
  <c r="H51"/>
  <c r="N44"/>
  <c r="M44"/>
  <c r="L44"/>
  <c r="J44"/>
  <c r="I44"/>
  <c r="H44"/>
  <c r="N37"/>
  <c r="M37"/>
  <c r="L37"/>
  <c r="K37" s="1"/>
  <c r="J37"/>
  <c r="I37"/>
  <c r="H37"/>
  <c r="N31"/>
  <c r="M31"/>
  <c r="K31" s="1"/>
  <c r="L31"/>
  <c r="J31"/>
  <c r="I31"/>
  <c r="H31"/>
  <c r="G31" s="1"/>
  <c r="N26"/>
  <c r="M26"/>
  <c r="L26"/>
  <c r="K26" s="1"/>
  <c r="I26"/>
  <c r="J26"/>
  <c r="H26"/>
  <c r="N17"/>
  <c r="M17"/>
  <c r="L17"/>
  <c r="K17" s="1"/>
  <c r="I17"/>
  <c r="J17"/>
  <c r="G17" s="1"/>
  <c r="H17"/>
  <c r="N9"/>
  <c r="M9"/>
  <c r="L9"/>
  <c r="K9" s="1"/>
  <c r="I9"/>
  <c r="J9"/>
  <c r="H9"/>
  <c r="G51"/>
  <c r="G107"/>
  <c r="G106"/>
  <c r="G105"/>
  <c r="G104"/>
  <c r="G101"/>
  <c r="G100"/>
  <c r="G99"/>
  <c r="G98"/>
  <c r="G97"/>
  <c r="G96"/>
  <c r="G95"/>
  <c r="G94"/>
  <c r="G93"/>
  <c r="G92"/>
  <c r="G91"/>
  <c r="G90"/>
  <c r="G89"/>
  <c r="G86"/>
  <c r="G85"/>
  <c r="G84"/>
  <c r="G83"/>
  <c r="G82"/>
  <c r="G79"/>
  <c r="G78"/>
  <c r="G77"/>
  <c r="G76"/>
  <c r="G75"/>
  <c r="G74"/>
  <c r="G73"/>
  <c r="G72"/>
  <c r="G69"/>
  <c r="G68"/>
  <c r="G67"/>
  <c r="G66"/>
  <c r="G65"/>
  <c r="G62"/>
  <c r="G61"/>
  <c r="G60"/>
  <c r="G57"/>
  <c r="G56"/>
  <c r="G55"/>
  <c r="G54"/>
  <c r="G53"/>
  <c r="G50"/>
  <c r="G49"/>
  <c r="G48"/>
  <c r="G47"/>
  <c r="G46"/>
  <c r="G43"/>
  <c r="G42"/>
  <c r="G41"/>
  <c r="G40"/>
  <c r="G39"/>
  <c r="G36"/>
  <c r="G35"/>
  <c r="G34"/>
  <c r="G33"/>
  <c r="G30"/>
  <c r="G29"/>
  <c r="G28"/>
  <c r="G27"/>
  <c r="G25"/>
  <c r="G24"/>
  <c r="G23"/>
  <c r="G22"/>
  <c r="G21"/>
  <c r="G20"/>
  <c r="G19"/>
  <c r="G16"/>
  <c r="G15"/>
  <c r="G14"/>
  <c r="G13"/>
  <c r="G12"/>
  <c r="G11"/>
  <c r="B107"/>
  <c r="B106"/>
  <c r="B105"/>
  <c r="B104"/>
  <c r="B101"/>
  <c r="B100"/>
  <c r="B99"/>
  <c r="B98"/>
  <c r="B97"/>
  <c r="B96"/>
  <c r="B95"/>
  <c r="B94"/>
  <c r="B93"/>
  <c r="B92"/>
  <c r="B91"/>
  <c r="B90"/>
  <c r="B89"/>
  <c r="B86"/>
  <c r="B85"/>
  <c r="B84"/>
  <c r="B83"/>
  <c r="B82"/>
  <c r="B79"/>
  <c r="B78"/>
  <c r="B77"/>
  <c r="B76"/>
  <c r="B75"/>
  <c r="B74"/>
  <c r="B73"/>
  <c r="B72"/>
  <c r="B69"/>
  <c r="B68"/>
  <c r="B67"/>
  <c r="B66"/>
  <c r="B65"/>
  <c r="B62"/>
  <c r="B61"/>
  <c r="B60"/>
  <c r="B57"/>
  <c r="B56"/>
  <c r="B55"/>
  <c r="B54"/>
  <c r="B53"/>
  <c r="B50"/>
  <c r="B49"/>
  <c r="B48"/>
  <c r="B47"/>
  <c r="B46"/>
  <c r="B43"/>
  <c r="B42"/>
  <c r="B41"/>
  <c r="B40"/>
  <c r="B39"/>
  <c r="B36"/>
  <c r="B35"/>
  <c r="B34"/>
  <c r="B33"/>
  <c r="B30"/>
  <c r="B29"/>
  <c r="B28"/>
  <c r="B27"/>
  <c r="B25"/>
  <c r="B24"/>
  <c r="B23"/>
  <c r="B22"/>
  <c r="B21"/>
  <c r="B20"/>
  <c r="B19"/>
  <c r="B16"/>
  <c r="B15"/>
  <c r="B14"/>
  <c r="B13"/>
  <c r="B12"/>
  <c r="B11"/>
  <c r="D102"/>
  <c r="E102"/>
  <c r="F102"/>
  <c r="C102"/>
  <c r="D87"/>
  <c r="E87"/>
  <c r="F87"/>
  <c r="C87"/>
  <c r="B87" s="1"/>
  <c r="D80"/>
  <c r="E80"/>
  <c r="F80"/>
  <c r="C80"/>
  <c r="B80" s="1"/>
  <c r="D70"/>
  <c r="E70"/>
  <c r="F70"/>
  <c r="C70"/>
  <c r="D63"/>
  <c r="E63"/>
  <c r="F63"/>
  <c r="C63"/>
  <c r="B63" s="1"/>
  <c r="D58"/>
  <c r="E58"/>
  <c r="F58"/>
  <c r="C58"/>
  <c r="B58" s="1"/>
  <c r="D51"/>
  <c r="E51"/>
  <c r="F51"/>
  <c r="C51"/>
  <c r="B51" s="1"/>
  <c r="F37"/>
  <c r="F31"/>
  <c r="F44"/>
  <c r="D44"/>
  <c r="E44"/>
  <c r="C44"/>
  <c r="B44" s="1"/>
  <c r="D37"/>
  <c r="E37"/>
  <c r="C37"/>
  <c r="D31"/>
  <c r="E31"/>
  <c r="C31"/>
  <c r="B31" s="1"/>
  <c r="D26"/>
  <c r="E26"/>
  <c r="F26"/>
  <c r="C26"/>
  <c r="B26" s="1"/>
  <c r="D17"/>
  <c r="E17"/>
  <c r="F17"/>
  <c r="C17"/>
  <c r="D9"/>
  <c r="E9"/>
  <c r="F9"/>
  <c r="C9"/>
  <c r="N7" l="1"/>
  <c r="B37"/>
  <c r="G26"/>
  <c r="K44"/>
  <c r="K70"/>
  <c r="K87"/>
  <c r="K102"/>
  <c r="B102"/>
  <c r="B70"/>
  <c r="K63"/>
  <c r="G63"/>
  <c r="I7"/>
  <c r="G9"/>
  <c r="L7"/>
  <c r="G102"/>
  <c r="G80"/>
  <c r="G70"/>
  <c r="G58"/>
  <c r="G44"/>
  <c r="G37"/>
  <c r="H7"/>
  <c r="C7"/>
  <c r="E7"/>
  <c r="K7"/>
  <c r="M7"/>
  <c r="J7"/>
  <c r="F7"/>
  <c r="B17"/>
  <c r="B9"/>
  <c r="D7"/>
  <c r="G7" l="1"/>
  <c r="B7"/>
</calcChain>
</file>

<file path=xl/sharedStrings.xml><?xml version="1.0" encoding="utf-8"?>
<sst xmlns="http://schemas.openxmlformats.org/spreadsheetml/2006/main" count="422" uniqueCount="197">
  <si>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</si>
  <si>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</si>
  <si>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</si>
  <si>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</si>
  <si>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</si>
  <si>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</si>
  <si>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</si>
  <si>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</si>
  <si>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</si>
  <si>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</si>
  <si>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</si>
  <si>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</si>
  <si>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</si>
  <si>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</si>
  <si>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</si>
  <si>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</si>
  <si>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</si>
  <si>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</si>
  <si>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</si>
  <si>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</si>
  <si>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</si>
  <si>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</si>
  <si>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</si>
  <si>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</si>
  <si>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</si>
  <si>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</si>
  <si>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</si>
  <si>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</si>
  <si>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</si>
  <si>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</si>
  <si>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</si>
  <si>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</si>
  <si>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</si>
  <si>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</si>
  <si>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</si>
  <si>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</si>
  <si>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</si>
  <si>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</si>
  <si>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</si>
  <si>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</si>
  <si>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</si>
  <si>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</si>
  <si>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</si>
  <si>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</si>
  <si>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</si>
  <si>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</si>
  <si>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</si>
  <si>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</si>
  <si>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</si>
  <si>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</si>
  <si>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</si>
  <si>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</si>
  <si>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</si>
  <si>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</si>
  <si>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</si>
  <si>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</si>
  <si>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</si>
  <si>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</si>
  <si>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</si>
  <si>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</si>
  <si>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</si>
  <si>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</si>
  <si>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</si>
  <si>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</si>
  <si>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</si>
  <si>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</si>
  <si>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</si>
  <si>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</si>
  <si>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</si>
  <si>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</si>
  <si>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</si>
  <si>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</si>
  <si>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</si>
  <si>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</si>
  <si>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</si>
  <si>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</si>
  <si>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</si>
  <si>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</si>
  <si>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</si>
  <si>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</si>
  <si>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</si>
  <si>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</si>
  <si>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</si>
  <si>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</si>
  <si>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</si>
  <si>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</si>
  <si>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</si>
  <si>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</si>
  <si>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</si>
  <si>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</si>
  <si>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</si>
  <si>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</si>
  <si>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</si>
  <si>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</si>
  <si>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</si>
  <si>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</si>
  <si>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</si>
  <si>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</si>
  <si>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</si>
  <si>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</si>
  <si>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</si>
  <si>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</si>
  <si>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</si>
  <si>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</si>
  <si>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</si>
  <si>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</si>
  <si>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</si>
  <si>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</si>
  <si>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</si>
  <si>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</si>
  <si>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</si>
  <si>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</si>
  <si>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Σύνολο           Total</t>
  </si>
  <si>
    <t>Οικόσιτα Domestic</t>
  </si>
  <si>
    <t>Κοπαδιάρικα      In flock</t>
  </si>
  <si>
    <t>Νομαδικά Nomadic</t>
  </si>
  <si>
    <t>Οικόσιτες Domestic</t>
  </si>
  <si>
    <t>Κοπαδιάρικες     In flock</t>
  </si>
  <si>
    <t>Νομαδικές Nomadic</t>
  </si>
  <si>
    <t>Πρόβατα - Sheep,</t>
  </si>
  <si>
    <t>Αίγες - Goats</t>
  </si>
  <si>
    <t>Εγχώριες Local</t>
  </si>
  <si>
    <t>Βελτιωμένες Improved</t>
  </si>
  <si>
    <t>Ξενικές Foreign</t>
  </si>
  <si>
    <t>Βουβάλια Buffaloes</t>
  </si>
  <si>
    <t>Αγελάδες - Cows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</si>
  <si>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</si>
  <si>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</si>
  <si>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</si>
  <si>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</si>
  <si>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</si>
  <si>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</si>
  <si>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</si>
  <si>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</si>
  <si>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</si>
  <si>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</si>
  <si>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</si>
  <si>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</si>
  <si>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</si>
  <si>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</si>
  <si>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</si>
  <si>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</si>
  <si>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</si>
  <si>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</si>
  <si>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</si>
  <si>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</si>
  <si>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</si>
  <si>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</si>
  <si>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</si>
  <si>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</si>
  <si>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</si>
  <si>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</si>
  <si>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</si>
  <si>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</si>
  <si>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</si>
  <si>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</si>
  <si>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</si>
  <si>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</si>
  <si>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</si>
  <si>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</si>
  <si>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</si>
  <si>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</si>
  <si>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</si>
  <si>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</si>
  <si>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</si>
  <si>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</si>
  <si>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</si>
  <si>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</si>
  <si>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</si>
  <si>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</si>
  <si>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</si>
  <si>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</si>
  <si>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</si>
  <si>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</si>
  <si>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</si>
  <si>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</si>
  <si>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</si>
  <si>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</si>
  <si>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</si>
  <si>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</si>
  <si>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</si>
  <si>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</si>
  <si>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</si>
  <si>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</si>
  <si>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</si>
  <si>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</si>
  <si>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</si>
  <si>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</si>
  <si>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</si>
  <si>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</si>
  <si>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</si>
  <si>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</si>
  <si>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</si>
  <si>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</si>
  <si>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Πίνακας 6. Ζώα που αρμέχτηκαν όλο το έτος 2013, κατά Περιφέρεια και Περιφερειακή Ενότητα</t>
  </si>
  <si>
    <t>Table 6. Animals milked during 2013, by Region and Regional Unity</t>
  </si>
  <si>
    <t>Περιφέρεια Δυτικής Μακεδονίας</t>
  </si>
</sst>
</file>

<file path=xl/styles.xml><?xml version="1.0" encoding="utf-8"?>
<styleSheet xmlns="http://schemas.openxmlformats.org/spreadsheetml/2006/main">
  <fonts count="12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3" fontId="5" fillId="0" borderId="2" xfId="0" quotePrefix="1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3" fontId="5" fillId="0" borderId="3" xfId="0" quotePrefix="1" applyNumberFormat="1" applyFont="1" applyFill="1" applyBorder="1" applyAlignment="1" applyProtection="1">
      <alignment horizontal="right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5" fillId="0" borderId="4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3" fontId="5" fillId="0" borderId="5" xfId="0" applyNumberFormat="1" applyFont="1" applyFill="1" applyBorder="1" applyAlignment="1" applyProtection="1">
      <alignment horizontal="right"/>
    </xf>
    <xf numFmtId="3" fontId="5" fillId="0" borderId="5" xfId="0" quotePrefix="1" applyNumberFormat="1" applyFont="1" applyFill="1" applyBorder="1" applyAlignment="1" applyProtection="1">
      <alignment horizontal="right"/>
    </xf>
    <xf numFmtId="3" fontId="5" fillId="0" borderId="6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Border="1" applyAlignment="1" applyProtection="1">
      <alignment horizontal="right"/>
    </xf>
    <xf numFmtId="3" fontId="5" fillId="0" borderId="6" xfId="0" quotePrefix="1" applyNumberFormat="1" applyFont="1" applyFill="1" applyBorder="1" applyAlignment="1" applyProtection="1">
      <alignment horizontal="right"/>
    </xf>
    <xf numFmtId="3" fontId="4" fillId="0" borderId="5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vertical="center" wrapText="1"/>
    </xf>
    <xf numFmtId="3" fontId="4" fillId="0" borderId="2" xfId="0" quotePrefix="1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5" xfId="0" quotePrefix="1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3" fontId="11" fillId="0" borderId="0" xfId="0" applyNumberFormat="1" applyFont="1" applyBorder="1" applyAlignment="1">
      <alignment horizontal="right" vertical="top" wrapText="1"/>
    </xf>
    <xf numFmtId="3" fontId="11" fillId="0" borderId="22" xfId="0" applyNumberFormat="1" applyFont="1" applyBorder="1" applyAlignment="1">
      <alignment horizontal="right" vertical="top" wrapText="1"/>
    </xf>
    <xf numFmtId="3" fontId="4" fillId="0" borderId="22" xfId="0" applyNumberFormat="1" applyFont="1" applyFill="1" applyBorder="1" applyAlignment="1" applyProtection="1">
      <alignment horizontal="right" vertical="center"/>
    </xf>
    <xf numFmtId="3" fontId="11" fillId="0" borderId="1" xfId="0" applyNumberFormat="1" applyFont="1" applyBorder="1" applyAlignment="1">
      <alignment horizontal="right" vertical="top" wrapText="1"/>
    </xf>
    <xf numFmtId="3" fontId="11" fillId="0" borderId="24" xfId="0" applyNumberFormat="1" applyFont="1" applyBorder="1" applyAlignment="1">
      <alignment horizontal="right" vertical="top" wrapText="1"/>
    </xf>
    <xf numFmtId="3" fontId="11" fillId="0" borderId="5" xfId="0" applyNumberFormat="1" applyFont="1" applyBorder="1" applyAlignment="1">
      <alignment horizontal="right" vertical="top" wrapText="1"/>
    </xf>
    <xf numFmtId="3" fontId="11" fillId="0" borderId="6" xfId="0" applyNumberFormat="1" applyFont="1" applyBorder="1" applyAlignment="1">
      <alignment horizontal="right" vertical="top" wrapText="1"/>
    </xf>
    <xf numFmtId="3" fontId="5" fillId="0" borderId="22" xfId="0" applyNumberFormat="1" applyFont="1" applyFill="1" applyBorder="1" applyAlignment="1" applyProtection="1">
      <alignment horizontal="right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right" vertical="center" wrapText="1"/>
    </xf>
    <xf numFmtId="3" fontId="4" fillId="0" borderId="11" xfId="0" applyNumberFormat="1" applyFont="1" applyFill="1" applyBorder="1" applyAlignment="1" applyProtection="1">
      <alignment horizontal="right" vertical="center" wrapText="1"/>
    </xf>
    <xf numFmtId="3" fontId="4" fillId="0" borderId="0" xfId="0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 applyProtection="1">
      <alignment horizontal="right" vertical="center" wrapText="1"/>
    </xf>
    <xf numFmtId="3" fontId="4" fillId="0" borderId="22" xfId="0" applyNumberFormat="1" applyFont="1" applyFill="1" applyBorder="1" applyAlignment="1" applyProtection="1">
      <alignment horizontal="right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3" fontId="6" fillId="0" borderId="0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3" fontId="4" fillId="0" borderId="22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22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2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3" fontId="4" fillId="0" borderId="20" xfId="0" applyNumberFormat="1" applyFont="1" applyFill="1" applyBorder="1" applyAlignment="1" applyProtection="1">
      <alignment horizontal="right" vertical="center" wrapTex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20" xfId="0" applyNumberFormat="1" applyFont="1" applyFill="1" applyBorder="1" applyAlignment="1" applyProtection="1">
      <alignment horizontal="left" vertical="center" wrapText="1"/>
    </xf>
    <xf numFmtId="0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3"/>
  <sheetViews>
    <sheetView showGridLines="0" tabSelected="1" zoomScale="120" zoomScaleNormal="120" workbookViewId="0">
      <selection activeCell="S20" sqref="S20"/>
    </sheetView>
  </sheetViews>
  <sheetFormatPr defaultRowHeight="10.199999999999999"/>
  <cols>
    <col min="1" max="1" width="18.5546875" style="1" customWidth="1"/>
    <col min="2" max="2" width="10.44140625" style="1" customWidth="1"/>
    <col min="3" max="3" width="10" style="1" customWidth="1"/>
    <col min="4" max="4" width="10.88671875" style="1" customWidth="1"/>
    <col min="5" max="5" width="10" style="1" customWidth="1"/>
    <col min="6" max="14" width="11.77734375" style="1" customWidth="1"/>
    <col min="15" max="15" width="9.6640625" style="1" customWidth="1"/>
    <col min="16" max="16" width="7.109375" style="1" customWidth="1"/>
    <col min="17" max="17" width="6" style="1" customWidth="1"/>
    <col min="18" max="18" width="10.109375" style="1" customWidth="1"/>
    <col min="19" max="16384" width="8.88671875" style="1"/>
  </cols>
  <sheetData>
    <row r="1" spans="1:18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</row>
    <row r="2" spans="1:18" ht="22.2" customHeight="1">
      <c r="A2" s="55" t="s">
        <v>194</v>
      </c>
      <c r="B2" s="55"/>
      <c r="C2" s="55"/>
      <c r="D2" s="55"/>
      <c r="E2" s="55"/>
      <c r="F2" s="55"/>
      <c r="G2" s="55"/>
      <c r="H2" s="55"/>
      <c r="I2" s="55" t="s">
        <v>195</v>
      </c>
      <c r="J2" s="55"/>
      <c r="K2" s="55"/>
      <c r="L2" s="55"/>
      <c r="M2" s="55"/>
      <c r="N2" s="55"/>
      <c r="O2" s="55"/>
      <c r="P2" s="55"/>
      <c r="Q2" s="55"/>
      <c r="R2" s="4"/>
    </row>
    <row r="3" spans="1:18" ht="10.8" thickBot="1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64"/>
      <c r="M3" s="64"/>
      <c r="N3" s="64"/>
      <c r="O3" s="6"/>
      <c r="P3" s="64" t="s">
        <v>1</v>
      </c>
      <c r="Q3" s="64"/>
      <c r="R3" s="7"/>
    </row>
    <row r="4" spans="1:18" ht="14.4" customHeight="1">
      <c r="A4" s="102" t="s">
        <v>2</v>
      </c>
      <c r="B4" s="97" t="s">
        <v>125</v>
      </c>
      <c r="C4" s="67"/>
      <c r="D4" s="67"/>
      <c r="E4" s="67"/>
      <c r="F4" s="86" t="s">
        <v>124</v>
      </c>
      <c r="G4" s="66" t="s">
        <v>119</v>
      </c>
      <c r="H4" s="67"/>
      <c r="I4" s="67"/>
      <c r="J4" s="68"/>
      <c r="K4" s="67" t="s">
        <v>120</v>
      </c>
      <c r="L4" s="67"/>
      <c r="M4" s="67"/>
      <c r="N4" s="69"/>
      <c r="O4" s="102" t="s">
        <v>3</v>
      </c>
      <c r="P4" s="102"/>
      <c r="Q4" s="102"/>
      <c r="R4" s="8"/>
    </row>
    <row r="5" spans="1:18" ht="31.8" customHeight="1">
      <c r="A5" s="55"/>
      <c r="B5" s="98" t="s">
        <v>112</v>
      </c>
      <c r="C5" s="53" t="s">
        <v>121</v>
      </c>
      <c r="D5" s="53" t="s">
        <v>122</v>
      </c>
      <c r="E5" s="70" t="s">
        <v>123</v>
      </c>
      <c r="F5" s="71"/>
      <c r="G5" s="70" t="s">
        <v>112</v>
      </c>
      <c r="H5" s="53" t="s">
        <v>113</v>
      </c>
      <c r="I5" s="53" t="s">
        <v>114</v>
      </c>
      <c r="J5" s="53" t="s">
        <v>115</v>
      </c>
      <c r="K5" s="51" t="s">
        <v>112</v>
      </c>
      <c r="L5" s="53" t="s">
        <v>116</v>
      </c>
      <c r="M5" s="53" t="s">
        <v>117</v>
      </c>
      <c r="N5" s="62" t="s">
        <v>118</v>
      </c>
      <c r="O5" s="55"/>
      <c r="P5" s="55"/>
      <c r="Q5" s="55"/>
      <c r="R5" s="8"/>
    </row>
    <row r="6" spans="1:18" ht="30.6" customHeight="1">
      <c r="A6" s="55"/>
      <c r="B6" s="99"/>
      <c r="C6" s="54"/>
      <c r="D6" s="54"/>
      <c r="E6" s="71"/>
      <c r="F6" s="71"/>
      <c r="G6" s="71"/>
      <c r="H6" s="54"/>
      <c r="I6" s="54"/>
      <c r="J6" s="54"/>
      <c r="K6" s="52"/>
      <c r="L6" s="54"/>
      <c r="M6" s="54"/>
      <c r="N6" s="63"/>
      <c r="O6" s="55"/>
      <c r="P6" s="55"/>
      <c r="Q6" s="55"/>
      <c r="R6" s="8"/>
    </row>
    <row r="7" spans="1:18">
      <c r="A7" s="89" t="s">
        <v>4</v>
      </c>
      <c r="B7" s="100">
        <f>SUM(B9,B17,B26,B31,B37,B44,B51,B58,B63,B70,B80,B87,B102)</f>
        <v>202869</v>
      </c>
      <c r="C7" s="56">
        <f t="shared" ref="C7:N7" si="0">SUM(C9,C17,C26,C31,C37,C44,C51,C58,C63,C70,C80,C87,C102)</f>
        <v>13924</v>
      </c>
      <c r="D7" s="58">
        <f t="shared" si="0"/>
        <v>123350</v>
      </c>
      <c r="E7" s="56">
        <f t="shared" si="0"/>
        <v>65595</v>
      </c>
      <c r="F7" s="58">
        <f t="shared" si="0"/>
        <v>371</v>
      </c>
      <c r="G7" s="56">
        <f>SUM(G9,G17,G26,G31,G37,G44,G51,G58,G63,G70,G80,G87,G102)</f>
        <v>6915519</v>
      </c>
      <c r="H7" s="58">
        <f t="shared" si="0"/>
        <v>456665</v>
      </c>
      <c r="I7" s="56">
        <f t="shared" si="0"/>
        <v>6058882</v>
      </c>
      <c r="J7" s="58">
        <f t="shared" si="0"/>
        <v>399972</v>
      </c>
      <c r="K7" s="56">
        <f t="shared" si="0"/>
        <v>3647983</v>
      </c>
      <c r="L7" s="58">
        <f t="shared" si="0"/>
        <v>440040</v>
      </c>
      <c r="M7" s="56">
        <f t="shared" si="0"/>
        <v>3048342</v>
      </c>
      <c r="N7" s="60">
        <f t="shared" si="0"/>
        <v>159601</v>
      </c>
      <c r="O7" s="103" t="s">
        <v>5</v>
      </c>
      <c r="P7" s="104"/>
      <c r="Q7" s="104"/>
      <c r="R7" s="8"/>
    </row>
    <row r="8" spans="1:18">
      <c r="A8" s="90"/>
      <c r="B8" s="101"/>
      <c r="C8" s="57"/>
      <c r="D8" s="59"/>
      <c r="E8" s="57"/>
      <c r="F8" s="59"/>
      <c r="G8" s="57"/>
      <c r="H8" s="59"/>
      <c r="I8" s="57"/>
      <c r="J8" s="59"/>
      <c r="K8" s="57"/>
      <c r="L8" s="59"/>
      <c r="M8" s="57"/>
      <c r="N8" s="61"/>
      <c r="O8" s="105"/>
      <c r="P8" s="78"/>
      <c r="Q8" s="78"/>
      <c r="R8" s="8"/>
    </row>
    <row r="9" spans="1:18">
      <c r="A9" s="91" t="s">
        <v>6</v>
      </c>
      <c r="B9" s="83">
        <f>SUM(C9:E10)</f>
        <v>36727</v>
      </c>
      <c r="C9" s="73">
        <f>SUM(C11:C16)</f>
        <v>6380</v>
      </c>
      <c r="D9" s="72">
        <f t="shared" ref="D9:F9" si="1">SUM(D11:D16)</f>
        <v>20913</v>
      </c>
      <c r="E9" s="73">
        <f t="shared" si="1"/>
        <v>9434</v>
      </c>
      <c r="F9" s="72">
        <f t="shared" si="1"/>
        <v>0</v>
      </c>
      <c r="G9" s="73">
        <f>SUM(H9:J10)</f>
        <v>472087</v>
      </c>
      <c r="H9" s="72">
        <f>SUM(H11:H16)</f>
        <v>2110</v>
      </c>
      <c r="I9" s="73">
        <f t="shared" ref="I9:J9" si="2">SUM(I11:I16)</f>
        <v>469327</v>
      </c>
      <c r="J9" s="72">
        <f t="shared" si="2"/>
        <v>650</v>
      </c>
      <c r="K9" s="73">
        <f>SUM(L9:N10)</f>
        <v>304119</v>
      </c>
      <c r="L9" s="72">
        <f t="shared" ref="L9:N9" si="3">SUM(L11:L16)</f>
        <v>2673</v>
      </c>
      <c r="M9" s="73">
        <f t="shared" si="3"/>
        <v>299864</v>
      </c>
      <c r="N9" s="79">
        <f t="shared" si="3"/>
        <v>1582</v>
      </c>
      <c r="O9" s="78" t="s">
        <v>7</v>
      </c>
      <c r="P9" s="78"/>
      <c r="Q9" s="78"/>
      <c r="R9" s="8"/>
    </row>
    <row r="10" spans="1:18" ht="18" customHeight="1">
      <c r="A10" s="91"/>
      <c r="B10" s="83"/>
      <c r="C10" s="73"/>
      <c r="D10" s="72"/>
      <c r="E10" s="73"/>
      <c r="F10" s="72"/>
      <c r="G10" s="73"/>
      <c r="H10" s="72"/>
      <c r="I10" s="73"/>
      <c r="J10" s="72"/>
      <c r="K10" s="73"/>
      <c r="L10" s="72"/>
      <c r="M10" s="73"/>
      <c r="N10" s="79"/>
      <c r="O10" s="78"/>
      <c r="P10" s="78"/>
      <c r="Q10" s="78"/>
      <c r="R10" s="8"/>
    </row>
    <row r="11" spans="1:18" ht="11.4" customHeight="1">
      <c r="A11" s="9" t="s">
        <v>127</v>
      </c>
      <c r="B11" s="10">
        <f>SUM(C11:E11)</f>
        <v>8370</v>
      </c>
      <c r="C11" s="48">
        <v>4109</v>
      </c>
      <c r="D11" s="43">
        <v>2907</v>
      </c>
      <c r="E11" s="48">
        <v>1354</v>
      </c>
      <c r="F11" s="43" t="s">
        <v>126</v>
      </c>
      <c r="G11" s="33">
        <f>SUM(H11:J11)</f>
        <v>138824</v>
      </c>
      <c r="H11" s="43">
        <v>30</v>
      </c>
      <c r="I11" s="48">
        <v>138144</v>
      </c>
      <c r="J11" s="43">
        <v>650</v>
      </c>
      <c r="K11" s="32">
        <f>SUM(L11:N11)</f>
        <v>93480</v>
      </c>
      <c r="L11" s="43">
        <v>162</v>
      </c>
      <c r="M11" s="48">
        <v>92838</v>
      </c>
      <c r="N11" s="44">
        <v>480</v>
      </c>
      <c r="O11" s="11" t="s">
        <v>8</v>
      </c>
      <c r="P11" s="12"/>
      <c r="Q11" s="12"/>
      <c r="R11" s="8"/>
    </row>
    <row r="12" spans="1:18">
      <c r="A12" s="9" t="s">
        <v>128</v>
      </c>
      <c r="B12" s="10">
        <f t="shared" ref="B12:B16" si="4">SUM(C12:E12)</f>
        <v>6950</v>
      </c>
      <c r="C12" s="48">
        <v>370</v>
      </c>
      <c r="D12" s="43">
        <v>4767</v>
      </c>
      <c r="E12" s="48">
        <v>1813</v>
      </c>
      <c r="F12" s="43" t="s">
        <v>126</v>
      </c>
      <c r="G12" s="33">
        <f t="shared" ref="G12:G16" si="5">SUM(H12:J12)</f>
        <v>78812</v>
      </c>
      <c r="H12" s="43">
        <v>457</v>
      </c>
      <c r="I12" s="48">
        <v>78355</v>
      </c>
      <c r="J12" s="43" t="s">
        <v>126</v>
      </c>
      <c r="K12" s="32">
        <f t="shared" ref="K12:K16" si="6">SUM(L12:N12)</f>
        <v>53522</v>
      </c>
      <c r="L12" s="43">
        <v>330</v>
      </c>
      <c r="M12" s="48">
        <v>53192</v>
      </c>
      <c r="N12" s="44" t="s">
        <v>126</v>
      </c>
      <c r="O12" s="11" t="s">
        <v>9</v>
      </c>
      <c r="P12" s="12"/>
      <c r="Q12" s="12"/>
      <c r="R12" s="8"/>
    </row>
    <row r="13" spans="1:18">
      <c r="A13" s="9" t="s">
        <v>129</v>
      </c>
      <c r="B13" s="10">
        <f t="shared" si="4"/>
        <v>6108</v>
      </c>
      <c r="C13" s="48">
        <v>1200</v>
      </c>
      <c r="D13" s="43">
        <v>3075</v>
      </c>
      <c r="E13" s="48">
        <v>1833</v>
      </c>
      <c r="F13" s="43" t="s">
        <v>126</v>
      </c>
      <c r="G13" s="33">
        <f t="shared" si="5"/>
        <v>94525</v>
      </c>
      <c r="H13" s="43">
        <v>1171</v>
      </c>
      <c r="I13" s="48">
        <v>93354</v>
      </c>
      <c r="J13" s="43" t="s">
        <v>126</v>
      </c>
      <c r="K13" s="32">
        <f t="shared" si="6"/>
        <v>60509</v>
      </c>
      <c r="L13" s="43">
        <v>1101</v>
      </c>
      <c r="M13" s="48">
        <v>59408</v>
      </c>
      <c r="N13" s="44" t="s">
        <v>126</v>
      </c>
      <c r="O13" s="11" t="s">
        <v>10</v>
      </c>
      <c r="P13" s="12"/>
      <c r="Q13" s="12"/>
      <c r="R13" s="8"/>
    </row>
    <row r="14" spans="1:18">
      <c r="A14" s="9" t="s">
        <v>130</v>
      </c>
      <c r="B14" s="10">
        <f t="shared" si="4"/>
        <v>0</v>
      </c>
      <c r="C14" s="48" t="s">
        <v>126</v>
      </c>
      <c r="D14" s="43" t="s">
        <v>126</v>
      </c>
      <c r="E14" s="48" t="s">
        <v>126</v>
      </c>
      <c r="F14" s="43" t="s">
        <v>126</v>
      </c>
      <c r="G14" s="33">
        <f t="shared" si="5"/>
        <v>21501</v>
      </c>
      <c r="H14" s="43">
        <v>91</v>
      </c>
      <c r="I14" s="48">
        <v>21410</v>
      </c>
      <c r="J14" s="43" t="s">
        <v>126</v>
      </c>
      <c r="K14" s="32">
        <f t="shared" si="6"/>
        <v>14257</v>
      </c>
      <c r="L14" s="43">
        <v>67</v>
      </c>
      <c r="M14" s="48">
        <v>14190</v>
      </c>
      <c r="N14" s="44" t="s">
        <v>126</v>
      </c>
      <c r="O14" s="11" t="s">
        <v>11</v>
      </c>
      <c r="P14" s="12"/>
      <c r="Q14" s="12"/>
      <c r="R14" s="8"/>
    </row>
    <row r="15" spans="1:18">
      <c r="A15" s="9" t="s">
        <v>131</v>
      </c>
      <c r="B15" s="10">
        <f t="shared" si="4"/>
        <v>4359</v>
      </c>
      <c r="C15" s="48">
        <v>123</v>
      </c>
      <c r="D15" s="43">
        <v>4126</v>
      </c>
      <c r="E15" s="48">
        <v>110</v>
      </c>
      <c r="F15" s="43" t="s">
        <v>126</v>
      </c>
      <c r="G15" s="33">
        <f t="shared" si="5"/>
        <v>51300</v>
      </c>
      <c r="H15" s="43">
        <v>350</v>
      </c>
      <c r="I15" s="48">
        <v>50950</v>
      </c>
      <c r="J15" s="43" t="s">
        <v>126</v>
      </c>
      <c r="K15" s="32">
        <f t="shared" si="6"/>
        <v>39288</v>
      </c>
      <c r="L15" s="43">
        <v>682</v>
      </c>
      <c r="M15" s="48">
        <v>37504</v>
      </c>
      <c r="N15" s="44">
        <v>1102</v>
      </c>
      <c r="O15" s="11" t="s">
        <v>12</v>
      </c>
      <c r="P15" s="12"/>
      <c r="Q15" s="12"/>
      <c r="R15" s="8"/>
    </row>
    <row r="16" spans="1:18">
      <c r="A16" s="9" t="s">
        <v>132</v>
      </c>
      <c r="B16" s="10">
        <f t="shared" si="4"/>
        <v>10940</v>
      </c>
      <c r="C16" s="48">
        <v>578</v>
      </c>
      <c r="D16" s="43">
        <v>6038</v>
      </c>
      <c r="E16" s="48">
        <v>4324</v>
      </c>
      <c r="F16" s="43" t="s">
        <v>126</v>
      </c>
      <c r="G16" s="33">
        <f t="shared" si="5"/>
        <v>87125</v>
      </c>
      <c r="H16" s="43">
        <v>11</v>
      </c>
      <c r="I16" s="48">
        <v>87114</v>
      </c>
      <c r="J16" s="43" t="s">
        <v>126</v>
      </c>
      <c r="K16" s="32">
        <f t="shared" si="6"/>
        <v>43063</v>
      </c>
      <c r="L16" s="43">
        <v>331</v>
      </c>
      <c r="M16" s="48">
        <v>42732</v>
      </c>
      <c r="N16" s="44" t="s">
        <v>126</v>
      </c>
      <c r="O16" s="11" t="s">
        <v>13</v>
      </c>
      <c r="P16" s="12"/>
      <c r="Q16" s="12"/>
      <c r="R16" s="8"/>
    </row>
    <row r="17" spans="1:18">
      <c r="A17" s="82" t="s">
        <v>14</v>
      </c>
      <c r="B17" s="83">
        <f>SUM(C17:E18)</f>
        <v>73467</v>
      </c>
      <c r="C17" s="76">
        <f>SUM(C19:C25)</f>
        <v>475</v>
      </c>
      <c r="D17" s="75">
        <f t="shared" ref="D17:F17" si="7">SUM(D19:D25)</f>
        <v>44642</v>
      </c>
      <c r="E17" s="76">
        <f t="shared" si="7"/>
        <v>28350</v>
      </c>
      <c r="F17" s="75">
        <f t="shared" si="7"/>
        <v>355</v>
      </c>
      <c r="G17" s="73">
        <f>SUM(H17:J18)</f>
        <v>771105</v>
      </c>
      <c r="H17" s="75">
        <f>SUM(H19:H25)</f>
        <v>7278</v>
      </c>
      <c r="I17" s="76">
        <f t="shared" ref="I17:J17" si="8">SUM(I19:I25)</f>
        <v>762177</v>
      </c>
      <c r="J17" s="75">
        <f t="shared" si="8"/>
        <v>1650</v>
      </c>
      <c r="K17" s="73">
        <f>SUM(L17:N18)</f>
        <v>516007</v>
      </c>
      <c r="L17" s="75">
        <f t="shared" ref="L17:N17" si="9">SUM(L19:L25)</f>
        <v>18412</v>
      </c>
      <c r="M17" s="76">
        <f t="shared" si="9"/>
        <v>487190</v>
      </c>
      <c r="N17" s="77">
        <f t="shared" si="9"/>
        <v>10405</v>
      </c>
      <c r="O17" s="80" t="s">
        <v>15</v>
      </c>
      <c r="P17" s="81"/>
      <c r="Q17" s="81"/>
      <c r="R17" s="8"/>
    </row>
    <row r="18" spans="1:18">
      <c r="A18" s="82"/>
      <c r="B18" s="83"/>
      <c r="C18" s="76"/>
      <c r="D18" s="75"/>
      <c r="E18" s="76"/>
      <c r="F18" s="75"/>
      <c r="G18" s="73"/>
      <c r="H18" s="75"/>
      <c r="I18" s="76"/>
      <c r="J18" s="75"/>
      <c r="K18" s="73"/>
      <c r="L18" s="75"/>
      <c r="M18" s="76"/>
      <c r="N18" s="77"/>
      <c r="O18" s="81"/>
      <c r="P18" s="81"/>
      <c r="Q18" s="81"/>
      <c r="R18" s="8"/>
    </row>
    <row r="19" spans="1:18">
      <c r="A19" s="9" t="s">
        <v>133</v>
      </c>
      <c r="B19" s="10">
        <f t="shared" ref="B19:B25" si="10">SUM(C19:E19)</f>
        <v>24587</v>
      </c>
      <c r="C19" s="48" t="s">
        <v>126</v>
      </c>
      <c r="D19" s="43">
        <v>16800</v>
      </c>
      <c r="E19" s="48">
        <v>7787</v>
      </c>
      <c r="F19" s="43">
        <v>310</v>
      </c>
      <c r="G19" s="33">
        <f t="shared" ref="G19:G25" si="11">SUM(H19:J19)</f>
        <v>128496</v>
      </c>
      <c r="H19" s="43">
        <v>909</v>
      </c>
      <c r="I19" s="48">
        <v>127417</v>
      </c>
      <c r="J19" s="43">
        <v>170</v>
      </c>
      <c r="K19" s="32">
        <f t="shared" ref="K19:K25" si="12">SUM(L19:N19)</f>
        <v>112702</v>
      </c>
      <c r="L19" s="43">
        <v>1681</v>
      </c>
      <c r="M19" s="48">
        <v>102751</v>
      </c>
      <c r="N19" s="44">
        <v>8270</v>
      </c>
      <c r="O19" s="11" t="s">
        <v>16</v>
      </c>
      <c r="P19" s="12"/>
      <c r="Q19" s="12"/>
      <c r="R19" s="8"/>
    </row>
    <row r="20" spans="1:18">
      <c r="A20" s="9" t="s">
        <v>134</v>
      </c>
      <c r="B20" s="10">
        <f t="shared" si="10"/>
        <v>3915</v>
      </c>
      <c r="C20" s="48">
        <v>56</v>
      </c>
      <c r="D20" s="43">
        <v>2817</v>
      </c>
      <c r="E20" s="48">
        <v>1042</v>
      </c>
      <c r="F20" s="43" t="s">
        <v>126</v>
      </c>
      <c r="G20" s="33">
        <f t="shared" si="11"/>
        <v>51952</v>
      </c>
      <c r="H20" s="43">
        <v>822</v>
      </c>
      <c r="I20" s="48">
        <v>51130</v>
      </c>
      <c r="J20" s="43" t="s">
        <v>126</v>
      </c>
      <c r="K20" s="32">
        <f t="shared" si="12"/>
        <v>23130</v>
      </c>
      <c r="L20" s="43">
        <v>526</v>
      </c>
      <c r="M20" s="48">
        <v>22469</v>
      </c>
      <c r="N20" s="44">
        <v>135</v>
      </c>
      <c r="O20" s="11" t="s">
        <v>17</v>
      </c>
      <c r="P20" s="12"/>
      <c r="Q20" s="12"/>
      <c r="R20" s="8"/>
    </row>
    <row r="21" spans="1:18">
      <c r="A21" s="9" t="s">
        <v>135</v>
      </c>
      <c r="B21" s="10">
        <f t="shared" si="10"/>
        <v>12744</v>
      </c>
      <c r="C21" s="48" t="s">
        <v>126</v>
      </c>
      <c r="D21" s="43">
        <v>5191</v>
      </c>
      <c r="E21" s="48">
        <v>7553</v>
      </c>
      <c r="F21" s="43" t="s">
        <v>126</v>
      </c>
      <c r="G21" s="33">
        <f t="shared" si="11"/>
        <v>122657</v>
      </c>
      <c r="H21" s="43">
        <v>55</v>
      </c>
      <c r="I21" s="48">
        <v>122602</v>
      </c>
      <c r="J21" s="43" t="s">
        <v>126</v>
      </c>
      <c r="K21" s="32">
        <f t="shared" si="12"/>
        <v>36307</v>
      </c>
      <c r="L21" s="43">
        <v>122</v>
      </c>
      <c r="M21" s="48">
        <v>36185</v>
      </c>
      <c r="N21" s="44" t="s">
        <v>126</v>
      </c>
      <c r="O21" s="11" t="s">
        <v>18</v>
      </c>
      <c r="P21" s="12"/>
      <c r="Q21" s="12"/>
      <c r="R21" s="8"/>
    </row>
    <row r="22" spans="1:18">
      <c r="A22" s="9" t="s">
        <v>136</v>
      </c>
      <c r="B22" s="10">
        <f t="shared" si="10"/>
        <v>9776</v>
      </c>
      <c r="C22" s="48">
        <v>52</v>
      </c>
      <c r="D22" s="43">
        <v>6415</v>
      </c>
      <c r="E22" s="48">
        <v>3309</v>
      </c>
      <c r="F22" s="43">
        <v>5</v>
      </c>
      <c r="G22" s="33">
        <f t="shared" si="11"/>
        <v>140995</v>
      </c>
      <c r="H22" s="43">
        <v>1600</v>
      </c>
      <c r="I22" s="48">
        <v>137915</v>
      </c>
      <c r="J22" s="43">
        <v>1480</v>
      </c>
      <c r="K22" s="32">
        <f t="shared" si="12"/>
        <v>55342</v>
      </c>
      <c r="L22" s="43">
        <v>2488</v>
      </c>
      <c r="M22" s="48">
        <v>52854</v>
      </c>
      <c r="N22" s="44" t="s">
        <v>126</v>
      </c>
      <c r="O22" s="11" t="s">
        <v>19</v>
      </c>
      <c r="P22" s="12"/>
      <c r="Q22" s="12"/>
      <c r="R22" s="8"/>
    </row>
    <row r="23" spans="1:18">
      <c r="A23" s="9" t="s">
        <v>137</v>
      </c>
      <c r="B23" s="10">
        <f t="shared" si="10"/>
        <v>2283</v>
      </c>
      <c r="C23" s="48">
        <v>248</v>
      </c>
      <c r="D23" s="43">
        <v>1526</v>
      </c>
      <c r="E23" s="48">
        <v>509</v>
      </c>
      <c r="F23" s="43" t="s">
        <v>126</v>
      </c>
      <c r="G23" s="33">
        <f t="shared" si="11"/>
        <v>69625</v>
      </c>
      <c r="H23" s="43">
        <v>2576</v>
      </c>
      <c r="I23" s="48">
        <v>67049</v>
      </c>
      <c r="J23" s="43" t="s">
        <v>126</v>
      </c>
      <c r="K23" s="32">
        <f t="shared" si="12"/>
        <v>62338</v>
      </c>
      <c r="L23" s="43">
        <v>7379</v>
      </c>
      <c r="M23" s="48">
        <v>54959</v>
      </c>
      <c r="N23" s="44" t="s">
        <v>126</v>
      </c>
      <c r="O23" s="11" t="s">
        <v>20</v>
      </c>
      <c r="P23" s="12"/>
      <c r="Q23" s="12"/>
      <c r="R23" s="8"/>
    </row>
    <row r="24" spans="1:18">
      <c r="A24" s="9" t="s">
        <v>138</v>
      </c>
      <c r="B24" s="10">
        <f t="shared" si="10"/>
        <v>18890</v>
      </c>
      <c r="C24" s="48">
        <v>52</v>
      </c>
      <c r="D24" s="43">
        <v>11409</v>
      </c>
      <c r="E24" s="48">
        <v>7429</v>
      </c>
      <c r="F24" s="43">
        <v>40</v>
      </c>
      <c r="G24" s="33">
        <f t="shared" si="11"/>
        <v>201608</v>
      </c>
      <c r="H24" s="43">
        <v>495</v>
      </c>
      <c r="I24" s="48">
        <v>201113</v>
      </c>
      <c r="J24" s="43" t="s">
        <v>126</v>
      </c>
      <c r="K24" s="32">
        <f t="shared" si="12"/>
        <v>120147</v>
      </c>
      <c r="L24" s="43">
        <v>3099</v>
      </c>
      <c r="M24" s="48">
        <v>117048</v>
      </c>
      <c r="N24" s="44" t="s">
        <v>126</v>
      </c>
      <c r="O24" s="11" t="s">
        <v>21</v>
      </c>
      <c r="P24" s="12"/>
      <c r="Q24" s="12"/>
      <c r="R24" s="8"/>
    </row>
    <row r="25" spans="1:18">
      <c r="A25" s="9" t="s">
        <v>139</v>
      </c>
      <c r="B25" s="10">
        <f t="shared" si="10"/>
        <v>1272</v>
      </c>
      <c r="C25" s="48">
        <v>67</v>
      </c>
      <c r="D25" s="43">
        <v>484</v>
      </c>
      <c r="E25" s="48">
        <v>721</v>
      </c>
      <c r="F25" s="43" t="s">
        <v>126</v>
      </c>
      <c r="G25" s="33">
        <f t="shared" si="11"/>
        <v>55772</v>
      </c>
      <c r="H25" s="43">
        <v>821</v>
      </c>
      <c r="I25" s="48">
        <v>54951</v>
      </c>
      <c r="J25" s="43" t="s">
        <v>126</v>
      </c>
      <c r="K25" s="32">
        <f t="shared" si="12"/>
        <v>106041</v>
      </c>
      <c r="L25" s="43">
        <v>3117</v>
      </c>
      <c r="M25" s="48">
        <v>100924</v>
      </c>
      <c r="N25" s="44">
        <v>2000</v>
      </c>
      <c r="O25" s="11" t="s">
        <v>22</v>
      </c>
      <c r="P25" s="12"/>
      <c r="Q25" s="12"/>
      <c r="R25" s="8"/>
    </row>
    <row r="26" spans="1:18" ht="21" customHeight="1">
      <c r="A26" s="38" t="s">
        <v>196</v>
      </c>
      <c r="B26" s="39">
        <f>SUM(C26:E26)</f>
        <v>17213</v>
      </c>
      <c r="C26" s="37">
        <f>SUM(C27:C30)</f>
        <v>898</v>
      </c>
      <c r="D26" s="40">
        <f t="shared" ref="D26:F26" si="13">SUM(D27:D30)</f>
        <v>13233</v>
      </c>
      <c r="E26" s="37">
        <f t="shared" si="13"/>
        <v>3082</v>
      </c>
      <c r="F26" s="40">
        <f t="shared" si="13"/>
        <v>0</v>
      </c>
      <c r="G26" s="41">
        <f>SUM(H26:J26)</f>
        <v>316334</v>
      </c>
      <c r="H26" s="40">
        <f>SUM(H27:H30)</f>
        <v>706</v>
      </c>
      <c r="I26" s="37">
        <f t="shared" ref="I26:J26" si="14">SUM(I27:I30)</f>
        <v>315628</v>
      </c>
      <c r="J26" s="40">
        <f t="shared" si="14"/>
        <v>0</v>
      </c>
      <c r="K26" s="37">
        <f>SUM(L26:N26)</f>
        <v>130025</v>
      </c>
      <c r="L26" s="40">
        <f t="shared" ref="L26" si="15">SUM(L27:L30)</f>
        <v>2588</v>
      </c>
      <c r="M26" s="37">
        <f t="shared" ref="M26" si="16">SUM(M27:M30)</f>
        <v>127437</v>
      </c>
      <c r="N26" s="45">
        <f t="shared" ref="N26" si="17">SUM(N27:N30)</f>
        <v>0</v>
      </c>
      <c r="O26" s="42" t="s">
        <v>193</v>
      </c>
      <c r="P26" s="12"/>
      <c r="Q26" s="12"/>
      <c r="R26" s="8"/>
    </row>
    <row r="27" spans="1:18">
      <c r="A27" s="9" t="s">
        <v>140</v>
      </c>
      <c r="B27" s="10">
        <f t="shared" ref="B27:B30" si="18">SUM(C27:E27)</f>
        <v>5435</v>
      </c>
      <c r="C27" s="48">
        <v>684</v>
      </c>
      <c r="D27" s="43">
        <v>4338</v>
      </c>
      <c r="E27" s="48">
        <v>413</v>
      </c>
      <c r="F27" s="35" t="s">
        <v>126</v>
      </c>
      <c r="G27" s="33">
        <f t="shared" ref="G27:G30" si="19">SUM(H27:J27)</f>
        <v>130691</v>
      </c>
      <c r="H27" s="43">
        <v>401</v>
      </c>
      <c r="I27" s="48">
        <v>130290</v>
      </c>
      <c r="J27" s="43" t="s">
        <v>126</v>
      </c>
      <c r="K27" s="32">
        <f t="shared" ref="K27:K30" si="20">SUM(L27:N27)</f>
        <v>64826</v>
      </c>
      <c r="L27" s="43">
        <v>1793</v>
      </c>
      <c r="M27" s="48">
        <v>63033</v>
      </c>
      <c r="N27" s="44" t="s">
        <v>126</v>
      </c>
      <c r="O27" s="11" t="s">
        <v>23</v>
      </c>
      <c r="P27" s="12"/>
      <c r="Q27" s="12"/>
      <c r="R27" s="8"/>
    </row>
    <row r="28" spans="1:18">
      <c r="A28" s="9" t="s">
        <v>141</v>
      </c>
      <c r="B28" s="10">
        <f t="shared" si="18"/>
        <v>1140</v>
      </c>
      <c r="C28" s="48">
        <v>0</v>
      </c>
      <c r="D28" s="43">
        <v>262</v>
      </c>
      <c r="E28" s="48">
        <v>878</v>
      </c>
      <c r="F28" s="35" t="s">
        <v>126</v>
      </c>
      <c r="G28" s="33">
        <f t="shared" si="19"/>
        <v>50294</v>
      </c>
      <c r="H28" s="43">
        <v>203</v>
      </c>
      <c r="I28" s="48">
        <v>50091</v>
      </c>
      <c r="J28" s="43" t="s">
        <v>126</v>
      </c>
      <c r="K28" s="32">
        <f t="shared" si="20"/>
        <v>33143</v>
      </c>
      <c r="L28" s="43">
        <v>484</v>
      </c>
      <c r="M28" s="48">
        <v>32659</v>
      </c>
      <c r="N28" s="44" t="s">
        <v>126</v>
      </c>
      <c r="O28" s="11" t="s">
        <v>24</v>
      </c>
      <c r="P28" s="12"/>
      <c r="Q28" s="12"/>
      <c r="R28" s="8"/>
    </row>
    <row r="29" spans="1:18">
      <c r="A29" s="9" t="s">
        <v>142</v>
      </c>
      <c r="B29" s="10">
        <f t="shared" si="18"/>
        <v>887</v>
      </c>
      <c r="C29" s="48">
        <v>32</v>
      </c>
      <c r="D29" s="43">
        <v>855</v>
      </c>
      <c r="E29" s="48" t="s">
        <v>126</v>
      </c>
      <c r="F29" s="35" t="s">
        <v>126</v>
      </c>
      <c r="G29" s="33">
        <f t="shared" si="19"/>
        <v>55585</v>
      </c>
      <c r="H29" s="43">
        <v>102</v>
      </c>
      <c r="I29" s="48">
        <v>55483</v>
      </c>
      <c r="J29" s="43" t="s">
        <v>126</v>
      </c>
      <c r="K29" s="32">
        <f t="shared" si="20"/>
        <v>12855</v>
      </c>
      <c r="L29" s="43">
        <v>256</v>
      </c>
      <c r="M29" s="48">
        <v>12599</v>
      </c>
      <c r="N29" s="44" t="s">
        <v>126</v>
      </c>
      <c r="O29" s="11" t="s">
        <v>25</v>
      </c>
      <c r="P29" s="12"/>
      <c r="Q29" s="12"/>
      <c r="R29" s="8"/>
    </row>
    <row r="30" spans="1:18">
      <c r="A30" s="9" t="s">
        <v>143</v>
      </c>
      <c r="B30" s="10">
        <f t="shared" si="18"/>
        <v>9751</v>
      </c>
      <c r="C30" s="48">
        <v>182</v>
      </c>
      <c r="D30" s="43">
        <v>7778</v>
      </c>
      <c r="E30" s="48">
        <v>1791</v>
      </c>
      <c r="F30" s="35" t="s">
        <v>126</v>
      </c>
      <c r="G30" s="33">
        <f t="shared" si="19"/>
        <v>79764</v>
      </c>
      <c r="H30" s="43" t="s">
        <v>126</v>
      </c>
      <c r="I30" s="48">
        <v>79764</v>
      </c>
      <c r="J30" s="43" t="s">
        <v>126</v>
      </c>
      <c r="K30" s="32">
        <f t="shared" si="20"/>
        <v>19201</v>
      </c>
      <c r="L30" s="43">
        <v>55</v>
      </c>
      <c r="M30" s="48">
        <v>19146</v>
      </c>
      <c r="N30" s="44" t="s">
        <v>126</v>
      </c>
      <c r="O30" s="11" t="s">
        <v>26</v>
      </c>
      <c r="P30" s="12"/>
      <c r="Q30" s="12"/>
      <c r="R30" s="8"/>
    </row>
    <row r="31" spans="1:18">
      <c r="A31" s="82" t="s">
        <v>27</v>
      </c>
      <c r="B31" s="83">
        <f>SUM(C31:E32)</f>
        <v>9033</v>
      </c>
      <c r="C31" s="76">
        <f>SUM(C33:C36)</f>
        <v>2104</v>
      </c>
      <c r="D31" s="75">
        <f t="shared" ref="D31:E31" si="21">SUM(D33:D36)</f>
        <v>3157</v>
      </c>
      <c r="E31" s="76">
        <f t="shared" si="21"/>
        <v>3772</v>
      </c>
      <c r="F31" s="75">
        <f t="shared" ref="F31" si="22">SUM(F33:F36)</f>
        <v>0</v>
      </c>
      <c r="G31" s="73">
        <f>SUM(H31:J32)</f>
        <v>608717</v>
      </c>
      <c r="H31" s="75">
        <f>SUM(H33:H36)</f>
        <v>49729</v>
      </c>
      <c r="I31" s="76">
        <f t="shared" ref="I31:J31" si="23">SUM(I33:I36)</f>
        <v>509835</v>
      </c>
      <c r="J31" s="75">
        <f t="shared" si="23"/>
        <v>49153</v>
      </c>
      <c r="K31" s="73">
        <f>SUM(L31:N32)</f>
        <v>189042</v>
      </c>
      <c r="L31" s="75">
        <f t="shared" ref="L31:N31" si="24">SUM(L33:L36)</f>
        <v>29148</v>
      </c>
      <c r="M31" s="76">
        <f t="shared" si="24"/>
        <v>145496</v>
      </c>
      <c r="N31" s="77">
        <f t="shared" si="24"/>
        <v>14398</v>
      </c>
      <c r="O31" s="74" t="s">
        <v>28</v>
      </c>
      <c r="P31" s="74"/>
      <c r="Q31" s="74"/>
      <c r="R31" s="8"/>
    </row>
    <row r="32" spans="1:18">
      <c r="A32" s="82"/>
      <c r="B32" s="83"/>
      <c r="C32" s="76"/>
      <c r="D32" s="75"/>
      <c r="E32" s="76"/>
      <c r="F32" s="75"/>
      <c r="G32" s="73"/>
      <c r="H32" s="75"/>
      <c r="I32" s="76"/>
      <c r="J32" s="75"/>
      <c r="K32" s="73"/>
      <c r="L32" s="75"/>
      <c r="M32" s="76"/>
      <c r="N32" s="77"/>
      <c r="O32" s="74"/>
      <c r="P32" s="74"/>
      <c r="Q32" s="74"/>
      <c r="R32" s="8"/>
    </row>
    <row r="33" spans="1:18">
      <c r="A33" s="9" t="s">
        <v>144</v>
      </c>
      <c r="B33" s="10">
        <f t="shared" ref="B33:B36" si="25">SUM(C33:E33)</f>
        <v>2968</v>
      </c>
      <c r="C33" s="48">
        <v>911</v>
      </c>
      <c r="D33" s="43">
        <v>743</v>
      </c>
      <c r="E33" s="48">
        <v>1314</v>
      </c>
      <c r="F33" s="43" t="s">
        <v>126</v>
      </c>
      <c r="G33" s="33">
        <f t="shared" ref="G33:G36" si="26">SUM(H33:J33)</f>
        <v>202009</v>
      </c>
      <c r="H33" s="43">
        <v>6760</v>
      </c>
      <c r="I33" s="48">
        <v>189469</v>
      </c>
      <c r="J33" s="43">
        <v>5780</v>
      </c>
      <c r="K33" s="32">
        <f t="shared" ref="K33:K36" si="27">SUM(L33:N33)</f>
        <v>54987</v>
      </c>
      <c r="L33" s="43">
        <v>4530</v>
      </c>
      <c r="M33" s="48">
        <v>46157</v>
      </c>
      <c r="N33" s="44">
        <v>4300</v>
      </c>
      <c r="O33" s="11" t="s">
        <v>29</v>
      </c>
      <c r="P33" s="12"/>
      <c r="Q33" s="12"/>
      <c r="R33" s="8"/>
    </row>
    <row r="34" spans="1:18">
      <c r="A34" s="9" t="s">
        <v>145</v>
      </c>
      <c r="B34" s="10">
        <f t="shared" si="25"/>
        <v>1375</v>
      </c>
      <c r="C34" s="48">
        <v>205</v>
      </c>
      <c r="D34" s="43">
        <v>974</v>
      </c>
      <c r="E34" s="48">
        <v>196</v>
      </c>
      <c r="F34" s="43" t="s">
        <v>126</v>
      </c>
      <c r="G34" s="33">
        <f t="shared" si="26"/>
        <v>154115</v>
      </c>
      <c r="H34" s="43">
        <v>31434</v>
      </c>
      <c r="I34" s="48">
        <v>99886</v>
      </c>
      <c r="J34" s="43">
        <v>22795</v>
      </c>
      <c r="K34" s="32">
        <f t="shared" si="27"/>
        <v>36356</v>
      </c>
      <c r="L34" s="43">
        <v>15811</v>
      </c>
      <c r="M34" s="48">
        <v>16794</v>
      </c>
      <c r="N34" s="44">
        <v>3751</v>
      </c>
      <c r="O34" s="11" t="s">
        <v>30</v>
      </c>
      <c r="P34" s="12"/>
      <c r="Q34" s="12"/>
      <c r="R34" s="8"/>
    </row>
    <row r="35" spans="1:18">
      <c r="A35" s="9" t="s">
        <v>146</v>
      </c>
      <c r="B35" s="10">
        <f t="shared" si="25"/>
        <v>733</v>
      </c>
      <c r="C35" s="48">
        <v>521</v>
      </c>
      <c r="D35" s="43">
        <v>182</v>
      </c>
      <c r="E35" s="48">
        <v>30</v>
      </c>
      <c r="F35" s="43" t="s">
        <v>126</v>
      </c>
      <c r="G35" s="33">
        <f t="shared" si="26"/>
        <v>101131</v>
      </c>
      <c r="H35" s="43">
        <v>6727</v>
      </c>
      <c r="I35" s="48">
        <v>79326</v>
      </c>
      <c r="J35" s="43">
        <v>15078</v>
      </c>
      <c r="K35" s="32">
        <f t="shared" si="27"/>
        <v>57252</v>
      </c>
      <c r="L35" s="43">
        <v>2930</v>
      </c>
      <c r="M35" s="48">
        <v>48395</v>
      </c>
      <c r="N35" s="44">
        <v>5927</v>
      </c>
      <c r="O35" s="11" t="s">
        <v>31</v>
      </c>
      <c r="P35" s="12"/>
      <c r="Q35" s="12"/>
      <c r="R35" s="8"/>
    </row>
    <row r="36" spans="1:18">
      <c r="A36" s="9" t="s">
        <v>147</v>
      </c>
      <c r="B36" s="10">
        <f t="shared" si="25"/>
        <v>3957</v>
      </c>
      <c r="C36" s="48">
        <v>467</v>
      </c>
      <c r="D36" s="43">
        <v>1258</v>
      </c>
      <c r="E36" s="48">
        <v>2232</v>
      </c>
      <c r="F36" s="43" t="s">
        <v>126</v>
      </c>
      <c r="G36" s="33">
        <f t="shared" si="26"/>
        <v>151462</v>
      </c>
      <c r="H36" s="43">
        <v>4808</v>
      </c>
      <c r="I36" s="48">
        <v>141154</v>
      </c>
      <c r="J36" s="43">
        <v>5500</v>
      </c>
      <c r="K36" s="32">
        <f t="shared" si="27"/>
        <v>40447</v>
      </c>
      <c r="L36" s="43">
        <v>5877</v>
      </c>
      <c r="M36" s="48">
        <v>34150</v>
      </c>
      <c r="N36" s="44">
        <v>420</v>
      </c>
      <c r="O36" s="11" t="s">
        <v>32</v>
      </c>
      <c r="P36" s="12"/>
      <c r="Q36" s="12"/>
      <c r="R36" s="8"/>
    </row>
    <row r="37" spans="1:18">
      <c r="A37" s="82" t="s">
        <v>33</v>
      </c>
      <c r="B37" s="83">
        <f>SUM(C37:E38)</f>
        <v>29563</v>
      </c>
      <c r="C37" s="76">
        <f>SUM(C39:C43)</f>
        <v>230</v>
      </c>
      <c r="D37" s="75">
        <f t="shared" ref="D37:E37" si="28">SUM(D39:D43)</f>
        <v>21214</v>
      </c>
      <c r="E37" s="76">
        <f t="shared" si="28"/>
        <v>8119</v>
      </c>
      <c r="F37" s="75">
        <f t="shared" ref="F37" si="29">SUM(F39:F43)</f>
        <v>0</v>
      </c>
      <c r="G37" s="73">
        <f>SUM(H37:J38)</f>
        <v>996798</v>
      </c>
      <c r="H37" s="75">
        <f>SUM(H39:H43)</f>
        <v>10669</v>
      </c>
      <c r="I37" s="76">
        <f t="shared" ref="I37:J37" si="30">SUM(I39:I43)</f>
        <v>820397</v>
      </c>
      <c r="J37" s="75">
        <f t="shared" si="30"/>
        <v>165732</v>
      </c>
      <c r="K37" s="73">
        <f>SUM(L37:N38)</f>
        <v>365167</v>
      </c>
      <c r="L37" s="75">
        <f t="shared" ref="L37:N37" si="31">SUM(L39:L43)</f>
        <v>14840</v>
      </c>
      <c r="M37" s="76">
        <f t="shared" si="31"/>
        <v>301008</v>
      </c>
      <c r="N37" s="77">
        <f t="shared" si="31"/>
        <v>49319</v>
      </c>
      <c r="O37" s="74" t="s">
        <v>34</v>
      </c>
      <c r="P37" s="74"/>
      <c r="Q37" s="74"/>
      <c r="R37" s="8"/>
    </row>
    <row r="38" spans="1:18">
      <c r="A38" s="82"/>
      <c r="B38" s="83"/>
      <c r="C38" s="76"/>
      <c r="D38" s="75"/>
      <c r="E38" s="76"/>
      <c r="F38" s="75"/>
      <c r="G38" s="73"/>
      <c r="H38" s="75"/>
      <c r="I38" s="76"/>
      <c r="J38" s="75"/>
      <c r="K38" s="73"/>
      <c r="L38" s="75"/>
      <c r="M38" s="76"/>
      <c r="N38" s="77"/>
      <c r="O38" s="74"/>
      <c r="P38" s="74"/>
      <c r="Q38" s="74"/>
      <c r="R38" s="8"/>
    </row>
    <row r="39" spans="1:18">
      <c r="A39" s="9" t="s">
        <v>148</v>
      </c>
      <c r="B39" s="10">
        <f t="shared" ref="B39:B43" si="32">SUM(C39:E39)</f>
        <v>16680</v>
      </c>
      <c r="C39" s="48">
        <v>203</v>
      </c>
      <c r="D39" s="43">
        <v>10317</v>
      </c>
      <c r="E39" s="48">
        <v>6160</v>
      </c>
      <c r="F39" s="43" t="s">
        <v>126</v>
      </c>
      <c r="G39" s="33">
        <f t="shared" ref="G39:G43" si="33">SUM(H39:J39)</f>
        <v>574497</v>
      </c>
      <c r="H39" s="43">
        <v>2144</v>
      </c>
      <c r="I39" s="48">
        <v>450600</v>
      </c>
      <c r="J39" s="43">
        <v>121753</v>
      </c>
      <c r="K39" s="32">
        <f t="shared" ref="K39:K43" si="34">SUM(L39:N39)</f>
        <v>191719</v>
      </c>
      <c r="L39" s="43">
        <v>4263</v>
      </c>
      <c r="M39" s="48">
        <v>151361</v>
      </c>
      <c r="N39" s="44">
        <v>36095</v>
      </c>
      <c r="O39" s="11" t="s">
        <v>35</v>
      </c>
      <c r="P39" s="12"/>
      <c r="Q39" s="12"/>
      <c r="R39" s="8"/>
    </row>
    <row r="40" spans="1:18">
      <c r="A40" s="9" t="s">
        <v>149</v>
      </c>
      <c r="B40" s="10">
        <f t="shared" si="32"/>
        <v>2141</v>
      </c>
      <c r="C40" s="48">
        <v>27</v>
      </c>
      <c r="D40" s="43">
        <v>2029</v>
      </c>
      <c r="E40" s="48">
        <v>85</v>
      </c>
      <c r="F40" s="43" t="s">
        <v>126</v>
      </c>
      <c r="G40" s="33">
        <f t="shared" si="33"/>
        <v>132841</v>
      </c>
      <c r="H40" s="43">
        <v>2059</v>
      </c>
      <c r="I40" s="48">
        <v>117090</v>
      </c>
      <c r="J40" s="43">
        <v>13692</v>
      </c>
      <c r="K40" s="32">
        <f t="shared" si="34"/>
        <v>24070</v>
      </c>
      <c r="L40" s="43">
        <v>1691</v>
      </c>
      <c r="M40" s="48">
        <v>20799</v>
      </c>
      <c r="N40" s="44">
        <v>1580</v>
      </c>
      <c r="O40" s="11" t="s">
        <v>36</v>
      </c>
      <c r="P40" s="12"/>
      <c r="Q40" s="12"/>
      <c r="R40" s="8"/>
    </row>
    <row r="41" spans="1:18">
      <c r="A41" s="9" t="s">
        <v>150</v>
      </c>
      <c r="B41" s="10">
        <f t="shared" si="32"/>
        <v>1737</v>
      </c>
      <c r="C41" s="48" t="s">
        <v>126</v>
      </c>
      <c r="D41" s="43">
        <v>1144</v>
      </c>
      <c r="E41" s="48">
        <v>593</v>
      </c>
      <c r="F41" s="43" t="s">
        <v>126</v>
      </c>
      <c r="G41" s="33">
        <f t="shared" si="33"/>
        <v>110165</v>
      </c>
      <c r="H41" s="43">
        <v>5019</v>
      </c>
      <c r="I41" s="48">
        <v>105146</v>
      </c>
      <c r="J41" s="43" t="s">
        <v>126</v>
      </c>
      <c r="K41" s="32">
        <f t="shared" si="34"/>
        <v>78681</v>
      </c>
      <c r="L41" s="43">
        <v>6513</v>
      </c>
      <c r="M41" s="48">
        <v>72168</v>
      </c>
      <c r="N41" s="44" t="s">
        <v>126</v>
      </c>
      <c r="O41" s="11" t="s">
        <v>37</v>
      </c>
      <c r="P41" s="12"/>
      <c r="Q41" s="12"/>
      <c r="R41" s="8"/>
    </row>
    <row r="42" spans="1:18">
      <c r="A42" s="9" t="s">
        <v>151</v>
      </c>
      <c r="B42" s="10">
        <f t="shared" si="32"/>
        <v>0</v>
      </c>
      <c r="C42" s="48" t="s">
        <v>126</v>
      </c>
      <c r="D42" s="43" t="s">
        <v>126</v>
      </c>
      <c r="E42" s="48" t="s">
        <v>126</v>
      </c>
      <c r="F42" s="43" t="s">
        <v>126</v>
      </c>
      <c r="G42" s="33">
        <f t="shared" si="33"/>
        <v>1435</v>
      </c>
      <c r="H42" s="43">
        <v>315</v>
      </c>
      <c r="I42" s="48">
        <v>1120</v>
      </c>
      <c r="J42" s="43" t="s">
        <v>126</v>
      </c>
      <c r="K42" s="32">
        <f t="shared" si="34"/>
        <v>5507</v>
      </c>
      <c r="L42" s="43">
        <v>442</v>
      </c>
      <c r="M42" s="48">
        <v>5065</v>
      </c>
      <c r="N42" s="44" t="s">
        <v>126</v>
      </c>
      <c r="O42" s="11" t="s">
        <v>38</v>
      </c>
      <c r="P42" s="12"/>
      <c r="Q42" s="12"/>
      <c r="R42" s="8"/>
    </row>
    <row r="43" spans="1:18">
      <c r="A43" s="9" t="s">
        <v>152</v>
      </c>
      <c r="B43" s="10">
        <f t="shared" si="32"/>
        <v>9005</v>
      </c>
      <c r="C43" s="48" t="s">
        <v>126</v>
      </c>
      <c r="D43" s="43">
        <v>7724</v>
      </c>
      <c r="E43" s="48">
        <v>1281</v>
      </c>
      <c r="F43" s="43" t="s">
        <v>126</v>
      </c>
      <c r="G43" s="33">
        <f t="shared" si="33"/>
        <v>177860</v>
      </c>
      <c r="H43" s="43">
        <v>1132</v>
      </c>
      <c r="I43" s="48">
        <v>146441</v>
      </c>
      <c r="J43" s="43">
        <v>30287</v>
      </c>
      <c r="K43" s="32">
        <f t="shared" si="34"/>
        <v>65190</v>
      </c>
      <c r="L43" s="43">
        <v>1931</v>
      </c>
      <c r="M43" s="48">
        <v>51615</v>
      </c>
      <c r="N43" s="44">
        <v>11644</v>
      </c>
      <c r="O43" s="11" t="s">
        <v>39</v>
      </c>
      <c r="P43" s="12"/>
      <c r="Q43" s="12"/>
      <c r="R43" s="8"/>
    </row>
    <row r="44" spans="1:18">
      <c r="A44" s="82" t="s">
        <v>40</v>
      </c>
      <c r="B44" s="83">
        <f>SUM(C44:E45)</f>
        <v>5146</v>
      </c>
      <c r="C44" s="76">
        <f>SUM(C46:C50)</f>
        <v>1177</v>
      </c>
      <c r="D44" s="75">
        <f t="shared" ref="D44:E44" si="35">SUM(D46:D50)</f>
        <v>2457</v>
      </c>
      <c r="E44" s="76">
        <f t="shared" si="35"/>
        <v>1512</v>
      </c>
      <c r="F44" s="75">
        <f>SUM(F46:F50)</f>
        <v>16</v>
      </c>
      <c r="G44" s="73">
        <f>SUM(H44:J45)</f>
        <v>421618</v>
      </c>
      <c r="H44" s="75">
        <f>SUM(H46:H50)</f>
        <v>46092</v>
      </c>
      <c r="I44" s="76">
        <f t="shared" ref="I44:J44" si="36">SUM(I46:I50)</f>
        <v>362437</v>
      </c>
      <c r="J44" s="75">
        <f t="shared" si="36"/>
        <v>13089</v>
      </c>
      <c r="K44" s="73">
        <f>SUM(L44:N45)</f>
        <v>349414</v>
      </c>
      <c r="L44" s="75">
        <f t="shared" ref="L44:N44" si="37">SUM(L46:L50)</f>
        <v>46656</v>
      </c>
      <c r="M44" s="76">
        <f t="shared" si="37"/>
        <v>300008</v>
      </c>
      <c r="N44" s="77">
        <f t="shared" si="37"/>
        <v>2750</v>
      </c>
      <c r="O44" s="74" t="s">
        <v>41</v>
      </c>
      <c r="P44" s="74"/>
      <c r="Q44" s="74"/>
      <c r="R44" s="8"/>
    </row>
    <row r="45" spans="1:18">
      <c r="A45" s="82"/>
      <c r="B45" s="83"/>
      <c r="C45" s="76"/>
      <c r="D45" s="75"/>
      <c r="E45" s="76"/>
      <c r="F45" s="75"/>
      <c r="G45" s="73"/>
      <c r="H45" s="75"/>
      <c r="I45" s="76"/>
      <c r="J45" s="75"/>
      <c r="K45" s="73"/>
      <c r="L45" s="75"/>
      <c r="M45" s="76"/>
      <c r="N45" s="77"/>
      <c r="O45" s="74"/>
      <c r="P45" s="74"/>
      <c r="Q45" s="74"/>
      <c r="R45" s="8"/>
    </row>
    <row r="46" spans="1:18">
      <c r="A46" s="9" t="s">
        <v>153</v>
      </c>
      <c r="B46" s="10">
        <f t="shared" ref="B46:B50" si="38">SUM(C46:E46)</f>
        <v>1955</v>
      </c>
      <c r="C46" s="48">
        <v>555</v>
      </c>
      <c r="D46" s="43">
        <v>931</v>
      </c>
      <c r="E46" s="48">
        <v>469</v>
      </c>
      <c r="F46" s="43">
        <v>16</v>
      </c>
      <c r="G46" s="33">
        <f t="shared" ref="G46:G50" si="39">SUM(H46:J46)</f>
        <v>135476</v>
      </c>
      <c r="H46" s="43">
        <v>15196</v>
      </c>
      <c r="I46" s="48">
        <v>115220</v>
      </c>
      <c r="J46" s="43">
        <v>5060</v>
      </c>
      <c r="K46" s="32">
        <f t="shared" ref="K46:K50" si="40">SUM(L46:N46)</f>
        <v>84216</v>
      </c>
      <c r="L46" s="43">
        <v>13750</v>
      </c>
      <c r="M46" s="48">
        <v>69566</v>
      </c>
      <c r="N46" s="44">
        <v>900</v>
      </c>
      <c r="O46" s="11" t="s">
        <v>42</v>
      </c>
      <c r="P46" s="12"/>
      <c r="Q46" s="12"/>
      <c r="R46" s="8"/>
    </row>
    <row r="47" spans="1:18">
      <c r="A47" s="9" t="s">
        <v>154</v>
      </c>
      <c r="B47" s="10">
        <f t="shared" si="38"/>
        <v>2577</v>
      </c>
      <c r="C47" s="48">
        <v>544</v>
      </c>
      <c r="D47" s="43">
        <v>1162</v>
      </c>
      <c r="E47" s="48">
        <v>871</v>
      </c>
      <c r="F47" s="43" t="s">
        <v>126</v>
      </c>
      <c r="G47" s="33">
        <f t="shared" si="39"/>
        <v>101762</v>
      </c>
      <c r="H47" s="43">
        <v>5600</v>
      </c>
      <c r="I47" s="48">
        <v>91642</v>
      </c>
      <c r="J47" s="43">
        <v>4520</v>
      </c>
      <c r="K47" s="32">
        <f t="shared" si="40"/>
        <v>78611</v>
      </c>
      <c r="L47" s="43">
        <v>3645</v>
      </c>
      <c r="M47" s="48">
        <v>74416</v>
      </c>
      <c r="N47" s="44">
        <v>550</v>
      </c>
      <c r="O47" s="11" t="s">
        <v>43</v>
      </c>
      <c r="P47" s="12"/>
      <c r="Q47" s="12"/>
      <c r="R47" s="8"/>
    </row>
    <row r="48" spans="1:18">
      <c r="A48" s="9" t="s">
        <v>155</v>
      </c>
      <c r="B48" s="10">
        <f t="shared" si="38"/>
        <v>391</v>
      </c>
      <c r="C48" s="48">
        <v>48</v>
      </c>
      <c r="D48" s="43">
        <v>246</v>
      </c>
      <c r="E48" s="48">
        <v>97</v>
      </c>
      <c r="F48" s="43" t="s">
        <v>126</v>
      </c>
      <c r="G48" s="33">
        <f t="shared" si="39"/>
        <v>98915</v>
      </c>
      <c r="H48" s="43">
        <v>19714</v>
      </c>
      <c r="I48" s="48">
        <v>76312</v>
      </c>
      <c r="J48" s="43">
        <v>2889</v>
      </c>
      <c r="K48" s="32">
        <f t="shared" si="40"/>
        <v>117738</v>
      </c>
      <c r="L48" s="43">
        <v>22608</v>
      </c>
      <c r="M48" s="48">
        <v>94210</v>
      </c>
      <c r="N48" s="44">
        <v>920</v>
      </c>
      <c r="O48" s="11" t="s">
        <v>44</v>
      </c>
      <c r="P48" s="12"/>
      <c r="Q48" s="12"/>
      <c r="R48" s="8"/>
    </row>
    <row r="49" spans="1:18">
      <c r="A49" s="9" t="s">
        <v>156</v>
      </c>
      <c r="B49" s="10">
        <f t="shared" si="38"/>
        <v>7</v>
      </c>
      <c r="C49" s="48" t="s">
        <v>126</v>
      </c>
      <c r="D49" s="43">
        <v>7</v>
      </c>
      <c r="E49" s="48" t="s">
        <v>126</v>
      </c>
      <c r="F49" s="43" t="s">
        <v>126</v>
      </c>
      <c r="G49" s="33">
        <f t="shared" si="39"/>
        <v>29933</v>
      </c>
      <c r="H49" s="43">
        <v>1980</v>
      </c>
      <c r="I49" s="48">
        <v>27953</v>
      </c>
      <c r="J49" s="43" t="s">
        <v>126</v>
      </c>
      <c r="K49" s="32">
        <f t="shared" si="40"/>
        <v>24565</v>
      </c>
      <c r="L49" s="43">
        <v>3360</v>
      </c>
      <c r="M49" s="48">
        <v>21205</v>
      </c>
      <c r="N49" s="44" t="s">
        <v>126</v>
      </c>
      <c r="O49" s="11" t="s">
        <v>45</v>
      </c>
      <c r="P49" s="12"/>
      <c r="Q49" s="12"/>
      <c r="R49" s="8"/>
    </row>
    <row r="50" spans="1:18">
      <c r="A50" s="9" t="s">
        <v>157</v>
      </c>
      <c r="B50" s="10">
        <f t="shared" si="38"/>
        <v>216</v>
      </c>
      <c r="C50" s="48">
        <v>30</v>
      </c>
      <c r="D50" s="43">
        <v>111</v>
      </c>
      <c r="E50" s="48">
        <v>75</v>
      </c>
      <c r="F50" s="43" t="s">
        <v>126</v>
      </c>
      <c r="G50" s="33">
        <f t="shared" si="39"/>
        <v>55532</v>
      </c>
      <c r="H50" s="43">
        <v>3602</v>
      </c>
      <c r="I50" s="48">
        <v>51310</v>
      </c>
      <c r="J50" s="43">
        <v>620</v>
      </c>
      <c r="K50" s="32">
        <f t="shared" si="40"/>
        <v>44284</v>
      </c>
      <c r="L50" s="43">
        <v>3293</v>
      </c>
      <c r="M50" s="48">
        <v>40611</v>
      </c>
      <c r="N50" s="44">
        <v>380</v>
      </c>
      <c r="O50" s="11" t="s">
        <v>46</v>
      </c>
      <c r="P50" s="12"/>
      <c r="Q50" s="12"/>
      <c r="R50" s="8"/>
    </row>
    <row r="51" spans="1:18">
      <c r="A51" s="82" t="s">
        <v>47</v>
      </c>
      <c r="B51" s="83">
        <f>SUM(C51:E52)</f>
        <v>1062</v>
      </c>
      <c r="C51" s="76">
        <f>SUM(C53:C57)</f>
        <v>188</v>
      </c>
      <c r="D51" s="75">
        <f t="shared" ref="D51:F51" si="41">SUM(D53:D57)</f>
        <v>778</v>
      </c>
      <c r="E51" s="76">
        <f t="shared" si="41"/>
        <v>96</v>
      </c>
      <c r="F51" s="75">
        <f t="shared" si="41"/>
        <v>0</v>
      </c>
      <c r="G51" s="73">
        <f>SUM(H51:J52)</f>
        <v>105804</v>
      </c>
      <c r="H51" s="75">
        <f>SUM(H53:H57)</f>
        <v>13573</v>
      </c>
      <c r="I51" s="76">
        <f t="shared" ref="I51:J51" si="42">SUM(I53:I57)</f>
        <v>92231</v>
      </c>
      <c r="J51" s="75">
        <f t="shared" si="42"/>
        <v>0</v>
      </c>
      <c r="K51" s="73">
        <f>SUM(L51:N52)</f>
        <v>104714</v>
      </c>
      <c r="L51" s="75">
        <f t="shared" ref="L51:N51" si="43">SUM(L53:L57)</f>
        <v>13506</v>
      </c>
      <c r="M51" s="76">
        <f t="shared" si="43"/>
        <v>91208</v>
      </c>
      <c r="N51" s="77">
        <f t="shared" si="43"/>
        <v>0</v>
      </c>
      <c r="O51" s="74" t="s">
        <v>48</v>
      </c>
      <c r="P51" s="74"/>
      <c r="Q51" s="74"/>
      <c r="R51" s="8"/>
    </row>
    <row r="52" spans="1:18">
      <c r="A52" s="82"/>
      <c r="B52" s="83"/>
      <c r="C52" s="76"/>
      <c r="D52" s="75"/>
      <c r="E52" s="76"/>
      <c r="F52" s="75"/>
      <c r="G52" s="73"/>
      <c r="H52" s="75"/>
      <c r="I52" s="76"/>
      <c r="J52" s="75"/>
      <c r="K52" s="73"/>
      <c r="L52" s="75"/>
      <c r="M52" s="76"/>
      <c r="N52" s="77"/>
      <c r="O52" s="74"/>
      <c r="P52" s="74"/>
      <c r="Q52" s="74"/>
      <c r="R52" s="8"/>
    </row>
    <row r="53" spans="1:18">
      <c r="A53" s="9" t="s">
        <v>158</v>
      </c>
      <c r="B53" s="10">
        <f t="shared" ref="B53:B57" si="44">SUM(C53:E53)</f>
        <v>207</v>
      </c>
      <c r="C53" s="48" t="s">
        <v>126</v>
      </c>
      <c r="D53" s="43">
        <v>165</v>
      </c>
      <c r="E53" s="48">
        <v>42</v>
      </c>
      <c r="F53" s="43" t="s">
        <v>126</v>
      </c>
      <c r="G53" s="33">
        <f t="shared" ref="G53:G57" si="45">SUM(H53:J53)</f>
        <v>11003</v>
      </c>
      <c r="H53" s="43">
        <v>7691</v>
      </c>
      <c r="I53" s="48">
        <v>3312</v>
      </c>
      <c r="J53" s="43" t="s">
        <v>126</v>
      </c>
      <c r="K53" s="32">
        <f t="shared" ref="K53:K57" si="46">SUM(L53:N53)</f>
        <v>6230</v>
      </c>
      <c r="L53" s="43">
        <v>4599</v>
      </c>
      <c r="M53" s="48">
        <v>1631</v>
      </c>
      <c r="N53" s="44" t="s">
        <v>126</v>
      </c>
      <c r="O53" s="11" t="s">
        <v>49</v>
      </c>
      <c r="P53" s="12"/>
      <c r="Q53" s="12"/>
      <c r="R53" s="8"/>
    </row>
    <row r="54" spans="1:18">
      <c r="A54" s="9" t="s">
        <v>159</v>
      </c>
      <c r="B54" s="10">
        <f t="shared" si="44"/>
        <v>512</v>
      </c>
      <c r="C54" s="48">
        <v>83</v>
      </c>
      <c r="D54" s="43">
        <v>388</v>
      </c>
      <c r="E54" s="48">
        <v>41</v>
      </c>
      <c r="F54" s="43" t="s">
        <v>126</v>
      </c>
      <c r="G54" s="33">
        <f t="shared" si="45"/>
        <v>4561</v>
      </c>
      <c r="H54" s="43">
        <v>1678</v>
      </c>
      <c r="I54" s="48">
        <v>2883</v>
      </c>
      <c r="J54" s="43" t="s">
        <v>126</v>
      </c>
      <c r="K54" s="32">
        <f t="shared" si="46"/>
        <v>7381</v>
      </c>
      <c r="L54" s="43">
        <v>3714</v>
      </c>
      <c r="M54" s="48">
        <v>3667</v>
      </c>
      <c r="N54" s="44" t="s">
        <v>126</v>
      </c>
      <c r="O54" s="11" t="s">
        <v>50</v>
      </c>
      <c r="P54" s="12"/>
      <c r="Q54" s="12"/>
      <c r="R54" s="8"/>
    </row>
    <row r="55" spans="1:18">
      <c r="A55" s="9" t="s">
        <v>160</v>
      </c>
      <c r="B55" s="10">
        <f t="shared" si="44"/>
        <v>0</v>
      </c>
      <c r="C55" s="48" t="s">
        <v>126</v>
      </c>
      <c r="D55" s="43" t="s">
        <v>126</v>
      </c>
      <c r="E55" s="48" t="s">
        <v>126</v>
      </c>
      <c r="F55" s="43" t="s">
        <v>126</v>
      </c>
      <c r="G55" s="33">
        <f t="shared" si="45"/>
        <v>1365</v>
      </c>
      <c r="H55" s="43">
        <v>83</v>
      </c>
      <c r="I55" s="48">
        <v>1282</v>
      </c>
      <c r="J55" s="43" t="s">
        <v>126</v>
      </c>
      <c r="K55" s="32">
        <f t="shared" si="46"/>
        <v>2686</v>
      </c>
      <c r="L55" s="43">
        <v>66</v>
      </c>
      <c r="M55" s="48">
        <v>2620</v>
      </c>
      <c r="N55" s="44" t="s">
        <v>126</v>
      </c>
      <c r="O55" s="11" t="s">
        <v>51</v>
      </c>
      <c r="P55" s="12"/>
      <c r="Q55" s="12"/>
      <c r="R55" s="8"/>
    </row>
    <row r="56" spans="1:18">
      <c r="A56" s="9" t="s">
        <v>161</v>
      </c>
      <c r="B56" s="10">
        <f t="shared" si="44"/>
        <v>295</v>
      </c>
      <c r="C56" s="48">
        <v>105</v>
      </c>
      <c r="D56" s="43">
        <v>177</v>
      </c>
      <c r="E56" s="48">
        <v>13</v>
      </c>
      <c r="F56" s="43" t="s">
        <v>126</v>
      </c>
      <c r="G56" s="33">
        <f t="shared" si="45"/>
        <v>81202</v>
      </c>
      <c r="H56" s="43">
        <v>2286</v>
      </c>
      <c r="I56" s="48">
        <v>78916</v>
      </c>
      <c r="J56" s="43" t="s">
        <v>126</v>
      </c>
      <c r="K56" s="32">
        <f t="shared" si="46"/>
        <v>79013</v>
      </c>
      <c r="L56" s="43">
        <v>2524</v>
      </c>
      <c r="M56" s="48">
        <v>76489</v>
      </c>
      <c r="N56" s="44" t="s">
        <v>126</v>
      </c>
      <c r="O56" s="11" t="s">
        <v>52</v>
      </c>
      <c r="P56" s="12"/>
      <c r="Q56" s="12"/>
      <c r="R56" s="8"/>
    </row>
    <row r="57" spans="1:18">
      <c r="A57" s="9" t="s">
        <v>162</v>
      </c>
      <c r="B57" s="10">
        <f t="shared" si="44"/>
        <v>48</v>
      </c>
      <c r="C57" s="48" t="s">
        <v>126</v>
      </c>
      <c r="D57" s="43">
        <v>48</v>
      </c>
      <c r="E57" s="48" t="s">
        <v>126</v>
      </c>
      <c r="F57" s="43" t="s">
        <v>126</v>
      </c>
      <c r="G57" s="33">
        <f t="shared" si="45"/>
        <v>7673</v>
      </c>
      <c r="H57" s="43">
        <v>1835</v>
      </c>
      <c r="I57" s="48">
        <v>5838</v>
      </c>
      <c r="J57" s="43" t="s">
        <v>126</v>
      </c>
      <c r="K57" s="32">
        <f t="shared" si="46"/>
        <v>9404</v>
      </c>
      <c r="L57" s="43">
        <v>2603</v>
      </c>
      <c r="M57" s="48">
        <v>6801</v>
      </c>
      <c r="N57" s="44" t="s">
        <v>126</v>
      </c>
      <c r="O57" s="11" t="s">
        <v>53</v>
      </c>
      <c r="P57" s="12"/>
      <c r="Q57" s="12"/>
      <c r="R57" s="8"/>
    </row>
    <row r="58" spans="1:18">
      <c r="A58" s="82" t="s">
        <v>54</v>
      </c>
      <c r="B58" s="83">
        <f>SUM(C58:E59)</f>
        <v>13658</v>
      </c>
      <c r="C58" s="76">
        <f>SUM(C60:C62)</f>
        <v>1519</v>
      </c>
      <c r="D58" s="75">
        <f t="shared" ref="D58:F58" si="47">SUM(D60:D62)</f>
        <v>6946</v>
      </c>
      <c r="E58" s="76">
        <f t="shared" si="47"/>
        <v>5193</v>
      </c>
      <c r="F58" s="75">
        <f t="shared" si="47"/>
        <v>0</v>
      </c>
      <c r="G58" s="73">
        <f>SUM(H58:J59)</f>
        <v>1291857</v>
      </c>
      <c r="H58" s="75">
        <f>SUM(H60:H62)</f>
        <v>141959</v>
      </c>
      <c r="I58" s="76">
        <f t="shared" ref="I58:J58" si="48">SUM(I60:I62)</f>
        <v>1078765</v>
      </c>
      <c r="J58" s="75">
        <f t="shared" si="48"/>
        <v>71133</v>
      </c>
      <c r="K58" s="73">
        <f>SUM(L58:N59)</f>
        <v>546933</v>
      </c>
      <c r="L58" s="75">
        <f t="shared" ref="L58:N58" si="49">SUM(L60:L62)</f>
        <v>114398</v>
      </c>
      <c r="M58" s="76">
        <f t="shared" si="49"/>
        <v>417988</v>
      </c>
      <c r="N58" s="77">
        <f t="shared" si="49"/>
        <v>14547</v>
      </c>
      <c r="O58" s="74" t="s">
        <v>55</v>
      </c>
      <c r="P58" s="74"/>
      <c r="Q58" s="74"/>
      <c r="R58" s="8"/>
    </row>
    <row r="59" spans="1:18">
      <c r="A59" s="82"/>
      <c r="B59" s="83"/>
      <c r="C59" s="76"/>
      <c r="D59" s="75"/>
      <c r="E59" s="76"/>
      <c r="F59" s="75"/>
      <c r="G59" s="73"/>
      <c r="H59" s="75"/>
      <c r="I59" s="76"/>
      <c r="J59" s="75"/>
      <c r="K59" s="73"/>
      <c r="L59" s="75"/>
      <c r="M59" s="76"/>
      <c r="N59" s="77"/>
      <c r="O59" s="74"/>
      <c r="P59" s="74"/>
      <c r="Q59" s="74"/>
      <c r="R59" s="8"/>
    </row>
    <row r="60" spans="1:18">
      <c r="A60" s="9" t="s">
        <v>163</v>
      </c>
      <c r="B60" s="10">
        <f t="shared" ref="B60:B62" si="50">SUM(C60:E60)</f>
        <v>3777</v>
      </c>
      <c r="C60" s="48">
        <v>1088</v>
      </c>
      <c r="D60" s="43">
        <v>2016</v>
      </c>
      <c r="E60" s="48">
        <v>673</v>
      </c>
      <c r="F60" s="43" t="s">
        <v>126</v>
      </c>
      <c r="G60" s="33">
        <f t="shared" ref="G60:G62" si="51">SUM(H60:J60)</f>
        <v>303839</v>
      </c>
      <c r="H60" s="43">
        <v>22471</v>
      </c>
      <c r="I60" s="48">
        <v>274103</v>
      </c>
      <c r="J60" s="43">
        <v>7265</v>
      </c>
      <c r="K60" s="32">
        <f t="shared" ref="K60:K62" si="52">SUM(L60:N60)</f>
        <v>181578</v>
      </c>
      <c r="L60" s="43">
        <v>19851</v>
      </c>
      <c r="M60" s="48">
        <v>157662</v>
      </c>
      <c r="N60" s="44">
        <v>4065</v>
      </c>
      <c r="O60" s="11" t="s">
        <v>56</v>
      </c>
      <c r="P60" s="12"/>
      <c r="Q60" s="12"/>
      <c r="R60" s="8"/>
    </row>
    <row r="61" spans="1:18">
      <c r="A61" s="9" t="s">
        <v>164</v>
      </c>
      <c r="B61" s="10">
        <f t="shared" si="50"/>
        <v>1498</v>
      </c>
      <c r="C61" s="48">
        <v>307</v>
      </c>
      <c r="D61" s="43">
        <v>868</v>
      </c>
      <c r="E61" s="48">
        <v>323</v>
      </c>
      <c r="F61" s="43" t="s">
        <v>126</v>
      </c>
      <c r="G61" s="33">
        <f t="shared" si="51"/>
        <v>540261</v>
      </c>
      <c r="H61" s="43">
        <v>26288</v>
      </c>
      <c r="I61" s="48">
        <v>467348</v>
      </c>
      <c r="J61" s="43">
        <v>46625</v>
      </c>
      <c r="K61" s="32">
        <f t="shared" si="52"/>
        <v>230578</v>
      </c>
      <c r="L61" s="43">
        <v>29946</v>
      </c>
      <c r="M61" s="48">
        <v>191000</v>
      </c>
      <c r="N61" s="44">
        <v>9632</v>
      </c>
      <c r="O61" s="11" t="s">
        <v>57</v>
      </c>
      <c r="P61" s="12"/>
      <c r="Q61" s="12"/>
      <c r="R61" s="8"/>
    </row>
    <row r="62" spans="1:18">
      <c r="A62" s="9" t="s">
        <v>165</v>
      </c>
      <c r="B62" s="10">
        <f t="shared" si="50"/>
        <v>8383</v>
      </c>
      <c r="C62" s="48">
        <v>124</v>
      </c>
      <c r="D62" s="43">
        <v>4062</v>
      </c>
      <c r="E62" s="48">
        <v>4197</v>
      </c>
      <c r="F62" s="43" t="s">
        <v>126</v>
      </c>
      <c r="G62" s="33">
        <f t="shared" si="51"/>
        <v>447757</v>
      </c>
      <c r="H62" s="43">
        <v>93200</v>
      </c>
      <c r="I62" s="48">
        <v>337314</v>
      </c>
      <c r="J62" s="43">
        <v>17243</v>
      </c>
      <c r="K62" s="32">
        <f t="shared" si="52"/>
        <v>134777</v>
      </c>
      <c r="L62" s="43">
        <v>64601</v>
      </c>
      <c r="M62" s="48">
        <v>69326</v>
      </c>
      <c r="N62" s="44">
        <v>850</v>
      </c>
      <c r="O62" s="11" t="s">
        <v>58</v>
      </c>
      <c r="P62" s="12"/>
      <c r="Q62" s="12"/>
      <c r="R62" s="8"/>
    </row>
    <row r="63" spans="1:18">
      <c r="A63" s="82" t="s">
        <v>59</v>
      </c>
      <c r="B63" s="83">
        <f>SUM(C63:E64)</f>
        <v>3314</v>
      </c>
      <c r="C63" s="76">
        <f>SUM(C65:C69)</f>
        <v>285</v>
      </c>
      <c r="D63" s="75">
        <f t="shared" ref="D63:F63" si="53">SUM(D65:D69)</f>
        <v>2422</v>
      </c>
      <c r="E63" s="76">
        <f t="shared" si="53"/>
        <v>607</v>
      </c>
      <c r="F63" s="75">
        <f t="shared" si="53"/>
        <v>0</v>
      </c>
      <c r="G63" s="73">
        <f>SUM(H63:J64)</f>
        <v>420525</v>
      </c>
      <c r="H63" s="75">
        <f>SUM(H65:H69)</f>
        <v>32767</v>
      </c>
      <c r="I63" s="76">
        <f t="shared" ref="I63:J63" si="54">SUM(I65:I69)</f>
        <v>354883</v>
      </c>
      <c r="J63" s="75">
        <f t="shared" si="54"/>
        <v>32875</v>
      </c>
      <c r="K63" s="73">
        <f>SUM(L63:N64)</f>
        <v>447894</v>
      </c>
      <c r="L63" s="75">
        <f t="shared" ref="L63:N63" si="55">SUM(L65:L69)</f>
        <v>49137</v>
      </c>
      <c r="M63" s="76">
        <f t="shared" si="55"/>
        <v>358259</v>
      </c>
      <c r="N63" s="77">
        <f t="shared" si="55"/>
        <v>40498</v>
      </c>
      <c r="O63" s="74" t="s">
        <v>60</v>
      </c>
      <c r="P63" s="74"/>
      <c r="Q63" s="74"/>
      <c r="R63" s="8"/>
    </row>
    <row r="64" spans="1:18">
      <c r="A64" s="82"/>
      <c r="B64" s="83"/>
      <c r="C64" s="76"/>
      <c r="D64" s="75"/>
      <c r="E64" s="76"/>
      <c r="F64" s="75"/>
      <c r="G64" s="73"/>
      <c r="H64" s="75"/>
      <c r="I64" s="76"/>
      <c r="J64" s="75"/>
      <c r="K64" s="73"/>
      <c r="L64" s="75"/>
      <c r="M64" s="76"/>
      <c r="N64" s="77"/>
      <c r="O64" s="74"/>
      <c r="P64" s="74"/>
      <c r="Q64" s="74"/>
      <c r="R64" s="8"/>
    </row>
    <row r="65" spans="1:18">
      <c r="A65" s="9" t="s">
        <v>166</v>
      </c>
      <c r="B65" s="10">
        <f t="shared" ref="B65:B69" si="56">SUM(C65:E65)</f>
        <v>474</v>
      </c>
      <c r="C65" s="48">
        <v>43</v>
      </c>
      <c r="D65" s="43">
        <v>174</v>
      </c>
      <c r="E65" s="48">
        <v>257</v>
      </c>
      <c r="F65" s="43" t="s">
        <v>126</v>
      </c>
      <c r="G65" s="33">
        <f t="shared" ref="G65:G69" si="57">SUM(H65:J65)</f>
        <v>117341</v>
      </c>
      <c r="H65" s="43">
        <v>5481</v>
      </c>
      <c r="I65" s="48">
        <v>108150</v>
      </c>
      <c r="J65" s="43">
        <v>3710</v>
      </c>
      <c r="K65" s="32">
        <f t="shared" ref="K65:K69" si="58">SUM(L65:N65)</f>
        <v>100383</v>
      </c>
      <c r="L65" s="43">
        <v>7599</v>
      </c>
      <c r="M65" s="48">
        <v>87914</v>
      </c>
      <c r="N65" s="44">
        <v>4870</v>
      </c>
      <c r="O65" s="11" t="s">
        <v>61</v>
      </c>
      <c r="P65" s="12"/>
      <c r="Q65" s="12"/>
      <c r="R65" s="8"/>
    </row>
    <row r="66" spans="1:18">
      <c r="A66" s="9" t="s">
        <v>167</v>
      </c>
      <c r="B66" s="10">
        <f t="shared" si="56"/>
        <v>874</v>
      </c>
      <c r="C66" s="48">
        <v>15</v>
      </c>
      <c r="D66" s="43">
        <v>804</v>
      </c>
      <c r="E66" s="48">
        <v>55</v>
      </c>
      <c r="F66" s="43" t="s">
        <v>126</v>
      </c>
      <c r="G66" s="33">
        <f t="shared" si="57"/>
        <v>95538</v>
      </c>
      <c r="H66" s="43">
        <v>5093</v>
      </c>
      <c r="I66" s="48">
        <v>78564</v>
      </c>
      <c r="J66" s="43">
        <v>11881</v>
      </c>
      <c r="K66" s="32">
        <f t="shared" si="58"/>
        <v>97231</v>
      </c>
      <c r="L66" s="43">
        <v>5264</v>
      </c>
      <c r="M66" s="48">
        <v>76824</v>
      </c>
      <c r="N66" s="44">
        <v>15143</v>
      </c>
      <c r="O66" s="11" t="s">
        <v>62</v>
      </c>
      <c r="P66" s="12"/>
      <c r="Q66" s="12"/>
      <c r="R66" s="8"/>
    </row>
    <row r="67" spans="1:18">
      <c r="A67" s="9" t="s">
        <v>168</v>
      </c>
      <c r="B67" s="10">
        <f t="shared" si="56"/>
        <v>65</v>
      </c>
      <c r="C67" s="48" t="s">
        <v>126</v>
      </c>
      <c r="D67" s="43">
        <v>65</v>
      </c>
      <c r="E67" s="48" t="s">
        <v>126</v>
      </c>
      <c r="F67" s="43" t="s">
        <v>126</v>
      </c>
      <c r="G67" s="33">
        <f t="shared" si="57"/>
        <v>58901</v>
      </c>
      <c r="H67" s="43">
        <v>2680</v>
      </c>
      <c r="I67" s="48">
        <v>52075</v>
      </c>
      <c r="J67" s="43">
        <v>4146</v>
      </c>
      <c r="K67" s="32">
        <f t="shared" si="58"/>
        <v>51290</v>
      </c>
      <c r="L67" s="43">
        <v>3113</v>
      </c>
      <c r="M67" s="48">
        <v>43787</v>
      </c>
      <c r="N67" s="44">
        <v>4390</v>
      </c>
      <c r="O67" s="11" t="s">
        <v>63</v>
      </c>
      <c r="P67" s="12"/>
      <c r="Q67" s="12"/>
      <c r="R67" s="8"/>
    </row>
    <row r="68" spans="1:18">
      <c r="A68" s="9" t="s">
        <v>169</v>
      </c>
      <c r="B68" s="10">
        <f t="shared" si="56"/>
        <v>941</v>
      </c>
      <c r="C68" s="48">
        <v>83</v>
      </c>
      <c r="D68" s="43">
        <v>580</v>
      </c>
      <c r="E68" s="48">
        <v>278</v>
      </c>
      <c r="F68" s="43" t="s">
        <v>126</v>
      </c>
      <c r="G68" s="33">
        <f t="shared" si="57"/>
        <v>59003</v>
      </c>
      <c r="H68" s="43">
        <v>7291</v>
      </c>
      <c r="I68" s="48">
        <v>43617</v>
      </c>
      <c r="J68" s="43">
        <v>8095</v>
      </c>
      <c r="K68" s="32">
        <f t="shared" si="58"/>
        <v>138558</v>
      </c>
      <c r="L68" s="43">
        <v>14107</v>
      </c>
      <c r="M68" s="48">
        <v>111396</v>
      </c>
      <c r="N68" s="44">
        <v>13055</v>
      </c>
      <c r="O68" s="11" t="s">
        <v>64</v>
      </c>
      <c r="P68" s="12"/>
      <c r="Q68" s="12"/>
      <c r="R68" s="8"/>
    </row>
    <row r="69" spans="1:18">
      <c r="A69" s="9" t="s">
        <v>170</v>
      </c>
      <c r="B69" s="10">
        <f t="shared" si="56"/>
        <v>960</v>
      </c>
      <c r="C69" s="48">
        <v>144</v>
      </c>
      <c r="D69" s="43">
        <v>799</v>
      </c>
      <c r="E69" s="48">
        <v>17</v>
      </c>
      <c r="F69" s="43" t="s">
        <v>126</v>
      </c>
      <c r="G69" s="33">
        <f t="shared" si="57"/>
        <v>89742</v>
      </c>
      <c r="H69" s="43">
        <v>12222</v>
      </c>
      <c r="I69" s="48">
        <v>72477</v>
      </c>
      <c r="J69" s="43">
        <v>5043</v>
      </c>
      <c r="K69" s="32">
        <f t="shared" si="58"/>
        <v>60432</v>
      </c>
      <c r="L69" s="43">
        <v>19054</v>
      </c>
      <c r="M69" s="48">
        <v>38338</v>
      </c>
      <c r="N69" s="44">
        <v>3040</v>
      </c>
      <c r="O69" s="11" t="s">
        <v>65</v>
      </c>
      <c r="P69" s="12"/>
      <c r="Q69" s="12"/>
      <c r="R69" s="8"/>
    </row>
    <row r="70" spans="1:18">
      <c r="A70" s="82" t="s">
        <v>66</v>
      </c>
      <c r="B70" s="83">
        <f>SUM(C70:E71)</f>
        <v>3141</v>
      </c>
      <c r="C70" s="76">
        <f>SUM(C72:C79)</f>
        <v>17</v>
      </c>
      <c r="D70" s="75">
        <f t="shared" ref="D70:F70" si="59">SUM(D72:D79)</f>
        <v>396</v>
      </c>
      <c r="E70" s="76">
        <f t="shared" si="59"/>
        <v>2728</v>
      </c>
      <c r="F70" s="75">
        <f t="shared" si="59"/>
        <v>0</v>
      </c>
      <c r="G70" s="73">
        <f>SUM(H70:J71)</f>
        <v>83726</v>
      </c>
      <c r="H70" s="75">
        <f>SUM(H72:H79)</f>
        <v>5478</v>
      </c>
      <c r="I70" s="76">
        <f t="shared" ref="I70:J70" si="60">SUM(I72:I79)</f>
        <v>75118</v>
      </c>
      <c r="J70" s="75">
        <f t="shared" si="60"/>
        <v>3130</v>
      </c>
      <c r="K70" s="73">
        <f>SUM(L70:N71)</f>
        <v>41527</v>
      </c>
      <c r="L70" s="75">
        <f t="shared" ref="L70:N70" si="61">SUM(L72:L79)</f>
        <v>4682</v>
      </c>
      <c r="M70" s="76">
        <f t="shared" si="61"/>
        <v>35868</v>
      </c>
      <c r="N70" s="77">
        <f t="shared" si="61"/>
        <v>977</v>
      </c>
      <c r="O70" s="74" t="s">
        <v>67</v>
      </c>
      <c r="P70" s="74"/>
      <c r="Q70" s="74"/>
      <c r="R70" s="8"/>
    </row>
    <row r="71" spans="1:18">
      <c r="A71" s="82"/>
      <c r="B71" s="83"/>
      <c r="C71" s="76"/>
      <c r="D71" s="75"/>
      <c r="E71" s="76"/>
      <c r="F71" s="75"/>
      <c r="G71" s="73"/>
      <c r="H71" s="75"/>
      <c r="I71" s="76"/>
      <c r="J71" s="75"/>
      <c r="K71" s="73"/>
      <c r="L71" s="75"/>
      <c r="M71" s="76"/>
      <c r="N71" s="77"/>
      <c r="O71" s="74"/>
      <c r="P71" s="74"/>
      <c r="Q71" s="74"/>
      <c r="R71" s="8"/>
    </row>
    <row r="72" spans="1:18" ht="20.399999999999999">
      <c r="A72" s="13" t="s">
        <v>68</v>
      </c>
      <c r="B72" s="10">
        <f t="shared" ref="B72:B79" si="62">SUM(C72:E72)</f>
        <v>0</v>
      </c>
      <c r="C72" s="32" t="s">
        <v>126</v>
      </c>
      <c r="D72" s="35" t="s">
        <v>126</v>
      </c>
      <c r="E72" s="32" t="s">
        <v>126</v>
      </c>
      <c r="F72" s="35" t="s">
        <v>126</v>
      </c>
      <c r="G72" s="33">
        <f t="shared" ref="G72:G79" si="63">SUM(H72:J72)</f>
        <v>0</v>
      </c>
      <c r="H72" s="35" t="s">
        <v>126</v>
      </c>
      <c r="I72" s="32" t="s">
        <v>126</v>
      </c>
      <c r="J72" s="35" t="s">
        <v>126</v>
      </c>
      <c r="K72" s="32">
        <f t="shared" ref="K72:K79" si="64">SUM(L72:N72)</f>
        <v>0</v>
      </c>
      <c r="L72" s="35" t="s">
        <v>126</v>
      </c>
      <c r="M72" s="32" t="s">
        <v>126</v>
      </c>
      <c r="N72" s="50" t="s">
        <v>126</v>
      </c>
      <c r="O72" s="11" t="s">
        <v>69</v>
      </c>
      <c r="P72" s="12"/>
      <c r="Q72" s="12"/>
      <c r="R72" s="8"/>
    </row>
    <row r="73" spans="1:18">
      <c r="A73" s="13" t="s">
        <v>70</v>
      </c>
      <c r="B73" s="10">
        <f t="shared" si="62"/>
        <v>2</v>
      </c>
      <c r="C73" s="48" t="s">
        <v>126</v>
      </c>
      <c r="D73" s="43">
        <v>2</v>
      </c>
      <c r="E73" s="48" t="s">
        <v>126</v>
      </c>
      <c r="F73" s="43" t="s">
        <v>126</v>
      </c>
      <c r="G73" s="33">
        <f t="shared" si="63"/>
        <v>440</v>
      </c>
      <c r="H73" s="43">
        <v>140</v>
      </c>
      <c r="I73" s="48">
        <v>300</v>
      </c>
      <c r="J73" s="43" t="s">
        <v>126</v>
      </c>
      <c r="K73" s="32">
        <f t="shared" si="64"/>
        <v>822</v>
      </c>
      <c r="L73" s="43">
        <v>272</v>
      </c>
      <c r="M73" s="48">
        <v>550</v>
      </c>
      <c r="N73" s="44" t="s">
        <v>126</v>
      </c>
      <c r="O73" s="11" t="s">
        <v>71</v>
      </c>
      <c r="P73" s="12"/>
      <c r="Q73" s="12"/>
      <c r="R73" s="8"/>
    </row>
    <row r="74" spans="1:18">
      <c r="A74" s="13" t="s">
        <v>72</v>
      </c>
      <c r="B74" s="10">
        <f t="shared" si="62"/>
        <v>0</v>
      </c>
      <c r="C74" s="32" t="s">
        <v>126</v>
      </c>
      <c r="D74" s="35" t="s">
        <v>126</v>
      </c>
      <c r="E74" s="32" t="s">
        <v>126</v>
      </c>
      <c r="F74" s="35" t="s">
        <v>126</v>
      </c>
      <c r="G74" s="33">
        <f t="shared" si="63"/>
        <v>0</v>
      </c>
      <c r="H74" s="35" t="s">
        <v>126</v>
      </c>
      <c r="I74" s="32" t="s">
        <v>126</v>
      </c>
      <c r="J74" s="35" t="s">
        <v>126</v>
      </c>
      <c r="K74" s="32">
        <f t="shared" si="64"/>
        <v>0</v>
      </c>
      <c r="L74" s="35" t="s">
        <v>126</v>
      </c>
      <c r="M74" s="32" t="s">
        <v>126</v>
      </c>
      <c r="N74" s="50" t="s">
        <v>126</v>
      </c>
      <c r="O74" s="11" t="s">
        <v>73</v>
      </c>
      <c r="P74" s="12"/>
      <c r="Q74" s="12"/>
      <c r="R74" s="8"/>
    </row>
    <row r="75" spans="1:18">
      <c r="A75" s="13" t="s">
        <v>74</v>
      </c>
      <c r="B75" s="10">
        <f t="shared" si="62"/>
        <v>0</v>
      </c>
      <c r="C75" s="32" t="s">
        <v>126</v>
      </c>
      <c r="D75" s="35" t="s">
        <v>126</v>
      </c>
      <c r="E75" s="32" t="s">
        <v>126</v>
      </c>
      <c r="F75" s="35" t="s">
        <v>126</v>
      </c>
      <c r="G75" s="33">
        <f t="shared" si="63"/>
        <v>0</v>
      </c>
      <c r="H75" s="35" t="s">
        <v>126</v>
      </c>
      <c r="I75" s="32" t="s">
        <v>126</v>
      </c>
      <c r="J75" s="35" t="s">
        <v>126</v>
      </c>
      <c r="K75" s="32">
        <f t="shared" si="64"/>
        <v>0</v>
      </c>
      <c r="L75" s="35" t="s">
        <v>126</v>
      </c>
      <c r="M75" s="32" t="s">
        <v>126</v>
      </c>
      <c r="N75" s="50" t="s">
        <v>126</v>
      </c>
      <c r="O75" s="11" t="s">
        <v>75</v>
      </c>
      <c r="P75" s="12"/>
      <c r="Q75" s="12"/>
      <c r="R75" s="8"/>
    </row>
    <row r="76" spans="1:18">
      <c r="A76" s="13" t="s">
        <v>76</v>
      </c>
      <c r="B76" s="10">
        <f t="shared" si="62"/>
        <v>473</v>
      </c>
      <c r="C76" s="48" t="s">
        <v>126</v>
      </c>
      <c r="D76" s="43">
        <v>184</v>
      </c>
      <c r="E76" s="48">
        <v>289</v>
      </c>
      <c r="F76" s="43" t="s">
        <v>126</v>
      </c>
      <c r="G76" s="33">
        <f t="shared" si="63"/>
        <v>37490</v>
      </c>
      <c r="H76" s="43">
        <v>1787</v>
      </c>
      <c r="I76" s="48">
        <v>35273</v>
      </c>
      <c r="J76" s="43">
        <v>430</v>
      </c>
      <c r="K76" s="32">
        <f t="shared" si="64"/>
        <v>8289</v>
      </c>
      <c r="L76" s="43">
        <v>1346</v>
      </c>
      <c r="M76" s="48">
        <v>6905</v>
      </c>
      <c r="N76" s="44">
        <v>38</v>
      </c>
      <c r="O76" s="11" t="s">
        <v>77</v>
      </c>
      <c r="P76" s="12"/>
      <c r="Q76" s="12"/>
      <c r="R76" s="8"/>
    </row>
    <row r="77" spans="1:18">
      <c r="A77" s="13" t="s">
        <v>78</v>
      </c>
      <c r="B77" s="10">
        <f t="shared" si="62"/>
        <v>2431</v>
      </c>
      <c r="C77" s="48" t="s">
        <v>126</v>
      </c>
      <c r="D77" s="43">
        <v>6</v>
      </c>
      <c r="E77" s="48">
        <v>2425</v>
      </c>
      <c r="F77" s="43" t="s">
        <v>126</v>
      </c>
      <c r="G77" s="33">
        <f t="shared" si="63"/>
        <v>38045</v>
      </c>
      <c r="H77" s="43">
        <v>1055</v>
      </c>
      <c r="I77" s="48">
        <v>34560</v>
      </c>
      <c r="J77" s="43">
        <v>2430</v>
      </c>
      <c r="K77" s="32">
        <f t="shared" si="64"/>
        <v>24740</v>
      </c>
      <c r="L77" s="43">
        <v>1530</v>
      </c>
      <c r="M77" s="48">
        <v>22830</v>
      </c>
      <c r="N77" s="44">
        <v>380</v>
      </c>
      <c r="O77" s="11" t="s">
        <v>79</v>
      </c>
      <c r="P77" s="12"/>
      <c r="Q77" s="12"/>
      <c r="R77" s="8"/>
    </row>
    <row r="78" spans="1:18">
      <c r="A78" s="13" t="s">
        <v>80</v>
      </c>
      <c r="B78" s="10">
        <f t="shared" si="62"/>
        <v>0</v>
      </c>
      <c r="C78" s="48" t="s">
        <v>126</v>
      </c>
      <c r="D78" s="43" t="s">
        <v>126</v>
      </c>
      <c r="E78" s="48" t="s">
        <v>126</v>
      </c>
      <c r="F78" s="43" t="s">
        <v>126</v>
      </c>
      <c r="G78" s="33">
        <f t="shared" si="63"/>
        <v>70</v>
      </c>
      <c r="H78" s="43" t="s">
        <v>126</v>
      </c>
      <c r="I78" s="48">
        <v>70</v>
      </c>
      <c r="J78" s="43" t="s">
        <v>126</v>
      </c>
      <c r="K78" s="32">
        <f t="shared" si="64"/>
        <v>0</v>
      </c>
      <c r="L78" s="43" t="s">
        <v>126</v>
      </c>
      <c r="M78" s="48" t="s">
        <v>126</v>
      </c>
      <c r="N78" s="44" t="s">
        <v>126</v>
      </c>
      <c r="O78" s="11" t="s">
        <v>81</v>
      </c>
      <c r="P78" s="12"/>
      <c r="Q78" s="12"/>
      <c r="R78" s="8"/>
    </row>
    <row r="79" spans="1:18">
      <c r="A79" s="13" t="s">
        <v>82</v>
      </c>
      <c r="B79" s="10">
        <f t="shared" si="62"/>
        <v>235</v>
      </c>
      <c r="C79" s="48">
        <v>17</v>
      </c>
      <c r="D79" s="43">
        <v>204</v>
      </c>
      <c r="E79" s="48">
        <v>14</v>
      </c>
      <c r="F79" s="43" t="s">
        <v>126</v>
      </c>
      <c r="G79" s="33">
        <f t="shared" si="63"/>
        <v>7681</v>
      </c>
      <c r="H79" s="43">
        <v>2496</v>
      </c>
      <c r="I79" s="48">
        <v>4915</v>
      </c>
      <c r="J79" s="43">
        <v>270</v>
      </c>
      <c r="K79" s="32">
        <f t="shared" si="64"/>
        <v>7676</v>
      </c>
      <c r="L79" s="43">
        <v>1534</v>
      </c>
      <c r="M79" s="48">
        <v>5583</v>
      </c>
      <c r="N79" s="44">
        <v>559</v>
      </c>
      <c r="O79" s="11" t="s">
        <v>83</v>
      </c>
      <c r="P79" s="12"/>
      <c r="Q79" s="12"/>
      <c r="R79" s="8"/>
    </row>
    <row r="80" spans="1:18">
      <c r="A80" s="82" t="s">
        <v>84</v>
      </c>
      <c r="B80" s="83">
        <f>SUM(C80:E81)</f>
        <v>2034</v>
      </c>
      <c r="C80" s="76">
        <f>SUM(C82:C86)</f>
        <v>284</v>
      </c>
      <c r="D80" s="75">
        <f t="shared" ref="D80:F80" si="65">SUM(D82:D86)</f>
        <v>1168</v>
      </c>
      <c r="E80" s="76">
        <f t="shared" si="65"/>
        <v>582</v>
      </c>
      <c r="F80" s="75">
        <f t="shared" si="65"/>
        <v>0</v>
      </c>
      <c r="G80" s="73">
        <f>SUM(H80:J81)</f>
        <v>347440</v>
      </c>
      <c r="H80" s="75">
        <f>SUM(H82:H86)</f>
        <v>27855</v>
      </c>
      <c r="I80" s="76">
        <f t="shared" ref="I80:J80" si="66">SUM(I82:I86)</f>
        <v>317835</v>
      </c>
      <c r="J80" s="75">
        <f t="shared" si="66"/>
        <v>1750</v>
      </c>
      <c r="K80" s="73">
        <f>SUM(L80:N81)</f>
        <v>103168</v>
      </c>
      <c r="L80" s="75">
        <f t="shared" ref="L80:N80" si="67">SUM(L82:L86)</f>
        <v>31023</v>
      </c>
      <c r="M80" s="76">
        <f t="shared" si="67"/>
        <v>71085</v>
      </c>
      <c r="N80" s="77">
        <f t="shared" si="67"/>
        <v>1060</v>
      </c>
      <c r="O80" s="74" t="s">
        <v>85</v>
      </c>
      <c r="P80" s="74"/>
      <c r="Q80" s="74"/>
      <c r="R80" s="8"/>
    </row>
    <row r="81" spans="1:18">
      <c r="A81" s="82"/>
      <c r="B81" s="83"/>
      <c r="C81" s="76"/>
      <c r="D81" s="75"/>
      <c r="E81" s="76"/>
      <c r="F81" s="75"/>
      <c r="G81" s="73"/>
      <c r="H81" s="75"/>
      <c r="I81" s="76"/>
      <c r="J81" s="75"/>
      <c r="K81" s="73"/>
      <c r="L81" s="75"/>
      <c r="M81" s="76"/>
      <c r="N81" s="77"/>
      <c r="O81" s="74"/>
      <c r="P81" s="74"/>
      <c r="Q81" s="74"/>
      <c r="R81" s="8"/>
    </row>
    <row r="82" spans="1:18">
      <c r="A82" s="9" t="s">
        <v>171</v>
      </c>
      <c r="B82" s="10">
        <f t="shared" ref="B82:B86" si="68">SUM(C82:E82)</f>
        <v>491</v>
      </c>
      <c r="C82" s="48">
        <v>115</v>
      </c>
      <c r="D82" s="43">
        <v>196</v>
      </c>
      <c r="E82" s="48">
        <v>180</v>
      </c>
      <c r="F82" s="43" t="s">
        <v>126</v>
      </c>
      <c r="G82" s="33">
        <f t="shared" ref="G82:G86" si="69">SUM(H82:J82)</f>
        <v>269996</v>
      </c>
      <c r="H82" s="43">
        <v>21922</v>
      </c>
      <c r="I82" s="48">
        <v>248074</v>
      </c>
      <c r="J82" s="43" t="s">
        <v>126</v>
      </c>
      <c r="K82" s="32">
        <f t="shared" ref="K82:K86" si="70">SUM(L82:N82)</f>
        <v>36346</v>
      </c>
      <c r="L82" s="43">
        <v>18463</v>
      </c>
      <c r="M82" s="48">
        <v>17883</v>
      </c>
      <c r="N82" s="44" t="s">
        <v>126</v>
      </c>
      <c r="O82" s="11" t="s">
        <v>86</v>
      </c>
      <c r="P82" s="12"/>
      <c r="Q82" s="12"/>
      <c r="R82" s="8"/>
    </row>
    <row r="83" spans="1:18">
      <c r="A83" s="9" t="s">
        <v>172</v>
      </c>
      <c r="B83" s="10">
        <f t="shared" si="68"/>
        <v>43</v>
      </c>
      <c r="C83" s="48">
        <v>39</v>
      </c>
      <c r="D83" s="43" t="s">
        <v>126</v>
      </c>
      <c r="E83" s="48">
        <v>4</v>
      </c>
      <c r="F83" s="43" t="s">
        <v>126</v>
      </c>
      <c r="G83" s="33">
        <f t="shared" si="69"/>
        <v>1310</v>
      </c>
      <c r="H83" s="43">
        <v>710</v>
      </c>
      <c r="I83" s="48">
        <v>600</v>
      </c>
      <c r="J83" s="43" t="s">
        <v>126</v>
      </c>
      <c r="K83" s="32">
        <f t="shared" si="70"/>
        <v>7030</v>
      </c>
      <c r="L83" s="43">
        <v>4620</v>
      </c>
      <c r="M83" s="48">
        <v>2410</v>
      </c>
      <c r="N83" s="44" t="s">
        <v>126</v>
      </c>
      <c r="O83" s="11" t="s">
        <v>87</v>
      </c>
      <c r="P83" s="12"/>
      <c r="Q83" s="12"/>
      <c r="R83" s="8"/>
    </row>
    <row r="84" spans="1:18">
      <c r="A84" s="9" t="s">
        <v>173</v>
      </c>
      <c r="B84" s="10">
        <f t="shared" si="68"/>
        <v>179</v>
      </c>
      <c r="C84" s="48">
        <v>42</v>
      </c>
      <c r="D84" s="43">
        <v>100</v>
      </c>
      <c r="E84" s="48">
        <v>37</v>
      </c>
      <c r="F84" s="43" t="s">
        <v>126</v>
      </c>
      <c r="G84" s="33">
        <f t="shared" si="69"/>
        <v>62438</v>
      </c>
      <c r="H84" s="43">
        <v>3875</v>
      </c>
      <c r="I84" s="48">
        <v>58523</v>
      </c>
      <c r="J84" s="43">
        <v>40</v>
      </c>
      <c r="K84" s="32">
        <f t="shared" si="70"/>
        <v>13797</v>
      </c>
      <c r="L84" s="43">
        <v>2297</v>
      </c>
      <c r="M84" s="48">
        <v>11500</v>
      </c>
      <c r="N84" s="44" t="s">
        <v>126</v>
      </c>
      <c r="O84" s="11" t="s">
        <v>88</v>
      </c>
      <c r="P84" s="12"/>
      <c r="Q84" s="12"/>
      <c r="R84" s="8"/>
    </row>
    <row r="85" spans="1:18">
      <c r="A85" s="9" t="s">
        <v>174</v>
      </c>
      <c r="B85" s="10">
        <f t="shared" si="68"/>
        <v>123</v>
      </c>
      <c r="C85" s="48">
        <v>31</v>
      </c>
      <c r="D85" s="43">
        <v>69</v>
      </c>
      <c r="E85" s="48">
        <v>23</v>
      </c>
      <c r="F85" s="43" t="s">
        <v>126</v>
      </c>
      <c r="G85" s="33">
        <f t="shared" si="69"/>
        <v>1644</v>
      </c>
      <c r="H85" s="43">
        <v>291</v>
      </c>
      <c r="I85" s="48">
        <v>1343</v>
      </c>
      <c r="J85" s="43">
        <v>10</v>
      </c>
      <c r="K85" s="32">
        <f t="shared" si="70"/>
        <v>8785</v>
      </c>
      <c r="L85" s="43">
        <v>1033</v>
      </c>
      <c r="M85" s="48">
        <v>7692</v>
      </c>
      <c r="N85" s="44">
        <v>60</v>
      </c>
      <c r="O85" s="11" t="s">
        <v>89</v>
      </c>
      <c r="P85" s="12"/>
      <c r="Q85" s="12"/>
      <c r="R85" s="8"/>
    </row>
    <row r="86" spans="1:18">
      <c r="A86" s="9" t="s">
        <v>175</v>
      </c>
      <c r="B86" s="10">
        <f t="shared" si="68"/>
        <v>1198</v>
      </c>
      <c r="C86" s="48">
        <v>57</v>
      </c>
      <c r="D86" s="43">
        <v>803</v>
      </c>
      <c r="E86" s="48">
        <v>338</v>
      </c>
      <c r="F86" s="43" t="s">
        <v>126</v>
      </c>
      <c r="G86" s="33">
        <f t="shared" si="69"/>
        <v>12052</v>
      </c>
      <c r="H86" s="43">
        <v>1057</v>
      </c>
      <c r="I86" s="48">
        <v>9295</v>
      </c>
      <c r="J86" s="43">
        <v>1700</v>
      </c>
      <c r="K86" s="32">
        <f t="shared" si="70"/>
        <v>37210</v>
      </c>
      <c r="L86" s="43">
        <v>4610</v>
      </c>
      <c r="M86" s="48">
        <v>31600</v>
      </c>
      <c r="N86" s="44">
        <v>1000</v>
      </c>
      <c r="O86" s="11" t="s">
        <v>90</v>
      </c>
      <c r="P86" s="12"/>
      <c r="Q86" s="12"/>
      <c r="R86" s="8"/>
    </row>
    <row r="87" spans="1:18">
      <c r="A87" s="82" t="s">
        <v>91</v>
      </c>
      <c r="B87" s="83">
        <f>SUM(C87:E88)</f>
        <v>8150</v>
      </c>
      <c r="C87" s="76">
        <f>SUM(C89:C101)</f>
        <v>211</v>
      </c>
      <c r="D87" s="75">
        <f t="shared" ref="D87:F87" si="71">SUM(D89:D101)</f>
        <v>5926</v>
      </c>
      <c r="E87" s="76">
        <f t="shared" si="71"/>
        <v>2013</v>
      </c>
      <c r="F87" s="75">
        <f t="shared" si="71"/>
        <v>0</v>
      </c>
      <c r="G87" s="73">
        <f>SUM(H87:J88)</f>
        <v>97996</v>
      </c>
      <c r="H87" s="75">
        <f>SUM(H89:H101)</f>
        <v>13935</v>
      </c>
      <c r="I87" s="76">
        <f t="shared" ref="I87:J87" si="72">SUM(I89:I101)</f>
        <v>83961</v>
      </c>
      <c r="J87" s="75">
        <f t="shared" si="72"/>
        <v>100</v>
      </c>
      <c r="K87" s="73">
        <f>SUM(L87:N88)</f>
        <v>161148</v>
      </c>
      <c r="L87" s="75">
        <f t="shared" ref="L87:N87" si="73">SUM(L89:L101)</f>
        <v>24887</v>
      </c>
      <c r="M87" s="76">
        <f t="shared" si="73"/>
        <v>133061</v>
      </c>
      <c r="N87" s="77">
        <f t="shared" si="73"/>
        <v>3200</v>
      </c>
      <c r="O87" s="74" t="s">
        <v>92</v>
      </c>
      <c r="P87" s="74"/>
      <c r="Q87" s="74"/>
      <c r="R87" s="8"/>
    </row>
    <row r="88" spans="1:18">
      <c r="A88" s="82"/>
      <c r="B88" s="83"/>
      <c r="C88" s="76"/>
      <c r="D88" s="75"/>
      <c r="E88" s="76"/>
      <c r="F88" s="75"/>
      <c r="G88" s="73"/>
      <c r="H88" s="75"/>
      <c r="I88" s="76"/>
      <c r="J88" s="75"/>
      <c r="K88" s="73"/>
      <c r="L88" s="75"/>
      <c r="M88" s="76"/>
      <c r="N88" s="77"/>
      <c r="O88" s="74"/>
      <c r="P88" s="74"/>
      <c r="Q88" s="74"/>
      <c r="R88" s="8"/>
    </row>
    <row r="89" spans="1:18">
      <c r="A89" s="9" t="s">
        <v>176</v>
      </c>
      <c r="B89" s="10">
        <f t="shared" ref="B89:B101" si="74">SUM(C89:E89)</f>
        <v>209</v>
      </c>
      <c r="C89" s="48" t="s">
        <v>126</v>
      </c>
      <c r="D89" s="43">
        <v>209</v>
      </c>
      <c r="E89" s="48" t="s">
        <v>126</v>
      </c>
      <c r="F89" s="43" t="s">
        <v>126</v>
      </c>
      <c r="G89" s="33">
        <f t="shared" ref="G89:G101" si="75">SUM(H89:J89)</f>
        <v>2239</v>
      </c>
      <c r="H89" s="43">
        <v>444</v>
      </c>
      <c r="I89" s="48">
        <v>1795</v>
      </c>
      <c r="J89" s="43" t="s">
        <v>126</v>
      </c>
      <c r="K89" s="32">
        <f t="shared" ref="K89:K101" si="76">SUM(L89:N89)</f>
        <v>1338</v>
      </c>
      <c r="L89" s="43">
        <v>458</v>
      </c>
      <c r="M89" s="48">
        <v>880</v>
      </c>
      <c r="N89" s="44" t="s">
        <v>126</v>
      </c>
      <c r="O89" s="11" t="s">
        <v>93</v>
      </c>
      <c r="P89" s="12"/>
      <c r="Q89" s="12"/>
      <c r="R89" s="8"/>
    </row>
    <row r="90" spans="1:18">
      <c r="A90" s="9" t="s">
        <v>177</v>
      </c>
      <c r="B90" s="10">
        <f t="shared" si="74"/>
        <v>1033</v>
      </c>
      <c r="C90" s="48" t="s">
        <v>126</v>
      </c>
      <c r="D90" s="43">
        <v>986</v>
      </c>
      <c r="E90" s="48">
        <v>47</v>
      </c>
      <c r="F90" s="43" t="s">
        <v>126</v>
      </c>
      <c r="G90" s="33">
        <f t="shared" si="75"/>
        <v>6798</v>
      </c>
      <c r="H90" s="43">
        <v>878</v>
      </c>
      <c r="I90" s="48">
        <v>5920</v>
      </c>
      <c r="J90" s="43" t="s">
        <v>126</v>
      </c>
      <c r="K90" s="32">
        <f t="shared" si="76"/>
        <v>8148</v>
      </c>
      <c r="L90" s="43">
        <v>1288</v>
      </c>
      <c r="M90" s="48">
        <v>6860</v>
      </c>
      <c r="N90" s="44" t="s">
        <v>126</v>
      </c>
      <c r="O90" s="11" t="s">
        <v>94</v>
      </c>
      <c r="P90" s="12"/>
      <c r="Q90" s="12"/>
      <c r="R90" s="8"/>
    </row>
    <row r="91" spans="1:18">
      <c r="A91" s="9" t="s">
        <v>178</v>
      </c>
      <c r="B91" s="10">
        <f t="shared" si="74"/>
        <v>66</v>
      </c>
      <c r="C91" s="48">
        <v>3</v>
      </c>
      <c r="D91" s="43">
        <v>55</v>
      </c>
      <c r="E91" s="48">
        <v>8</v>
      </c>
      <c r="F91" s="43" t="s">
        <v>126</v>
      </c>
      <c r="G91" s="33">
        <f t="shared" si="75"/>
        <v>1318</v>
      </c>
      <c r="H91" s="43">
        <v>585</v>
      </c>
      <c r="I91" s="48">
        <v>733</v>
      </c>
      <c r="J91" s="43" t="s">
        <v>126</v>
      </c>
      <c r="K91" s="32">
        <f t="shared" si="76"/>
        <v>4516</v>
      </c>
      <c r="L91" s="43">
        <v>1341</v>
      </c>
      <c r="M91" s="48">
        <v>3175</v>
      </c>
      <c r="N91" s="44" t="s">
        <v>126</v>
      </c>
      <c r="O91" s="11" t="s">
        <v>95</v>
      </c>
      <c r="P91" s="12"/>
      <c r="Q91" s="12"/>
      <c r="R91" s="8"/>
    </row>
    <row r="92" spans="1:18">
      <c r="A92" s="9" t="s">
        <v>179</v>
      </c>
      <c r="B92" s="10">
        <f t="shared" si="74"/>
        <v>250</v>
      </c>
      <c r="C92" s="48">
        <v>15</v>
      </c>
      <c r="D92" s="43">
        <v>35</v>
      </c>
      <c r="E92" s="48">
        <v>200</v>
      </c>
      <c r="F92" s="43" t="s">
        <v>126</v>
      </c>
      <c r="G92" s="33">
        <f t="shared" si="75"/>
        <v>5770</v>
      </c>
      <c r="H92" s="43">
        <v>200</v>
      </c>
      <c r="I92" s="48">
        <v>5470</v>
      </c>
      <c r="J92" s="43">
        <v>100</v>
      </c>
      <c r="K92" s="32">
        <f t="shared" si="76"/>
        <v>17610</v>
      </c>
      <c r="L92" s="43">
        <v>610</v>
      </c>
      <c r="M92" s="48">
        <v>13800</v>
      </c>
      <c r="N92" s="44">
        <v>3200</v>
      </c>
      <c r="O92" s="11" t="s">
        <v>96</v>
      </c>
      <c r="P92" s="12"/>
      <c r="Q92" s="12"/>
      <c r="R92" s="8"/>
    </row>
    <row r="93" spans="1:18">
      <c r="A93" s="9" t="s">
        <v>180</v>
      </c>
      <c r="B93" s="10">
        <f t="shared" si="74"/>
        <v>0</v>
      </c>
      <c r="C93" s="48" t="s">
        <v>126</v>
      </c>
      <c r="D93" s="43" t="s">
        <v>126</v>
      </c>
      <c r="E93" s="48" t="s">
        <v>126</v>
      </c>
      <c r="F93" s="43" t="s">
        <v>126</v>
      </c>
      <c r="G93" s="33">
        <f t="shared" si="75"/>
        <v>1015</v>
      </c>
      <c r="H93" s="43">
        <v>15</v>
      </c>
      <c r="I93" s="48">
        <v>1000</v>
      </c>
      <c r="J93" s="43" t="s">
        <v>126</v>
      </c>
      <c r="K93" s="32">
        <f t="shared" si="76"/>
        <v>430</v>
      </c>
      <c r="L93" s="43">
        <v>30</v>
      </c>
      <c r="M93" s="48">
        <v>400</v>
      </c>
      <c r="N93" s="44" t="s">
        <v>126</v>
      </c>
      <c r="O93" s="11" t="s">
        <v>97</v>
      </c>
      <c r="P93" s="12"/>
      <c r="Q93" s="12"/>
      <c r="R93" s="8"/>
    </row>
    <row r="94" spans="1:18">
      <c r="A94" s="9" t="s">
        <v>181</v>
      </c>
      <c r="B94" s="10">
        <f t="shared" si="74"/>
        <v>111</v>
      </c>
      <c r="C94" s="48" t="s">
        <v>126</v>
      </c>
      <c r="D94" s="43">
        <v>111</v>
      </c>
      <c r="E94" s="48" t="s">
        <v>126</v>
      </c>
      <c r="F94" s="43" t="s">
        <v>126</v>
      </c>
      <c r="G94" s="33">
        <f t="shared" si="75"/>
        <v>2850</v>
      </c>
      <c r="H94" s="43">
        <v>100</v>
      </c>
      <c r="I94" s="48">
        <v>2750</v>
      </c>
      <c r="J94" s="43" t="s">
        <v>126</v>
      </c>
      <c r="K94" s="32">
        <f t="shared" si="76"/>
        <v>5700</v>
      </c>
      <c r="L94" s="43">
        <v>150</v>
      </c>
      <c r="M94" s="48">
        <v>5550</v>
      </c>
      <c r="N94" s="44" t="s">
        <v>126</v>
      </c>
      <c r="O94" s="11" t="s">
        <v>98</v>
      </c>
      <c r="P94" s="12"/>
      <c r="Q94" s="12"/>
      <c r="R94" s="8"/>
    </row>
    <row r="95" spans="1:18">
      <c r="A95" s="9" t="s">
        <v>182</v>
      </c>
      <c r="B95" s="10">
        <f t="shared" si="74"/>
        <v>475</v>
      </c>
      <c r="C95" s="48">
        <v>25</v>
      </c>
      <c r="D95" s="43">
        <v>450</v>
      </c>
      <c r="E95" s="48" t="s">
        <v>126</v>
      </c>
      <c r="F95" s="43" t="s">
        <v>126</v>
      </c>
      <c r="G95" s="33">
        <f t="shared" si="75"/>
        <v>6060</v>
      </c>
      <c r="H95" s="43">
        <v>310</v>
      </c>
      <c r="I95" s="48">
        <v>5750</v>
      </c>
      <c r="J95" s="43" t="s">
        <v>126</v>
      </c>
      <c r="K95" s="32">
        <f t="shared" si="76"/>
        <v>8200</v>
      </c>
      <c r="L95" s="43">
        <v>525</v>
      </c>
      <c r="M95" s="48">
        <v>7675</v>
      </c>
      <c r="N95" s="44" t="s">
        <v>126</v>
      </c>
      <c r="O95" s="11" t="s">
        <v>99</v>
      </c>
      <c r="P95" s="12"/>
      <c r="Q95" s="12"/>
      <c r="R95" s="8"/>
    </row>
    <row r="96" spans="1:18">
      <c r="A96" s="9" t="s">
        <v>183</v>
      </c>
      <c r="B96" s="10">
        <f t="shared" si="74"/>
        <v>45</v>
      </c>
      <c r="C96" s="48">
        <v>2</v>
      </c>
      <c r="D96" s="43">
        <v>43</v>
      </c>
      <c r="E96" s="48" t="s">
        <v>126</v>
      </c>
      <c r="F96" s="43" t="s">
        <v>126</v>
      </c>
      <c r="G96" s="33">
        <f t="shared" si="75"/>
        <v>5352</v>
      </c>
      <c r="H96" s="43">
        <v>1397</v>
      </c>
      <c r="I96" s="48">
        <v>3955</v>
      </c>
      <c r="J96" s="43" t="s">
        <v>126</v>
      </c>
      <c r="K96" s="32">
        <f t="shared" si="76"/>
        <v>6948</v>
      </c>
      <c r="L96" s="43">
        <v>1555</v>
      </c>
      <c r="M96" s="48">
        <v>5393</v>
      </c>
      <c r="N96" s="44" t="s">
        <v>126</v>
      </c>
      <c r="O96" s="11" t="s">
        <v>100</v>
      </c>
      <c r="P96" s="12"/>
      <c r="Q96" s="12"/>
      <c r="R96" s="8"/>
    </row>
    <row r="97" spans="1:18">
      <c r="A97" s="9" t="s">
        <v>184</v>
      </c>
      <c r="B97" s="10">
        <f t="shared" si="74"/>
        <v>600</v>
      </c>
      <c r="C97" s="48" t="s">
        <v>126</v>
      </c>
      <c r="D97" s="43">
        <v>600</v>
      </c>
      <c r="E97" s="48" t="s">
        <v>126</v>
      </c>
      <c r="F97" s="43" t="s">
        <v>126</v>
      </c>
      <c r="G97" s="33">
        <f t="shared" si="75"/>
        <v>2155</v>
      </c>
      <c r="H97" s="43">
        <v>585</v>
      </c>
      <c r="I97" s="48">
        <v>1570</v>
      </c>
      <c r="J97" s="43" t="s">
        <v>126</v>
      </c>
      <c r="K97" s="32">
        <f t="shared" si="76"/>
        <v>1125</v>
      </c>
      <c r="L97" s="43">
        <v>180</v>
      </c>
      <c r="M97" s="48">
        <v>945</v>
      </c>
      <c r="N97" s="44" t="s">
        <v>126</v>
      </c>
      <c r="O97" s="11" t="s">
        <v>101</v>
      </c>
      <c r="P97" s="12"/>
      <c r="Q97" s="12"/>
      <c r="R97" s="8"/>
    </row>
    <row r="98" spans="1:18">
      <c r="A98" s="9" t="s">
        <v>185</v>
      </c>
      <c r="B98" s="10">
        <f t="shared" si="74"/>
        <v>3430</v>
      </c>
      <c r="C98" s="48">
        <v>52</v>
      </c>
      <c r="D98" s="43">
        <v>2046</v>
      </c>
      <c r="E98" s="48">
        <v>1332</v>
      </c>
      <c r="F98" s="43" t="s">
        <v>126</v>
      </c>
      <c r="G98" s="33">
        <f t="shared" si="75"/>
        <v>45255</v>
      </c>
      <c r="H98" s="43">
        <v>6705</v>
      </c>
      <c r="I98" s="48">
        <v>38550</v>
      </c>
      <c r="J98" s="43" t="s">
        <v>126</v>
      </c>
      <c r="K98" s="32">
        <f t="shared" si="76"/>
        <v>73215</v>
      </c>
      <c r="L98" s="43">
        <v>13145</v>
      </c>
      <c r="M98" s="48">
        <v>60070</v>
      </c>
      <c r="N98" s="44" t="s">
        <v>126</v>
      </c>
      <c r="O98" s="11" t="s">
        <v>102</v>
      </c>
      <c r="P98" s="12"/>
      <c r="Q98" s="12"/>
      <c r="R98" s="8"/>
    </row>
    <row r="99" spans="1:18">
      <c r="A99" s="9" t="s">
        <v>186</v>
      </c>
      <c r="B99" s="10">
        <f t="shared" si="74"/>
        <v>661</v>
      </c>
      <c r="C99" s="48">
        <v>17</v>
      </c>
      <c r="D99" s="43">
        <v>644</v>
      </c>
      <c r="E99" s="48" t="s">
        <v>126</v>
      </c>
      <c r="F99" s="43" t="s">
        <v>126</v>
      </c>
      <c r="G99" s="33">
        <f t="shared" si="75"/>
        <v>2460</v>
      </c>
      <c r="H99" s="43">
        <v>1135</v>
      </c>
      <c r="I99" s="48">
        <v>1325</v>
      </c>
      <c r="J99" s="43" t="s">
        <v>126</v>
      </c>
      <c r="K99" s="32">
        <f t="shared" si="76"/>
        <v>5785</v>
      </c>
      <c r="L99" s="43">
        <v>1985</v>
      </c>
      <c r="M99" s="48">
        <v>3800</v>
      </c>
      <c r="N99" s="44" t="s">
        <v>126</v>
      </c>
      <c r="O99" s="11" t="s">
        <v>103</v>
      </c>
      <c r="P99" s="12"/>
      <c r="Q99" s="12"/>
      <c r="R99" s="8"/>
    </row>
    <row r="100" spans="1:18">
      <c r="A100" s="9" t="s">
        <v>187</v>
      </c>
      <c r="B100" s="10">
        <f t="shared" si="74"/>
        <v>925</v>
      </c>
      <c r="C100" s="48">
        <v>97</v>
      </c>
      <c r="D100" s="43">
        <v>403</v>
      </c>
      <c r="E100" s="48">
        <v>425</v>
      </c>
      <c r="F100" s="43" t="s">
        <v>126</v>
      </c>
      <c r="G100" s="33">
        <f t="shared" si="75"/>
        <v>11744</v>
      </c>
      <c r="H100" s="43">
        <v>1581</v>
      </c>
      <c r="I100" s="48">
        <v>10163</v>
      </c>
      <c r="J100" s="43" t="s">
        <v>126</v>
      </c>
      <c r="K100" s="32">
        <f t="shared" si="76"/>
        <v>21933</v>
      </c>
      <c r="L100" s="43">
        <v>3550</v>
      </c>
      <c r="M100" s="48">
        <v>18383</v>
      </c>
      <c r="N100" s="44" t="s">
        <v>126</v>
      </c>
      <c r="O100" s="11" t="s">
        <v>104</v>
      </c>
      <c r="P100" s="12"/>
      <c r="Q100" s="12"/>
      <c r="R100" s="8"/>
    </row>
    <row r="101" spans="1:18">
      <c r="A101" s="9" t="s">
        <v>188</v>
      </c>
      <c r="B101" s="10">
        <f t="shared" si="74"/>
        <v>345</v>
      </c>
      <c r="C101" s="48" t="s">
        <v>126</v>
      </c>
      <c r="D101" s="43">
        <v>344</v>
      </c>
      <c r="E101" s="48">
        <v>1</v>
      </c>
      <c r="F101" s="43" t="s">
        <v>126</v>
      </c>
      <c r="G101" s="33">
        <f t="shared" si="75"/>
        <v>4980</v>
      </c>
      <c r="H101" s="43" t="s">
        <v>126</v>
      </c>
      <c r="I101" s="48">
        <v>4980</v>
      </c>
      <c r="J101" s="43" t="s">
        <v>126</v>
      </c>
      <c r="K101" s="32">
        <f t="shared" si="76"/>
        <v>6200</v>
      </c>
      <c r="L101" s="43">
        <v>70</v>
      </c>
      <c r="M101" s="48">
        <v>6130</v>
      </c>
      <c r="N101" s="44" t="s">
        <v>126</v>
      </c>
      <c r="O101" s="11" t="s">
        <v>105</v>
      </c>
      <c r="P101" s="12"/>
      <c r="Q101" s="12"/>
      <c r="R101" s="8"/>
    </row>
    <row r="102" spans="1:18">
      <c r="A102" s="82" t="s">
        <v>106</v>
      </c>
      <c r="B102" s="83">
        <f>SUM(C102:E103)</f>
        <v>361</v>
      </c>
      <c r="C102" s="76">
        <f>SUM(C104:C107)</f>
        <v>156</v>
      </c>
      <c r="D102" s="75">
        <f t="shared" ref="D102:F102" si="77">SUM(D104:D107)</f>
        <v>98</v>
      </c>
      <c r="E102" s="76">
        <f t="shared" si="77"/>
        <v>107</v>
      </c>
      <c r="F102" s="75">
        <f t="shared" si="77"/>
        <v>0</v>
      </c>
      <c r="G102" s="73">
        <f>SUM(H102:J103)</f>
        <v>981512</v>
      </c>
      <c r="H102" s="75">
        <f>SUM(H104:H107)</f>
        <v>104514</v>
      </c>
      <c r="I102" s="76">
        <f t="shared" ref="I102:J102" si="78">SUM(I104:I107)</f>
        <v>816288</v>
      </c>
      <c r="J102" s="75">
        <f t="shared" si="78"/>
        <v>60710</v>
      </c>
      <c r="K102" s="73">
        <f>SUM(L102:N103)</f>
        <v>388825</v>
      </c>
      <c r="L102" s="75">
        <f t="shared" ref="L102:N102" si="79">SUM(L104:L107)</f>
        <v>88090</v>
      </c>
      <c r="M102" s="76">
        <f t="shared" si="79"/>
        <v>279870</v>
      </c>
      <c r="N102" s="77">
        <f t="shared" si="79"/>
        <v>20865</v>
      </c>
      <c r="O102" s="74" t="s">
        <v>107</v>
      </c>
      <c r="P102" s="74"/>
      <c r="Q102" s="74"/>
      <c r="R102" s="8"/>
    </row>
    <row r="103" spans="1:18">
      <c r="A103" s="82"/>
      <c r="B103" s="83"/>
      <c r="C103" s="76"/>
      <c r="D103" s="75"/>
      <c r="E103" s="76"/>
      <c r="F103" s="75"/>
      <c r="G103" s="73"/>
      <c r="H103" s="75"/>
      <c r="I103" s="76"/>
      <c r="J103" s="75"/>
      <c r="K103" s="73"/>
      <c r="L103" s="75"/>
      <c r="M103" s="76"/>
      <c r="N103" s="77"/>
      <c r="O103" s="74"/>
      <c r="P103" s="74"/>
      <c r="Q103" s="74"/>
      <c r="R103" s="8"/>
    </row>
    <row r="104" spans="1:18">
      <c r="A104" s="9" t="s">
        <v>189</v>
      </c>
      <c r="B104" s="10">
        <f t="shared" ref="B104:B107" si="80">SUM(C104:E104)</f>
        <v>217</v>
      </c>
      <c r="C104" s="48">
        <v>141</v>
      </c>
      <c r="D104" s="43">
        <v>70</v>
      </c>
      <c r="E104" s="48">
        <v>6</v>
      </c>
      <c r="F104" s="43" t="s">
        <v>126</v>
      </c>
      <c r="G104" s="33">
        <f t="shared" ref="G104:G107" si="81">SUM(H104:J104)</f>
        <v>312234</v>
      </c>
      <c r="H104" s="43">
        <v>25647</v>
      </c>
      <c r="I104" s="48">
        <v>259867</v>
      </c>
      <c r="J104" s="43">
        <v>26720</v>
      </c>
      <c r="K104" s="32">
        <f t="shared" ref="K104:K107" si="82">SUM(L104:N104)</f>
        <v>143648</v>
      </c>
      <c r="L104" s="43">
        <v>30245</v>
      </c>
      <c r="M104" s="48">
        <v>103988</v>
      </c>
      <c r="N104" s="44">
        <v>9415</v>
      </c>
      <c r="O104" s="11" t="s">
        <v>108</v>
      </c>
      <c r="P104" s="12"/>
      <c r="Q104" s="12"/>
      <c r="R104" s="8"/>
    </row>
    <row r="105" spans="1:18">
      <c r="A105" s="9" t="s">
        <v>190</v>
      </c>
      <c r="B105" s="10">
        <f t="shared" si="80"/>
        <v>19</v>
      </c>
      <c r="C105" s="48">
        <v>15</v>
      </c>
      <c r="D105" s="43">
        <v>4</v>
      </c>
      <c r="E105" s="48" t="s">
        <v>126</v>
      </c>
      <c r="F105" s="43" t="s">
        <v>126</v>
      </c>
      <c r="G105" s="33">
        <f t="shared" si="81"/>
        <v>131696</v>
      </c>
      <c r="H105" s="43">
        <v>6296</v>
      </c>
      <c r="I105" s="48">
        <v>114390</v>
      </c>
      <c r="J105" s="43">
        <v>11010</v>
      </c>
      <c r="K105" s="32">
        <f t="shared" si="82"/>
        <v>86178</v>
      </c>
      <c r="L105" s="43">
        <v>12024</v>
      </c>
      <c r="M105" s="48">
        <v>69564</v>
      </c>
      <c r="N105" s="44">
        <v>4590</v>
      </c>
      <c r="O105" s="11" t="s">
        <v>109</v>
      </c>
      <c r="P105" s="12"/>
      <c r="Q105" s="12"/>
      <c r="R105" s="8"/>
    </row>
    <row r="106" spans="1:18">
      <c r="A106" s="9" t="s">
        <v>191</v>
      </c>
      <c r="B106" s="10">
        <f t="shared" si="80"/>
        <v>19</v>
      </c>
      <c r="C106" s="48" t="s">
        <v>126</v>
      </c>
      <c r="D106" s="43">
        <v>19</v>
      </c>
      <c r="E106" s="48" t="s">
        <v>126</v>
      </c>
      <c r="F106" s="43" t="s">
        <v>126</v>
      </c>
      <c r="G106" s="33">
        <f t="shared" si="81"/>
        <v>313861</v>
      </c>
      <c r="H106" s="43">
        <v>27310</v>
      </c>
      <c r="I106" s="48">
        <v>275331</v>
      </c>
      <c r="J106" s="43">
        <v>11220</v>
      </c>
      <c r="K106" s="32">
        <f t="shared" si="82"/>
        <v>81439</v>
      </c>
      <c r="L106" s="43">
        <v>16460</v>
      </c>
      <c r="M106" s="48">
        <v>61596</v>
      </c>
      <c r="N106" s="44">
        <v>3383</v>
      </c>
      <c r="O106" s="11" t="s">
        <v>110</v>
      </c>
      <c r="P106" s="12"/>
      <c r="Q106" s="12"/>
      <c r="R106" s="8"/>
    </row>
    <row r="107" spans="1:18" ht="10.8" thickBot="1">
      <c r="A107" s="14" t="s">
        <v>192</v>
      </c>
      <c r="B107" s="15">
        <f t="shared" si="80"/>
        <v>106</v>
      </c>
      <c r="C107" s="49" t="s">
        <v>126</v>
      </c>
      <c r="D107" s="46">
        <v>5</v>
      </c>
      <c r="E107" s="49">
        <v>101</v>
      </c>
      <c r="F107" s="46" t="s">
        <v>126</v>
      </c>
      <c r="G107" s="36">
        <f t="shared" si="81"/>
        <v>223721</v>
      </c>
      <c r="H107" s="46">
        <v>45261</v>
      </c>
      <c r="I107" s="49">
        <v>166700</v>
      </c>
      <c r="J107" s="46">
        <v>11760</v>
      </c>
      <c r="K107" s="34">
        <f t="shared" si="82"/>
        <v>77560</v>
      </c>
      <c r="L107" s="46">
        <v>29361</v>
      </c>
      <c r="M107" s="49">
        <v>44722</v>
      </c>
      <c r="N107" s="47">
        <v>3477</v>
      </c>
      <c r="O107" s="16" t="s">
        <v>111</v>
      </c>
      <c r="P107" s="17"/>
      <c r="Q107" s="17"/>
      <c r="R107" s="8"/>
    </row>
    <row r="108" spans="1:18">
      <c r="A108" s="18"/>
      <c r="B108" s="19"/>
      <c r="C108" s="19"/>
      <c r="D108" s="19"/>
      <c r="E108" s="19"/>
      <c r="F108" s="19"/>
      <c r="P108" s="84"/>
      <c r="Q108" s="84"/>
    </row>
    <row r="109" spans="1:18">
      <c r="A109" s="19"/>
      <c r="B109" s="19"/>
      <c r="C109" s="19"/>
      <c r="D109" s="19"/>
      <c r="E109" s="19"/>
      <c r="F109" s="19"/>
      <c r="O109" s="19"/>
      <c r="P109" s="19"/>
      <c r="Q109" s="19"/>
    </row>
    <row r="110" spans="1:18" ht="10.199999999999999" customHeight="1">
      <c r="A110" s="20"/>
      <c r="B110" s="20"/>
      <c r="C110" s="20"/>
      <c r="D110" s="20"/>
      <c r="E110" s="20"/>
      <c r="F110" s="20"/>
      <c r="G110" s="21"/>
      <c r="H110" s="21"/>
      <c r="I110" s="21"/>
      <c r="J110" s="21"/>
      <c r="O110" s="21"/>
      <c r="P110" s="21"/>
      <c r="Q110" s="21"/>
    </row>
    <row r="111" spans="1:18" ht="10.199999999999999" customHeight="1">
      <c r="A111" s="20"/>
      <c r="B111" s="20"/>
      <c r="C111" s="20"/>
      <c r="D111" s="20"/>
      <c r="E111" s="20"/>
      <c r="F111" s="20"/>
      <c r="G111" s="21"/>
      <c r="H111" s="21"/>
      <c r="I111" s="21"/>
      <c r="J111" s="21"/>
      <c r="O111" s="21"/>
      <c r="P111" s="21"/>
      <c r="Q111" s="21"/>
    </row>
    <row r="112" spans="1:18" ht="10.199999999999999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O112" s="85"/>
      <c r="P112" s="85"/>
      <c r="Q112" s="85"/>
    </row>
    <row r="113" spans="1:17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O113" s="85"/>
      <c r="P113" s="85"/>
      <c r="Q113" s="85"/>
    </row>
    <row r="114" spans="1:17">
      <c r="A114" s="8"/>
      <c r="B114" s="8"/>
      <c r="C114" s="8"/>
      <c r="D114" s="8"/>
      <c r="E114" s="8"/>
      <c r="F114" s="8"/>
    </row>
    <row r="115" spans="1:17">
      <c r="A115" s="8"/>
      <c r="B115" s="8"/>
      <c r="C115" s="8"/>
      <c r="D115" s="8"/>
      <c r="E115" s="8"/>
      <c r="F115" s="8"/>
    </row>
    <row r="116" spans="1:17">
      <c r="A116" s="8"/>
      <c r="B116" s="8"/>
      <c r="C116" s="8"/>
      <c r="D116" s="8"/>
      <c r="E116" s="8"/>
      <c r="F116" s="8"/>
    </row>
    <row r="117" spans="1:17">
      <c r="A117" s="8"/>
      <c r="B117" s="8"/>
      <c r="C117" s="8"/>
      <c r="D117" s="8"/>
      <c r="E117" s="8"/>
      <c r="F117" s="8"/>
    </row>
    <row r="118" spans="1:17">
      <c r="A118" s="8"/>
      <c r="B118" s="8"/>
      <c r="C118" s="8"/>
      <c r="D118" s="8"/>
      <c r="E118" s="8"/>
      <c r="F118" s="8"/>
    </row>
    <row r="119" spans="1:17">
      <c r="A119" s="8"/>
      <c r="B119" s="8"/>
      <c r="C119" s="8"/>
      <c r="D119" s="8"/>
      <c r="E119" s="8"/>
      <c r="F119" s="8"/>
    </row>
    <row r="120" spans="1:17">
      <c r="A120" s="8"/>
      <c r="B120" s="8"/>
      <c r="C120" s="8"/>
      <c r="D120" s="8"/>
      <c r="E120" s="8"/>
      <c r="F120" s="8"/>
    </row>
    <row r="121" spans="1:17">
      <c r="A121" s="8"/>
      <c r="B121" s="8"/>
      <c r="C121" s="8"/>
      <c r="D121" s="8"/>
      <c r="E121" s="8"/>
      <c r="F121" s="8"/>
    </row>
    <row r="122" spans="1:17">
      <c r="A122" s="22"/>
      <c r="B122" s="22"/>
      <c r="C122" s="22"/>
      <c r="D122" s="22"/>
      <c r="E122" s="22"/>
      <c r="F122" s="22"/>
    </row>
    <row r="123" spans="1:17" s="8" customForma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4"/>
      <c r="M123" s="94"/>
      <c r="N123" s="94"/>
    </row>
    <row r="124" spans="1:17" s="8" customForma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4"/>
      <c r="M124" s="94"/>
      <c r="N124" s="94"/>
    </row>
    <row r="125" spans="1:17" s="8" customForma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4"/>
      <c r="M125" s="94"/>
      <c r="N125" s="94"/>
    </row>
    <row r="126" spans="1:17" s="8" customFormat="1">
      <c r="A126" s="23"/>
      <c r="B126" s="23"/>
      <c r="C126" s="23"/>
      <c r="D126" s="23"/>
      <c r="E126" s="23"/>
      <c r="F126" s="23"/>
      <c r="K126" s="95"/>
      <c r="L126" s="95"/>
      <c r="M126" s="95"/>
      <c r="N126" s="95"/>
    </row>
    <row r="127" spans="1:17" s="8" customFormat="1">
      <c r="A127" s="96"/>
      <c r="B127" s="31"/>
      <c r="C127" s="31"/>
      <c r="D127" s="31"/>
      <c r="E127" s="31"/>
      <c r="F127" s="31"/>
      <c r="G127" s="65"/>
      <c r="H127" s="65"/>
      <c r="I127" s="65"/>
      <c r="J127" s="65"/>
      <c r="K127" s="65"/>
      <c r="L127" s="65"/>
      <c r="M127" s="65"/>
      <c r="N127" s="65"/>
    </row>
    <row r="128" spans="1:17" s="8" customFormat="1">
      <c r="A128" s="96"/>
      <c r="B128" s="31"/>
      <c r="C128" s="31"/>
      <c r="D128" s="31"/>
      <c r="E128" s="31"/>
      <c r="F128" s="31"/>
      <c r="G128" s="65"/>
      <c r="H128" s="65"/>
      <c r="I128" s="65"/>
      <c r="J128" s="65"/>
      <c r="K128" s="65"/>
      <c r="L128" s="65"/>
      <c r="M128" s="65"/>
      <c r="N128" s="65"/>
    </row>
    <row r="129" spans="1:14" s="8" customFormat="1">
      <c r="A129" s="96"/>
      <c r="B129" s="31"/>
      <c r="C129" s="31"/>
      <c r="D129" s="31"/>
      <c r="E129" s="31"/>
      <c r="F129" s="31"/>
      <c r="G129" s="65"/>
      <c r="H129" s="65"/>
      <c r="I129" s="65"/>
      <c r="J129" s="65"/>
      <c r="K129" s="65"/>
      <c r="L129" s="65"/>
      <c r="M129" s="65"/>
      <c r="N129" s="65"/>
    </row>
    <row r="130" spans="1:14" s="8" customFormat="1">
      <c r="A130" s="96"/>
      <c r="B130" s="31"/>
      <c r="C130" s="31"/>
      <c r="D130" s="31"/>
      <c r="E130" s="31"/>
      <c r="F130" s="31"/>
      <c r="G130" s="24"/>
      <c r="H130" s="24"/>
      <c r="I130" s="24"/>
      <c r="J130" s="24"/>
      <c r="K130" s="24"/>
      <c r="L130" s="24"/>
      <c r="M130" s="24"/>
      <c r="N130" s="24"/>
    </row>
    <row r="131" spans="1:14" s="8" customFormat="1">
      <c r="A131" s="25"/>
      <c r="B131" s="25"/>
      <c r="C131" s="25"/>
      <c r="D131" s="25"/>
      <c r="E131" s="25"/>
      <c r="F131" s="25"/>
    </row>
    <row r="132" spans="1:14" s="8" customFormat="1">
      <c r="A132" s="26"/>
      <c r="B132" s="26"/>
      <c r="C132" s="26"/>
      <c r="D132" s="26"/>
      <c r="E132" s="26"/>
      <c r="F132" s="26"/>
    </row>
    <row r="133" spans="1:14" s="8" customFormat="1">
      <c r="A133" s="88"/>
      <c r="B133" s="30"/>
      <c r="C133" s="30"/>
      <c r="D133" s="30"/>
      <c r="E133" s="30"/>
      <c r="F133" s="30"/>
      <c r="G133" s="92"/>
      <c r="H133" s="92"/>
      <c r="I133" s="92"/>
      <c r="J133" s="92"/>
      <c r="K133" s="92"/>
      <c r="L133" s="92"/>
      <c r="M133" s="92"/>
      <c r="N133" s="92"/>
    </row>
    <row r="134" spans="1:14" s="8" customFormat="1">
      <c r="A134" s="88"/>
      <c r="B134" s="30"/>
      <c r="C134" s="30"/>
      <c r="D134" s="30"/>
      <c r="E134" s="30"/>
      <c r="F134" s="30"/>
      <c r="G134" s="92"/>
      <c r="H134" s="92"/>
      <c r="I134" s="92"/>
      <c r="J134" s="92"/>
      <c r="K134" s="92"/>
      <c r="L134" s="92"/>
      <c r="M134" s="92"/>
      <c r="N134" s="92"/>
    </row>
    <row r="135" spans="1:14" s="8" customFormat="1">
      <c r="A135" s="88"/>
      <c r="B135" s="30"/>
      <c r="C135" s="30"/>
      <c r="D135" s="30"/>
      <c r="E135" s="30"/>
      <c r="F135" s="30"/>
      <c r="G135" s="92"/>
      <c r="H135" s="92"/>
      <c r="I135" s="92"/>
      <c r="J135" s="92"/>
      <c r="K135" s="92"/>
      <c r="L135" s="92"/>
      <c r="M135" s="92"/>
      <c r="N135" s="92"/>
    </row>
    <row r="136" spans="1:14" s="8" customFormat="1">
      <c r="A136" s="26"/>
      <c r="B136" s="26"/>
      <c r="C136" s="26"/>
      <c r="D136" s="26"/>
      <c r="E136" s="26"/>
      <c r="F136" s="26"/>
      <c r="K136" s="27"/>
      <c r="L136" s="27"/>
    </row>
    <row r="137" spans="1:14" s="8" customFormat="1">
      <c r="A137" s="26"/>
      <c r="B137" s="26"/>
      <c r="C137" s="26"/>
      <c r="D137" s="26"/>
      <c r="E137" s="26"/>
      <c r="F137" s="26"/>
      <c r="K137" s="27"/>
      <c r="L137" s="27"/>
    </row>
    <row r="138" spans="1:14" s="8" customFormat="1">
      <c r="A138" s="26"/>
      <c r="B138" s="26"/>
      <c r="C138" s="26"/>
      <c r="D138" s="26"/>
      <c r="E138" s="26"/>
      <c r="F138" s="26"/>
      <c r="K138" s="27"/>
      <c r="L138" s="27"/>
    </row>
    <row r="139" spans="1:14" s="8" customFormat="1">
      <c r="A139" s="26"/>
      <c r="B139" s="26"/>
      <c r="C139" s="26"/>
      <c r="D139" s="26"/>
      <c r="E139" s="26"/>
      <c r="F139" s="26"/>
      <c r="K139" s="27"/>
      <c r="L139" s="27"/>
    </row>
    <row r="140" spans="1:14" s="8" customFormat="1">
      <c r="A140" s="26"/>
      <c r="B140" s="26"/>
      <c r="C140" s="26"/>
      <c r="D140" s="26"/>
      <c r="E140" s="26"/>
      <c r="F140" s="26"/>
      <c r="K140" s="27"/>
      <c r="L140" s="27"/>
    </row>
    <row r="141" spans="1:14" s="8" customFormat="1">
      <c r="A141" s="26"/>
      <c r="B141" s="26"/>
      <c r="C141" s="26"/>
      <c r="D141" s="26"/>
      <c r="E141" s="26"/>
      <c r="F141" s="26"/>
      <c r="K141" s="27"/>
      <c r="L141" s="27"/>
    </row>
    <row r="142" spans="1:14" s="8" customFormat="1">
      <c r="A142" s="88"/>
      <c r="B142" s="30"/>
      <c r="C142" s="30"/>
      <c r="D142" s="30"/>
      <c r="E142" s="30"/>
      <c r="F142" s="30"/>
    </row>
    <row r="143" spans="1:14" s="8" customFormat="1">
      <c r="A143" s="88"/>
      <c r="B143" s="30"/>
      <c r="C143" s="30"/>
      <c r="D143" s="30"/>
      <c r="E143" s="30"/>
      <c r="F143" s="30"/>
    </row>
    <row r="144" spans="1:14" s="8" customFormat="1">
      <c r="A144" s="26"/>
      <c r="B144" s="26"/>
      <c r="C144" s="26"/>
      <c r="D144" s="26"/>
      <c r="E144" s="26"/>
      <c r="F144" s="26"/>
      <c r="K144" s="27"/>
      <c r="L144" s="27"/>
    </row>
    <row r="145" spans="1:12" s="8" customFormat="1">
      <c r="A145" s="26"/>
      <c r="B145" s="26"/>
      <c r="C145" s="26"/>
      <c r="D145" s="26"/>
      <c r="E145" s="26"/>
      <c r="F145" s="26"/>
      <c r="K145" s="27"/>
      <c r="L145" s="27"/>
    </row>
    <row r="146" spans="1:12" s="8" customFormat="1">
      <c r="A146" s="26"/>
      <c r="B146" s="26"/>
      <c r="C146" s="26"/>
      <c r="D146" s="26"/>
      <c r="E146" s="26"/>
      <c r="F146" s="26"/>
      <c r="K146" s="27"/>
      <c r="L146" s="27"/>
    </row>
    <row r="147" spans="1:12" s="8" customFormat="1">
      <c r="A147" s="26"/>
      <c r="B147" s="26"/>
      <c r="C147" s="26"/>
      <c r="D147" s="26"/>
      <c r="E147" s="26"/>
      <c r="F147" s="26"/>
      <c r="K147" s="27"/>
      <c r="L147" s="27"/>
    </row>
    <row r="148" spans="1:12" s="8" customFormat="1">
      <c r="A148" s="26"/>
      <c r="B148" s="26"/>
      <c r="C148" s="26"/>
      <c r="D148" s="26"/>
      <c r="E148" s="26"/>
      <c r="F148" s="26"/>
      <c r="K148" s="27"/>
      <c r="L148" s="27"/>
    </row>
    <row r="149" spans="1:12" s="8" customFormat="1">
      <c r="A149" s="26"/>
      <c r="B149" s="26"/>
      <c r="C149" s="26"/>
      <c r="D149" s="26"/>
      <c r="E149" s="26"/>
      <c r="F149" s="26"/>
      <c r="K149" s="27"/>
      <c r="L149" s="27"/>
    </row>
    <row r="150" spans="1:12" s="8" customFormat="1">
      <c r="A150" s="26"/>
      <c r="B150" s="26"/>
      <c r="C150" s="26"/>
      <c r="D150" s="26"/>
      <c r="E150" s="26"/>
      <c r="F150" s="26"/>
      <c r="K150" s="27"/>
      <c r="L150" s="27"/>
    </row>
    <row r="151" spans="1:12" s="8" customFormat="1">
      <c r="A151" s="26"/>
      <c r="B151" s="26"/>
      <c r="C151" s="26"/>
      <c r="D151" s="26"/>
      <c r="E151" s="26"/>
      <c r="F151" s="26"/>
      <c r="K151" s="27"/>
      <c r="L151" s="27"/>
    </row>
    <row r="152" spans="1:12" s="8" customFormat="1">
      <c r="A152" s="26"/>
      <c r="B152" s="26"/>
      <c r="C152" s="26"/>
      <c r="D152" s="26"/>
      <c r="E152" s="26"/>
      <c r="F152" s="26"/>
      <c r="K152" s="27"/>
      <c r="L152" s="27"/>
    </row>
    <row r="153" spans="1:12" s="8" customFormat="1">
      <c r="A153" s="26"/>
      <c r="B153" s="26"/>
      <c r="C153" s="26"/>
      <c r="D153" s="26"/>
      <c r="E153" s="26"/>
      <c r="F153" s="26"/>
      <c r="K153" s="27"/>
      <c r="L153" s="27"/>
    </row>
    <row r="154" spans="1:12" s="8" customFormat="1">
      <c r="A154" s="26"/>
      <c r="B154" s="26"/>
      <c r="C154" s="26"/>
      <c r="D154" s="26"/>
      <c r="E154" s="26"/>
      <c r="F154" s="26"/>
      <c r="K154" s="27"/>
      <c r="L154" s="27"/>
    </row>
    <row r="155" spans="1:12" s="8" customFormat="1">
      <c r="A155" s="87"/>
      <c r="B155" s="29"/>
      <c r="C155" s="29"/>
      <c r="D155" s="29"/>
      <c r="E155" s="29"/>
      <c r="F155" s="29"/>
    </row>
    <row r="156" spans="1:12" s="8" customFormat="1">
      <c r="A156" s="87"/>
      <c r="B156" s="29"/>
      <c r="C156" s="29"/>
      <c r="D156" s="29"/>
      <c r="E156" s="29"/>
      <c r="F156" s="29"/>
    </row>
    <row r="157" spans="1:12" s="8" customFormat="1">
      <c r="A157" s="26"/>
      <c r="B157" s="26"/>
      <c r="C157" s="26"/>
      <c r="D157" s="26"/>
      <c r="E157" s="26"/>
      <c r="F157" s="26"/>
      <c r="K157" s="27"/>
      <c r="L157" s="27"/>
    </row>
    <row r="158" spans="1:12" s="8" customFormat="1">
      <c r="A158" s="26"/>
      <c r="B158" s="26"/>
      <c r="C158" s="26"/>
      <c r="D158" s="26"/>
      <c r="E158" s="26"/>
      <c r="F158" s="26"/>
      <c r="K158" s="27"/>
      <c r="L158" s="27"/>
    </row>
    <row r="159" spans="1:12" s="8" customFormat="1">
      <c r="A159" s="26"/>
      <c r="B159" s="26"/>
      <c r="C159" s="26"/>
      <c r="D159" s="26"/>
      <c r="E159" s="26"/>
      <c r="F159" s="26"/>
      <c r="K159" s="27"/>
      <c r="L159" s="27"/>
    </row>
    <row r="160" spans="1:12" s="8" customFormat="1">
      <c r="A160" s="26"/>
      <c r="B160" s="26"/>
      <c r="C160" s="26"/>
      <c r="D160" s="26"/>
      <c r="E160" s="26"/>
      <c r="F160" s="26"/>
      <c r="K160" s="27"/>
      <c r="L160" s="27"/>
    </row>
    <row r="161" spans="1:12" s="8" customFormat="1">
      <c r="A161" s="87"/>
      <c r="B161" s="29"/>
      <c r="C161" s="29"/>
      <c r="D161" s="29"/>
      <c r="E161" s="29"/>
      <c r="F161" s="29"/>
    </row>
    <row r="162" spans="1:12" s="8" customFormat="1">
      <c r="A162" s="87"/>
      <c r="B162" s="29"/>
      <c r="C162" s="29"/>
      <c r="D162" s="29"/>
      <c r="E162" s="29"/>
      <c r="F162" s="29"/>
    </row>
    <row r="163" spans="1:12" s="8" customFormat="1">
      <c r="A163" s="26"/>
      <c r="B163" s="26"/>
      <c r="C163" s="26"/>
      <c r="D163" s="26"/>
      <c r="E163" s="26"/>
      <c r="F163" s="26"/>
      <c r="K163" s="27"/>
      <c r="L163" s="27"/>
    </row>
    <row r="164" spans="1:12" s="8" customFormat="1">
      <c r="A164" s="26"/>
      <c r="B164" s="26"/>
      <c r="C164" s="26"/>
      <c r="D164" s="26"/>
      <c r="E164" s="26"/>
      <c r="F164" s="26"/>
      <c r="K164" s="27"/>
      <c r="L164" s="27"/>
    </row>
    <row r="165" spans="1:12" s="8" customFormat="1">
      <c r="A165" s="26"/>
      <c r="B165" s="26"/>
      <c r="C165" s="26"/>
      <c r="D165" s="26"/>
      <c r="E165" s="26"/>
      <c r="F165" s="26"/>
      <c r="K165" s="27"/>
      <c r="L165" s="27"/>
    </row>
    <row r="166" spans="1:12" s="8" customFormat="1">
      <c r="A166" s="26"/>
      <c r="B166" s="26"/>
      <c r="C166" s="26"/>
      <c r="D166" s="26"/>
      <c r="E166" s="26"/>
      <c r="F166" s="26"/>
      <c r="K166" s="27"/>
      <c r="L166" s="27"/>
    </row>
    <row r="167" spans="1:12" s="8" customFormat="1">
      <c r="A167" s="26"/>
      <c r="B167" s="26"/>
      <c r="C167" s="26"/>
      <c r="D167" s="26"/>
      <c r="E167" s="26"/>
      <c r="F167" s="26"/>
      <c r="K167" s="27"/>
      <c r="L167" s="27"/>
    </row>
    <row r="168" spans="1:12" s="8" customFormat="1">
      <c r="A168" s="87"/>
      <c r="B168" s="29"/>
      <c r="C168" s="29"/>
      <c r="D168" s="29"/>
      <c r="E168" s="29"/>
      <c r="F168" s="29"/>
    </row>
    <row r="169" spans="1:12" s="8" customFormat="1">
      <c r="A169" s="87"/>
      <c r="B169" s="29"/>
      <c r="C169" s="29"/>
      <c r="D169" s="29"/>
      <c r="E169" s="29"/>
      <c r="F169" s="29"/>
    </row>
    <row r="170" spans="1:12" s="8" customFormat="1">
      <c r="A170" s="26"/>
      <c r="B170" s="26"/>
      <c r="C170" s="26"/>
      <c r="D170" s="26"/>
      <c r="E170" s="26"/>
      <c r="F170" s="26"/>
      <c r="K170" s="27"/>
      <c r="L170" s="27"/>
    </row>
    <row r="171" spans="1:12" s="8" customFormat="1">
      <c r="A171" s="26"/>
      <c r="B171" s="26"/>
      <c r="C171" s="26"/>
      <c r="D171" s="26"/>
      <c r="E171" s="26"/>
      <c r="F171" s="26"/>
      <c r="K171" s="27"/>
      <c r="L171" s="27"/>
    </row>
    <row r="172" spans="1:12" s="8" customFormat="1">
      <c r="A172" s="26"/>
      <c r="B172" s="26"/>
      <c r="C172" s="26"/>
      <c r="D172" s="26"/>
      <c r="E172" s="26"/>
      <c r="F172" s="26"/>
      <c r="K172" s="27"/>
      <c r="L172" s="27"/>
    </row>
    <row r="173" spans="1:12" s="8" customFormat="1">
      <c r="A173" s="26"/>
      <c r="B173" s="26"/>
      <c r="C173" s="26"/>
      <c r="D173" s="26"/>
      <c r="E173" s="26"/>
      <c r="F173" s="26"/>
      <c r="K173" s="27"/>
      <c r="L173" s="27"/>
    </row>
    <row r="174" spans="1:12" s="8" customFormat="1">
      <c r="A174" s="26"/>
      <c r="B174" s="26"/>
      <c r="C174" s="26"/>
      <c r="D174" s="26"/>
      <c r="E174" s="26"/>
      <c r="F174" s="26"/>
      <c r="K174" s="27"/>
      <c r="L174" s="27"/>
    </row>
    <row r="175" spans="1:12" s="8" customFormat="1">
      <c r="A175" s="87"/>
      <c r="B175" s="29"/>
      <c r="C175" s="29"/>
      <c r="D175" s="29"/>
      <c r="E175" s="29"/>
      <c r="F175" s="29"/>
    </row>
    <row r="176" spans="1:12" s="8" customFormat="1">
      <c r="A176" s="87"/>
      <c r="B176" s="29"/>
      <c r="C176" s="29"/>
      <c r="D176" s="29"/>
      <c r="E176" s="29"/>
      <c r="F176" s="29"/>
    </row>
    <row r="177" spans="1:12" s="8" customFormat="1">
      <c r="A177" s="26"/>
      <c r="B177" s="26"/>
      <c r="C177" s="26"/>
      <c r="D177" s="26"/>
      <c r="E177" s="26"/>
      <c r="F177" s="26"/>
      <c r="K177" s="27"/>
      <c r="L177" s="27"/>
    </row>
    <row r="178" spans="1:12" s="8" customFormat="1">
      <c r="A178" s="26"/>
      <c r="B178" s="26"/>
      <c r="C178" s="26"/>
      <c r="D178" s="26"/>
      <c r="E178" s="26"/>
      <c r="F178" s="26"/>
      <c r="K178" s="27"/>
      <c r="L178" s="27"/>
    </row>
    <row r="179" spans="1:12" s="8" customFormat="1">
      <c r="A179" s="26"/>
      <c r="B179" s="26"/>
      <c r="C179" s="26"/>
      <c r="D179" s="26"/>
      <c r="E179" s="26"/>
      <c r="F179" s="26"/>
      <c r="K179" s="27"/>
      <c r="L179" s="27"/>
    </row>
    <row r="180" spans="1:12" s="8" customFormat="1">
      <c r="A180" s="26"/>
      <c r="B180" s="26"/>
      <c r="C180" s="26"/>
      <c r="D180" s="26"/>
      <c r="E180" s="26"/>
      <c r="F180" s="26"/>
      <c r="K180" s="27"/>
      <c r="L180" s="27"/>
    </row>
    <row r="181" spans="1:12" s="8" customFormat="1">
      <c r="A181" s="26"/>
      <c r="B181" s="26"/>
      <c r="C181" s="26"/>
      <c r="D181" s="26"/>
      <c r="E181" s="26"/>
      <c r="F181" s="26"/>
      <c r="K181" s="27"/>
      <c r="L181" s="27"/>
    </row>
    <row r="182" spans="1:12" s="8" customFormat="1">
      <c r="A182" s="87"/>
      <c r="B182" s="29"/>
      <c r="C182" s="29"/>
      <c r="D182" s="29"/>
      <c r="E182" s="29"/>
      <c r="F182" s="29"/>
    </row>
    <row r="183" spans="1:12" s="8" customFormat="1">
      <c r="A183" s="87"/>
      <c r="B183" s="29"/>
      <c r="C183" s="29"/>
      <c r="D183" s="29"/>
      <c r="E183" s="29"/>
      <c r="F183" s="29"/>
    </row>
    <row r="184" spans="1:12" s="8" customFormat="1">
      <c r="A184" s="26"/>
      <c r="B184" s="26"/>
      <c r="C184" s="26"/>
      <c r="D184" s="26"/>
      <c r="E184" s="26"/>
      <c r="F184" s="26"/>
      <c r="K184" s="27"/>
      <c r="L184" s="27"/>
    </row>
    <row r="185" spans="1:12" s="8" customFormat="1">
      <c r="A185" s="26"/>
      <c r="B185" s="26"/>
      <c r="C185" s="26"/>
      <c r="D185" s="26"/>
      <c r="E185" s="26"/>
      <c r="F185" s="26"/>
      <c r="K185" s="27"/>
      <c r="L185" s="27"/>
    </row>
    <row r="186" spans="1:12" s="8" customFormat="1">
      <c r="A186" s="26"/>
      <c r="B186" s="26"/>
      <c r="C186" s="26"/>
      <c r="D186" s="26"/>
      <c r="E186" s="26"/>
      <c r="F186" s="26"/>
      <c r="K186" s="27"/>
      <c r="L186" s="27"/>
    </row>
    <row r="187" spans="1:12" s="8" customFormat="1">
      <c r="A187" s="87"/>
      <c r="B187" s="29"/>
      <c r="C187" s="29"/>
      <c r="D187" s="29"/>
      <c r="E187" s="29"/>
      <c r="F187" s="29"/>
    </row>
    <row r="188" spans="1:12" s="8" customFormat="1">
      <c r="A188" s="87"/>
      <c r="B188" s="29"/>
      <c r="C188" s="29"/>
      <c r="D188" s="29"/>
      <c r="E188" s="29"/>
      <c r="F188" s="29"/>
    </row>
    <row r="189" spans="1:12" s="8" customFormat="1">
      <c r="A189" s="26"/>
      <c r="B189" s="26"/>
      <c r="C189" s="26"/>
      <c r="D189" s="26"/>
      <c r="E189" s="26"/>
      <c r="F189" s="26"/>
      <c r="K189" s="27"/>
      <c r="L189" s="27"/>
    </row>
    <row r="190" spans="1:12" s="8" customFormat="1">
      <c r="A190" s="26"/>
      <c r="B190" s="26"/>
      <c r="C190" s="26"/>
      <c r="D190" s="26"/>
      <c r="E190" s="26"/>
      <c r="F190" s="26"/>
      <c r="K190" s="27"/>
      <c r="L190" s="27"/>
    </row>
    <row r="191" spans="1:12" s="8" customFormat="1">
      <c r="A191" s="26"/>
      <c r="B191" s="26"/>
      <c r="C191" s="26"/>
      <c r="D191" s="26"/>
      <c r="E191" s="26"/>
      <c r="F191" s="26"/>
      <c r="K191" s="27"/>
      <c r="L191" s="27"/>
    </row>
    <row r="192" spans="1:12" s="8" customFormat="1">
      <c r="A192" s="26"/>
      <c r="B192" s="26"/>
      <c r="C192" s="26"/>
      <c r="D192" s="26"/>
      <c r="E192" s="26"/>
      <c r="F192" s="26"/>
      <c r="K192" s="27"/>
      <c r="L192" s="27"/>
    </row>
    <row r="193" spans="1:12" s="8" customFormat="1">
      <c r="A193" s="26"/>
      <c r="B193" s="26"/>
      <c r="C193" s="26"/>
      <c r="D193" s="26"/>
      <c r="E193" s="26"/>
      <c r="F193" s="26"/>
      <c r="K193" s="27"/>
      <c r="L193" s="27"/>
    </row>
    <row r="194" spans="1:12" s="8" customFormat="1">
      <c r="A194" s="87"/>
      <c r="B194" s="29"/>
      <c r="C194" s="29"/>
      <c r="D194" s="29"/>
      <c r="E194" s="29"/>
      <c r="F194" s="29"/>
    </row>
    <row r="195" spans="1:12" s="8" customFormat="1">
      <c r="A195" s="87"/>
      <c r="B195" s="29"/>
      <c r="C195" s="29"/>
      <c r="D195" s="29"/>
      <c r="E195" s="29"/>
      <c r="F195" s="29"/>
    </row>
    <row r="196" spans="1:12" s="8" customFormat="1">
      <c r="A196" s="26"/>
      <c r="B196" s="26"/>
      <c r="C196" s="26"/>
      <c r="D196" s="26"/>
      <c r="E196" s="26"/>
      <c r="F196" s="26"/>
      <c r="K196" s="27"/>
      <c r="L196" s="27"/>
    </row>
    <row r="197" spans="1:12" s="8" customFormat="1">
      <c r="A197" s="26"/>
      <c r="B197" s="26"/>
      <c r="C197" s="26"/>
      <c r="D197" s="26"/>
      <c r="E197" s="26"/>
      <c r="F197" s="26"/>
      <c r="K197" s="27"/>
      <c r="L197" s="27"/>
    </row>
    <row r="198" spans="1:12" s="8" customFormat="1">
      <c r="A198" s="26"/>
      <c r="B198" s="26"/>
      <c r="C198" s="26"/>
      <c r="D198" s="26"/>
      <c r="E198" s="26"/>
      <c r="F198" s="26"/>
      <c r="K198" s="27"/>
      <c r="L198" s="27"/>
    </row>
    <row r="199" spans="1:12" s="8" customFormat="1">
      <c r="A199" s="26"/>
      <c r="B199" s="26"/>
      <c r="C199" s="26"/>
      <c r="D199" s="26"/>
      <c r="E199" s="26"/>
      <c r="F199" s="26"/>
      <c r="K199" s="27"/>
      <c r="L199" s="27"/>
    </row>
    <row r="200" spans="1:12" s="8" customFormat="1">
      <c r="A200" s="26"/>
      <c r="B200" s="26"/>
      <c r="C200" s="26"/>
      <c r="D200" s="26"/>
      <c r="E200" s="26"/>
      <c r="F200" s="26"/>
      <c r="K200" s="27"/>
      <c r="L200" s="27"/>
    </row>
    <row r="201" spans="1:12" s="8" customFormat="1">
      <c r="A201" s="26"/>
      <c r="B201" s="26"/>
      <c r="C201" s="26"/>
      <c r="D201" s="26"/>
      <c r="E201" s="26"/>
      <c r="F201" s="26"/>
      <c r="K201" s="27"/>
      <c r="L201" s="27"/>
    </row>
    <row r="202" spans="1:12" s="8" customFormat="1">
      <c r="A202" s="26"/>
      <c r="B202" s="26"/>
      <c r="C202" s="26"/>
      <c r="D202" s="26"/>
      <c r="E202" s="26"/>
      <c r="F202" s="26"/>
      <c r="K202" s="27"/>
      <c r="L202" s="27"/>
    </row>
    <row r="203" spans="1:12" s="8" customFormat="1">
      <c r="A203" s="26"/>
      <c r="B203" s="26"/>
      <c r="C203" s="26"/>
      <c r="D203" s="26"/>
      <c r="E203" s="26"/>
      <c r="F203" s="26"/>
      <c r="K203" s="27"/>
      <c r="L203" s="27"/>
    </row>
    <row r="204" spans="1:12" s="8" customFormat="1">
      <c r="A204" s="87"/>
      <c r="B204" s="29"/>
      <c r="C204" s="29"/>
      <c r="D204" s="29"/>
      <c r="E204" s="29"/>
      <c r="F204" s="29"/>
    </row>
    <row r="205" spans="1:12" s="8" customFormat="1">
      <c r="A205" s="87"/>
      <c r="B205" s="29"/>
      <c r="C205" s="29"/>
      <c r="D205" s="29"/>
      <c r="E205" s="29"/>
      <c r="F205" s="29"/>
    </row>
    <row r="206" spans="1:12" s="8" customFormat="1">
      <c r="A206" s="26"/>
      <c r="B206" s="26"/>
      <c r="C206" s="26"/>
      <c r="D206" s="26"/>
      <c r="E206" s="26"/>
      <c r="F206" s="26"/>
      <c r="K206" s="27"/>
      <c r="L206" s="27"/>
    </row>
    <row r="207" spans="1:12" s="8" customFormat="1">
      <c r="A207" s="26"/>
      <c r="B207" s="26"/>
      <c r="C207" s="26"/>
      <c r="D207" s="26"/>
      <c r="E207" s="26"/>
      <c r="F207" s="26"/>
      <c r="K207" s="27"/>
      <c r="L207" s="27"/>
    </row>
    <row r="208" spans="1:12" s="8" customFormat="1">
      <c r="A208" s="26"/>
      <c r="B208" s="26"/>
      <c r="C208" s="26"/>
      <c r="D208" s="26"/>
      <c r="E208" s="26"/>
      <c r="F208" s="26"/>
      <c r="K208" s="27"/>
      <c r="L208" s="27"/>
    </row>
    <row r="209" spans="1:12" s="8" customFormat="1">
      <c r="A209" s="26"/>
      <c r="B209" s="26"/>
      <c r="C209" s="26"/>
      <c r="D209" s="26"/>
      <c r="E209" s="26"/>
      <c r="F209" s="26"/>
      <c r="K209" s="27"/>
      <c r="L209" s="27"/>
    </row>
    <row r="210" spans="1:12" s="8" customFormat="1">
      <c r="A210" s="26"/>
      <c r="B210" s="26"/>
      <c r="C210" s="26"/>
      <c r="D210" s="26"/>
      <c r="E210" s="26"/>
      <c r="F210" s="26"/>
      <c r="K210" s="27"/>
      <c r="L210" s="27"/>
    </row>
    <row r="211" spans="1:12" s="8" customFormat="1">
      <c r="A211" s="87"/>
      <c r="B211" s="29"/>
      <c r="C211" s="29"/>
      <c r="D211" s="29"/>
      <c r="E211" s="29"/>
      <c r="F211" s="29"/>
    </row>
    <row r="212" spans="1:12" s="8" customFormat="1">
      <c r="A212" s="87"/>
      <c r="B212" s="29"/>
      <c r="C212" s="29"/>
      <c r="D212" s="29"/>
      <c r="E212" s="29"/>
      <c r="F212" s="29"/>
    </row>
    <row r="213" spans="1:12" s="8" customFormat="1">
      <c r="A213" s="26"/>
      <c r="B213" s="26"/>
      <c r="C213" s="26"/>
      <c r="D213" s="26"/>
      <c r="E213" s="26"/>
      <c r="F213" s="26"/>
      <c r="K213" s="27"/>
      <c r="L213" s="27"/>
    </row>
    <row r="214" spans="1:12" s="8" customFormat="1">
      <c r="A214" s="26"/>
      <c r="B214" s="26"/>
      <c r="C214" s="26"/>
      <c r="D214" s="26"/>
      <c r="E214" s="26"/>
      <c r="F214" s="26"/>
      <c r="K214" s="27"/>
      <c r="L214" s="27"/>
    </row>
    <row r="215" spans="1:12" s="8" customFormat="1">
      <c r="A215" s="26"/>
      <c r="B215" s="26"/>
      <c r="C215" s="26"/>
      <c r="D215" s="26"/>
      <c r="E215" s="26"/>
      <c r="F215" s="26"/>
      <c r="K215" s="27"/>
      <c r="L215" s="27"/>
    </row>
    <row r="216" spans="1:12" s="8" customFormat="1">
      <c r="A216" s="26"/>
      <c r="B216" s="26"/>
      <c r="C216" s="26"/>
      <c r="D216" s="26"/>
      <c r="E216" s="26"/>
      <c r="F216" s="26"/>
      <c r="K216" s="27"/>
      <c r="L216" s="27"/>
    </row>
    <row r="217" spans="1:12" s="8" customFormat="1">
      <c r="A217" s="26"/>
      <c r="B217" s="26"/>
      <c r="C217" s="26"/>
      <c r="D217" s="26"/>
      <c r="E217" s="26"/>
      <c r="F217" s="26"/>
      <c r="K217" s="27"/>
      <c r="L217" s="27"/>
    </row>
    <row r="218" spans="1:12" s="8" customFormat="1">
      <c r="A218" s="26"/>
      <c r="B218" s="26"/>
      <c r="C218" s="26"/>
      <c r="D218" s="26"/>
      <c r="E218" s="26"/>
      <c r="F218" s="26"/>
      <c r="K218" s="27"/>
      <c r="L218" s="27"/>
    </row>
    <row r="219" spans="1:12" s="8" customFormat="1">
      <c r="A219" s="26"/>
      <c r="B219" s="26"/>
      <c r="C219" s="26"/>
      <c r="D219" s="26"/>
      <c r="E219" s="26"/>
      <c r="F219" s="26"/>
      <c r="K219" s="27"/>
      <c r="L219" s="27"/>
    </row>
    <row r="220" spans="1:12" s="8" customFormat="1">
      <c r="A220" s="26"/>
      <c r="B220" s="26"/>
      <c r="C220" s="26"/>
      <c r="D220" s="26"/>
      <c r="E220" s="26"/>
      <c r="F220" s="26"/>
      <c r="K220" s="27"/>
      <c r="L220" s="27"/>
    </row>
    <row r="221" spans="1:12" s="8" customFormat="1">
      <c r="A221" s="26"/>
      <c r="B221" s="26"/>
      <c r="C221" s="26"/>
      <c r="D221" s="26"/>
      <c r="E221" s="26"/>
      <c r="F221" s="26"/>
      <c r="K221" s="27"/>
      <c r="L221" s="27"/>
    </row>
    <row r="222" spans="1:12" s="8" customFormat="1">
      <c r="A222" s="26"/>
      <c r="B222" s="26"/>
      <c r="C222" s="26"/>
      <c r="D222" s="26"/>
      <c r="E222" s="26"/>
      <c r="F222" s="26"/>
      <c r="K222" s="27"/>
      <c r="L222" s="27"/>
    </row>
    <row r="223" spans="1:12" s="8" customFormat="1">
      <c r="A223" s="26"/>
      <c r="B223" s="26"/>
      <c r="C223" s="26"/>
      <c r="D223" s="26"/>
      <c r="E223" s="26"/>
      <c r="F223" s="26"/>
      <c r="K223" s="27"/>
      <c r="L223" s="27"/>
    </row>
    <row r="224" spans="1:12" s="8" customFormat="1">
      <c r="A224" s="26"/>
      <c r="B224" s="26"/>
      <c r="C224" s="26"/>
      <c r="D224" s="26"/>
      <c r="E224" s="26"/>
      <c r="F224" s="26"/>
      <c r="K224" s="27"/>
      <c r="L224" s="27"/>
    </row>
    <row r="225" spans="1:12" s="8" customFormat="1">
      <c r="A225" s="26"/>
      <c r="B225" s="26"/>
      <c r="C225" s="26"/>
      <c r="D225" s="26"/>
      <c r="E225" s="26"/>
      <c r="F225" s="26"/>
      <c r="K225" s="27"/>
      <c r="L225" s="27"/>
    </row>
    <row r="226" spans="1:12" s="8" customFormat="1">
      <c r="A226" s="87"/>
      <c r="B226" s="29"/>
      <c r="C226" s="29"/>
      <c r="D226" s="29"/>
      <c r="E226" s="29"/>
      <c r="F226" s="29"/>
    </row>
    <row r="227" spans="1:12" s="8" customFormat="1">
      <c r="A227" s="87"/>
      <c r="B227" s="29"/>
      <c r="C227" s="29"/>
      <c r="D227" s="29"/>
      <c r="E227" s="29"/>
      <c r="F227" s="29"/>
    </row>
    <row r="228" spans="1:12" s="8" customFormat="1">
      <c r="A228" s="26"/>
      <c r="B228" s="26"/>
      <c r="C228" s="26"/>
      <c r="D228" s="26"/>
      <c r="E228" s="26"/>
      <c r="F228" s="26"/>
      <c r="K228" s="27"/>
      <c r="L228" s="27"/>
    </row>
    <row r="229" spans="1:12" s="8" customFormat="1">
      <c r="A229" s="26"/>
      <c r="B229" s="26"/>
      <c r="C229" s="26"/>
      <c r="D229" s="26"/>
      <c r="E229" s="26"/>
      <c r="F229" s="26"/>
      <c r="K229" s="27"/>
      <c r="L229" s="27"/>
    </row>
    <row r="230" spans="1:12" s="8" customFormat="1">
      <c r="A230" s="26"/>
      <c r="B230" s="26"/>
      <c r="C230" s="26"/>
      <c r="D230" s="26"/>
      <c r="E230" s="26"/>
      <c r="F230" s="26"/>
      <c r="K230" s="27"/>
      <c r="L230" s="27"/>
    </row>
    <row r="231" spans="1:12" s="8" customFormat="1">
      <c r="A231" s="26"/>
      <c r="B231" s="26"/>
      <c r="C231" s="26"/>
      <c r="D231" s="26"/>
      <c r="E231" s="26"/>
      <c r="F231" s="26"/>
      <c r="K231" s="27"/>
      <c r="L231" s="27"/>
    </row>
    <row r="232" spans="1:12" s="8" customFormat="1">
      <c r="A232" s="26"/>
      <c r="B232" s="26"/>
      <c r="C232" s="26"/>
      <c r="D232" s="26"/>
      <c r="E232" s="26"/>
      <c r="F232" s="26"/>
    </row>
    <row r="233" spans="1:12">
      <c r="A233" s="28"/>
      <c r="B233" s="28"/>
      <c r="C233" s="28"/>
      <c r="D233" s="28"/>
      <c r="E233" s="28"/>
      <c r="F233" s="28"/>
    </row>
  </sheetData>
  <mergeCells count="251">
    <mergeCell ref="A2:H2"/>
    <mergeCell ref="I2:Q2"/>
    <mergeCell ref="B87:B88"/>
    <mergeCell ref="C87:C88"/>
    <mergeCell ref="D87:D88"/>
    <mergeCell ref="E87:E88"/>
    <mergeCell ref="F87:F88"/>
    <mergeCell ref="B44:B45"/>
    <mergeCell ref="C44:C45"/>
    <mergeCell ref="D44:D45"/>
    <mergeCell ref="A204:A205"/>
    <mergeCell ref="B102:B103"/>
    <mergeCell ref="C102:C103"/>
    <mergeCell ref="D102:D103"/>
    <mergeCell ref="E102:E103"/>
    <mergeCell ref="A211:A212"/>
    <mergeCell ref="A226:A227"/>
    <mergeCell ref="A182:A183"/>
    <mergeCell ref="A187:A188"/>
    <mergeCell ref="K127:L129"/>
    <mergeCell ref="M127:N129"/>
    <mergeCell ref="G129:H129"/>
    <mergeCell ref="I129:J129"/>
    <mergeCell ref="M63:M64"/>
    <mergeCell ref="N63:N64"/>
    <mergeCell ref="M44:M45"/>
    <mergeCell ref="N44:N45"/>
    <mergeCell ref="N51:N52"/>
    <mergeCell ref="A194:A195"/>
    <mergeCell ref="M17:M18"/>
    <mergeCell ref="N17:N18"/>
    <mergeCell ref="B17:B18"/>
    <mergeCell ref="B31:B32"/>
    <mergeCell ref="C31:C32"/>
    <mergeCell ref="D31:D32"/>
    <mergeCell ref="E31:E32"/>
    <mergeCell ref="A168:A169"/>
    <mergeCell ref="A175:A176"/>
    <mergeCell ref="L133:L135"/>
    <mergeCell ref="M133:M135"/>
    <mergeCell ref="A142:A143"/>
    <mergeCell ref="K133:K135"/>
    <mergeCell ref="G133:G135"/>
    <mergeCell ref="H133:H135"/>
    <mergeCell ref="I133:I135"/>
    <mergeCell ref="J133:J135"/>
    <mergeCell ref="N133:N135"/>
    <mergeCell ref="A123:K125"/>
    <mergeCell ref="L123:N125"/>
    <mergeCell ref="K126:N126"/>
    <mergeCell ref="A127:A130"/>
    <mergeCell ref="G127:J128"/>
    <mergeCell ref="A155:A156"/>
    <mergeCell ref="A161:A162"/>
    <mergeCell ref="E7:E8"/>
    <mergeCell ref="D7:D8"/>
    <mergeCell ref="C7:C8"/>
    <mergeCell ref="A133:A135"/>
    <mergeCell ref="A80:A81"/>
    <mergeCell ref="E9:E10"/>
    <mergeCell ref="A7:A8"/>
    <mergeCell ref="B37:B38"/>
    <mergeCell ref="C37:C38"/>
    <mergeCell ref="D37:D38"/>
    <mergeCell ref="E37:E38"/>
    <mergeCell ref="A9:A10"/>
    <mergeCell ref="E17:E18"/>
    <mergeCell ref="B70:B71"/>
    <mergeCell ref="C70:C71"/>
    <mergeCell ref="D70:D71"/>
    <mergeCell ref="E70:E71"/>
    <mergeCell ref="B63:B64"/>
    <mergeCell ref="C63:C64"/>
    <mergeCell ref="D63:D64"/>
    <mergeCell ref="E63:E64"/>
    <mergeCell ref="D9:D10"/>
    <mergeCell ref="P108:Q108"/>
    <mergeCell ref="A112:J112"/>
    <mergeCell ref="O112:Q112"/>
    <mergeCell ref="F102:F103"/>
    <mergeCell ref="A102:A103"/>
    <mergeCell ref="G102:G103"/>
    <mergeCell ref="A113:J113"/>
    <mergeCell ref="O113:Q113"/>
    <mergeCell ref="F4:F6"/>
    <mergeCell ref="F31:F32"/>
    <mergeCell ref="F7:F8"/>
    <mergeCell ref="F63:F64"/>
    <mergeCell ref="F70:F71"/>
    <mergeCell ref="B4:E4"/>
    <mergeCell ref="B5:B6"/>
    <mergeCell ref="C5:C6"/>
    <mergeCell ref="C9:C10"/>
    <mergeCell ref="B9:B10"/>
    <mergeCell ref="D5:D6"/>
    <mergeCell ref="E5:E6"/>
    <mergeCell ref="B7:B8"/>
    <mergeCell ref="E44:E45"/>
    <mergeCell ref="F44:F45"/>
    <mergeCell ref="B51:B52"/>
    <mergeCell ref="H102:H103"/>
    <mergeCell ref="I102:I103"/>
    <mergeCell ref="O80:Q81"/>
    <mergeCell ref="A87:A88"/>
    <mergeCell ref="G87:G88"/>
    <mergeCell ref="K102:K103"/>
    <mergeCell ref="L102:L103"/>
    <mergeCell ref="M102:M103"/>
    <mergeCell ref="J102:J103"/>
    <mergeCell ref="O102:Q103"/>
    <mergeCell ref="N102:N103"/>
    <mergeCell ref="M87:M88"/>
    <mergeCell ref="N87:N88"/>
    <mergeCell ref="O87:Q88"/>
    <mergeCell ref="H87:H88"/>
    <mergeCell ref="B80:B81"/>
    <mergeCell ref="C80:C81"/>
    <mergeCell ref="G80:G81"/>
    <mergeCell ref="H80:H81"/>
    <mergeCell ref="I80:I81"/>
    <mergeCell ref="J80:J81"/>
    <mergeCell ref="D80:D81"/>
    <mergeCell ref="E80:E81"/>
    <mergeCell ref="F80:F81"/>
    <mergeCell ref="M80:M81"/>
    <mergeCell ref="N80:N81"/>
    <mergeCell ref="N70:N71"/>
    <mergeCell ref="L87:L88"/>
    <mergeCell ref="K80:K81"/>
    <mergeCell ref="L80:L81"/>
    <mergeCell ref="I87:I88"/>
    <mergeCell ref="J87:J88"/>
    <mergeCell ref="K87:K88"/>
    <mergeCell ref="A70:A71"/>
    <mergeCell ref="G70:G71"/>
    <mergeCell ref="H70:H71"/>
    <mergeCell ref="I70:I71"/>
    <mergeCell ref="J70:J71"/>
    <mergeCell ref="O70:Q71"/>
    <mergeCell ref="K70:K71"/>
    <mergeCell ref="L70:L71"/>
    <mergeCell ref="M70:M71"/>
    <mergeCell ref="O58:Q59"/>
    <mergeCell ref="A63:A64"/>
    <mergeCell ref="G63:G64"/>
    <mergeCell ref="H63:H64"/>
    <mergeCell ref="I63:I64"/>
    <mergeCell ref="J63:J64"/>
    <mergeCell ref="K63:K64"/>
    <mergeCell ref="L63:L64"/>
    <mergeCell ref="A58:A59"/>
    <mergeCell ref="G58:G59"/>
    <mergeCell ref="O63:Q64"/>
    <mergeCell ref="L58:L59"/>
    <mergeCell ref="M58:M59"/>
    <mergeCell ref="N58:N59"/>
    <mergeCell ref="B58:B59"/>
    <mergeCell ref="C58:C59"/>
    <mergeCell ref="D58:D59"/>
    <mergeCell ref="E58:E59"/>
    <mergeCell ref="F58:F59"/>
    <mergeCell ref="H58:H59"/>
    <mergeCell ref="I58:I59"/>
    <mergeCell ref="J58:J59"/>
    <mergeCell ref="K58:K59"/>
    <mergeCell ref="O44:Q45"/>
    <mergeCell ref="A51:A52"/>
    <mergeCell ref="G51:G52"/>
    <mergeCell ref="H51:H52"/>
    <mergeCell ref="I51:I52"/>
    <mergeCell ref="J51:J52"/>
    <mergeCell ref="O51:Q52"/>
    <mergeCell ref="K51:K52"/>
    <mergeCell ref="L51:L52"/>
    <mergeCell ref="M51:M52"/>
    <mergeCell ref="C51:C52"/>
    <mergeCell ref="D51:D52"/>
    <mergeCell ref="E51:E52"/>
    <mergeCell ref="F51:F52"/>
    <mergeCell ref="A44:A45"/>
    <mergeCell ref="G44:G45"/>
    <mergeCell ref="H44:H45"/>
    <mergeCell ref="I44:I45"/>
    <mergeCell ref="J44:J45"/>
    <mergeCell ref="K44:K45"/>
    <mergeCell ref="L44:L45"/>
    <mergeCell ref="A37:A38"/>
    <mergeCell ref="G37:G38"/>
    <mergeCell ref="L37:L38"/>
    <mergeCell ref="M37:M38"/>
    <mergeCell ref="N37:N38"/>
    <mergeCell ref="F37:F38"/>
    <mergeCell ref="H37:H38"/>
    <mergeCell ref="I37:I38"/>
    <mergeCell ref="J37:J38"/>
    <mergeCell ref="K37:K38"/>
    <mergeCell ref="O37:Q38"/>
    <mergeCell ref="G17:G18"/>
    <mergeCell ref="H17:H18"/>
    <mergeCell ref="I17:I18"/>
    <mergeCell ref="J17:J18"/>
    <mergeCell ref="K17:K18"/>
    <mergeCell ref="F17:F18"/>
    <mergeCell ref="G9:G10"/>
    <mergeCell ref="O17:Q18"/>
    <mergeCell ref="A31:A32"/>
    <mergeCell ref="G31:G32"/>
    <mergeCell ref="H31:H32"/>
    <mergeCell ref="I31:I32"/>
    <mergeCell ref="J31:J32"/>
    <mergeCell ref="D17:D18"/>
    <mergeCell ref="C17:C18"/>
    <mergeCell ref="A17:A18"/>
    <mergeCell ref="O31:Q32"/>
    <mergeCell ref="K31:K32"/>
    <mergeCell ref="L31:L32"/>
    <mergeCell ref="M31:M32"/>
    <mergeCell ref="N31:N32"/>
    <mergeCell ref="O9:Q10"/>
    <mergeCell ref="L17:L18"/>
    <mergeCell ref="N9:N10"/>
    <mergeCell ref="L9:L10"/>
    <mergeCell ref="M9:M10"/>
    <mergeCell ref="F9:F10"/>
    <mergeCell ref="H9:H10"/>
    <mergeCell ref="I9:I10"/>
    <mergeCell ref="J9:J10"/>
    <mergeCell ref="K9:K10"/>
    <mergeCell ref="G7:G8"/>
    <mergeCell ref="H7:H8"/>
    <mergeCell ref="I7:I8"/>
    <mergeCell ref="J7:J8"/>
    <mergeCell ref="L3:N3"/>
    <mergeCell ref="P3:Q3"/>
    <mergeCell ref="A4:A6"/>
    <mergeCell ref="O4:Q6"/>
    <mergeCell ref="G4:J4"/>
    <mergeCell ref="K4:N4"/>
    <mergeCell ref="G5:G6"/>
    <mergeCell ref="H5:H6"/>
    <mergeCell ref="I5:I6"/>
    <mergeCell ref="J5:J6"/>
    <mergeCell ref="K5:K6"/>
    <mergeCell ref="L5:L6"/>
    <mergeCell ref="O7:Q8"/>
    <mergeCell ref="K7:K8"/>
    <mergeCell ref="L7:L8"/>
    <mergeCell ref="M7:M8"/>
    <mergeCell ref="N7:N8"/>
    <mergeCell ref="M5:M6"/>
    <mergeCell ref="N5:N6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G9:N107" formula="1"/>
    <ignoredError sqref="B22:F10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2017-01-20T15:12:09Z</dcterms:modified>
</cp:coreProperties>
</file>