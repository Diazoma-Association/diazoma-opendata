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D8" i="1"/>
  <c r="E8"/>
  <c r="F8"/>
  <c r="G8"/>
  <c r="H8"/>
  <c r="I8"/>
  <c r="J8"/>
  <c r="K8"/>
  <c r="L8"/>
  <c r="M8"/>
  <c r="N8"/>
  <c r="O8"/>
  <c r="C8"/>
  <c r="B8"/>
  <c r="C108"/>
  <c r="C107"/>
  <c r="C106"/>
  <c r="C105"/>
  <c r="C102"/>
  <c r="C101"/>
  <c r="C100"/>
  <c r="C99"/>
  <c r="C98"/>
  <c r="C97"/>
  <c r="C96"/>
  <c r="C95"/>
  <c r="C94"/>
  <c r="C93"/>
  <c r="C92"/>
  <c r="C91"/>
  <c r="C90"/>
  <c r="C87"/>
  <c r="C86"/>
  <c r="C85"/>
  <c r="C84"/>
  <c r="C83"/>
  <c r="C80"/>
  <c r="C79"/>
  <c r="C78"/>
  <c r="C77"/>
  <c r="C76"/>
  <c r="C75"/>
  <c r="C74"/>
  <c r="C73"/>
  <c r="C70"/>
  <c r="C69"/>
  <c r="C68"/>
  <c r="C67"/>
  <c r="C66"/>
  <c r="C63"/>
  <c r="C62"/>
  <c r="C61"/>
  <c r="C58"/>
  <c r="C57"/>
  <c r="C56"/>
  <c r="C55"/>
  <c r="C54"/>
  <c r="C51"/>
  <c r="C50"/>
  <c r="C49"/>
  <c r="C48"/>
  <c r="C47"/>
  <c r="C44"/>
  <c r="C43"/>
  <c r="C42"/>
  <c r="C41"/>
  <c r="C40"/>
  <c r="C37"/>
  <c r="C36"/>
  <c r="C35"/>
  <c r="C34"/>
  <c r="C31"/>
  <c r="C30"/>
  <c r="C29"/>
  <c r="C28"/>
  <c r="C26"/>
  <c r="C25"/>
  <c r="C24"/>
  <c r="C23"/>
  <c r="C22"/>
  <c r="C21"/>
  <c r="C20"/>
  <c r="C17"/>
  <c r="C16"/>
  <c r="C15"/>
  <c r="C14"/>
  <c r="C13"/>
  <c r="O103"/>
  <c r="N103"/>
  <c r="M103"/>
  <c r="K103"/>
  <c r="J103"/>
  <c r="H103" s="1"/>
  <c r="I103"/>
  <c r="O88"/>
  <c r="N88"/>
  <c r="M88"/>
  <c r="L88" s="1"/>
  <c r="K88"/>
  <c r="J88"/>
  <c r="H88" s="1"/>
  <c r="I88"/>
  <c r="O81"/>
  <c r="N81"/>
  <c r="M81"/>
  <c r="L81" s="1"/>
  <c r="K81"/>
  <c r="J81"/>
  <c r="H81" s="1"/>
  <c r="I81"/>
  <c r="O71"/>
  <c r="N71"/>
  <c r="M71"/>
  <c r="L71" s="1"/>
  <c r="K71"/>
  <c r="J71"/>
  <c r="H71" s="1"/>
  <c r="I71"/>
  <c r="O64"/>
  <c r="N64"/>
  <c r="M64"/>
  <c r="K64"/>
  <c r="J64"/>
  <c r="I64"/>
  <c r="O59"/>
  <c r="N59"/>
  <c r="M59"/>
  <c r="K59"/>
  <c r="J59"/>
  <c r="I59"/>
  <c r="O52"/>
  <c r="N52"/>
  <c r="M52"/>
  <c r="L52" s="1"/>
  <c r="K52"/>
  <c r="J52"/>
  <c r="H52" s="1"/>
  <c r="I52"/>
  <c r="O45"/>
  <c r="N45"/>
  <c r="M45"/>
  <c r="K45"/>
  <c r="J45"/>
  <c r="I45"/>
  <c r="O38"/>
  <c r="N38"/>
  <c r="M38"/>
  <c r="L38" s="1"/>
  <c r="K38"/>
  <c r="J38"/>
  <c r="I38"/>
  <c r="O32"/>
  <c r="N32"/>
  <c r="M32"/>
  <c r="K32"/>
  <c r="J32"/>
  <c r="I32"/>
  <c r="O27"/>
  <c r="N27"/>
  <c r="M27"/>
  <c r="K27"/>
  <c r="J27"/>
  <c r="I27"/>
  <c r="O18"/>
  <c r="N18"/>
  <c r="M18"/>
  <c r="K18"/>
  <c r="J18"/>
  <c r="I18"/>
  <c r="L103"/>
  <c r="L45"/>
  <c r="L108"/>
  <c r="L107"/>
  <c r="L106"/>
  <c r="L105"/>
  <c r="L102"/>
  <c r="L101"/>
  <c r="L100"/>
  <c r="L99"/>
  <c r="L98"/>
  <c r="L97"/>
  <c r="L96"/>
  <c r="L95"/>
  <c r="L94"/>
  <c r="L93"/>
  <c r="L92"/>
  <c r="L91"/>
  <c r="L90"/>
  <c r="L87"/>
  <c r="L86"/>
  <c r="L85"/>
  <c r="L84"/>
  <c r="L83"/>
  <c r="L80"/>
  <c r="L79"/>
  <c r="B79" s="1"/>
  <c r="L78"/>
  <c r="L77"/>
  <c r="B77" s="1"/>
  <c r="L76"/>
  <c r="L75"/>
  <c r="L74"/>
  <c r="L73"/>
  <c r="L70"/>
  <c r="L69"/>
  <c r="L68"/>
  <c r="L67"/>
  <c r="L66"/>
  <c r="L63"/>
  <c r="L62"/>
  <c r="L61"/>
  <c r="L58"/>
  <c r="L57"/>
  <c r="L56"/>
  <c r="L55"/>
  <c r="L54"/>
  <c r="L51"/>
  <c r="L50"/>
  <c r="L49"/>
  <c r="L48"/>
  <c r="L47"/>
  <c r="L44"/>
  <c r="L43"/>
  <c r="L42"/>
  <c r="L41"/>
  <c r="L40"/>
  <c r="L37"/>
  <c r="L36"/>
  <c r="L35"/>
  <c r="L34"/>
  <c r="L31"/>
  <c r="L30"/>
  <c r="L29"/>
  <c r="L28"/>
  <c r="L26"/>
  <c r="L25"/>
  <c r="L24"/>
  <c r="L23"/>
  <c r="L22"/>
  <c r="L21"/>
  <c r="L20"/>
  <c r="L17"/>
  <c r="L16"/>
  <c r="L15"/>
  <c r="L14"/>
  <c r="L13"/>
  <c r="H108"/>
  <c r="H107"/>
  <c r="H106"/>
  <c r="H105"/>
  <c r="H102"/>
  <c r="H101"/>
  <c r="H100"/>
  <c r="H99"/>
  <c r="H98"/>
  <c r="H97"/>
  <c r="H96"/>
  <c r="H95"/>
  <c r="H94"/>
  <c r="H93"/>
  <c r="H92"/>
  <c r="H91"/>
  <c r="H90"/>
  <c r="H87"/>
  <c r="H86"/>
  <c r="H85"/>
  <c r="H84"/>
  <c r="H83"/>
  <c r="H80"/>
  <c r="H79"/>
  <c r="H78"/>
  <c r="H77"/>
  <c r="H76"/>
  <c r="H75"/>
  <c r="H74"/>
  <c r="H73"/>
  <c r="H70"/>
  <c r="H69"/>
  <c r="H68"/>
  <c r="H67"/>
  <c r="H66"/>
  <c r="H63"/>
  <c r="H62"/>
  <c r="H61"/>
  <c r="H58"/>
  <c r="H57"/>
  <c r="B57" s="1"/>
  <c r="H56"/>
  <c r="H55"/>
  <c r="B55" s="1"/>
  <c r="H54"/>
  <c r="H51"/>
  <c r="H50"/>
  <c r="H49"/>
  <c r="H48"/>
  <c r="H47"/>
  <c r="H44"/>
  <c r="H43"/>
  <c r="H42"/>
  <c r="H41"/>
  <c r="H40"/>
  <c r="H37"/>
  <c r="H36"/>
  <c r="H35"/>
  <c r="H34"/>
  <c r="H31"/>
  <c r="H30"/>
  <c r="H29"/>
  <c r="H28"/>
  <c r="H26"/>
  <c r="H25"/>
  <c r="H24"/>
  <c r="H23"/>
  <c r="H22"/>
  <c r="H21"/>
  <c r="H20"/>
  <c r="H17"/>
  <c r="H16"/>
  <c r="H15"/>
  <c r="H14"/>
  <c r="H13"/>
  <c r="H12"/>
  <c r="H64"/>
  <c r="H59"/>
  <c r="H45"/>
  <c r="H32"/>
  <c r="J10"/>
  <c r="O10"/>
  <c r="N10"/>
  <c r="M10"/>
  <c r="L10" s="1"/>
  <c r="K10"/>
  <c r="I10"/>
  <c r="H10" s="1"/>
  <c r="E103"/>
  <c r="F103"/>
  <c r="G103"/>
  <c r="D103"/>
  <c r="E88"/>
  <c r="F88"/>
  <c r="G88"/>
  <c r="D88"/>
  <c r="E81"/>
  <c r="F81"/>
  <c r="D81"/>
  <c r="C81" s="1"/>
  <c r="E71"/>
  <c r="F71"/>
  <c r="G71"/>
  <c r="D71"/>
  <c r="E64"/>
  <c r="F64"/>
  <c r="G64"/>
  <c r="D64"/>
  <c r="C64" s="1"/>
  <c r="E59"/>
  <c r="F59"/>
  <c r="G59"/>
  <c r="D59"/>
  <c r="E52"/>
  <c r="F52"/>
  <c r="G52"/>
  <c r="D52"/>
  <c r="E45"/>
  <c r="F45"/>
  <c r="G45"/>
  <c r="D45"/>
  <c r="E38"/>
  <c r="F38"/>
  <c r="G38"/>
  <c r="D38"/>
  <c r="G32"/>
  <c r="E32"/>
  <c r="F32"/>
  <c r="D32"/>
  <c r="G10"/>
  <c r="G18"/>
  <c r="G27"/>
  <c r="E27"/>
  <c r="F27"/>
  <c r="D27"/>
  <c r="E18"/>
  <c r="F18"/>
  <c r="D18"/>
  <c r="C18" s="1"/>
  <c r="E10"/>
  <c r="F10"/>
  <c r="C10" s="1"/>
  <c r="D10"/>
  <c r="C52"/>
  <c r="C27"/>
  <c r="B28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5"/>
  <c r="B83"/>
  <c r="B80"/>
  <c r="B78"/>
  <c r="B76"/>
  <c r="B75"/>
  <c r="B74"/>
  <c r="B73"/>
  <c r="B70"/>
  <c r="B69"/>
  <c r="B68"/>
  <c r="B67"/>
  <c r="B66"/>
  <c r="B63"/>
  <c r="B62"/>
  <c r="B61"/>
  <c r="B58"/>
  <c r="B56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6"/>
  <c r="B25"/>
  <c r="B24"/>
  <c r="B23"/>
  <c r="B22"/>
  <c r="B21"/>
  <c r="B20"/>
  <c r="B17"/>
  <c r="B16"/>
  <c r="B15"/>
  <c r="B14"/>
  <c r="B13"/>
  <c r="L12"/>
  <c r="C12"/>
  <c r="C88" l="1"/>
  <c r="B84"/>
  <c r="B86"/>
  <c r="L64"/>
  <c r="C45"/>
  <c r="H38"/>
  <c r="C38"/>
  <c r="L32"/>
  <c r="C32"/>
  <c r="L27"/>
  <c r="H27"/>
  <c r="L18"/>
  <c r="H18"/>
  <c r="B88"/>
  <c r="B81"/>
  <c r="L59"/>
  <c r="B45"/>
  <c r="C103"/>
  <c r="B103" s="1"/>
  <c r="C71"/>
  <c r="B64"/>
  <c r="C59"/>
  <c r="B38"/>
  <c r="B32"/>
  <c r="B18"/>
  <c r="B12"/>
  <c r="B59"/>
  <c r="B52"/>
  <c r="B27"/>
  <c r="B71"/>
  <c r="B10"/>
</calcChain>
</file>

<file path=xl/sharedStrings.xml><?xml version="1.0" encoding="utf-8"?>
<sst xmlns="http://schemas.openxmlformats.org/spreadsheetml/2006/main" count="202" uniqueCount="197">
  <si>
    <t xml:space="preserve">Περιφέρειες και Περιφερειακές Ενότητες      </t>
  </si>
  <si>
    <t>Regions and Regional Unities (NUTS 2)</t>
  </si>
  <si>
    <r>
      <t>Σύνολο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    Total</t>
    </r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</si>
  <si>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</si>
  <si>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</si>
  <si>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</si>
  <si>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</si>
  <si>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</si>
  <si>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</si>
  <si>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</si>
  <si>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</si>
  <si>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</si>
  <si>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</si>
  <si>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</si>
  <si>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</si>
  <si>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</si>
  <si>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</si>
  <si>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</si>
  <si>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</si>
  <si>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</si>
  <si>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</si>
  <si>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</si>
  <si>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</si>
  <si>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</si>
  <si>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</si>
  <si>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</si>
  <si>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</si>
  <si>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</si>
  <si>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</si>
  <si>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</si>
  <si>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</si>
  <si>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</si>
  <si>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</si>
  <si>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</si>
  <si>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</si>
  <si>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</si>
  <si>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</si>
  <si>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</si>
  <si>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</si>
  <si>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</si>
  <si>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</si>
  <si>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</si>
  <si>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</si>
  <si>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</si>
  <si>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</si>
  <si>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</si>
  <si>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</si>
  <si>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</si>
  <si>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</si>
  <si>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</si>
  <si>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</si>
  <si>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</si>
  <si>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</si>
  <si>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</si>
  <si>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</si>
  <si>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</si>
  <si>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</si>
  <si>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</si>
  <si>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</si>
  <si>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</si>
  <si>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</si>
  <si>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</si>
  <si>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</si>
  <si>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</si>
  <si>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</si>
  <si>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</si>
  <si>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</si>
  <si>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</si>
  <si>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</si>
  <si>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</si>
  <si>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</si>
  <si>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</si>
  <si>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</si>
  <si>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</si>
  <si>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</si>
  <si>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</si>
  <si>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</si>
  <si>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</si>
  <si>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</si>
  <si>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</si>
  <si>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</si>
  <si>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</si>
  <si>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</si>
  <si>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</si>
  <si>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</si>
  <si>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</si>
  <si>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</si>
  <si>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</si>
  <si>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</si>
  <si>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</si>
  <si>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</si>
  <si>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</si>
  <si>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</si>
  <si>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</si>
  <si>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</si>
  <si>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</si>
  <si>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</si>
  <si>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</si>
  <si>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</si>
  <si>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</si>
  <si>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</si>
  <si>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</si>
  <si>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</si>
  <si>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</si>
  <si>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</si>
  <si>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</si>
  <si>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</si>
  <si>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</si>
  <si>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</si>
  <si>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</si>
  <si>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</si>
  <si>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</si>
  <si>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</si>
  <si>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</si>
  <si>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Γενικό σύνολο γάλακτος Grand Total of milk</t>
  </si>
  <si>
    <t>Γάλα αγελάδων - Milk from cows</t>
  </si>
  <si>
    <t>Εγχώριων αβελτίωτων Local unimproved</t>
  </si>
  <si>
    <t>Εγχώριων βελτιωμένων Local improved</t>
  </si>
  <si>
    <t>Ξενικών Foreign</t>
  </si>
  <si>
    <t>Γάλα βουβαλιών Milk form buffaloes</t>
  </si>
  <si>
    <t>Γάλα προβάτων - Milk from sheep</t>
  </si>
  <si>
    <t>Οικόσιτων Domestic</t>
  </si>
  <si>
    <t>Κοπαδιάρικων In flock</t>
  </si>
  <si>
    <t>Νομαδικών Nomadic</t>
  </si>
  <si>
    <t>Γάλα αιγών - Milk from goats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</si>
  <si>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</si>
  <si>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</si>
  <si>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</si>
  <si>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</si>
  <si>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</si>
  <si>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</si>
  <si>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</si>
  <si>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</si>
  <si>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</si>
  <si>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</si>
  <si>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</si>
  <si>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</si>
  <si>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</si>
  <si>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</si>
  <si>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</si>
  <si>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</si>
  <si>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</si>
  <si>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</si>
  <si>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</si>
  <si>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</si>
  <si>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</si>
  <si>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</si>
  <si>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</si>
  <si>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</si>
  <si>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</si>
  <si>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</si>
  <si>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</si>
  <si>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</si>
  <si>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</si>
  <si>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</si>
  <si>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</si>
  <si>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</si>
  <si>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</si>
  <si>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</si>
  <si>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</si>
  <si>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</si>
  <si>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</si>
  <si>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</si>
  <si>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</si>
  <si>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</si>
  <si>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</si>
  <si>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</si>
  <si>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</si>
  <si>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</si>
  <si>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</si>
  <si>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</si>
  <si>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</si>
  <si>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</si>
  <si>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</si>
  <si>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</si>
  <si>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</si>
  <si>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</si>
  <si>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</si>
  <si>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</si>
  <si>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</si>
  <si>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</si>
  <si>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</si>
  <si>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</si>
  <si>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</si>
  <si>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</si>
  <si>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</si>
  <si>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</si>
  <si>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</si>
  <si>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</si>
  <si>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</si>
  <si>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</si>
  <si>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</si>
  <si>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</si>
  <si>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</si>
  <si>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Πίνακας 7α. Παραγωγή γάλακτος, κατά Περιφέρεια και Περιφερειακή Ενότητα: 2013</t>
  </si>
  <si>
    <t>Table 7a. Milk production, by Region and Regional Unity: 2013</t>
  </si>
  <si>
    <t>Σε τόνους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</si>
</sst>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8" fillId="0" borderId="0" xfId="0" applyFont="1"/>
    <xf numFmtId="0" fontId="8" fillId="0" borderId="0" xfId="0" applyFont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8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3" fontId="3" fillId="0" borderId="2" xfId="0" applyNumberFormat="1" applyFont="1" applyFill="1" applyBorder="1" applyAlignment="1" applyProtection="1">
      <alignment horizontal="right" vertical="center" wrapText="1"/>
    </xf>
    <xf numFmtId="3" fontId="3" fillId="0" borderId="3" xfId="0" quotePrefix="1" applyNumberFormat="1" applyFont="1" applyFill="1" applyBorder="1" applyAlignment="1" applyProtection="1">
      <alignment horizontal="right"/>
    </xf>
    <xf numFmtId="3" fontId="3" fillId="0" borderId="4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8" fillId="0" borderId="5" xfId="0" applyFont="1" applyBorder="1" applyAlignment="1">
      <alignment horizontal="left" indent="2"/>
    </xf>
    <xf numFmtId="0" fontId="8" fillId="0" borderId="0" xfId="0" applyFont="1" applyBorder="1" applyAlignment="1">
      <alignment horizontal="left"/>
    </xf>
    <xf numFmtId="3" fontId="3" fillId="0" borderId="4" xfId="0" quotePrefix="1" applyNumberFormat="1" applyFont="1" applyFill="1" applyBorder="1" applyAlignment="1" applyProtection="1">
      <alignment horizontal="right"/>
    </xf>
    <xf numFmtId="49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0" fontId="8" fillId="0" borderId="6" xfId="0" applyFont="1" applyBorder="1" applyAlignment="1">
      <alignment horizontal="left" indent="2"/>
    </xf>
    <xf numFmtId="0" fontId="8" fillId="0" borderId="1" xfId="0" applyFont="1" applyBorder="1" applyAlignment="1">
      <alignment horizontal="left"/>
    </xf>
    <xf numFmtId="49" fontId="3" fillId="0" borderId="7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10" fillId="0" borderId="0" xfId="0" applyFont="1" applyBorder="1"/>
    <xf numFmtId="0" fontId="7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8" fillId="0" borderId="0" xfId="0" applyNumberFormat="1" applyFont="1" applyBorder="1"/>
    <xf numFmtId="0" fontId="6" fillId="0" borderId="0" xfId="0" applyNumberFormat="1" applyFont="1" applyFill="1" applyBorder="1" applyAlignment="1" applyProtection="1"/>
    <xf numFmtId="49" fontId="8" fillId="0" borderId="0" xfId="0" applyNumberFormat="1" applyFont="1"/>
    <xf numFmtId="0" fontId="1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vertical="center" wrapText="1"/>
    </xf>
    <xf numFmtId="0" fontId="12" fillId="0" borderId="5" xfId="0" applyFont="1" applyBorder="1" applyAlignment="1">
      <alignment vertical="center"/>
    </xf>
    <xf numFmtId="3" fontId="2" fillId="0" borderId="2" xfId="0" applyNumberFormat="1" applyFont="1" applyFill="1" applyBorder="1" applyAlignment="1" applyProtection="1">
      <alignment vertical="center" wrapText="1"/>
    </xf>
    <xf numFmtId="3" fontId="2" fillId="0" borderId="3" xfId="0" quotePrefix="1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Border="1" applyAlignment="1" applyProtection="1">
      <alignment horizontal="right" vertical="center"/>
    </xf>
    <xf numFmtId="3" fontId="13" fillId="0" borderId="4" xfId="0" applyNumberFormat="1" applyFont="1" applyBorder="1"/>
    <xf numFmtId="3" fontId="3" fillId="0" borderId="1" xfId="0" applyNumberFormat="1" applyFont="1" applyFill="1" applyBorder="1" applyAlignment="1" applyProtection="1">
      <alignment horizontal="right"/>
    </xf>
    <xf numFmtId="3" fontId="3" fillId="0" borderId="3" xfId="0" quotePrefix="1" applyNumberFormat="1" applyFont="1" applyFill="1" applyBorder="1" applyAlignment="1" applyProtection="1">
      <alignment horizontal="right" vertical="center"/>
    </xf>
    <xf numFmtId="3" fontId="3" fillId="0" borderId="4" xfId="0" quotePrefix="1" applyNumberFormat="1" applyFont="1" applyFill="1" applyBorder="1" applyAlignment="1" applyProtection="1">
      <alignment horizontal="right" vertical="center"/>
    </xf>
    <xf numFmtId="3" fontId="3" fillId="0" borderId="4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13" fillId="0" borderId="0" xfId="0" applyNumberFormat="1" applyFont="1" applyBorder="1"/>
    <xf numFmtId="3" fontId="13" fillId="0" borderId="27" xfId="0" applyNumberFormat="1" applyFont="1" applyBorder="1"/>
    <xf numFmtId="3" fontId="2" fillId="0" borderId="27" xfId="0" applyNumberFormat="1" applyFont="1" applyFill="1" applyBorder="1" applyAlignment="1" applyProtection="1">
      <alignment horizontal="right" vertical="center"/>
    </xf>
    <xf numFmtId="3" fontId="3" fillId="0" borderId="27" xfId="0" quotePrefix="1" applyNumberFormat="1" applyFont="1" applyFill="1" applyBorder="1" applyAlignment="1" applyProtection="1">
      <alignment horizontal="right" vertical="center"/>
    </xf>
    <xf numFmtId="3" fontId="3" fillId="0" borderId="27" xfId="0" quotePrefix="1" applyNumberFormat="1" applyFont="1" applyFill="1" applyBorder="1" applyAlignment="1" applyProtection="1">
      <alignment horizontal="right"/>
    </xf>
    <xf numFmtId="3" fontId="3" fillId="0" borderId="28" xfId="0" applyNumberFormat="1" applyFont="1" applyFill="1" applyBorder="1" applyAlignment="1" applyProtection="1">
      <alignment horizontal="right" vertical="center" wrapText="1"/>
    </xf>
    <xf numFmtId="3" fontId="3" fillId="0" borderId="29" xfId="0" quotePrefix="1" applyNumberFormat="1" applyFont="1" applyFill="1" applyBorder="1" applyAlignment="1" applyProtection="1">
      <alignment horizontal="right"/>
    </xf>
    <xf numFmtId="3" fontId="13" fillId="0" borderId="30" xfId="0" applyNumberFormat="1" applyFont="1" applyBorder="1"/>
    <xf numFmtId="3" fontId="13" fillId="0" borderId="1" xfId="0" applyNumberFormat="1" applyFont="1" applyBorder="1"/>
    <xf numFmtId="3" fontId="3" fillId="0" borderId="30" xfId="0" applyNumberFormat="1" applyFont="1" applyFill="1" applyBorder="1" applyAlignment="1" applyProtection="1">
      <alignment horizontal="right"/>
    </xf>
    <xf numFmtId="3" fontId="13" fillId="0" borderId="31" xfId="0" applyNumberFormat="1" applyFont="1" applyBorder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left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26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0" fontId="2" fillId="0" borderId="27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 wrapText="1"/>
    </xf>
    <xf numFmtId="3" fontId="5" fillId="0" borderId="3" xfId="0" applyNumberFormat="1" applyFont="1" applyBorder="1" applyAlignment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49" fontId="2" fillId="0" borderId="11" xfId="0" applyNumberFormat="1" applyFont="1" applyFill="1" applyBorder="1" applyAlignment="1" applyProtection="1">
      <alignment horizontal="left" vertical="center" wrapText="1" indent="1"/>
    </xf>
    <xf numFmtId="49" fontId="2" fillId="0" borderId="0" xfId="0" applyNumberFormat="1" applyFont="1" applyFill="1" applyBorder="1" applyAlignment="1" applyProtection="1">
      <alignment horizontal="left" vertical="center" wrapText="1" indent="1"/>
    </xf>
    <xf numFmtId="3" fontId="5" fillId="0" borderId="4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49" fontId="2" fillId="0" borderId="10" xfId="0" applyNumberFormat="1" applyFont="1" applyFill="1" applyBorder="1" applyAlignment="1" applyProtection="1">
      <alignment horizontal="center" vertical="center" wrapText="1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3" fontId="2" fillId="0" borderId="27" xfId="0" applyNumberFormat="1" applyFont="1" applyFill="1" applyBorder="1" applyAlignment="1" applyProtection="1">
      <alignment horizontal="righ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5" fillId="0" borderId="27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lef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9"/>
  <sheetViews>
    <sheetView showGridLines="0" tabSelected="1" topLeftCell="A4" zoomScale="120" zoomScaleNormal="120" workbookViewId="0">
      <selection activeCell="P8" sqref="P8:R9"/>
    </sheetView>
  </sheetViews>
  <sheetFormatPr defaultRowHeight="10.199999999999999"/>
  <cols>
    <col min="1" max="1" width="18.5546875" style="1" customWidth="1"/>
    <col min="2" max="2" width="9.44140625" style="1" customWidth="1"/>
    <col min="3" max="8" width="10" style="1" customWidth="1"/>
    <col min="9" max="9" width="9.21875" style="1" customWidth="1"/>
    <col min="10" max="10" width="10.77734375" style="1" customWidth="1"/>
    <col min="11" max="12" width="9.21875" style="1" customWidth="1"/>
    <col min="13" max="13" width="9.77734375" style="1" customWidth="1"/>
    <col min="14" max="14" width="11.33203125" style="1" customWidth="1"/>
    <col min="15" max="16" width="9.6640625" style="1" customWidth="1"/>
    <col min="17" max="17" width="7.109375" style="1" customWidth="1"/>
    <col min="18" max="19" width="10.109375" style="1" customWidth="1"/>
    <col min="20" max="16384" width="8.88671875" style="1"/>
  </cols>
  <sheetData>
    <row r="1" spans="1:19" ht="14.4" customHeight="1">
      <c r="A1" s="54" t="s">
        <v>112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 t="s">
        <v>125</v>
      </c>
      <c r="M1" s="55"/>
      <c r="N1" s="55"/>
      <c r="O1" s="55"/>
      <c r="P1" s="55"/>
      <c r="Q1" s="55"/>
      <c r="R1" s="55"/>
      <c r="S1" s="2"/>
    </row>
    <row r="2" spans="1:19">
      <c r="A2" s="56" t="s">
        <v>194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 t="s">
        <v>195</v>
      </c>
      <c r="M2" s="57"/>
      <c r="N2" s="57"/>
      <c r="O2" s="57"/>
      <c r="P2" s="57"/>
      <c r="Q2" s="57"/>
      <c r="R2" s="57"/>
      <c r="S2" s="2"/>
    </row>
    <row r="3" spans="1:19" ht="10.8" thickBot="1">
      <c r="A3" s="3" t="s">
        <v>196</v>
      </c>
      <c r="B3" s="3"/>
      <c r="C3" s="3"/>
      <c r="D3" s="3"/>
      <c r="E3" s="3"/>
      <c r="F3" s="3"/>
      <c r="G3" s="3"/>
      <c r="H3" s="58"/>
      <c r="I3" s="59"/>
      <c r="J3" s="59"/>
      <c r="K3" s="59"/>
      <c r="L3" s="60"/>
      <c r="M3" s="60"/>
      <c r="N3" s="60"/>
      <c r="O3" s="60"/>
      <c r="P3" s="4"/>
      <c r="Q3" s="59" t="s">
        <v>113</v>
      </c>
      <c r="R3" s="59"/>
      <c r="S3" s="5"/>
    </row>
    <row r="4" spans="1:19" ht="14.4" customHeight="1">
      <c r="A4" s="114" t="s">
        <v>0</v>
      </c>
      <c r="B4" s="67" t="s">
        <v>114</v>
      </c>
      <c r="C4" s="61" t="s">
        <v>115</v>
      </c>
      <c r="D4" s="62"/>
      <c r="E4" s="62"/>
      <c r="F4" s="75"/>
      <c r="G4" s="105" t="s">
        <v>119</v>
      </c>
      <c r="H4" s="61" t="s">
        <v>120</v>
      </c>
      <c r="I4" s="62"/>
      <c r="J4" s="62"/>
      <c r="K4" s="62"/>
      <c r="L4" s="61" t="s">
        <v>124</v>
      </c>
      <c r="M4" s="62"/>
      <c r="N4" s="62"/>
      <c r="O4" s="65"/>
      <c r="P4" s="117" t="s">
        <v>1</v>
      </c>
      <c r="Q4" s="118"/>
      <c r="R4" s="118"/>
      <c r="S4" s="6"/>
    </row>
    <row r="5" spans="1:19">
      <c r="A5" s="115"/>
      <c r="B5" s="68"/>
      <c r="C5" s="63"/>
      <c r="D5" s="64"/>
      <c r="E5" s="64"/>
      <c r="F5" s="74"/>
      <c r="G5" s="106"/>
      <c r="H5" s="63"/>
      <c r="I5" s="64"/>
      <c r="J5" s="64"/>
      <c r="K5" s="64"/>
      <c r="L5" s="63"/>
      <c r="M5" s="64"/>
      <c r="N5" s="64"/>
      <c r="O5" s="66"/>
      <c r="P5" s="81"/>
      <c r="Q5" s="56"/>
      <c r="R5" s="56"/>
      <c r="S5" s="6"/>
    </row>
    <row r="6" spans="1:19" ht="30.6" customHeight="1">
      <c r="A6" s="115"/>
      <c r="B6" s="68"/>
      <c r="C6" s="70" t="s">
        <v>2</v>
      </c>
      <c r="D6" s="70" t="s">
        <v>116</v>
      </c>
      <c r="E6" s="70" t="s">
        <v>117</v>
      </c>
      <c r="F6" s="70" t="s">
        <v>118</v>
      </c>
      <c r="G6" s="106"/>
      <c r="H6" s="70" t="s">
        <v>2</v>
      </c>
      <c r="I6" s="73" t="s">
        <v>121</v>
      </c>
      <c r="J6" s="73" t="s">
        <v>122</v>
      </c>
      <c r="K6" s="73" t="s">
        <v>123</v>
      </c>
      <c r="L6" s="70" t="s">
        <v>2</v>
      </c>
      <c r="M6" s="73" t="s">
        <v>121</v>
      </c>
      <c r="N6" s="73" t="s">
        <v>122</v>
      </c>
      <c r="O6" s="76" t="s">
        <v>123</v>
      </c>
      <c r="P6" s="81"/>
      <c r="Q6" s="56"/>
      <c r="R6" s="56"/>
      <c r="S6" s="6"/>
    </row>
    <row r="7" spans="1:19" ht="36.6" customHeight="1">
      <c r="A7" s="116"/>
      <c r="B7" s="69"/>
      <c r="C7" s="71"/>
      <c r="D7" s="71"/>
      <c r="E7" s="71"/>
      <c r="F7" s="71"/>
      <c r="G7" s="71"/>
      <c r="H7" s="71"/>
      <c r="I7" s="74"/>
      <c r="J7" s="74"/>
      <c r="K7" s="74"/>
      <c r="L7" s="71"/>
      <c r="M7" s="74"/>
      <c r="N7" s="74"/>
      <c r="O7" s="66"/>
      <c r="P7" s="119"/>
      <c r="Q7" s="120"/>
      <c r="R7" s="120"/>
      <c r="S7" s="6"/>
    </row>
    <row r="8" spans="1:19" ht="11.4" customHeight="1">
      <c r="A8" s="86" t="s">
        <v>3</v>
      </c>
      <c r="B8" s="92">
        <f>SUM(B10,B18,B27,B32,B38,B45,B52,B59,B64,B71,B81,B88,B103)</f>
        <v>2016683.2089999998</v>
      </c>
      <c r="C8" s="77">
        <f>SUM(C10,C18,C27,C32,C38,C45,C52,C59,C64,C71,C81,C88,C103)</f>
        <v>783270.78099999984</v>
      </c>
      <c r="D8" s="77">
        <f t="shared" ref="D8:O8" si="0">SUM(D10,D18,D27,D32,D38,D45,D52,D59,D64,D71,D81,D88,D103)</f>
        <v>14993.579999999998</v>
      </c>
      <c r="E8" s="77">
        <f t="shared" si="0"/>
        <v>447090.13400000002</v>
      </c>
      <c r="F8" s="77">
        <f t="shared" si="0"/>
        <v>321187.06699999998</v>
      </c>
      <c r="G8" s="77">
        <f t="shared" si="0"/>
        <v>452.32</v>
      </c>
      <c r="H8" s="77">
        <f t="shared" si="0"/>
        <v>778899.21399999992</v>
      </c>
      <c r="I8" s="77">
        <f t="shared" si="0"/>
        <v>60413.013999999988</v>
      </c>
      <c r="J8" s="77">
        <f t="shared" si="0"/>
        <v>677821.57499999984</v>
      </c>
      <c r="K8" s="77">
        <f t="shared" si="0"/>
        <v>40664.625</v>
      </c>
      <c r="L8" s="77">
        <f t="shared" si="0"/>
        <v>454060.89399999997</v>
      </c>
      <c r="M8" s="77">
        <f t="shared" si="0"/>
        <v>78033.369000000006</v>
      </c>
      <c r="N8" s="77">
        <f t="shared" si="0"/>
        <v>358574.17500000005</v>
      </c>
      <c r="O8" s="79">
        <f t="shared" si="0"/>
        <v>17453.349999999999</v>
      </c>
      <c r="P8" s="121" t="s">
        <v>4</v>
      </c>
      <c r="Q8" s="122"/>
      <c r="R8" s="122"/>
      <c r="S8" s="6"/>
    </row>
    <row r="9" spans="1:19">
      <c r="A9" s="87"/>
      <c r="B9" s="93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80"/>
      <c r="P9" s="97"/>
      <c r="Q9" s="98"/>
      <c r="R9" s="98"/>
      <c r="S9" s="6"/>
    </row>
    <row r="10" spans="1:19" ht="14.4" customHeight="1">
      <c r="A10" s="90" t="s">
        <v>5</v>
      </c>
      <c r="B10" s="83">
        <f>SUM(C10,G10,H10,L10)</f>
        <v>176931.10199999998</v>
      </c>
      <c r="C10" s="84">
        <f>SUM(D10:F11)</f>
        <v>109377.361</v>
      </c>
      <c r="D10" s="88">
        <f>SUM(D12:D17)</f>
        <v>4153.2</v>
      </c>
      <c r="E10" s="88">
        <f t="shared" ref="E10:F10" si="1">SUM(E12:E17)</f>
        <v>56332.934000000001</v>
      </c>
      <c r="F10" s="88">
        <f t="shared" si="1"/>
        <v>48891.226999999999</v>
      </c>
      <c r="G10" s="88">
        <f t="shared" ref="G10" si="2">SUM(G12:G17)</f>
        <v>0</v>
      </c>
      <c r="H10" s="88">
        <f>SUM(I10:K11)</f>
        <v>41374.074999999997</v>
      </c>
      <c r="I10" s="88">
        <f t="shared" ref="I10:K10" si="3">SUM(I12:I17)</f>
        <v>302.25000000000006</v>
      </c>
      <c r="J10" s="88">
        <f>SUM(J12:J17)</f>
        <v>41019.824999999997</v>
      </c>
      <c r="K10" s="88">
        <f t="shared" si="3"/>
        <v>52</v>
      </c>
      <c r="L10" s="89">
        <f>SUM(M10:O11)</f>
        <v>26179.665999999997</v>
      </c>
      <c r="M10" s="88">
        <f t="shared" ref="M10:O10" si="4">SUM(M12:M17)</f>
        <v>467.95000000000005</v>
      </c>
      <c r="N10" s="88">
        <f t="shared" si="4"/>
        <v>25589.955999999998</v>
      </c>
      <c r="O10" s="99">
        <f t="shared" si="4"/>
        <v>121.75999999999999</v>
      </c>
      <c r="P10" s="97" t="s">
        <v>6</v>
      </c>
      <c r="Q10" s="98"/>
      <c r="R10" s="98"/>
      <c r="S10" s="6"/>
    </row>
    <row r="11" spans="1:19" ht="12" customHeight="1">
      <c r="A11" s="90"/>
      <c r="B11" s="83"/>
      <c r="C11" s="84"/>
      <c r="D11" s="88"/>
      <c r="E11" s="88"/>
      <c r="F11" s="88"/>
      <c r="G11" s="88"/>
      <c r="H11" s="88"/>
      <c r="I11" s="88"/>
      <c r="J11" s="88"/>
      <c r="K11" s="88"/>
      <c r="L11" s="89"/>
      <c r="M11" s="88"/>
      <c r="N11" s="88"/>
      <c r="O11" s="99"/>
      <c r="P11" s="97"/>
      <c r="Q11" s="98"/>
      <c r="R11" s="98"/>
      <c r="S11" s="6"/>
    </row>
    <row r="12" spans="1:19">
      <c r="A12" s="7" t="s">
        <v>126</v>
      </c>
      <c r="B12" s="8">
        <f>SUM(C12,G12,H12,L12)</f>
        <v>35421.340000000004</v>
      </c>
      <c r="C12" s="9">
        <f>SUM(D12:F12)</f>
        <v>17965.900000000001</v>
      </c>
      <c r="D12" s="37">
        <v>3131.8</v>
      </c>
      <c r="E12" s="37">
        <v>7650.4</v>
      </c>
      <c r="F12" s="43">
        <v>7183.7</v>
      </c>
      <c r="G12" s="37"/>
      <c r="H12" s="10">
        <f>SUM(I12:K12)</f>
        <v>11006.04</v>
      </c>
      <c r="I12" s="43">
        <v>6</v>
      </c>
      <c r="J12" s="37">
        <v>10948.04</v>
      </c>
      <c r="K12" s="37">
        <v>52</v>
      </c>
      <c r="L12" s="11">
        <f>SUM(M12:O12)</f>
        <v>6449.4</v>
      </c>
      <c r="M12" s="37">
        <v>28.4</v>
      </c>
      <c r="N12" s="43">
        <v>6387.4</v>
      </c>
      <c r="O12" s="44">
        <v>33.6</v>
      </c>
      <c r="P12" s="12" t="s">
        <v>8</v>
      </c>
      <c r="Q12" s="13"/>
      <c r="R12" s="13"/>
      <c r="S12" s="6"/>
    </row>
    <row r="13" spans="1:19">
      <c r="A13" s="7" t="s">
        <v>127</v>
      </c>
      <c r="B13" s="8">
        <f t="shared" ref="B13:B17" si="5">SUM(C13,G13,H13,L13)</f>
        <v>35855.78</v>
      </c>
      <c r="C13" s="9">
        <f t="shared" ref="C13:C17" si="6">SUM(D13:F13)</f>
        <v>23386.95</v>
      </c>
      <c r="D13" s="37">
        <v>150</v>
      </c>
      <c r="E13" s="37">
        <v>12944.25</v>
      </c>
      <c r="F13" s="43">
        <v>10292.700000000001</v>
      </c>
      <c r="G13" s="37"/>
      <c r="H13" s="10">
        <f t="shared" ref="H13:H17" si="7">SUM(I13:K13)</f>
        <v>7623.59</v>
      </c>
      <c r="I13" s="43">
        <v>62.24</v>
      </c>
      <c r="J13" s="37">
        <v>7561.35</v>
      </c>
      <c r="K13" s="37"/>
      <c r="L13" s="11">
        <f t="shared" ref="L13:L17" si="8">SUM(M13:O13)</f>
        <v>4845.24</v>
      </c>
      <c r="M13" s="37">
        <v>55.4</v>
      </c>
      <c r="N13" s="43">
        <v>4789.84</v>
      </c>
      <c r="O13" s="44"/>
      <c r="P13" s="12" t="s">
        <v>9</v>
      </c>
      <c r="Q13" s="13"/>
      <c r="R13" s="13"/>
      <c r="S13" s="6"/>
    </row>
    <row r="14" spans="1:19">
      <c r="A14" s="7" t="s">
        <v>128</v>
      </c>
      <c r="B14" s="8">
        <f t="shared" si="5"/>
        <v>33525.742000000006</v>
      </c>
      <c r="C14" s="9">
        <f t="shared" si="6"/>
        <v>17342.181</v>
      </c>
      <c r="D14" s="37">
        <v>367.4</v>
      </c>
      <c r="E14" s="37">
        <v>8139.2539999999999</v>
      </c>
      <c r="F14" s="43">
        <v>8835.527</v>
      </c>
      <c r="G14" s="37"/>
      <c r="H14" s="10">
        <f t="shared" si="7"/>
        <v>9010.1400000000012</v>
      </c>
      <c r="I14" s="43">
        <v>164.11</v>
      </c>
      <c r="J14" s="37">
        <v>8846.0300000000007</v>
      </c>
      <c r="K14" s="37"/>
      <c r="L14" s="11">
        <f t="shared" si="8"/>
        <v>7173.4209999999994</v>
      </c>
      <c r="M14" s="37">
        <v>179.49</v>
      </c>
      <c r="N14" s="43">
        <v>6993.9309999999996</v>
      </c>
      <c r="O14" s="44"/>
      <c r="P14" s="12" t="s">
        <v>10</v>
      </c>
      <c r="Q14" s="13"/>
      <c r="R14" s="13"/>
      <c r="S14" s="6"/>
    </row>
    <row r="15" spans="1:19">
      <c r="A15" s="7" t="s">
        <v>129</v>
      </c>
      <c r="B15" s="8">
        <f t="shared" si="5"/>
        <v>2952.3599999999997</v>
      </c>
      <c r="C15" s="9">
        <f t="shared" si="6"/>
        <v>0</v>
      </c>
      <c r="D15" s="37"/>
      <c r="E15" s="37"/>
      <c r="F15" s="43"/>
      <c r="G15" s="37"/>
      <c r="H15" s="10">
        <f t="shared" si="7"/>
        <v>1822.7</v>
      </c>
      <c r="I15" s="43">
        <v>13.3</v>
      </c>
      <c r="J15" s="37">
        <v>1809.4</v>
      </c>
      <c r="K15" s="37"/>
      <c r="L15" s="11">
        <f t="shared" si="8"/>
        <v>1129.6599999999999</v>
      </c>
      <c r="M15" s="37">
        <v>12.11</v>
      </c>
      <c r="N15" s="43">
        <v>1117.55</v>
      </c>
      <c r="O15" s="44"/>
      <c r="P15" s="12" t="s">
        <v>11</v>
      </c>
      <c r="Q15" s="13"/>
      <c r="R15" s="13"/>
      <c r="S15" s="6"/>
    </row>
    <row r="16" spans="1:19">
      <c r="A16" s="7" t="s">
        <v>130</v>
      </c>
      <c r="B16" s="8">
        <f t="shared" si="5"/>
        <v>16118.6</v>
      </c>
      <c r="C16" s="9">
        <f t="shared" si="6"/>
        <v>8119.8</v>
      </c>
      <c r="D16" s="37">
        <v>164.1</v>
      </c>
      <c r="E16" s="37">
        <v>7580.7</v>
      </c>
      <c r="F16" s="43">
        <v>375</v>
      </c>
      <c r="G16" s="37"/>
      <c r="H16" s="10">
        <f t="shared" si="7"/>
        <v>4802.5250000000005</v>
      </c>
      <c r="I16" s="43">
        <v>56.05</v>
      </c>
      <c r="J16" s="37">
        <v>4746.4750000000004</v>
      </c>
      <c r="K16" s="37"/>
      <c r="L16" s="11">
        <f t="shared" si="8"/>
        <v>3196.2749999999996</v>
      </c>
      <c r="M16" s="37">
        <v>140.69999999999999</v>
      </c>
      <c r="N16" s="43">
        <v>2967.415</v>
      </c>
      <c r="O16" s="44">
        <v>88.16</v>
      </c>
      <c r="P16" s="12" t="s">
        <v>12</v>
      </c>
      <c r="Q16" s="13"/>
      <c r="R16" s="13"/>
      <c r="S16" s="6"/>
    </row>
    <row r="17" spans="1:19">
      <c r="A17" s="7" t="s">
        <v>131</v>
      </c>
      <c r="B17" s="8">
        <f t="shared" si="5"/>
        <v>53057.279999999999</v>
      </c>
      <c r="C17" s="9">
        <f t="shared" si="6"/>
        <v>42562.53</v>
      </c>
      <c r="D17" s="37">
        <v>339.9</v>
      </c>
      <c r="E17" s="37">
        <v>20018.330000000002</v>
      </c>
      <c r="F17" s="43">
        <v>22204.3</v>
      </c>
      <c r="G17" s="37"/>
      <c r="H17" s="10">
        <f t="shared" si="7"/>
        <v>7109.08</v>
      </c>
      <c r="I17" s="43">
        <v>0.55000000000000004</v>
      </c>
      <c r="J17" s="37">
        <v>7108.53</v>
      </c>
      <c r="K17" s="37"/>
      <c r="L17" s="11">
        <f t="shared" si="8"/>
        <v>3385.67</v>
      </c>
      <c r="M17" s="37">
        <v>51.85</v>
      </c>
      <c r="N17" s="43">
        <v>3333.82</v>
      </c>
      <c r="O17" s="44"/>
      <c r="P17" s="12" t="s">
        <v>13</v>
      </c>
      <c r="Q17" s="13"/>
      <c r="R17" s="13"/>
      <c r="S17" s="6"/>
    </row>
    <row r="18" spans="1:19">
      <c r="A18" s="91" t="s">
        <v>14</v>
      </c>
      <c r="B18" s="83">
        <f>SUM(C18,G18,H18,L18)</f>
        <v>516982.56299999997</v>
      </c>
      <c r="C18" s="84">
        <f>SUM(D18:F19)</f>
        <v>341455.16</v>
      </c>
      <c r="D18" s="85">
        <f>SUM(D20:D26)</f>
        <v>546.65</v>
      </c>
      <c r="E18" s="85">
        <f t="shared" ref="E18:F18" si="9">SUM(E20:E26)</f>
        <v>199621.71</v>
      </c>
      <c r="F18" s="85">
        <f t="shared" si="9"/>
        <v>141286.79999999999</v>
      </c>
      <c r="G18" s="85">
        <f t="shared" ref="G18" si="10">SUM(G20:G26)</f>
        <v>440</v>
      </c>
      <c r="H18" s="88">
        <f>SUM(I18:K19)</f>
        <v>100637.58199999999</v>
      </c>
      <c r="I18" s="85">
        <f>SUM(I20:I26)</f>
        <v>1335.5309999999999</v>
      </c>
      <c r="J18" s="85">
        <f t="shared" ref="J18:K18" si="11">SUM(J20:J26)</f>
        <v>99139.950999999986</v>
      </c>
      <c r="K18" s="85">
        <f t="shared" si="11"/>
        <v>162.1</v>
      </c>
      <c r="L18" s="89">
        <f>SUM(M18:O19)</f>
        <v>74449.820999999982</v>
      </c>
      <c r="M18" s="85">
        <f t="shared" ref="M18:O18" si="12">SUM(M20:M26)</f>
        <v>4289.04</v>
      </c>
      <c r="N18" s="85">
        <f t="shared" si="12"/>
        <v>68780.630999999994</v>
      </c>
      <c r="O18" s="96">
        <f t="shared" si="12"/>
        <v>1380.15</v>
      </c>
      <c r="P18" s="100" t="s">
        <v>15</v>
      </c>
      <c r="Q18" s="101"/>
      <c r="R18" s="101"/>
      <c r="S18" s="6"/>
    </row>
    <row r="19" spans="1:19">
      <c r="A19" s="91"/>
      <c r="B19" s="83"/>
      <c r="C19" s="84"/>
      <c r="D19" s="85"/>
      <c r="E19" s="85"/>
      <c r="F19" s="85"/>
      <c r="G19" s="85"/>
      <c r="H19" s="88"/>
      <c r="I19" s="85"/>
      <c r="J19" s="85"/>
      <c r="K19" s="85"/>
      <c r="L19" s="89"/>
      <c r="M19" s="85"/>
      <c r="N19" s="85"/>
      <c r="O19" s="96"/>
      <c r="P19" s="102"/>
      <c r="Q19" s="101"/>
      <c r="R19" s="101"/>
      <c r="S19" s="6"/>
    </row>
    <row r="20" spans="1:19">
      <c r="A20" s="7" t="s">
        <v>132</v>
      </c>
      <c r="B20" s="8">
        <f t="shared" ref="B20:B26" si="13">SUM(C20,G20,H20,L20)</f>
        <v>207573.12</v>
      </c>
      <c r="C20" s="9">
        <f t="shared" ref="C20:C26" si="14">SUM(D20:F20)</f>
        <v>167585.20000000001</v>
      </c>
      <c r="D20" s="43"/>
      <c r="E20" s="37">
        <v>110009.2</v>
      </c>
      <c r="F20" s="43">
        <v>57576</v>
      </c>
      <c r="G20" s="37">
        <v>276</v>
      </c>
      <c r="H20" s="10">
        <f t="shared" ref="H20:H26" si="15">SUM(I20:K20)</f>
        <v>20655.59</v>
      </c>
      <c r="I20" s="43">
        <v>175.63</v>
      </c>
      <c r="J20" s="37">
        <v>20457.86</v>
      </c>
      <c r="K20" s="37">
        <v>22.1</v>
      </c>
      <c r="L20" s="11">
        <f t="shared" ref="L20:L26" si="16">SUM(M20:O20)</f>
        <v>19056.329999999998</v>
      </c>
      <c r="M20" s="37">
        <v>322.76</v>
      </c>
      <c r="N20" s="43">
        <v>17522.87</v>
      </c>
      <c r="O20" s="44">
        <v>1210.7</v>
      </c>
      <c r="P20" s="12" t="s">
        <v>16</v>
      </c>
      <c r="Q20" s="13"/>
      <c r="R20" s="13"/>
      <c r="S20" s="6"/>
    </row>
    <row r="21" spans="1:19">
      <c r="A21" s="7" t="s">
        <v>133</v>
      </c>
      <c r="B21" s="8">
        <f t="shared" si="13"/>
        <v>24931.464999999997</v>
      </c>
      <c r="C21" s="9">
        <f t="shared" si="14"/>
        <v>13046.3</v>
      </c>
      <c r="D21" s="43">
        <v>68</v>
      </c>
      <c r="E21" s="37">
        <v>8297.7999999999993</v>
      </c>
      <c r="F21" s="43">
        <v>4680.5</v>
      </c>
      <c r="G21" s="37"/>
      <c r="H21" s="10">
        <f t="shared" si="15"/>
        <v>9012.7749999999996</v>
      </c>
      <c r="I21" s="43">
        <v>147.55000000000001</v>
      </c>
      <c r="J21" s="37">
        <v>8865.2250000000004</v>
      </c>
      <c r="K21" s="37"/>
      <c r="L21" s="11">
        <f t="shared" si="16"/>
        <v>2872.39</v>
      </c>
      <c r="M21" s="37">
        <v>136.37</v>
      </c>
      <c r="N21" s="43">
        <v>2726.57</v>
      </c>
      <c r="O21" s="44">
        <v>9.4499999999999993</v>
      </c>
      <c r="P21" s="12" t="s">
        <v>17</v>
      </c>
      <c r="Q21" s="13"/>
      <c r="R21" s="13"/>
      <c r="S21" s="6"/>
    </row>
    <row r="22" spans="1:19">
      <c r="A22" s="7" t="s">
        <v>134</v>
      </c>
      <c r="B22" s="8">
        <f t="shared" si="13"/>
        <v>65072.799999999996</v>
      </c>
      <c r="C22" s="9">
        <f t="shared" si="14"/>
        <v>43727.5</v>
      </c>
      <c r="D22" s="43"/>
      <c r="E22" s="37">
        <v>17480.3</v>
      </c>
      <c r="F22" s="43">
        <v>26247.200000000001</v>
      </c>
      <c r="G22" s="37"/>
      <c r="H22" s="10">
        <f t="shared" si="15"/>
        <v>16211.2</v>
      </c>
      <c r="I22" s="43">
        <v>7.02</v>
      </c>
      <c r="J22" s="37">
        <v>16204.18</v>
      </c>
      <c r="K22" s="37"/>
      <c r="L22" s="11">
        <f t="shared" si="16"/>
        <v>5134.1000000000004</v>
      </c>
      <c r="M22" s="37">
        <v>17.09</v>
      </c>
      <c r="N22" s="43">
        <v>5117.01</v>
      </c>
      <c r="O22" s="44"/>
      <c r="P22" s="12" t="s">
        <v>18</v>
      </c>
      <c r="Q22" s="13"/>
      <c r="R22" s="13"/>
      <c r="S22" s="6"/>
    </row>
    <row r="23" spans="1:19">
      <c r="A23" s="7" t="s">
        <v>135</v>
      </c>
      <c r="B23" s="8">
        <f t="shared" si="13"/>
        <v>55782.107000000004</v>
      </c>
      <c r="C23" s="9">
        <f t="shared" si="14"/>
        <v>33748.410000000003</v>
      </c>
      <c r="D23" s="43">
        <v>52</v>
      </c>
      <c r="E23" s="37">
        <v>20807.41</v>
      </c>
      <c r="F23" s="43">
        <v>12889</v>
      </c>
      <c r="G23" s="37">
        <v>4</v>
      </c>
      <c r="H23" s="10">
        <f t="shared" si="15"/>
        <v>15418.586000000001</v>
      </c>
      <c r="I23" s="43">
        <v>322.90600000000001</v>
      </c>
      <c r="J23" s="37">
        <v>14955.68</v>
      </c>
      <c r="K23" s="37">
        <v>140</v>
      </c>
      <c r="L23" s="11">
        <f t="shared" si="16"/>
        <v>6611.1109999999999</v>
      </c>
      <c r="M23" s="37">
        <v>458.67</v>
      </c>
      <c r="N23" s="43">
        <v>6152.4409999999998</v>
      </c>
      <c r="O23" s="44"/>
      <c r="P23" s="12" t="s">
        <v>19</v>
      </c>
      <c r="Q23" s="13"/>
      <c r="R23" s="13"/>
      <c r="S23" s="6"/>
    </row>
    <row r="24" spans="1:19">
      <c r="A24" s="7" t="s">
        <v>136</v>
      </c>
      <c r="B24" s="8">
        <f t="shared" si="13"/>
        <v>23760.555</v>
      </c>
      <c r="C24" s="9">
        <f t="shared" si="14"/>
        <v>5911</v>
      </c>
      <c r="D24" s="43">
        <v>251</v>
      </c>
      <c r="E24" s="37">
        <v>3629</v>
      </c>
      <c r="F24" s="43">
        <v>2031</v>
      </c>
      <c r="G24" s="37"/>
      <c r="H24" s="10">
        <f t="shared" si="15"/>
        <v>7965.96</v>
      </c>
      <c r="I24" s="43">
        <v>463.38</v>
      </c>
      <c r="J24" s="37">
        <v>7502.58</v>
      </c>
      <c r="K24" s="37"/>
      <c r="L24" s="11">
        <f t="shared" si="16"/>
        <v>9883.5950000000012</v>
      </c>
      <c r="M24" s="37">
        <v>2134</v>
      </c>
      <c r="N24" s="43">
        <v>7749.5950000000003</v>
      </c>
      <c r="O24" s="44"/>
      <c r="P24" s="12" t="s">
        <v>20</v>
      </c>
      <c r="Q24" s="13"/>
      <c r="R24" s="13"/>
      <c r="S24" s="6"/>
    </row>
    <row r="25" spans="1:19">
      <c r="A25" s="7" t="s">
        <v>137</v>
      </c>
      <c r="B25" s="8">
        <f t="shared" si="13"/>
        <v>116934.20999999999</v>
      </c>
      <c r="C25" s="9">
        <f t="shared" si="14"/>
        <v>74995</v>
      </c>
      <c r="D25" s="43">
        <v>145</v>
      </c>
      <c r="E25" s="37">
        <v>38058.9</v>
      </c>
      <c r="F25" s="43">
        <v>36791.1</v>
      </c>
      <c r="G25" s="37">
        <v>160</v>
      </c>
      <c r="H25" s="10">
        <f t="shared" si="15"/>
        <v>23704.26</v>
      </c>
      <c r="I25" s="43">
        <v>76.55</v>
      </c>
      <c r="J25" s="37">
        <v>23627.71</v>
      </c>
      <c r="K25" s="37"/>
      <c r="L25" s="11">
        <f t="shared" si="16"/>
        <v>18074.95</v>
      </c>
      <c r="M25" s="37">
        <v>611.4</v>
      </c>
      <c r="N25" s="43">
        <v>17463.55</v>
      </c>
      <c r="O25" s="44"/>
      <c r="P25" s="12" t="s">
        <v>21</v>
      </c>
      <c r="Q25" s="13"/>
      <c r="R25" s="13"/>
      <c r="S25" s="6"/>
    </row>
    <row r="26" spans="1:19">
      <c r="A26" s="7" t="s">
        <v>138</v>
      </c>
      <c r="B26" s="8">
        <f t="shared" si="13"/>
        <v>22928.305999999997</v>
      </c>
      <c r="C26" s="9">
        <f t="shared" si="14"/>
        <v>2441.75</v>
      </c>
      <c r="D26" s="43">
        <v>30.65</v>
      </c>
      <c r="E26" s="37">
        <v>1339.1</v>
      </c>
      <c r="F26" s="43">
        <v>1072</v>
      </c>
      <c r="G26" s="37"/>
      <c r="H26" s="10">
        <f t="shared" si="15"/>
        <v>7669.2110000000002</v>
      </c>
      <c r="I26" s="43">
        <v>142.495</v>
      </c>
      <c r="J26" s="37">
        <v>7526.7160000000003</v>
      </c>
      <c r="K26" s="37"/>
      <c r="L26" s="11">
        <f t="shared" si="16"/>
        <v>12817.344999999999</v>
      </c>
      <c r="M26" s="37">
        <v>608.75</v>
      </c>
      <c r="N26" s="43">
        <v>12048.594999999999</v>
      </c>
      <c r="O26" s="44">
        <v>160</v>
      </c>
      <c r="P26" s="12" t="s">
        <v>22</v>
      </c>
      <c r="Q26" s="13"/>
      <c r="R26" s="13"/>
      <c r="S26" s="6"/>
    </row>
    <row r="27" spans="1:19" ht="24" customHeight="1">
      <c r="A27" s="32" t="s">
        <v>192</v>
      </c>
      <c r="B27" s="34">
        <f>SUM(C27,G27,H27,L27)</f>
        <v>106558.995</v>
      </c>
      <c r="C27" s="35">
        <f>SUM(D27:F27)</f>
        <v>50930.25</v>
      </c>
      <c r="D27" s="31">
        <f>SUM(D28:D31)</f>
        <v>1902.1999999999998</v>
      </c>
      <c r="E27" s="31">
        <f t="shared" ref="E27:F27" si="17">SUM(E28:E31)</f>
        <v>36828.51</v>
      </c>
      <c r="F27" s="31">
        <f t="shared" si="17"/>
        <v>12199.54</v>
      </c>
      <c r="G27" s="31">
        <f>SUM(G28:G31)</f>
        <v>0</v>
      </c>
      <c r="H27" s="31">
        <f>SUM(I27:K27)</f>
        <v>37422.564999999995</v>
      </c>
      <c r="I27" s="31">
        <f>SUM(I28:I31)</f>
        <v>107.08500000000001</v>
      </c>
      <c r="J27" s="31">
        <f t="shared" ref="J27:K27" si="18">SUM(J28:J31)</f>
        <v>37315.479999999996</v>
      </c>
      <c r="K27" s="31">
        <f t="shared" si="18"/>
        <v>0</v>
      </c>
      <c r="L27" s="36">
        <f>SUM(M27:O27)</f>
        <v>18206.18</v>
      </c>
      <c r="M27" s="31">
        <f t="shared" ref="M27:O27" si="19">SUM(M28:M31)</f>
        <v>640.21</v>
      </c>
      <c r="N27" s="31">
        <f t="shared" si="19"/>
        <v>17565.97</v>
      </c>
      <c r="O27" s="45">
        <f t="shared" si="19"/>
        <v>0</v>
      </c>
      <c r="P27" s="33" t="s">
        <v>193</v>
      </c>
      <c r="Q27" s="13"/>
      <c r="R27" s="13"/>
      <c r="S27" s="6"/>
    </row>
    <row r="28" spans="1:19">
      <c r="A28" s="7" t="s">
        <v>139</v>
      </c>
      <c r="B28" s="8">
        <f t="shared" ref="B28:B31" si="20">SUM(C28,G28,H28,L28)</f>
        <v>40419.995000000003</v>
      </c>
      <c r="C28" s="9">
        <f t="shared" ref="C28:C31" si="21">SUM(D28:F28)</f>
        <v>15212.02</v>
      </c>
      <c r="D28" s="43">
        <v>1429.6</v>
      </c>
      <c r="E28" s="37">
        <v>12354.42</v>
      </c>
      <c r="F28" s="43">
        <v>1428</v>
      </c>
      <c r="G28" s="37"/>
      <c r="H28" s="10">
        <f t="shared" ref="H28:H31" si="22">SUM(I28:K28)</f>
        <v>16031.68</v>
      </c>
      <c r="I28" s="43">
        <v>66.7</v>
      </c>
      <c r="J28" s="37">
        <v>15964.98</v>
      </c>
      <c r="K28" s="37"/>
      <c r="L28" s="11">
        <f t="shared" ref="L28:L31" si="23">SUM(M28:O28)</f>
        <v>9176.2950000000001</v>
      </c>
      <c r="M28" s="37">
        <v>491.66</v>
      </c>
      <c r="N28" s="43">
        <v>8684.6350000000002</v>
      </c>
      <c r="O28" s="44"/>
      <c r="P28" s="12" t="s">
        <v>23</v>
      </c>
      <c r="Q28" s="13"/>
      <c r="R28" s="13"/>
      <c r="S28" s="6"/>
    </row>
    <row r="29" spans="1:19">
      <c r="A29" s="7" t="s">
        <v>140</v>
      </c>
      <c r="B29" s="8">
        <f t="shared" si="20"/>
        <v>15495.34</v>
      </c>
      <c r="C29" s="9">
        <f t="shared" si="21"/>
        <v>4233.33</v>
      </c>
      <c r="D29" s="43"/>
      <c r="E29" s="37">
        <v>356.99</v>
      </c>
      <c r="F29" s="43">
        <v>3876.34</v>
      </c>
      <c r="G29" s="37"/>
      <c r="H29" s="10">
        <f t="shared" si="22"/>
        <v>6556.97</v>
      </c>
      <c r="I29" s="43">
        <v>28.914999999999999</v>
      </c>
      <c r="J29" s="37">
        <v>6528.0550000000003</v>
      </c>
      <c r="K29" s="37"/>
      <c r="L29" s="11">
        <f t="shared" si="23"/>
        <v>4705.0400000000009</v>
      </c>
      <c r="M29" s="37">
        <v>94.77</v>
      </c>
      <c r="N29" s="43">
        <v>4610.2700000000004</v>
      </c>
      <c r="O29" s="44"/>
      <c r="P29" s="12" t="s">
        <v>24</v>
      </c>
      <c r="Q29" s="13"/>
      <c r="R29" s="13"/>
      <c r="S29" s="6"/>
    </row>
    <row r="30" spans="1:19">
      <c r="A30" s="7" t="s">
        <v>141</v>
      </c>
      <c r="B30" s="8">
        <f t="shared" si="20"/>
        <v>8560.7200000000012</v>
      </c>
      <c r="C30" s="9">
        <f t="shared" si="21"/>
        <v>1402.4</v>
      </c>
      <c r="D30" s="43">
        <v>37.200000000000003</v>
      </c>
      <c r="E30" s="37">
        <v>1365.2</v>
      </c>
      <c r="F30" s="43">
        <v>0</v>
      </c>
      <c r="G30" s="37"/>
      <c r="H30" s="10">
        <f t="shared" si="22"/>
        <v>5357.6100000000006</v>
      </c>
      <c r="I30" s="43">
        <v>11.47</v>
      </c>
      <c r="J30" s="37">
        <v>5346.14</v>
      </c>
      <c r="K30" s="37"/>
      <c r="L30" s="11">
        <f t="shared" si="23"/>
        <v>1800.71</v>
      </c>
      <c r="M30" s="37">
        <v>43.56</v>
      </c>
      <c r="N30" s="43">
        <v>1757.15</v>
      </c>
      <c r="O30" s="44"/>
      <c r="P30" s="12" t="s">
        <v>25</v>
      </c>
      <c r="Q30" s="13"/>
      <c r="R30" s="13"/>
      <c r="S30" s="6"/>
    </row>
    <row r="31" spans="1:19">
      <c r="A31" s="7" t="s">
        <v>142</v>
      </c>
      <c r="B31" s="8">
        <f t="shared" si="20"/>
        <v>42082.94000000001</v>
      </c>
      <c r="C31" s="9">
        <f t="shared" si="21"/>
        <v>30082.500000000004</v>
      </c>
      <c r="D31" s="43">
        <v>435.4</v>
      </c>
      <c r="E31" s="37">
        <v>22751.9</v>
      </c>
      <c r="F31" s="43">
        <v>6895.2</v>
      </c>
      <c r="G31" s="37"/>
      <c r="H31" s="10">
        <f t="shared" si="22"/>
        <v>9476.3050000000003</v>
      </c>
      <c r="I31" s="43">
        <v>0</v>
      </c>
      <c r="J31" s="37">
        <v>9476.3050000000003</v>
      </c>
      <c r="K31" s="37"/>
      <c r="L31" s="11">
        <f t="shared" si="23"/>
        <v>2524.1349999999998</v>
      </c>
      <c r="M31" s="37">
        <v>10.220000000000001</v>
      </c>
      <c r="N31" s="43">
        <v>2513.915</v>
      </c>
      <c r="O31" s="44"/>
      <c r="P31" s="12" t="s">
        <v>26</v>
      </c>
      <c r="Q31" s="13"/>
      <c r="R31" s="13"/>
      <c r="S31" s="6"/>
    </row>
    <row r="32" spans="1:19">
      <c r="A32" s="82" t="s">
        <v>27</v>
      </c>
      <c r="B32" s="83">
        <f>SUM(C32,G32,H32,L32)</f>
        <v>139289.51500000001</v>
      </c>
      <c r="C32" s="84">
        <f>SUM(D32:F33)</f>
        <v>30689.7</v>
      </c>
      <c r="D32" s="85">
        <f>SUM(D34:D37)</f>
        <v>3548.2</v>
      </c>
      <c r="E32" s="85">
        <f t="shared" ref="E32:F32" si="24">SUM(E34:E37)</f>
        <v>10968.25</v>
      </c>
      <c r="F32" s="85">
        <f t="shared" si="24"/>
        <v>16173.25</v>
      </c>
      <c r="G32" s="85">
        <f>SUM(G34:G37)</f>
        <v>0</v>
      </c>
      <c r="H32" s="88">
        <f>SUM(I32:K33)</f>
        <v>84543.99</v>
      </c>
      <c r="I32" s="85">
        <f>SUM(I34:I37)</f>
        <v>8017.0450000000001</v>
      </c>
      <c r="J32" s="85">
        <f t="shared" ref="J32:K32" si="25">SUM(J34:J37)</f>
        <v>70861.065000000002</v>
      </c>
      <c r="K32" s="85">
        <f t="shared" si="25"/>
        <v>5665.88</v>
      </c>
      <c r="L32" s="89">
        <f>SUM(M32:O33)</f>
        <v>24055.824999999997</v>
      </c>
      <c r="M32" s="85">
        <f t="shared" ref="M32:O32" si="26">SUM(M34:M37)</f>
        <v>5377.27</v>
      </c>
      <c r="N32" s="85">
        <f t="shared" si="26"/>
        <v>17235.044999999998</v>
      </c>
      <c r="O32" s="96">
        <f t="shared" si="26"/>
        <v>1443.51</v>
      </c>
      <c r="P32" s="94" t="s">
        <v>28</v>
      </c>
      <c r="Q32" s="95"/>
      <c r="R32" s="95"/>
      <c r="S32" s="6"/>
    </row>
    <row r="33" spans="1:19">
      <c r="A33" s="82"/>
      <c r="B33" s="83"/>
      <c r="C33" s="84"/>
      <c r="D33" s="85"/>
      <c r="E33" s="85"/>
      <c r="F33" s="85"/>
      <c r="G33" s="85"/>
      <c r="H33" s="88"/>
      <c r="I33" s="85"/>
      <c r="J33" s="85"/>
      <c r="K33" s="85"/>
      <c r="L33" s="89"/>
      <c r="M33" s="85"/>
      <c r="N33" s="85"/>
      <c r="O33" s="96"/>
      <c r="P33" s="94"/>
      <c r="Q33" s="95"/>
      <c r="R33" s="95"/>
      <c r="S33" s="6"/>
    </row>
    <row r="34" spans="1:19">
      <c r="A34" s="7" t="s">
        <v>143</v>
      </c>
      <c r="B34" s="8">
        <f t="shared" ref="B34:B37" si="27">SUM(C34,G34,H34,L34)</f>
        <v>45671.944999999992</v>
      </c>
      <c r="C34" s="9">
        <f t="shared" ref="C34:C37" si="28">SUM(D34:F34)</f>
        <v>10621.55</v>
      </c>
      <c r="D34" s="37">
        <v>2741.5</v>
      </c>
      <c r="E34" s="37">
        <v>2283.4</v>
      </c>
      <c r="F34" s="43">
        <v>5596.65</v>
      </c>
      <c r="G34" s="37"/>
      <c r="H34" s="10">
        <f t="shared" ref="H34:H37" si="29">SUM(I34:K34)</f>
        <v>27467.945</v>
      </c>
      <c r="I34" s="43">
        <v>823.83500000000004</v>
      </c>
      <c r="J34" s="37">
        <v>26057.11</v>
      </c>
      <c r="K34" s="37">
        <v>587</v>
      </c>
      <c r="L34" s="11">
        <f t="shared" ref="L34:L37" si="30">SUM(M34:O34)</f>
        <v>7582.45</v>
      </c>
      <c r="M34" s="37">
        <v>743.51</v>
      </c>
      <c r="N34" s="43">
        <v>6343.94</v>
      </c>
      <c r="O34" s="44">
        <v>495</v>
      </c>
      <c r="P34" s="12" t="s">
        <v>29</v>
      </c>
      <c r="Q34" s="13"/>
      <c r="R34" s="13"/>
      <c r="S34" s="6"/>
    </row>
    <row r="35" spans="1:19">
      <c r="A35" s="7" t="s">
        <v>144</v>
      </c>
      <c r="B35" s="8">
        <f t="shared" si="27"/>
        <v>33470.14</v>
      </c>
      <c r="C35" s="9">
        <f t="shared" si="28"/>
        <v>4782.55</v>
      </c>
      <c r="D35" s="37">
        <v>139</v>
      </c>
      <c r="E35" s="37">
        <v>3391.55</v>
      </c>
      <c r="F35" s="43">
        <v>1252</v>
      </c>
      <c r="G35" s="37"/>
      <c r="H35" s="10">
        <f t="shared" si="29"/>
        <v>23113.73</v>
      </c>
      <c r="I35" s="43">
        <v>5400.68</v>
      </c>
      <c r="J35" s="37">
        <v>14632.6</v>
      </c>
      <c r="K35" s="37">
        <v>3080.45</v>
      </c>
      <c r="L35" s="11">
        <f t="shared" si="30"/>
        <v>5573.8600000000006</v>
      </c>
      <c r="M35" s="37">
        <v>2980.26</v>
      </c>
      <c r="N35" s="43">
        <v>2124</v>
      </c>
      <c r="O35" s="44">
        <v>469.6</v>
      </c>
      <c r="P35" s="12" t="s">
        <v>30</v>
      </c>
      <c r="Q35" s="13"/>
      <c r="R35" s="13"/>
      <c r="S35" s="6"/>
    </row>
    <row r="36" spans="1:19">
      <c r="A36" s="7" t="s">
        <v>145</v>
      </c>
      <c r="B36" s="8">
        <f t="shared" si="27"/>
        <v>16903.924999999999</v>
      </c>
      <c r="C36" s="9">
        <f t="shared" si="28"/>
        <v>1035.5</v>
      </c>
      <c r="D36" s="37">
        <v>265.2</v>
      </c>
      <c r="E36" s="37">
        <v>620.29999999999995</v>
      </c>
      <c r="F36" s="43">
        <v>150</v>
      </c>
      <c r="G36" s="37"/>
      <c r="H36" s="10">
        <f t="shared" si="29"/>
        <v>10747.83</v>
      </c>
      <c r="I36" s="43">
        <v>838.02</v>
      </c>
      <c r="J36" s="37">
        <v>8591.3799999999992</v>
      </c>
      <c r="K36" s="37">
        <v>1318.43</v>
      </c>
      <c r="L36" s="11">
        <f t="shared" si="30"/>
        <v>5120.5950000000003</v>
      </c>
      <c r="M36" s="37">
        <v>377.71</v>
      </c>
      <c r="N36" s="43">
        <v>4295.9250000000002</v>
      </c>
      <c r="O36" s="44">
        <v>446.96</v>
      </c>
      <c r="P36" s="12" t="s">
        <v>31</v>
      </c>
      <c r="Q36" s="13"/>
      <c r="R36" s="13"/>
      <c r="S36" s="6"/>
    </row>
    <row r="37" spans="1:19">
      <c r="A37" s="7" t="s">
        <v>146</v>
      </c>
      <c r="B37" s="8">
        <f t="shared" si="27"/>
        <v>43243.504999999997</v>
      </c>
      <c r="C37" s="9">
        <f t="shared" si="28"/>
        <v>14250.1</v>
      </c>
      <c r="D37" s="37">
        <v>402.5</v>
      </c>
      <c r="E37" s="37">
        <v>4673</v>
      </c>
      <c r="F37" s="43">
        <v>9174.6</v>
      </c>
      <c r="G37" s="37"/>
      <c r="H37" s="10">
        <f t="shared" si="29"/>
        <v>23214.484999999997</v>
      </c>
      <c r="I37" s="43">
        <v>954.51</v>
      </c>
      <c r="J37" s="37">
        <v>21579.974999999999</v>
      </c>
      <c r="K37" s="37">
        <v>680</v>
      </c>
      <c r="L37" s="11">
        <f t="shared" si="30"/>
        <v>5778.92</v>
      </c>
      <c r="M37" s="37">
        <v>1275.79</v>
      </c>
      <c r="N37" s="43">
        <v>4471.18</v>
      </c>
      <c r="O37" s="44">
        <v>31.95</v>
      </c>
      <c r="P37" s="12" t="s">
        <v>32</v>
      </c>
      <c r="Q37" s="13"/>
      <c r="R37" s="13"/>
      <c r="S37" s="6"/>
    </row>
    <row r="38" spans="1:19">
      <c r="A38" s="82" t="s">
        <v>33</v>
      </c>
      <c r="B38" s="83">
        <f>SUM(C38,G38,H38,L38)</f>
        <v>321087.31</v>
      </c>
      <c r="C38" s="84">
        <f>SUM(D38:F39)</f>
        <v>146959.82</v>
      </c>
      <c r="D38" s="85">
        <f>SUM(D40:D44)</f>
        <v>34.72</v>
      </c>
      <c r="E38" s="85">
        <f t="shared" ref="E38:G38" si="31">SUM(E40:E44)</f>
        <v>95472.200000000012</v>
      </c>
      <c r="F38" s="85">
        <f t="shared" si="31"/>
        <v>51452.9</v>
      </c>
      <c r="G38" s="85">
        <f t="shared" si="31"/>
        <v>0</v>
      </c>
      <c r="H38" s="88">
        <f>SUM(I38:K39)</f>
        <v>125217.522</v>
      </c>
      <c r="I38" s="85">
        <f>SUM(I40:I44)</f>
        <v>1525.672</v>
      </c>
      <c r="J38" s="85">
        <f t="shared" ref="J38:K38" si="32">SUM(J40:J44)</f>
        <v>105510.52999999998</v>
      </c>
      <c r="K38" s="85">
        <f t="shared" si="32"/>
        <v>18181.32</v>
      </c>
      <c r="L38" s="89">
        <f>SUM(M38:O39)</f>
        <v>48909.968000000001</v>
      </c>
      <c r="M38" s="85">
        <f t="shared" ref="M38:O38" si="33">SUM(M40:M44)</f>
        <v>2508.9189999999999</v>
      </c>
      <c r="N38" s="85">
        <f t="shared" si="33"/>
        <v>40575.728999999999</v>
      </c>
      <c r="O38" s="96">
        <f t="shared" si="33"/>
        <v>5825.32</v>
      </c>
      <c r="P38" s="94" t="s">
        <v>34</v>
      </c>
      <c r="Q38" s="95"/>
      <c r="R38" s="95"/>
      <c r="S38" s="6"/>
    </row>
    <row r="39" spans="1:19">
      <c r="A39" s="82"/>
      <c r="B39" s="83"/>
      <c r="C39" s="84"/>
      <c r="D39" s="85"/>
      <c r="E39" s="85"/>
      <c r="F39" s="85"/>
      <c r="G39" s="85"/>
      <c r="H39" s="88"/>
      <c r="I39" s="85"/>
      <c r="J39" s="85"/>
      <c r="K39" s="85"/>
      <c r="L39" s="89"/>
      <c r="M39" s="85"/>
      <c r="N39" s="85"/>
      <c r="O39" s="96"/>
      <c r="P39" s="94"/>
      <c r="Q39" s="95"/>
      <c r="R39" s="95"/>
      <c r="S39" s="6"/>
    </row>
    <row r="40" spans="1:19">
      <c r="A40" s="7" t="s">
        <v>147</v>
      </c>
      <c r="B40" s="8">
        <f t="shared" ref="B40:B44" si="34">SUM(C40,G40,H40,L40)</f>
        <v>206019.27000000002</v>
      </c>
      <c r="C40" s="9">
        <f t="shared" ref="C40:C44" si="35">SUM(D40:F40)</f>
        <v>103428.77</v>
      </c>
      <c r="D40" s="37">
        <v>25.47</v>
      </c>
      <c r="E40" s="37">
        <v>64759.3</v>
      </c>
      <c r="F40" s="43">
        <v>38644</v>
      </c>
      <c r="G40" s="37"/>
      <c r="H40" s="10">
        <f t="shared" ref="H40:H44" si="36">SUM(I40:K40)</f>
        <v>74852</v>
      </c>
      <c r="I40" s="43">
        <v>292.85000000000002</v>
      </c>
      <c r="J40" s="37">
        <v>61241.64</v>
      </c>
      <c r="K40" s="37">
        <v>13317.51</v>
      </c>
      <c r="L40" s="11">
        <f t="shared" ref="L40:L44" si="37">SUM(M40:O40)</f>
        <v>27738.5</v>
      </c>
      <c r="M40" s="37">
        <v>824.98</v>
      </c>
      <c r="N40" s="43">
        <v>22628.87</v>
      </c>
      <c r="O40" s="44">
        <v>4284.6499999999996</v>
      </c>
      <c r="P40" s="12" t="s">
        <v>35</v>
      </c>
      <c r="Q40" s="13"/>
      <c r="R40" s="13"/>
      <c r="S40" s="6"/>
    </row>
    <row r="41" spans="1:19">
      <c r="A41" s="7" t="s">
        <v>148</v>
      </c>
      <c r="B41" s="8">
        <f t="shared" si="34"/>
        <v>24040.380999999998</v>
      </c>
      <c r="C41" s="9">
        <f t="shared" si="35"/>
        <v>8019.35</v>
      </c>
      <c r="D41" s="37">
        <v>9.25</v>
      </c>
      <c r="E41" s="37">
        <v>7500.1</v>
      </c>
      <c r="F41" s="43">
        <v>510</v>
      </c>
      <c r="G41" s="37"/>
      <c r="H41" s="10">
        <f t="shared" si="36"/>
        <v>13820.502</v>
      </c>
      <c r="I41" s="43">
        <v>223.982</v>
      </c>
      <c r="J41" s="37">
        <v>12248.56</v>
      </c>
      <c r="K41" s="37">
        <v>1347.96</v>
      </c>
      <c r="L41" s="11">
        <f t="shared" si="37"/>
        <v>2200.529</v>
      </c>
      <c r="M41" s="37">
        <v>191.96</v>
      </c>
      <c r="N41" s="43">
        <v>1838.1990000000001</v>
      </c>
      <c r="O41" s="44">
        <v>170.37</v>
      </c>
      <c r="P41" s="12" t="s">
        <v>36</v>
      </c>
      <c r="Q41" s="13"/>
      <c r="R41" s="13"/>
      <c r="S41" s="6"/>
    </row>
    <row r="42" spans="1:19">
      <c r="A42" s="7" t="s">
        <v>149</v>
      </c>
      <c r="B42" s="8">
        <f t="shared" si="34"/>
        <v>33631.569000000003</v>
      </c>
      <c r="C42" s="9">
        <f t="shared" si="35"/>
        <v>9476.5</v>
      </c>
      <c r="D42" s="37"/>
      <c r="E42" s="37">
        <v>5959.5</v>
      </c>
      <c r="F42" s="43">
        <v>3517</v>
      </c>
      <c r="G42" s="37"/>
      <c r="H42" s="10">
        <f t="shared" si="36"/>
        <v>14873.880000000001</v>
      </c>
      <c r="I42" s="43">
        <v>799.18</v>
      </c>
      <c r="J42" s="37">
        <v>14074.7</v>
      </c>
      <c r="K42" s="37"/>
      <c r="L42" s="11">
        <f t="shared" si="37"/>
        <v>9281.1889999999985</v>
      </c>
      <c r="M42" s="37">
        <v>1077.1289999999999</v>
      </c>
      <c r="N42" s="43">
        <v>8204.06</v>
      </c>
      <c r="O42" s="44"/>
      <c r="P42" s="12" t="s">
        <v>37</v>
      </c>
      <c r="Q42" s="13"/>
      <c r="R42" s="13"/>
      <c r="S42" s="6"/>
    </row>
    <row r="43" spans="1:19">
      <c r="A43" s="7" t="s">
        <v>150</v>
      </c>
      <c r="B43" s="8">
        <f t="shared" si="34"/>
        <v>1382.75</v>
      </c>
      <c r="C43" s="9">
        <f t="shared" si="35"/>
        <v>0</v>
      </c>
      <c r="D43" s="37"/>
      <c r="E43" s="37"/>
      <c r="F43" s="43"/>
      <c r="G43" s="37"/>
      <c r="H43" s="10">
        <f t="shared" si="36"/>
        <v>228.65</v>
      </c>
      <c r="I43" s="43">
        <v>52.25</v>
      </c>
      <c r="J43" s="37">
        <v>176.4</v>
      </c>
      <c r="K43" s="37"/>
      <c r="L43" s="11">
        <f t="shared" si="37"/>
        <v>1154.0999999999999</v>
      </c>
      <c r="M43" s="37">
        <v>114.6</v>
      </c>
      <c r="N43" s="43">
        <v>1039.5</v>
      </c>
      <c r="O43" s="44"/>
      <c r="P43" s="12" t="s">
        <v>38</v>
      </c>
      <c r="Q43" s="13"/>
      <c r="R43" s="13"/>
      <c r="S43" s="6"/>
    </row>
    <row r="44" spans="1:19">
      <c r="A44" s="7" t="s">
        <v>151</v>
      </c>
      <c r="B44" s="8">
        <f t="shared" si="34"/>
        <v>56013.34</v>
      </c>
      <c r="C44" s="9">
        <f t="shared" si="35"/>
        <v>26035.199999999997</v>
      </c>
      <c r="D44" s="37"/>
      <c r="E44" s="37">
        <v>17253.3</v>
      </c>
      <c r="F44" s="43">
        <v>8781.9</v>
      </c>
      <c r="G44" s="37"/>
      <c r="H44" s="10">
        <f t="shared" si="36"/>
        <v>21442.489999999998</v>
      </c>
      <c r="I44" s="43">
        <v>157.41</v>
      </c>
      <c r="J44" s="37">
        <v>17769.23</v>
      </c>
      <c r="K44" s="37">
        <v>3515.85</v>
      </c>
      <c r="L44" s="11">
        <f t="shared" si="37"/>
        <v>8535.65</v>
      </c>
      <c r="M44" s="37">
        <v>300.25</v>
      </c>
      <c r="N44" s="43">
        <v>6865.1</v>
      </c>
      <c r="O44" s="44">
        <v>1370.3</v>
      </c>
      <c r="P44" s="12" t="s">
        <v>39</v>
      </c>
      <c r="Q44" s="13"/>
      <c r="R44" s="13"/>
      <c r="S44" s="6"/>
    </row>
    <row r="45" spans="1:19">
      <c r="A45" s="82" t="s">
        <v>40</v>
      </c>
      <c r="B45" s="83">
        <f>SUM(C45,G45,H45,L45)</f>
        <v>93549.072000000015</v>
      </c>
      <c r="C45" s="84">
        <f>SUM(D45:F46)</f>
        <v>14470.94</v>
      </c>
      <c r="D45" s="85">
        <f>SUM(D47:D51)</f>
        <v>1690.8</v>
      </c>
      <c r="E45" s="85">
        <f t="shared" ref="E45:G45" si="38">SUM(E47:E51)</f>
        <v>6383.1</v>
      </c>
      <c r="F45" s="85">
        <f t="shared" si="38"/>
        <v>6397.04</v>
      </c>
      <c r="G45" s="85">
        <f t="shared" si="38"/>
        <v>12.32</v>
      </c>
      <c r="H45" s="88">
        <f>SUM(I45:K46)</f>
        <v>43828.936999999998</v>
      </c>
      <c r="I45" s="85">
        <f>SUM(I47:I51)</f>
        <v>6043.7169999999996</v>
      </c>
      <c r="J45" s="85">
        <f t="shared" ref="J45:K45" si="39">SUM(J47:J51)</f>
        <v>36540.055</v>
      </c>
      <c r="K45" s="85">
        <f t="shared" si="39"/>
        <v>1245.165</v>
      </c>
      <c r="L45" s="89">
        <f>SUM(M45:O46)</f>
        <v>35236.875000000007</v>
      </c>
      <c r="M45" s="85">
        <f t="shared" ref="M45:O45" si="40">SUM(M47:M51)</f>
        <v>7574.165</v>
      </c>
      <c r="N45" s="85">
        <f t="shared" si="40"/>
        <v>27440.660000000003</v>
      </c>
      <c r="O45" s="96">
        <f t="shared" si="40"/>
        <v>222.05</v>
      </c>
      <c r="P45" s="94" t="s">
        <v>41</v>
      </c>
      <c r="Q45" s="95"/>
      <c r="R45" s="95"/>
      <c r="S45" s="6"/>
    </row>
    <row r="46" spans="1:19">
      <c r="A46" s="82"/>
      <c r="B46" s="83"/>
      <c r="C46" s="84"/>
      <c r="D46" s="85"/>
      <c r="E46" s="85"/>
      <c r="F46" s="85"/>
      <c r="G46" s="85"/>
      <c r="H46" s="88"/>
      <c r="I46" s="85"/>
      <c r="J46" s="85"/>
      <c r="K46" s="85"/>
      <c r="L46" s="89"/>
      <c r="M46" s="85"/>
      <c r="N46" s="85"/>
      <c r="O46" s="96"/>
      <c r="P46" s="94"/>
      <c r="Q46" s="95"/>
      <c r="R46" s="95"/>
      <c r="S46" s="6"/>
    </row>
    <row r="47" spans="1:19">
      <c r="A47" s="7" t="s">
        <v>152</v>
      </c>
      <c r="B47" s="8">
        <f t="shared" ref="B47:B51" si="41">SUM(C47,G47,H47,L47)</f>
        <v>29261.895</v>
      </c>
      <c r="C47" s="9">
        <f t="shared" ref="C47:C51" si="42">SUM(D47:F47)</f>
        <v>4805.59</v>
      </c>
      <c r="D47" s="37">
        <v>886</v>
      </c>
      <c r="E47" s="37">
        <v>2471.3000000000002</v>
      </c>
      <c r="F47" s="43">
        <v>1448.29</v>
      </c>
      <c r="G47" s="37">
        <v>12.32</v>
      </c>
      <c r="H47" s="10">
        <f t="shared" ref="H47:H51" si="43">SUM(I47:K47)</f>
        <v>14989.825000000001</v>
      </c>
      <c r="I47" s="43">
        <v>2038.9849999999999</v>
      </c>
      <c r="J47" s="37">
        <v>12488.04</v>
      </c>
      <c r="K47" s="37">
        <v>462.8</v>
      </c>
      <c r="L47" s="11">
        <f t="shared" ref="L47:L51" si="44">SUM(M47:O47)</f>
        <v>9454.16</v>
      </c>
      <c r="M47" s="37">
        <v>2087.4349999999999</v>
      </c>
      <c r="N47" s="43">
        <v>7285.2250000000004</v>
      </c>
      <c r="O47" s="44">
        <v>81.5</v>
      </c>
      <c r="P47" s="12" t="s">
        <v>42</v>
      </c>
      <c r="Q47" s="13"/>
      <c r="R47" s="13"/>
      <c r="S47" s="6"/>
    </row>
    <row r="48" spans="1:19">
      <c r="A48" s="7" t="s">
        <v>153</v>
      </c>
      <c r="B48" s="8">
        <f t="shared" si="41"/>
        <v>23302.760000000002</v>
      </c>
      <c r="C48" s="9">
        <f t="shared" si="42"/>
        <v>8030.5</v>
      </c>
      <c r="D48" s="37">
        <v>743.5</v>
      </c>
      <c r="E48" s="37">
        <v>3007</v>
      </c>
      <c r="F48" s="43">
        <v>4280</v>
      </c>
      <c r="G48" s="37"/>
      <c r="H48" s="10">
        <f t="shared" si="43"/>
        <v>10028.52</v>
      </c>
      <c r="I48" s="43">
        <v>696.62</v>
      </c>
      <c r="J48" s="37">
        <v>8878.4</v>
      </c>
      <c r="K48" s="37">
        <v>453.5</v>
      </c>
      <c r="L48" s="11">
        <f t="shared" si="44"/>
        <v>5243.7400000000007</v>
      </c>
      <c r="M48" s="37">
        <v>648.39</v>
      </c>
      <c r="N48" s="43">
        <v>4562.8500000000004</v>
      </c>
      <c r="O48" s="44">
        <v>32.5</v>
      </c>
      <c r="P48" s="12" t="s">
        <v>43</v>
      </c>
      <c r="Q48" s="13"/>
      <c r="R48" s="13"/>
      <c r="S48" s="6"/>
    </row>
    <row r="49" spans="1:19">
      <c r="A49" s="7" t="s">
        <v>154</v>
      </c>
      <c r="B49" s="8">
        <f t="shared" si="41"/>
        <v>26082.656999999999</v>
      </c>
      <c r="C49" s="9">
        <f t="shared" si="42"/>
        <v>1049.8499999999999</v>
      </c>
      <c r="D49" s="37">
        <v>56.8</v>
      </c>
      <c r="E49" s="37">
        <v>626.29999999999995</v>
      </c>
      <c r="F49" s="43">
        <v>366.75</v>
      </c>
      <c r="G49" s="37"/>
      <c r="H49" s="10">
        <f t="shared" si="43"/>
        <v>10953.782000000001</v>
      </c>
      <c r="I49" s="43">
        <v>2593.9119999999998</v>
      </c>
      <c r="J49" s="37">
        <v>8076.8050000000003</v>
      </c>
      <c r="K49" s="37">
        <v>283.065</v>
      </c>
      <c r="L49" s="11">
        <f t="shared" si="44"/>
        <v>14079.025</v>
      </c>
      <c r="M49" s="37">
        <v>3840.2350000000001</v>
      </c>
      <c r="N49" s="43">
        <v>10149.74</v>
      </c>
      <c r="O49" s="44">
        <v>89.05</v>
      </c>
      <c r="P49" s="12" t="s">
        <v>44</v>
      </c>
      <c r="Q49" s="13"/>
      <c r="R49" s="13"/>
      <c r="S49" s="6"/>
    </row>
    <row r="50" spans="1:19">
      <c r="A50" s="7" t="s">
        <v>155</v>
      </c>
      <c r="B50" s="8">
        <f t="shared" si="41"/>
        <v>5387.7550000000001</v>
      </c>
      <c r="C50" s="9">
        <f t="shared" si="42"/>
        <v>16.8</v>
      </c>
      <c r="D50" s="37"/>
      <c r="E50" s="37">
        <v>16.8</v>
      </c>
      <c r="F50" s="43"/>
      <c r="G50" s="37"/>
      <c r="H50" s="10">
        <f t="shared" si="43"/>
        <v>2891.65</v>
      </c>
      <c r="I50" s="43">
        <v>286.8</v>
      </c>
      <c r="J50" s="37">
        <v>2604.85</v>
      </c>
      <c r="K50" s="37"/>
      <c r="L50" s="11">
        <f t="shared" si="44"/>
        <v>2479.3049999999998</v>
      </c>
      <c r="M50" s="37">
        <v>500.93</v>
      </c>
      <c r="N50" s="43">
        <v>1978.375</v>
      </c>
      <c r="O50" s="44"/>
      <c r="P50" s="12" t="s">
        <v>45</v>
      </c>
      <c r="Q50" s="13"/>
      <c r="R50" s="13"/>
      <c r="S50" s="6"/>
    </row>
    <row r="51" spans="1:19">
      <c r="A51" s="7" t="s">
        <v>156</v>
      </c>
      <c r="B51" s="8">
        <f t="shared" si="41"/>
        <v>9514.0049999999992</v>
      </c>
      <c r="C51" s="9">
        <f t="shared" si="42"/>
        <v>568.20000000000005</v>
      </c>
      <c r="D51" s="37">
        <v>4.5</v>
      </c>
      <c r="E51" s="37">
        <v>261.7</v>
      </c>
      <c r="F51" s="43">
        <v>302</v>
      </c>
      <c r="G51" s="37"/>
      <c r="H51" s="10">
        <f t="shared" si="43"/>
        <v>4965.16</v>
      </c>
      <c r="I51" s="43">
        <v>427.4</v>
      </c>
      <c r="J51" s="37">
        <v>4491.96</v>
      </c>
      <c r="K51" s="37">
        <v>45.8</v>
      </c>
      <c r="L51" s="11">
        <f t="shared" si="44"/>
        <v>3980.645</v>
      </c>
      <c r="M51" s="37">
        <v>497.17500000000001</v>
      </c>
      <c r="N51" s="43">
        <v>3464.47</v>
      </c>
      <c r="O51" s="44">
        <v>19</v>
      </c>
      <c r="P51" s="12" t="s">
        <v>46</v>
      </c>
      <c r="Q51" s="13"/>
      <c r="R51" s="13"/>
      <c r="S51" s="6"/>
    </row>
    <row r="52" spans="1:19">
      <c r="A52" s="82" t="s">
        <v>47</v>
      </c>
      <c r="B52" s="83">
        <f>SUM(C52,G52,H52,L52)</f>
        <v>26873.726000000002</v>
      </c>
      <c r="C52" s="84">
        <f>SUM(D52:F53)</f>
        <v>2003.6100000000001</v>
      </c>
      <c r="D52" s="85">
        <f>SUM(D54:D58)</f>
        <v>193.25</v>
      </c>
      <c r="E52" s="85">
        <f t="shared" ref="E52:G52" si="45">SUM(E54:E58)</f>
        <v>1508.26</v>
      </c>
      <c r="F52" s="85">
        <f t="shared" si="45"/>
        <v>302.10000000000002</v>
      </c>
      <c r="G52" s="85">
        <f t="shared" si="45"/>
        <v>0</v>
      </c>
      <c r="H52" s="88">
        <f>SUM(I52:K53)</f>
        <v>12701.700999999999</v>
      </c>
      <c r="I52" s="85">
        <f>SUM(I54:I58)</f>
        <v>1782.3559999999998</v>
      </c>
      <c r="J52" s="85">
        <f t="shared" ref="J52:K52" si="46">SUM(J54:J58)</f>
        <v>10919.344999999999</v>
      </c>
      <c r="K52" s="85">
        <f t="shared" si="46"/>
        <v>0</v>
      </c>
      <c r="L52" s="89">
        <f>SUM(M52:O53)</f>
        <v>12168.415000000001</v>
      </c>
      <c r="M52" s="85">
        <f t="shared" ref="M52:O52" si="47">SUM(M54:M58)</f>
        <v>2431.34</v>
      </c>
      <c r="N52" s="85">
        <f t="shared" si="47"/>
        <v>9737.0750000000007</v>
      </c>
      <c r="O52" s="96">
        <f t="shared" si="47"/>
        <v>0</v>
      </c>
      <c r="P52" s="94" t="s">
        <v>48</v>
      </c>
      <c r="Q52" s="95"/>
      <c r="R52" s="95"/>
      <c r="S52" s="6"/>
    </row>
    <row r="53" spans="1:19">
      <c r="A53" s="82"/>
      <c r="B53" s="83"/>
      <c r="C53" s="84"/>
      <c r="D53" s="85"/>
      <c r="E53" s="85"/>
      <c r="F53" s="85"/>
      <c r="G53" s="85"/>
      <c r="H53" s="88"/>
      <c r="I53" s="85"/>
      <c r="J53" s="85"/>
      <c r="K53" s="85"/>
      <c r="L53" s="89"/>
      <c r="M53" s="85"/>
      <c r="N53" s="85"/>
      <c r="O53" s="96"/>
      <c r="P53" s="94"/>
      <c r="Q53" s="95"/>
      <c r="R53" s="95"/>
      <c r="S53" s="6"/>
    </row>
    <row r="54" spans="1:19">
      <c r="A54" s="7" t="s">
        <v>157</v>
      </c>
      <c r="B54" s="8">
        <f t="shared" ref="B54:B58" si="48">SUM(C54,G54,H54,L54)</f>
        <v>2576.84</v>
      </c>
      <c r="C54" s="9">
        <f t="shared" ref="C54:C58" si="49">SUM(D54:F54)</f>
        <v>500.78999999999996</v>
      </c>
      <c r="D54" s="37"/>
      <c r="E54" s="37">
        <v>361.69</v>
      </c>
      <c r="F54" s="43">
        <v>139.1</v>
      </c>
      <c r="G54" s="37"/>
      <c r="H54" s="10">
        <f t="shared" ref="H54:H58" si="50">SUM(I54:K54)</f>
        <v>1189.8699999999999</v>
      </c>
      <c r="I54" s="43">
        <v>898.5</v>
      </c>
      <c r="J54" s="37">
        <v>291.37</v>
      </c>
      <c r="K54" s="37"/>
      <c r="L54" s="11">
        <f t="shared" ref="L54:L58" si="51">SUM(M54:O54)</f>
        <v>886.18000000000006</v>
      </c>
      <c r="M54" s="37">
        <v>721.6</v>
      </c>
      <c r="N54" s="43">
        <v>164.58</v>
      </c>
      <c r="O54" s="44"/>
      <c r="P54" s="12" t="s">
        <v>49</v>
      </c>
      <c r="Q54" s="13"/>
      <c r="R54" s="13"/>
      <c r="S54" s="6"/>
    </row>
    <row r="55" spans="1:19">
      <c r="A55" s="7" t="s">
        <v>158</v>
      </c>
      <c r="B55" s="8">
        <f t="shared" si="48"/>
        <v>3925.2599999999998</v>
      </c>
      <c r="C55" s="9">
        <f t="shared" si="49"/>
        <v>1277.58</v>
      </c>
      <c r="D55" s="37">
        <v>142.28</v>
      </c>
      <c r="E55" s="37">
        <v>998.3</v>
      </c>
      <c r="F55" s="43">
        <v>137</v>
      </c>
      <c r="G55" s="37"/>
      <c r="H55" s="10">
        <f t="shared" si="50"/>
        <v>959.7</v>
      </c>
      <c r="I55" s="43">
        <v>395.12</v>
      </c>
      <c r="J55" s="37">
        <v>564.58000000000004</v>
      </c>
      <c r="K55" s="37"/>
      <c r="L55" s="11">
        <f t="shared" si="51"/>
        <v>1687.98</v>
      </c>
      <c r="M55" s="37">
        <v>1001.55</v>
      </c>
      <c r="N55" s="43">
        <v>686.43</v>
      </c>
      <c r="O55" s="44"/>
      <c r="P55" s="12" t="s">
        <v>50</v>
      </c>
      <c r="Q55" s="13"/>
      <c r="R55" s="13"/>
      <c r="S55" s="6"/>
    </row>
    <row r="56" spans="1:19">
      <c r="A56" s="7" t="s">
        <v>159</v>
      </c>
      <c r="B56" s="8">
        <f t="shared" si="48"/>
        <v>439.42</v>
      </c>
      <c r="C56" s="9">
        <f t="shared" si="49"/>
        <v>0</v>
      </c>
      <c r="D56" s="37"/>
      <c r="E56" s="37"/>
      <c r="F56" s="43"/>
      <c r="G56" s="37"/>
      <c r="H56" s="10">
        <f t="shared" si="50"/>
        <v>169.5</v>
      </c>
      <c r="I56" s="43">
        <v>11.62</v>
      </c>
      <c r="J56" s="37">
        <v>157.88</v>
      </c>
      <c r="K56" s="37"/>
      <c r="L56" s="11">
        <f t="shared" si="51"/>
        <v>269.92</v>
      </c>
      <c r="M56" s="37">
        <v>7.92</v>
      </c>
      <c r="N56" s="43">
        <v>262</v>
      </c>
      <c r="O56" s="44"/>
      <c r="P56" s="12" t="s">
        <v>51</v>
      </c>
      <c r="Q56" s="13"/>
      <c r="R56" s="13"/>
      <c r="S56" s="6"/>
    </row>
    <row r="57" spans="1:19">
      <c r="A57" s="7" t="s">
        <v>160</v>
      </c>
      <c r="B57" s="8">
        <f t="shared" si="48"/>
        <v>18284.210999999999</v>
      </c>
      <c r="C57" s="9">
        <f t="shared" si="49"/>
        <v>148.44</v>
      </c>
      <c r="D57" s="37">
        <v>50.97</v>
      </c>
      <c r="E57" s="37">
        <v>71.47</v>
      </c>
      <c r="F57" s="43">
        <v>26</v>
      </c>
      <c r="G57" s="37"/>
      <c r="H57" s="10">
        <f t="shared" si="50"/>
        <v>9815.5959999999995</v>
      </c>
      <c r="I57" s="43">
        <v>323.68599999999998</v>
      </c>
      <c r="J57" s="37">
        <v>9491.91</v>
      </c>
      <c r="K57" s="37"/>
      <c r="L57" s="11">
        <f t="shared" si="51"/>
        <v>8320.1749999999993</v>
      </c>
      <c r="M57" s="37">
        <v>354.31</v>
      </c>
      <c r="N57" s="43">
        <v>7965.8649999999998</v>
      </c>
      <c r="O57" s="44"/>
      <c r="P57" s="12" t="s">
        <v>52</v>
      </c>
      <c r="Q57" s="13"/>
      <c r="R57" s="13"/>
      <c r="S57" s="6"/>
    </row>
    <row r="58" spans="1:19">
      <c r="A58" s="7" t="s">
        <v>161</v>
      </c>
      <c r="B58" s="8">
        <f t="shared" si="48"/>
        <v>1647.9950000000001</v>
      </c>
      <c r="C58" s="9">
        <f t="shared" si="49"/>
        <v>76.8</v>
      </c>
      <c r="D58" s="37"/>
      <c r="E58" s="37">
        <v>76.8</v>
      </c>
      <c r="F58" s="43"/>
      <c r="G58" s="37"/>
      <c r="H58" s="10">
        <f t="shared" si="50"/>
        <v>567.03500000000008</v>
      </c>
      <c r="I58" s="43">
        <v>153.43</v>
      </c>
      <c r="J58" s="37">
        <v>413.60500000000002</v>
      </c>
      <c r="K58" s="37"/>
      <c r="L58" s="11">
        <f t="shared" si="51"/>
        <v>1004.1600000000001</v>
      </c>
      <c r="M58" s="37">
        <v>345.96</v>
      </c>
      <c r="N58" s="43">
        <v>658.2</v>
      </c>
      <c r="O58" s="44"/>
      <c r="P58" s="12" t="s">
        <v>53</v>
      </c>
      <c r="Q58" s="13"/>
      <c r="R58" s="13"/>
      <c r="S58" s="6"/>
    </row>
    <row r="59" spans="1:19">
      <c r="A59" s="82" t="s">
        <v>54</v>
      </c>
      <c r="B59" s="83">
        <f>SUM(C59,G59,H59,L59)</f>
        <v>253993.75300000003</v>
      </c>
      <c r="C59" s="84">
        <f>SUM(D59:F60)</f>
        <v>43723.87</v>
      </c>
      <c r="D59" s="85">
        <f>SUM(D61:D63)</f>
        <v>1966.1499999999999</v>
      </c>
      <c r="E59" s="85">
        <f t="shared" ref="E59:G59" si="52">SUM(E61:E63)</f>
        <v>20534.02</v>
      </c>
      <c r="F59" s="85">
        <f t="shared" si="52"/>
        <v>21223.7</v>
      </c>
      <c r="G59" s="85">
        <f t="shared" si="52"/>
        <v>0</v>
      </c>
      <c r="H59" s="88">
        <f>SUM(I59:K60)</f>
        <v>141792.038</v>
      </c>
      <c r="I59" s="85">
        <f>SUM(I61:I63)</f>
        <v>18739.718000000001</v>
      </c>
      <c r="J59" s="85">
        <f t="shared" ref="J59:K59" si="53">SUM(J61:J63)</f>
        <v>116604.1</v>
      </c>
      <c r="K59" s="85">
        <f t="shared" si="53"/>
        <v>6448.22</v>
      </c>
      <c r="L59" s="89">
        <f>SUM(M59:O60)</f>
        <v>68477.845000000016</v>
      </c>
      <c r="M59" s="85">
        <f t="shared" ref="M59:O59" si="54">SUM(M61:M63)</f>
        <v>19424.840000000004</v>
      </c>
      <c r="N59" s="85">
        <f t="shared" si="54"/>
        <v>47588.205000000002</v>
      </c>
      <c r="O59" s="96">
        <f t="shared" si="54"/>
        <v>1464.8000000000002</v>
      </c>
      <c r="P59" s="94" t="s">
        <v>55</v>
      </c>
      <c r="Q59" s="95"/>
      <c r="R59" s="95"/>
      <c r="S59" s="6"/>
    </row>
    <row r="60" spans="1:19">
      <c r="A60" s="82"/>
      <c r="B60" s="83"/>
      <c r="C60" s="84"/>
      <c r="D60" s="85"/>
      <c r="E60" s="85"/>
      <c r="F60" s="85"/>
      <c r="G60" s="85"/>
      <c r="H60" s="88"/>
      <c r="I60" s="85"/>
      <c r="J60" s="85"/>
      <c r="K60" s="85"/>
      <c r="L60" s="89"/>
      <c r="M60" s="85"/>
      <c r="N60" s="85"/>
      <c r="O60" s="96"/>
      <c r="P60" s="94"/>
      <c r="Q60" s="95"/>
      <c r="R60" s="95"/>
      <c r="S60" s="6"/>
    </row>
    <row r="61" spans="1:19">
      <c r="A61" s="7" t="s">
        <v>162</v>
      </c>
      <c r="B61" s="8">
        <f t="shared" ref="B61:B63" si="55">SUM(C61,G61,H61,L61)</f>
        <v>68703.906000000003</v>
      </c>
      <c r="C61" s="9">
        <f t="shared" ref="C61:C63" si="56">SUM(D61:F61)</f>
        <v>7917.7</v>
      </c>
      <c r="D61" s="37">
        <v>1340.8</v>
      </c>
      <c r="E61" s="37">
        <v>4559.7</v>
      </c>
      <c r="F61" s="43">
        <v>2017.2</v>
      </c>
      <c r="G61" s="37"/>
      <c r="H61" s="10">
        <f t="shared" ref="H61:H63" si="57">SUM(I61:K61)</f>
        <v>36354.74</v>
      </c>
      <c r="I61" s="43">
        <v>3304.7979999999998</v>
      </c>
      <c r="J61" s="37">
        <v>32244.241999999998</v>
      </c>
      <c r="K61" s="37">
        <v>805.7</v>
      </c>
      <c r="L61" s="11">
        <f t="shared" ref="L61:L63" si="58">SUM(M61:O61)</f>
        <v>24431.466000000004</v>
      </c>
      <c r="M61" s="37">
        <v>3386.201</v>
      </c>
      <c r="N61" s="43">
        <v>20506.865000000002</v>
      </c>
      <c r="O61" s="44">
        <v>538.4</v>
      </c>
      <c r="P61" s="12" t="s">
        <v>56</v>
      </c>
      <c r="Q61" s="13"/>
      <c r="R61" s="13"/>
      <c r="S61" s="6"/>
    </row>
    <row r="62" spans="1:19">
      <c r="A62" s="7" t="s">
        <v>163</v>
      </c>
      <c r="B62" s="8">
        <f t="shared" si="55"/>
        <v>80700.332999999999</v>
      </c>
      <c r="C62" s="9">
        <f t="shared" si="56"/>
        <v>3169.77</v>
      </c>
      <c r="D62" s="37">
        <v>245.35</v>
      </c>
      <c r="E62" s="37">
        <v>1750.42</v>
      </c>
      <c r="F62" s="43">
        <v>1174</v>
      </c>
      <c r="G62" s="37"/>
      <c r="H62" s="10">
        <f t="shared" si="57"/>
        <v>53830.942000000003</v>
      </c>
      <c r="I62" s="43">
        <v>3780.3919999999998</v>
      </c>
      <c r="J62" s="37">
        <v>45768.75</v>
      </c>
      <c r="K62" s="37">
        <v>4281.8</v>
      </c>
      <c r="L62" s="11">
        <f t="shared" si="58"/>
        <v>23699.620999999999</v>
      </c>
      <c r="M62" s="37">
        <v>5477.7160000000003</v>
      </c>
      <c r="N62" s="43">
        <v>17370.445</v>
      </c>
      <c r="O62" s="44">
        <v>851.46</v>
      </c>
      <c r="P62" s="12" t="s">
        <v>57</v>
      </c>
      <c r="Q62" s="13"/>
      <c r="R62" s="13"/>
      <c r="S62" s="6"/>
    </row>
    <row r="63" spans="1:19">
      <c r="A63" s="7" t="s">
        <v>164</v>
      </c>
      <c r="B63" s="8">
        <f t="shared" si="55"/>
        <v>104589.514</v>
      </c>
      <c r="C63" s="9">
        <f t="shared" si="56"/>
        <v>32636.400000000001</v>
      </c>
      <c r="D63" s="37">
        <v>380</v>
      </c>
      <c r="E63" s="37">
        <v>14223.9</v>
      </c>
      <c r="F63" s="43">
        <v>18032.5</v>
      </c>
      <c r="G63" s="37"/>
      <c r="H63" s="10">
        <f t="shared" si="57"/>
        <v>51606.356</v>
      </c>
      <c r="I63" s="43">
        <v>11654.528</v>
      </c>
      <c r="J63" s="37">
        <v>38591.108</v>
      </c>
      <c r="K63" s="37">
        <v>1360.72</v>
      </c>
      <c r="L63" s="11">
        <f t="shared" si="58"/>
        <v>20346.757999999998</v>
      </c>
      <c r="M63" s="37">
        <v>10560.923000000001</v>
      </c>
      <c r="N63" s="43">
        <v>9710.8950000000004</v>
      </c>
      <c r="O63" s="44">
        <v>74.94</v>
      </c>
      <c r="P63" s="12" t="s">
        <v>58</v>
      </c>
      <c r="Q63" s="13"/>
      <c r="R63" s="13"/>
      <c r="S63" s="6"/>
    </row>
    <row r="64" spans="1:19">
      <c r="A64" s="82" t="s">
        <v>59</v>
      </c>
      <c r="B64" s="83">
        <f>SUM(C64,G64,H64,L64)</f>
        <v>110163.94899999999</v>
      </c>
      <c r="C64" s="84">
        <f>SUM(D64:F65)</f>
        <v>7037.9299999999994</v>
      </c>
      <c r="D64" s="85">
        <f>SUM(D66:D70)</f>
        <v>262.5</v>
      </c>
      <c r="E64" s="85">
        <f t="shared" ref="E64:G64" si="59">SUM(E66:E70)</f>
        <v>4670.7299999999996</v>
      </c>
      <c r="F64" s="85">
        <f t="shared" si="59"/>
        <v>2104.6999999999998</v>
      </c>
      <c r="G64" s="85">
        <f t="shared" si="59"/>
        <v>0</v>
      </c>
      <c r="H64" s="88">
        <f>SUM(I64:K65)</f>
        <v>46827.948000000004</v>
      </c>
      <c r="I64" s="85">
        <f>SUM(I66:I70)</f>
        <v>4308.5259999999998</v>
      </c>
      <c r="J64" s="85">
        <f t="shared" ref="J64:K64" si="60">SUM(J66:J70)</f>
        <v>39111.372000000003</v>
      </c>
      <c r="K64" s="85">
        <f t="shared" si="60"/>
        <v>3408.0499999999997</v>
      </c>
      <c r="L64" s="89">
        <f>SUM(M64:O65)</f>
        <v>56298.070999999996</v>
      </c>
      <c r="M64" s="85">
        <f t="shared" ref="M64:O64" si="61">SUM(M66:M70)</f>
        <v>8785.5550000000003</v>
      </c>
      <c r="N64" s="85">
        <f t="shared" si="61"/>
        <v>43108.460999999996</v>
      </c>
      <c r="O64" s="96">
        <f t="shared" si="61"/>
        <v>4404.0549999999994</v>
      </c>
      <c r="P64" s="94" t="s">
        <v>60</v>
      </c>
      <c r="Q64" s="95"/>
      <c r="R64" s="95"/>
      <c r="S64" s="6"/>
    </row>
    <row r="65" spans="1:19">
      <c r="A65" s="82"/>
      <c r="B65" s="83"/>
      <c r="C65" s="84"/>
      <c r="D65" s="85"/>
      <c r="E65" s="85"/>
      <c r="F65" s="85"/>
      <c r="G65" s="85"/>
      <c r="H65" s="88"/>
      <c r="I65" s="85"/>
      <c r="J65" s="85"/>
      <c r="K65" s="85"/>
      <c r="L65" s="89"/>
      <c r="M65" s="85"/>
      <c r="N65" s="85"/>
      <c r="O65" s="96"/>
      <c r="P65" s="94"/>
      <c r="Q65" s="95"/>
      <c r="R65" s="95"/>
      <c r="S65" s="6"/>
    </row>
    <row r="66" spans="1:19">
      <c r="A66" s="7" t="s">
        <v>165</v>
      </c>
      <c r="B66" s="8">
        <f t="shared" ref="B66:B70" si="62">SUM(C66,G66,H66,L66)</f>
        <v>24871.361999999994</v>
      </c>
      <c r="C66" s="9">
        <f t="shared" ref="C66:C70" si="63">SUM(D66:F66)</f>
        <v>454.65</v>
      </c>
      <c r="D66" s="37">
        <v>62.95</v>
      </c>
      <c r="E66" s="37">
        <v>186.8</v>
      </c>
      <c r="F66" s="43">
        <v>204.9</v>
      </c>
      <c r="G66" s="37"/>
      <c r="H66" s="10">
        <f t="shared" ref="H66:H70" si="64">SUM(I66:K66)</f>
        <v>12891.373999999998</v>
      </c>
      <c r="I66" s="43">
        <v>688.899</v>
      </c>
      <c r="J66" s="37">
        <v>11809.754999999999</v>
      </c>
      <c r="K66" s="37">
        <v>392.72</v>
      </c>
      <c r="L66" s="11">
        <f t="shared" ref="L66:L70" si="65">SUM(M66:O66)</f>
        <v>11525.337999999998</v>
      </c>
      <c r="M66" s="37">
        <v>1180.799</v>
      </c>
      <c r="N66" s="43">
        <v>9854.6389999999992</v>
      </c>
      <c r="O66" s="44">
        <v>489.9</v>
      </c>
      <c r="P66" s="12" t="s">
        <v>61</v>
      </c>
      <c r="Q66" s="13"/>
      <c r="R66" s="13"/>
      <c r="S66" s="6"/>
    </row>
    <row r="67" spans="1:19">
      <c r="A67" s="7" t="s">
        <v>166</v>
      </c>
      <c r="B67" s="8">
        <f t="shared" si="62"/>
        <v>25747.650999999998</v>
      </c>
      <c r="C67" s="9">
        <f t="shared" si="63"/>
        <v>3149.3</v>
      </c>
      <c r="D67" s="37">
        <v>31.5</v>
      </c>
      <c r="E67" s="37">
        <v>2952.8</v>
      </c>
      <c r="F67" s="43">
        <v>165</v>
      </c>
      <c r="G67" s="37"/>
      <c r="H67" s="10">
        <f t="shared" si="64"/>
        <v>11646.587</v>
      </c>
      <c r="I67" s="43">
        <v>680.24699999999996</v>
      </c>
      <c r="J67" s="37">
        <v>9660.4500000000007</v>
      </c>
      <c r="K67" s="37">
        <v>1305.8900000000001</v>
      </c>
      <c r="L67" s="11">
        <f t="shared" si="65"/>
        <v>10951.763999999999</v>
      </c>
      <c r="M67" s="37">
        <v>814.54399999999998</v>
      </c>
      <c r="N67" s="43">
        <v>8712.7199999999993</v>
      </c>
      <c r="O67" s="44">
        <v>1424.5</v>
      </c>
      <c r="P67" s="12" t="s">
        <v>62</v>
      </c>
      <c r="Q67" s="13"/>
      <c r="R67" s="13"/>
      <c r="S67" s="6"/>
    </row>
    <row r="68" spans="1:19">
      <c r="A68" s="7" t="s">
        <v>167</v>
      </c>
      <c r="B68" s="8">
        <f t="shared" si="62"/>
        <v>11419.120999999999</v>
      </c>
      <c r="C68" s="9">
        <f t="shared" si="63"/>
        <v>108.6</v>
      </c>
      <c r="D68" s="37"/>
      <c r="E68" s="37">
        <v>108.6</v>
      </c>
      <c r="F68" s="43"/>
      <c r="G68" s="37"/>
      <c r="H68" s="10">
        <f t="shared" si="64"/>
        <v>5738.22</v>
      </c>
      <c r="I68" s="43">
        <v>361.32</v>
      </c>
      <c r="J68" s="37">
        <v>5060.26</v>
      </c>
      <c r="K68" s="37">
        <v>316.64</v>
      </c>
      <c r="L68" s="11">
        <f t="shared" si="65"/>
        <v>5572.3009999999995</v>
      </c>
      <c r="M68" s="37">
        <v>581.70100000000002</v>
      </c>
      <c r="N68" s="43">
        <v>4616.1499999999996</v>
      </c>
      <c r="O68" s="44">
        <v>374.45</v>
      </c>
      <c r="P68" s="12" t="s">
        <v>63</v>
      </c>
      <c r="Q68" s="13"/>
      <c r="R68" s="13"/>
      <c r="S68" s="6"/>
    </row>
    <row r="69" spans="1:19">
      <c r="A69" s="7" t="s">
        <v>168</v>
      </c>
      <c r="B69" s="8">
        <f t="shared" si="62"/>
        <v>31391.011000000002</v>
      </c>
      <c r="C69" s="9">
        <f t="shared" si="63"/>
        <v>2662.4</v>
      </c>
      <c r="D69" s="37">
        <v>83.4</v>
      </c>
      <c r="E69" s="37">
        <v>869.8</v>
      </c>
      <c r="F69" s="43">
        <v>1709.2</v>
      </c>
      <c r="G69" s="37"/>
      <c r="H69" s="10">
        <f t="shared" si="64"/>
        <v>7194.5110000000004</v>
      </c>
      <c r="I69" s="43">
        <v>1103.6659999999999</v>
      </c>
      <c r="J69" s="37">
        <v>5197.3950000000004</v>
      </c>
      <c r="K69" s="37">
        <v>893.45</v>
      </c>
      <c r="L69" s="11">
        <f t="shared" si="65"/>
        <v>21534.100000000002</v>
      </c>
      <c r="M69" s="37">
        <v>3042.9189999999999</v>
      </c>
      <c r="N69" s="43">
        <v>16707.281999999999</v>
      </c>
      <c r="O69" s="44">
        <v>1783.8989999999999</v>
      </c>
      <c r="P69" s="12" t="s">
        <v>64</v>
      </c>
      <c r="Q69" s="13"/>
      <c r="R69" s="13"/>
      <c r="S69" s="6"/>
    </row>
    <row r="70" spans="1:19">
      <c r="A70" s="7" t="s">
        <v>169</v>
      </c>
      <c r="B70" s="8">
        <f t="shared" si="62"/>
        <v>16734.804</v>
      </c>
      <c r="C70" s="9">
        <f t="shared" si="63"/>
        <v>662.98</v>
      </c>
      <c r="D70" s="37">
        <v>84.65</v>
      </c>
      <c r="E70" s="37">
        <v>552.73</v>
      </c>
      <c r="F70" s="43">
        <v>25.6</v>
      </c>
      <c r="G70" s="37"/>
      <c r="H70" s="10">
        <f t="shared" si="64"/>
        <v>9357.2559999999994</v>
      </c>
      <c r="I70" s="43">
        <v>1474.394</v>
      </c>
      <c r="J70" s="37">
        <v>7383.5119999999997</v>
      </c>
      <c r="K70" s="37">
        <v>499.35</v>
      </c>
      <c r="L70" s="11">
        <f t="shared" si="65"/>
        <v>6714.5680000000002</v>
      </c>
      <c r="M70" s="37">
        <v>3165.5920000000001</v>
      </c>
      <c r="N70" s="43">
        <v>3217.67</v>
      </c>
      <c r="O70" s="44">
        <v>331.30599999999998</v>
      </c>
      <c r="P70" s="12" t="s">
        <v>65</v>
      </c>
      <c r="Q70" s="13"/>
      <c r="R70" s="13"/>
      <c r="S70" s="6"/>
    </row>
    <row r="71" spans="1:19">
      <c r="A71" s="82" t="s">
        <v>66</v>
      </c>
      <c r="B71" s="83">
        <f>SUM(C71,G71,H71,L71)</f>
        <v>30325.443000000003</v>
      </c>
      <c r="C71" s="84">
        <f>SUM(D71:F72)</f>
        <v>14418.2</v>
      </c>
      <c r="D71" s="85">
        <f>SUM(D73:D80)</f>
        <v>21</v>
      </c>
      <c r="E71" s="85">
        <f t="shared" ref="E71:G71" si="66">SUM(E73:E80)</f>
        <v>1564.2</v>
      </c>
      <c r="F71" s="85">
        <f t="shared" si="66"/>
        <v>12833</v>
      </c>
      <c r="G71" s="85">
        <f t="shared" si="66"/>
        <v>0</v>
      </c>
      <c r="H71" s="88">
        <f>SUM(I71:K72)</f>
        <v>10712.449999999999</v>
      </c>
      <c r="I71" s="85">
        <f>SUM(I73:I80)</f>
        <v>897.31</v>
      </c>
      <c r="J71" s="85">
        <f t="shared" ref="J71:K71" si="67">SUM(J73:J80)</f>
        <v>9475.9</v>
      </c>
      <c r="K71" s="85">
        <f t="shared" si="67"/>
        <v>339.23999999999995</v>
      </c>
      <c r="L71" s="89">
        <f>SUM(M71:O72)</f>
        <v>5194.7930000000006</v>
      </c>
      <c r="M71" s="85">
        <f t="shared" ref="M71:O71" si="68">SUM(M73:M80)</f>
        <v>908.76800000000003</v>
      </c>
      <c r="N71" s="85">
        <f t="shared" si="68"/>
        <v>4195.01</v>
      </c>
      <c r="O71" s="96">
        <f t="shared" si="68"/>
        <v>91.014999999999986</v>
      </c>
      <c r="P71" s="94" t="s">
        <v>67</v>
      </c>
      <c r="Q71" s="95"/>
      <c r="R71" s="95"/>
      <c r="S71" s="6"/>
    </row>
    <row r="72" spans="1:19">
      <c r="A72" s="82"/>
      <c r="B72" s="83"/>
      <c r="C72" s="84"/>
      <c r="D72" s="85"/>
      <c r="E72" s="85"/>
      <c r="F72" s="85"/>
      <c r="G72" s="85"/>
      <c r="H72" s="88"/>
      <c r="I72" s="85"/>
      <c r="J72" s="85"/>
      <c r="K72" s="85"/>
      <c r="L72" s="89"/>
      <c r="M72" s="85"/>
      <c r="N72" s="85"/>
      <c r="O72" s="96"/>
      <c r="P72" s="94"/>
      <c r="Q72" s="95"/>
      <c r="R72" s="95"/>
      <c r="S72" s="6"/>
    </row>
    <row r="73" spans="1:19" ht="20.399999999999999">
      <c r="A73" s="15" t="s">
        <v>68</v>
      </c>
      <c r="B73" s="8">
        <f t="shared" ref="B73:B80" si="69">SUM(C73,G73,H73,L73)</f>
        <v>0</v>
      </c>
      <c r="C73" s="39">
        <f t="shared" ref="C73:C80" si="70">SUM(D73:F73)</f>
        <v>0</v>
      </c>
      <c r="D73" s="40"/>
      <c r="E73" s="40"/>
      <c r="F73" s="40"/>
      <c r="G73" s="40"/>
      <c r="H73" s="41">
        <f t="shared" ref="H73:H80" si="71">SUM(I73:K73)</f>
        <v>0</v>
      </c>
      <c r="I73" s="40"/>
      <c r="J73" s="40"/>
      <c r="K73" s="40"/>
      <c r="L73" s="42">
        <f t="shared" ref="L73:L80" si="72">SUM(M73:O73)</f>
        <v>0</v>
      </c>
      <c r="M73" s="40"/>
      <c r="N73" s="40"/>
      <c r="O73" s="46"/>
      <c r="P73" s="12" t="s">
        <v>69</v>
      </c>
      <c r="Q73" s="13"/>
      <c r="R73" s="13"/>
      <c r="S73" s="6"/>
    </row>
    <row r="74" spans="1:19">
      <c r="A74" s="15" t="s">
        <v>70</v>
      </c>
      <c r="B74" s="8">
        <f t="shared" si="69"/>
        <v>156.6</v>
      </c>
      <c r="C74" s="9">
        <f t="shared" si="70"/>
        <v>8</v>
      </c>
      <c r="D74" s="37"/>
      <c r="E74" s="37">
        <v>8</v>
      </c>
      <c r="F74" s="43"/>
      <c r="G74" s="37"/>
      <c r="H74" s="10">
        <f t="shared" si="71"/>
        <v>57.5</v>
      </c>
      <c r="I74" s="43">
        <v>22.5</v>
      </c>
      <c r="J74" s="37">
        <v>35</v>
      </c>
      <c r="K74" s="37"/>
      <c r="L74" s="11">
        <f t="shared" si="72"/>
        <v>91.1</v>
      </c>
      <c r="M74" s="37">
        <v>28.1</v>
      </c>
      <c r="N74" s="43">
        <v>63</v>
      </c>
      <c r="O74" s="44"/>
      <c r="P74" s="12" t="s">
        <v>71</v>
      </c>
      <c r="Q74" s="13"/>
      <c r="R74" s="13"/>
      <c r="S74" s="6"/>
    </row>
    <row r="75" spans="1:19">
      <c r="A75" s="15" t="s">
        <v>72</v>
      </c>
      <c r="B75" s="8">
        <f t="shared" si="69"/>
        <v>0</v>
      </c>
      <c r="C75" s="9">
        <f t="shared" si="70"/>
        <v>0</v>
      </c>
      <c r="D75" s="14"/>
      <c r="E75" s="14"/>
      <c r="F75" s="14"/>
      <c r="G75" s="14"/>
      <c r="H75" s="10">
        <f t="shared" si="71"/>
        <v>0</v>
      </c>
      <c r="I75" s="14"/>
      <c r="J75" s="14"/>
      <c r="K75" s="14"/>
      <c r="L75" s="11">
        <f t="shared" si="72"/>
        <v>0</v>
      </c>
      <c r="M75" s="14"/>
      <c r="N75" s="14"/>
      <c r="O75" s="47"/>
      <c r="P75" s="12" t="s">
        <v>73</v>
      </c>
      <c r="Q75" s="13"/>
      <c r="R75" s="13"/>
      <c r="S75" s="6"/>
    </row>
    <row r="76" spans="1:19">
      <c r="A76" s="15" t="s">
        <v>74</v>
      </c>
      <c r="B76" s="8">
        <f t="shared" si="69"/>
        <v>0</v>
      </c>
      <c r="C76" s="9">
        <f t="shared" si="70"/>
        <v>0</v>
      </c>
      <c r="D76" s="14"/>
      <c r="E76" s="14"/>
      <c r="F76" s="14"/>
      <c r="G76" s="14"/>
      <c r="H76" s="10">
        <f t="shared" si="71"/>
        <v>0</v>
      </c>
      <c r="I76" s="14"/>
      <c r="J76" s="14"/>
      <c r="K76" s="14"/>
      <c r="L76" s="11">
        <f t="shared" si="72"/>
        <v>0</v>
      </c>
      <c r="M76" s="14"/>
      <c r="N76" s="14"/>
      <c r="O76" s="47"/>
      <c r="P76" s="12" t="s">
        <v>75</v>
      </c>
      <c r="Q76" s="13"/>
      <c r="R76" s="13"/>
      <c r="S76" s="6"/>
    </row>
    <row r="77" spans="1:19">
      <c r="A77" s="15" t="s">
        <v>76</v>
      </c>
      <c r="B77" s="8">
        <f t="shared" si="69"/>
        <v>8932.0079999999998</v>
      </c>
      <c r="C77" s="9">
        <f t="shared" si="70"/>
        <v>1558.2</v>
      </c>
      <c r="D77" s="37"/>
      <c r="E77" s="37">
        <v>735.2</v>
      </c>
      <c r="F77" s="43">
        <v>823</v>
      </c>
      <c r="G77" s="37"/>
      <c r="H77" s="10">
        <f t="shared" si="71"/>
        <v>5897.85</v>
      </c>
      <c r="I77" s="43">
        <v>351.05</v>
      </c>
      <c r="J77" s="37">
        <v>5473.7</v>
      </c>
      <c r="K77" s="37">
        <v>73.099999999999994</v>
      </c>
      <c r="L77" s="11">
        <f t="shared" si="72"/>
        <v>1475.9580000000003</v>
      </c>
      <c r="M77" s="37">
        <v>288.64800000000002</v>
      </c>
      <c r="N77" s="43">
        <v>1181.1500000000001</v>
      </c>
      <c r="O77" s="44">
        <v>6.16</v>
      </c>
      <c r="P77" s="12" t="s">
        <v>77</v>
      </c>
      <c r="Q77" s="13"/>
      <c r="R77" s="13"/>
      <c r="S77" s="6"/>
    </row>
    <row r="78" spans="1:19">
      <c r="A78" s="15" t="s">
        <v>78</v>
      </c>
      <c r="B78" s="8">
        <f t="shared" si="69"/>
        <v>18660.25</v>
      </c>
      <c r="C78" s="9">
        <f t="shared" si="70"/>
        <v>11990</v>
      </c>
      <c r="D78" s="37"/>
      <c r="E78" s="37">
        <v>15</v>
      </c>
      <c r="F78" s="43">
        <v>11975</v>
      </c>
      <c r="G78" s="37"/>
      <c r="H78" s="10">
        <f t="shared" si="71"/>
        <v>3924.3</v>
      </c>
      <c r="I78" s="43">
        <v>175.3</v>
      </c>
      <c r="J78" s="37">
        <v>3502.3</v>
      </c>
      <c r="K78" s="37">
        <v>246.7</v>
      </c>
      <c r="L78" s="11">
        <f t="shared" si="72"/>
        <v>2745.95</v>
      </c>
      <c r="M78" s="37">
        <v>366.7</v>
      </c>
      <c r="N78" s="43">
        <v>2341.25</v>
      </c>
      <c r="O78" s="44">
        <v>38</v>
      </c>
      <c r="P78" s="12" t="s">
        <v>79</v>
      </c>
      <c r="Q78" s="13"/>
      <c r="R78" s="13"/>
      <c r="S78" s="6"/>
    </row>
    <row r="79" spans="1:19">
      <c r="A79" s="15" t="s">
        <v>80</v>
      </c>
      <c r="B79" s="8">
        <f t="shared" si="69"/>
        <v>6.3</v>
      </c>
      <c r="C79" s="9">
        <f t="shared" si="70"/>
        <v>0</v>
      </c>
      <c r="D79" s="37"/>
      <c r="E79" s="37"/>
      <c r="F79" s="43"/>
      <c r="G79" s="37"/>
      <c r="H79" s="10">
        <f t="shared" si="71"/>
        <v>6.3</v>
      </c>
      <c r="I79" s="43"/>
      <c r="J79" s="37">
        <v>6.3</v>
      </c>
      <c r="K79" s="37"/>
      <c r="L79" s="11">
        <f t="shared" si="72"/>
        <v>0</v>
      </c>
      <c r="M79" s="37"/>
      <c r="N79" s="43"/>
      <c r="O79" s="44"/>
      <c r="P79" s="12" t="s">
        <v>81</v>
      </c>
      <c r="Q79" s="13"/>
      <c r="R79" s="13"/>
      <c r="S79" s="6"/>
    </row>
    <row r="80" spans="1:19">
      <c r="A80" s="15" t="s">
        <v>82</v>
      </c>
      <c r="B80" s="8">
        <f t="shared" si="69"/>
        <v>2570.2849999999999</v>
      </c>
      <c r="C80" s="9">
        <f t="shared" si="70"/>
        <v>862</v>
      </c>
      <c r="D80" s="37">
        <v>21</v>
      </c>
      <c r="E80" s="37">
        <v>806</v>
      </c>
      <c r="F80" s="43">
        <v>35</v>
      </c>
      <c r="G80" s="37"/>
      <c r="H80" s="10">
        <f t="shared" si="71"/>
        <v>826.5</v>
      </c>
      <c r="I80" s="43">
        <v>348.46</v>
      </c>
      <c r="J80" s="37">
        <v>458.6</v>
      </c>
      <c r="K80" s="37">
        <v>19.440000000000001</v>
      </c>
      <c r="L80" s="11">
        <f t="shared" si="72"/>
        <v>881.78500000000008</v>
      </c>
      <c r="M80" s="37">
        <v>225.32</v>
      </c>
      <c r="N80" s="43">
        <v>609.61</v>
      </c>
      <c r="O80" s="44">
        <v>46.854999999999997</v>
      </c>
      <c r="P80" s="12" t="s">
        <v>83</v>
      </c>
      <c r="Q80" s="13"/>
      <c r="R80" s="13"/>
      <c r="S80" s="6"/>
    </row>
    <row r="81" spans="1:19">
      <c r="A81" s="82" t="s">
        <v>84</v>
      </c>
      <c r="B81" s="83">
        <f>SUM(C81,G81,H81,L81)</f>
        <v>58638.97099999999</v>
      </c>
      <c r="C81" s="84">
        <f>SUM(D81:F82)</f>
        <v>3969.24</v>
      </c>
      <c r="D81" s="85">
        <f>SUM(D83:D87)</f>
        <v>335.61</v>
      </c>
      <c r="E81" s="85">
        <f t="shared" ref="E81:F81" si="73">SUM(E83:E87)</f>
        <v>2198.6799999999998</v>
      </c>
      <c r="F81" s="85">
        <f t="shared" si="73"/>
        <v>1434.95</v>
      </c>
      <c r="G81" s="85">
        <v>0</v>
      </c>
      <c r="H81" s="88">
        <f>SUM(I81:K82)</f>
        <v>39381.727999999996</v>
      </c>
      <c r="I81" s="85">
        <f>SUM(I83:I87)</f>
        <v>3791.63</v>
      </c>
      <c r="J81" s="85">
        <f t="shared" ref="J81:K81" si="74">SUM(J83:J87)</f>
        <v>35405.797999999995</v>
      </c>
      <c r="K81" s="85">
        <f t="shared" si="74"/>
        <v>184.3</v>
      </c>
      <c r="L81" s="89">
        <f>SUM(M81:O82)</f>
        <v>15288.002999999999</v>
      </c>
      <c r="M81" s="85">
        <f t="shared" ref="M81:O81" si="75">SUM(M83:M87)</f>
        <v>5436.9429999999993</v>
      </c>
      <c r="N81" s="85">
        <f t="shared" si="75"/>
        <v>9760.06</v>
      </c>
      <c r="O81" s="96">
        <f t="shared" si="75"/>
        <v>91</v>
      </c>
      <c r="P81" s="94" t="s">
        <v>85</v>
      </c>
      <c r="Q81" s="95"/>
      <c r="R81" s="95"/>
      <c r="S81" s="6"/>
    </row>
    <row r="82" spans="1:19">
      <c r="A82" s="82"/>
      <c r="B82" s="83"/>
      <c r="C82" s="84"/>
      <c r="D82" s="85"/>
      <c r="E82" s="85"/>
      <c r="F82" s="85"/>
      <c r="G82" s="85"/>
      <c r="H82" s="88"/>
      <c r="I82" s="85"/>
      <c r="J82" s="85"/>
      <c r="K82" s="85"/>
      <c r="L82" s="89"/>
      <c r="M82" s="85"/>
      <c r="N82" s="85"/>
      <c r="O82" s="96"/>
      <c r="P82" s="94"/>
      <c r="Q82" s="95"/>
      <c r="R82" s="95"/>
      <c r="S82" s="6"/>
    </row>
    <row r="83" spans="1:19">
      <c r="A83" s="7" t="s">
        <v>170</v>
      </c>
      <c r="B83" s="8">
        <f t="shared" ref="B83:B87" si="76">SUM(C83,G83,H83,L83)</f>
        <v>41007.297999999995</v>
      </c>
      <c r="C83" s="9">
        <f t="shared" ref="C83:C87" si="77">SUM(D83:F83)</f>
        <v>603.88</v>
      </c>
      <c r="D83" s="37">
        <v>112.6</v>
      </c>
      <c r="E83" s="37">
        <v>234.98</v>
      </c>
      <c r="F83" s="43">
        <v>256.3</v>
      </c>
      <c r="G83" s="37"/>
      <c r="H83" s="10">
        <f t="shared" ref="H83:H87" si="78">SUM(I83:K83)</f>
        <v>33023.938000000002</v>
      </c>
      <c r="I83" s="43">
        <v>3229.26</v>
      </c>
      <c r="J83" s="37">
        <v>29794.678</v>
      </c>
      <c r="K83" s="37"/>
      <c r="L83" s="11">
        <f t="shared" ref="L83:L87" si="79">SUM(M83:O83)</f>
        <v>7379.48</v>
      </c>
      <c r="M83" s="37">
        <v>3793.88</v>
      </c>
      <c r="N83" s="43">
        <v>3585.6</v>
      </c>
      <c r="O83" s="44"/>
      <c r="P83" s="12" t="s">
        <v>86</v>
      </c>
      <c r="Q83" s="13"/>
      <c r="R83" s="13"/>
      <c r="S83" s="6"/>
    </row>
    <row r="84" spans="1:19">
      <c r="A84" s="7" t="s">
        <v>171</v>
      </c>
      <c r="B84" s="8">
        <f t="shared" si="76"/>
        <v>1015.995</v>
      </c>
      <c r="C84" s="9">
        <f t="shared" si="77"/>
        <v>45.44</v>
      </c>
      <c r="D84" s="37">
        <v>44.64</v>
      </c>
      <c r="E84" s="37"/>
      <c r="F84" s="43">
        <v>0.8</v>
      </c>
      <c r="G84" s="37"/>
      <c r="H84" s="10">
        <f t="shared" si="78"/>
        <v>111.035</v>
      </c>
      <c r="I84" s="43">
        <v>69.034999999999997</v>
      </c>
      <c r="J84" s="37">
        <v>42</v>
      </c>
      <c r="K84" s="37"/>
      <c r="L84" s="11">
        <f t="shared" si="79"/>
        <v>859.52</v>
      </c>
      <c r="M84" s="37">
        <v>514.52</v>
      </c>
      <c r="N84" s="43">
        <v>345</v>
      </c>
      <c r="O84" s="44"/>
      <c r="P84" s="12" t="s">
        <v>87</v>
      </c>
      <c r="Q84" s="13"/>
      <c r="R84" s="13"/>
      <c r="S84" s="6"/>
    </row>
    <row r="85" spans="1:19">
      <c r="A85" s="7" t="s">
        <v>172</v>
      </c>
      <c r="B85" s="8">
        <f t="shared" si="76"/>
        <v>6112.6800000000012</v>
      </c>
      <c r="C85" s="9">
        <f t="shared" si="77"/>
        <v>153.96999999999997</v>
      </c>
      <c r="D85" s="37">
        <v>49.42</v>
      </c>
      <c r="E85" s="37">
        <v>82.6</v>
      </c>
      <c r="F85" s="43">
        <v>21.95</v>
      </c>
      <c r="G85" s="37"/>
      <c r="H85" s="10">
        <f t="shared" si="78"/>
        <v>4846.3450000000012</v>
      </c>
      <c r="I85" s="43">
        <v>350.35500000000002</v>
      </c>
      <c r="J85" s="37">
        <v>4492.3900000000003</v>
      </c>
      <c r="K85" s="37">
        <v>3.6</v>
      </c>
      <c r="L85" s="11">
        <f t="shared" si="79"/>
        <v>1112.365</v>
      </c>
      <c r="M85" s="37">
        <v>298.46499999999997</v>
      </c>
      <c r="N85" s="43">
        <v>813.9</v>
      </c>
      <c r="O85" s="44"/>
      <c r="P85" s="12" t="s">
        <v>88</v>
      </c>
      <c r="Q85" s="13"/>
      <c r="R85" s="13"/>
      <c r="S85" s="6"/>
    </row>
    <row r="86" spans="1:19">
      <c r="A86" s="7" t="s">
        <v>173</v>
      </c>
      <c r="B86" s="8">
        <f t="shared" si="76"/>
        <v>1563.298</v>
      </c>
      <c r="C86" s="9">
        <f t="shared" si="77"/>
        <v>225.70000000000002</v>
      </c>
      <c r="D86" s="37">
        <v>62.5</v>
      </c>
      <c r="E86" s="37">
        <v>91.8</v>
      </c>
      <c r="F86" s="43">
        <v>71.400000000000006</v>
      </c>
      <c r="G86" s="37"/>
      <c r="H86" s="10">
        <f t="shared" si="78"/>
        <v>243.01</v>
      </c>
      <c r="I86" s="43">
        <v>40.93</v>
      </c>
      <c r="J86" s="37">
        <v>200.88</v>
      </c>
      <c r="K86" s="37">
        <v>1.2</v>
      </c>
      <c r="L86" s="11">
        <f t="shared" si="79"/>
        <v>1094.588</v>
      </c>
      <c r="M86" s="37">
        <v>151.928</v>
      </c>
      <c r="N86" s="43">
        <v>936.66</v>
      </c>
      <c r="O86" s="44">
        <v>6</v>
      </c>
      <c r="P86" s="12" t="s">
        <v>89</v>
      </c>
      <c r="Q86" s="13"/>
      <c r="R86" s="13"/>
      <c r="S86" s="6"/>
    </row>
    <row r="87" spans="1:19">
      <c r="A87" s="7" t="s">
        <v>174</v>
      </c>
      <c r="B87" s="8">
        <f t="shared" si="76"/>
        <v>8939.7000000000007</v>
      </c>
      <c r="C87" s="9">
        <f t="shared" si="77"/>
        <v>2940.25</v>
      </c>
      <c r="D87" s="37">
        <v>66.45</v>
      </c>
      <c r="E87" s="37">
        <v>1789.3</v>
      </c>
      <c r="F87" s="43">
        <v>1084.5</v>
      </c>
      <c r="G87" s="37"/>
      <c r="H87" s="10">
        <f t="shared" si="78"/>
        <v>1157.4000000000001</v>
      </c>
      <c r="I87" s="43">
        <v>102.05</v>
      </c>
      <c r="J87" s="37">
        <v>875.85</v>
      </c>
      <c r="K87" s="37">
        <v>179.5</v>
      </c>
      <c r="L87" s="11">
        <f t="shared" si="79"/>
        <v>4842.05</v>
      </c>
      <c r="M87" s="37">
        <v>678.15</v>
      </c>
      <c r="N87" s="43">
        <v>4078.9</v>
      </c>
      <c r="O87" s="44">
        <v>85</v>
      </c>
      <c r="P87" s="12" t="s">
        <v>90</v>
      </c>
      <c r="Q87" s="13"/>
      <c r="R87" s="13"/>
      <c r="S87" s="6"/>
    </row>
    <row r="88" spans="1:19">
      <c r="A88" s="82" t="s">
        <v>91</v>
      </c>
      <c r="B88" s="83">
        <f>SUM(C88,G88,H88,L88)</f>
        <v>41142.903000000006</v>
      </c>
      <c r="C88" s="84">
        <f>SUM(D88:F89)</f>
        <v>17700.34</v>
      </c>
      <c r="D88" s="85">
        <f>SUM(D90:D102)</f>
        <v>219.4</v>
      </c>
      <c r="E88" s="85">
        <f t="shared" ref="E88:G88" si="80">SUM(E90:E102)</f>
        <v>10779.84</v>
      </c>
      <c r="F88" s="85">
        <f t="shared" si="80"/>
        <v>6701.1</v>
      </c>
      <c r="G88" s="85">
        <f t="shared" si="80"/>
        <v>0</v>
      </c>
      <c r="H88" s="88">
        <f>SUM(I88:K89)</f>
        <v>6604.5450000000001</v>
      </c>
      <c r="I88" s="85">
        <f>SUM(I90:I102)</f>
        <v>1469.596</v>
      </c>
      <c r="J88" s="85">
        <f t="shared" ref="J88:K88" si="81">SUM(J90:J102)</f>
        <v>5104.9489999999996</v>
      </c>
      <c r="K88" s="85">
        <f t="shared" si="81"/>
        <v>30</v>
      </c>
      <c r="L88" s="89">
        <f>SUM(M88:O89)</f>
        <v>16838.018</v>
      </c>
      <c r="M88" s="85">
        <f t="shared" ref="M88:O88" si="82">SUM(M90:M102)</f>
        <v>3758.585</v>
      </c>
      <c r="N88" s="85">
        <f t="shared" si="82"/>
        <v>12951.432999999999</v>
      </c>
      <c r="O88" s="96">
        <f t="shared" si="82"/>
        <v>128</v>
      </c>
      <c r="P88" s="94" t="s">
        <v>92</v>
      </c>
      <c r="Q88" s="95"/>
      <c r="R88" s="95"/>
      <c r="S88" s="6"/>
    </row>
    <row r="89" spans="1:19">
      <c r="A89" s="82"/>
      <c r="B89" s="83"/>
      <c r="C89" s="84"/>
      <c r="D89" s="85"/>
      <c r="E89" s="85"/>
      <c r="F89" s="85"/>
      <c r="G89" s="85"/>
      <c r="H89" s="88"/>
      <c r="I89" s="85"/>
      <c r="J89" s="85"/>
      <c r="K89" s="85"/>
      <c r="L89" s="89"/>
      <c r="M89" s="85"/>
      <c r="N89" s="85"/>
      <c r="O89" s="96"/>
      <c r="P89" s="94"/>
      <c r="Q89" s="95"/>
      <c r="R89" s="95"/>
      <c r="S89" s="6"/>
    </row>
    <row r="90" spans="1:19">
      <c r="A90" s="7" t="s">
        <v>175</v>
      </c>
      <c r="B90" s="8">
        <f t="shared" ref="B90:B102" si="83">SUM(C90,G90,H90,L90)</f>
        <v>733.75</v>
      </c>
      <c r="C90" s="9">
        <f t="shared" ref="C90:C102" si="84">SUM(D90:F90)</f>
        <v>399</v>
      </c>
      <c r="D90" s="37"/>
      <c r="E90" s="37">
        <v>399</v>
      </c>
      <c r="F90" s="43"/>
      <c r="G90" s="37"/>
      <c r="H90" s="10">
        <f t="shared" ref="H90:H102" si="85">SUM(I90:K90)</f>
        <v>179.70000000000002</v>
      </c>
      <c r="I90" s="43">
        <v>44.4</v>
      </c>
      <c r="J90" s="37">
        <v>135.30000000000001</v>
      </c>
      <c r="K90" s="37"/>
      <c r="L90" s="11">
        <f t="shared" ref="L90:L102" si="86">SUM(M90:O90)</f>
        <v>155.05000000000001</v>
      </c>
      <c r="M90" s="37">
        <v>64.25</v>
      </c>
      <c r="N90" s="43">
        <v>90.8</v>
      </c>
      <c r="O90" s="44"/>
      <c r="P90" s="12" t="s">
        <v>93</v>
      </c>
      <c r="Q90" s="13"/>
      <c r="R90" s="13"/>
      <c r="S90" s="6"/>
    </row>
    <row r="91" spans="1:19">
      <c r="A91" s="7" t="s">
        <v>176</v>
      </c>
      <c r="B91" s="8">
        <f t="shared" si="83"/>
        <v>2759.5549999999998</v>
      </c>
      <c r="C91" s="9">
        <f t="shared" si="84"/>
        <v>1526.9399999999998</v>
      </c>
      <c r="D91" s="37"/>
      <c r="E91" s="37">
        <v>1463.84</v>
      </c>
      <c r="F91" s="43">
        <v>63.1</v>
      </c>
      <c r="G91" s="37"/>
      <c r="H91" s="10">
        <f t="shared" si="85"/>
        <v>463.37</v>
      </c>
      <c r="I91" s="43">
        <v>67.12</v>
      </c>
      <c r="J91" s="37">
        <v>396.25</v>
      </c>
      <c r="K91" s="37"/>
      <c r="L91" s="11">
        <f t="shared" si="86"/>
        <v>769.245</v>
      </c>
      <c r="M91" s="37">
        <v>110.745</v>
      </c>
      <c r="N91" s="43">
        <v>658.5</v>
      </c>
      <c r="O91" s="44"/>
      <c r="P91" s="12" t="s">
        <v>94</v>
      </c>
      <c r="Q91" s="13"/>
      <c r="R91" s="13"/>
      <c r="S91" s="6"/>
    </row>
    <row r="92" spans="1:19">
      <c r="A92" s="7" t="s">
        <v>177</v>
      </c>
      <c r="B92" s="8">
        <f t="shared" si="83"/>
        <v>1124.92</v>
      </c>
      <c r="C92" s="9">
        <f t="shared" si="84"/>
        <v>203.04999999999998</v>
      </c>
      <c r="D92" s="37">
        <v>2.7</v>
      </c>
      <c r="E92" s="37">
        <v>164.35</v>
      </c>
      <c r="F92" s="43">
        <v>36</v>
      </c>
      <c r="G92" s="37"/>
      <c r="H92" s="10">
        <f t="shared" si="85"/>
        <v>119.45</v>
      </c>
      <c r="I92" s="43">
        <v>55.25</v>
      </c>
      <c r="J92" s="37">
        <v>64.2</v>
      </c>
      <c r="K92" s="37"/>
      <c r="L92" s="11">
        <f t="shared" si="86"/>
        <v>802.42</v>
      </c>
      <c r="M92" s="37">
        <v>242.87</v>
      </c>
      <c r="N92" s="43">
        <v>559.54999999999995</v>
      </c>
      <c r="O92" s="44"/>
      <c r="P92" s="12" t="s">
        <v>95</v>
      </c>
      <c r="Q92" s="13"/>
      <c r="R92" s="13"/>
      <c r="S92" s="6"/>
    </row>
    <row r="93" spans="1:19">
      <c r="A93" s="7" t="s">
        <v>178</v>
      </c>
      <c r="B93" s="8">
        <f t="shared" si="83"/>
        <v>1572.6</v>
      </c>
      <c r="C93" s="9">
        <f t="shared" si="84"/>
        <v>440</v>
      </c>
      <c r="D93" s="37">
        <v>7.5</v>
      </c>
      <c r="E93" s="37">
        <v>52.5</v>
      </c>
      <c r="F93" s="43">
        <v>380</v>
      </c>
      <c r="G93" s="37"/>
      <c r="H93" s="10">
        <f t="shared" si="85"/>
        <v>268.8</v>
      </c>
      <c r="I93" s="43">
        <v>18</v>
      </c>
      <c r="J93" s="37">
        <v>220.8</v>
      </c>
      <c r="K93" s="37">
        <v>30</v>
      </c>
      <c r="L93" s="11">
        <f t="shared" si="86"/>
        <v>863.8</v>
      </c>
      <c r="M93" s="37">
        <v>94.8</v>
      </c>
      <c r="N93" s="43">
        <v>641</v>
      </c>
      <c r="O93" s="44">
        <v>128</v>
      </c>
      <c r="P93" s="12" t="s">
        <v>96</v>
      </c>
      <c r="Q93" s="13"/>
      <c r="R93" s="13"/>
      <c r="S93" s="6"/>
    </row>
    <row r="94" spans="1:19">
      <c r="A94" s="7" t="s">
        <v>179</v>
      </c>
      <c r="B94" s="8">
        <f t="shared" si="83"/>
        <v>56</v>
      </c>
      <c r="C94" s="9">
        <f t="shared" si="84"/>
        <v>0</v>
      </c>
      <c r="D94" s="37"/>
      <c r="E94" s="37"/>
      <c r="F94" s="43"/>
      <c r="G94" s="37"/>
      <c r="H94" s="10">
        <f t="shared" si="85"/>
        <v>45.6</v>
      </c>
      <c r="I94" s="43">
        <v>0.6</v>
      </c>
      <c r="J94" s="37">
        <v>45</v>
      </c>
      <c r="K94" s="37"/>
      <c r="L94" s="11">
        <f t="shared" si="86"/>
        <v>10.4</v>
      </c>
      <c r="M94" s="37">
        <v>2.4</v>
      </c>
      <c r="N94" s="43">
        <v>8</v>
      </c>
      <c r="O94" s="44"/>
      <c r="P94" s="12" t="s">
        <v>97</v>
      </c>
      <c r="Q94" s="13"/>
      <c r="R94" s="13"/>
      <c r="S94" s="6"/>
    </row>
    <row r="95" spans="1:19">
      <c r="A95" s="7" t="s">
        <v>180</v>
      </c>
      <c r="B95" s="8">
        <f t="shared" si="83"/>
        <v>1060.5</v>
      </c>
      <c r="C95" s="9">
        <f t="shared" si="84"/>
        <v>187.5</v>
      </c>
      <c r="D95" s="37"/>
      <c r="E95" s="37">
        <v>187.5</v>
      </c>
      <c r="F95" s="43"/>
      <c r="G95" s="37"/>
      <c r="H95" s="10">
        <f t="shared" si="85"/>
        <v>278.5</v>
      </c>
      <c r="I95" s="43">
        <v>10</v>
      </c>
      <c r="J95" s="37">
        <v>268.5</v>
      </c>
      <c r="K95" s="37"/>
      <c r="L95" s="11">
        <f t="shared" si="86"/>
        <v>594.5</v>
      </c>
      <c r="M95" s="37">
        <v>22.5</v>
      </c>
      <c r="N95" s="43">
        <v>572</v>
      </c>
      <c r="O95" s="44"/>
      <c r="P95" s="12" t="s">
        <v>98</v>
      </c>
      <c r="Q95" s="13"/>
      <c r="R95" s="13"/>
      <c r="S95" s="6"/>
    </row>
    <row r="96" spans="1:19">
      <c r="A96" s="7" t="s">
        <v>181</v>
      </c>
      <c r="B96" s="8">
        <f t="shared" si="83"/>
        <v>1260.7249999999999</v>
      </c>
      <c r="C96" s="9">
        <f t="shared" si="84"/>
        <v>475</v>
      </c>
      <c r="D96" s="37">
        <v>25</v>
      </c>
      <c r="E96" s="37">
        <v>450</v>
      </c>
      <c r="F96" s="43"/>
      <c r="G96" s="37"/>
      <c r="H96" s="10">
        <f t="shared" si="85"/>
        <v>342.1</v>
      </c>
      <c r="I96" s="43">
        <v>33.6</v>
      </c>
      <c r="J96" s="37">
        <v>308.5</v>
      </c>
      <c r="K96" s="37"/>
      <c r="L96" s="11">
        <f t="shared" si="86"/>
        <v>443.625</v>
      </c>
      <c r="M96" s="37">
        <v>52.9</v>
      </c>
      <c r="N96" s="43">
        <v>390.72500000000002</v>
      </c>
      <c r="O96" s="44"/>
      <c r="P96" s="12" t="s">
        <v>99</v>
      </c>
      <c r="Q96" s="13"/>
      <c r="R96" s="13"/>
      <c r="S96" s="6"/>
    </row>
    <row r="97" spans="1:19">
      <c r="A97" s="7" t="s">
        <v>182</v>
      </c>
      <c r="B97" s="8">
        <f t="shared" si="83"/>
        <v>1295.67</v>
      </c>
      <c r="C97" s="9">
        <f t="shared" si="84"/>
        <v>65.8</v>
      </c>
      <c r="D97" s="37">
        <v>2.2999999999999998</v>
      </c>
      <c r="E97" s="37">
        <v>63.5</v>
      </c>
      <c r="F97" s="43"/>
      <c r="G97" s="37"/>
      <c r="H97" s="10">
        <f t="shared" si="85"/>
        <v>432.49</v>
      </c>
      <c r="I97" s="43">
        <v>155.05000000000001</v>
      </c>
      <c r="J97" s="37">
        <v>277.44</v>
      </c>
      <c r="K97" s="37"/>
      <c r="L97" s="11">
        <f t="shared" si="86"/>
        <v>797.38</v>
      </c>
      <c r="M97" s="37">
        <v>254.6</v>
      </c>
      <c r="N97" s="43">
        <v>542.78</v>
      </c>
      <c r="O97" s="44"/>
      <c r="P97" s="12" t="s">
        <v>100</v>
      </c>
      <c r="Q97" s="13"/>
      <c r="R97" s="13"/>
      <c r="S97" s="6"/>
    </row>
    <row r="98" spans="1:19">
      <c r="A98" s="7" t="s">
        <v>183</v>
      </c>
      <c r="B98" s="8">
        <f t="shared" si="83"/>
        <v>1240.5</v>
      </c>
      <c r="C98" s="9">
        <f t="shared" si="84"/>
        <v>960</v>
      </c>
      <c r="D98" s="37"/>
      <c r="E98" s="37">
        <v>960</v>
      </c>
      <c r="F98" s="43"/>
      <c r="G98" s="37"/>
      <c r="H98" s="10">
        <f t="shared" si="85"/>
        <v>152.69999999999999</v>
      </c>
      <c r="I98" s="43">
        <v>58.5</v>
      </c>
      <c r="J98" s="37">
        <v>94.2</v>
      </c>
      <c r="K98" s="37"/>
      <c r="L98" s="11">
        <f t="shared" si="86"/>
        <v>127.8</v>
      </c>
      <c r="M98" s="37">
        <v>27</v>
      </c>
      <c r="N98" s="43">
        <v>100.8</v>
      </c>
      <c r="O98" s="44"/>
      <c r="P98" s="12" t="s">
        <v>101</v>
      </c>
      <c r="Q98" s="13"/>
      <c r="R98" s="13"/>
      <c r="S98" s="6"/>
    </row>
    <row r="99" spans="1:19">
      <c r="A99" s="7" t="s">
        <v>184</v>
      </c>
      <c r="B99" s="8">
        <f t="shared" si="83"/>
        <v>22589.675000000003</v>
      </c>
      <c r="C99" s="9">
        <f t="shared" si="84"/>
        <v>9987.2000000000007</v>
      </c>
      <c r="D99" s="37">
        <v>46</v>
      </c>
      <c r="E99" s="37">
        <v>4551.7</v>
      </c>
      <c r="F99" s="43">
        <v>5389.5</v>
      </c>
      <c r="G99" s="37"/>
      <c r="H99" s="10">
        <f t="shared" si="85"/>
        <v>3096.625</v>
      </c>
      <c r="I99" s="43">
        <v>763.02499999999998</v>
      </c>
      <c r="J99" s="37">
        <v>2333.6</v>
      </c>
      <c r="K99" s="37"/>
      <c r="L99" s="11">
        <f t="shared" si="86"/>
        <v>9505.85</v>
      </c>
      <c r="M99" s="37">
        <v>2107.15</v>
      </c>
      <c r="N99" s="43">
        <v>7398.7</v>
      </c>
      <c r="O99" s="44"/>
      <c r="P99" s="12" t="s">
        <v>102</v>
      </c>
      <c r="Q99" s="13"/>
      <c r="R99" s="13"/>
      <c r="S99" s="6"/>
    </row>
    <row r="100" spans="1:19">
      <c r="A100" s="7" t="s">
        <v>185</v>
      </c>
      <c r="B100" s="8">
        <f t="shared" si="83"/>
        <v>2127.3000000000002</v>
      </c>
      <c r="C100" s="9">
        <f t="shared" si="84"/>
        <v>1224.5</v>
      </c>
      <c r="D100" s="37">
        <v>25.5</v>
      </c>
      <c r="E100" s="37">
        <v>1199</v>
      </c>
      <c r="F100" s="43"/>
      <c r="G100" s="37"/>
      <c r="H100" s="10">
        <f t="shared" si="85"/>
        <v>196.25</v>
      </c>
      <c r="I100" s="43">
        <v>105.6</v>
      </c>
      <c r="J100" s="37">
        <v>90.65</v>
      </c>
      <c r="K100" s="37"/>
      <c r="L100" s="11">
        <f t="shared" si="86"/>
        <v>706.55</v>
      </c>
      <c r="M100" s="37">
        <v>297.75</v>
      </c>
      <c r="N100" s="43">
        <v>408.8</v>
      </c>
      <c r="O100" s="44"/>
      <c r="P100" s="12" t="s">
        <v>103</v>
      </c>
      <c r="Q100" s="13"/>
      <c r="R100" s="13"/>
      <c r="S100" s="6"/>
    </row>
    <row r="101" spans="1:19">
      <c r="A101" s="7" t="s">
        <v>186</v>
      </c>
      <c r="B101" s="8">
        <f t="shared" si="83"/>
        <v>3813.558</v>
      </c>
      <c r="C101" s="9">
        <f t="shared" si="84"/>
        <v>1621.65</v>
      </c>
      <c r="D101" s="37">
        <v>110.4</v>
      </c>
      <c r="E101" s="37">
        <v>680.25</v>
      </c>
      <c r="F101" s="43">
        <v>831</v>
      </c>
      <c r="G101" s="37"/>
      <c r="H101" s="10">
        <f t="shared" si="85"/>
        <v>678.51</v>
      </c>
      <c r="I101" s="43">
        <v>158.45099999999999</v>
      </c>
      <c r="J101" s="37">
        <v>520.05899999999997</v>
      </c>
      <c r="K101" s="37"/>
      <c r="L101" s="11">
        <f t="shared" si="86"/>
        <v>1513.3979999999999</v>
      </c>
      <c r="M101" s="37">
        <v>469.02</v>
      </c>
      <c r="N101" s="43">
        <v>1044.3779999999999</v>
      </c>
      <c r="O101" s="44"/>
      <c r="P101" s="12" t="s">
        <v>104</v>
      </c>
      <c r="Q101" s="13"/>
      <c r="R101" s="13"/>
      <c r="S101" s="6"/>
    </row>
    <row r="102" spans="1:19">
      <c r="A102" s="7" t="s">
        <v>187</v>
      </c>
      <c r="B102" s="8">
        <f t="shared" si="83"/>
        <v>1508.15</v>
      </c>
      <c r="C102" s="9">
        <f t="shared" si="84"/>
        <v>609.70000000000005</v>
      </c>
      <c r="D102" s="37"/>
      <c r="E102" s="37">
        <v>608.20000000000005</v>
      </c>
      <c r="F102" s="43">
        <v>1.5</v>
      </c>
      <c r="G102" s="37"/>
      <c r="H102" s="10">
        <f t="shared" si="85"/>
        <v>350.45</v>
      </c>
      <c r="I102" s="43"/>
      <c r="J102" s="37">
        <v>350.45</v>
      </c>
      <c r="K102" s="37"/>
      <c r="L102" s="11">
        <f t="shared" si="86"/>
        <v>548</v>
      </c>
      <c r="M102" s="37">
        <v>12.6</v>
      </c>
      <c r="N102" s="43">
        <v>535.4</v>
      </c>
      <c r="O102" s="44"/>
      <c r="P102" s="12" t="s">
        <v>105</v>
      </c>
      <c r="Q102" s="13"/>
      <c r="R102" s="13"/>
      <c r="S102" s="6"/>
    </row>
    <row r="103" spans="1:19">
      <c r="A103" s="82" t="s">
        <v>106</v>
      </c>
      <c r="B103" s="83">
        <f>SUM(C103,G103,H103,L103)</f>
        <v>141145.90700000001</v>
      </c>
      <c r="C103" s="84">
        <f>SUM(D103:F104)</f>
        <v>534.36</v>
      </c>
      <c r="D103" s="85">
        <f>SUM(D105:D108)</f>
        <v>119.9</v>
      </c>
      <c r="E103" s="85">
        <f t="shared" ref="E103:G103" si="87">SUM(E105:E108)</f>
        <v>227.7</v>
      </c>
      <c r="F103" s="85">
        <f t="shared" si="87"/>
        <v>186.76000000000002</v>
      </c>
      <c r="G103" s="85">
        <f t="shared" si="87"/>
        <v>0</v>
      </c>
      <c r="H103" s="88">
        <f>SUM(I103:K104)</f>
        <v>87854.133000000002</v>
      </c>
      <c r="I103" s="85">
        <f>SUM(I105:I108)</f>
        <v>12092.578</v>
      </c>
      <c r="J103" s="85">
        <f t="shared" ref="J103:K103" si="88">SUM(J105:J108)</f>
        <v>70813.205000000002</v>
      </c>
      <c r="K103" s="85">
        <f t="shared" si="88"/>
        <v>4948.3500000000004</v>
      </c>
      <c r="L103" s="89">
        <f>SUM(M103:O104)</f>
        <v>52757.414000000004</v>
      </c>
      <c r="M103" s="85">
        <f t="shared" ref="M103:O103" si="89">SUM(M105:M108)</f>
        <v>16429.784</v>
      </c>
      <c r="N103" s="85">
        <f t="shared" si="89"/>
        <v>34045.94</v>
      </c>
      <c r="O103" s="96">
        <f t="shared" si="89"/>
        <v>2281.69</v>
      </c>
      <c r="P103" s="94" t="s">
        <v>107</v>
      </c>
      <c r="Q103" s="95"/>
      <c r="R103" s="95"/>
      <c r="S103" s="6"/>
    </row>
    <row r="104" spans="1:19">
      <c r="A104" s="82"/>
      <c r="B104" s="83"/>
      <c r="C104" s="84"/>
      <c r="D104" s="85"/>
      <c r="E104" s="85"/>
      <c r="F104" s="85"/>
      <c r="G104" s="85"/>
      <c r="H104" s="88"/>
      <c r="I104" s="85"/>
      <c r="J104" s="85"/>
      <c r="K104" s="85"/>
      <c r="L104" s="89"/>
      <c r="M104" s="85"/>
      <c r="N104" s="85"/>
      <c r="O104" s="96"/>
      <c r="P104" s="94"/>
      <c r="Q104" s="95"/>
      <c r="R104" s="95"/>
      <c r="S104" s="6"/>
    </row>
    <row r="105" spans="1:19">
      <c r="A105" s="7" t="s">
        <v>188</v>
      </c>
      <c r="B105" s="8">
        <f t="shared" ref="B105:B108" si="90">SUM(C105,G105,H105,L105)</f>
        <v>45008.215000000004</v>
      </c>
      <c r="C105" s="9">
        <f t="shared" ref="C105:C108" si="91">SUM(D105:F105)</f>
        <v>258.39999999999998</v>
      </c>
      <c r="D105" s="37">
        <v>104.9</v>
      </c>
      <c r="E105" s="37">
        <v>148.69999999999999</v>
      </c>
      <c r="F105" s="43">
        <v>4.8</v>
      </c>
      <c r="G105" s="37"/>
      <c r="H105" s="10">
        <f t="shared" ref="H105:H108" si="92">SUM(I105:K105)</f>
        <v>26789.095000000001</v>
      </c>
      <c r="I105" s="43">
        <v>3630.29</v>
      </c>
      <c r="J105" s="37">
        <v>20768.154999999999</v>
      </c>
      <c r="K105" s="37">
        <v>2390.65</v>
      </c>
      <c r="L105" s="11">
        <f t="shared" ref="L105:L108" si="93">SUM(M105:O105)</f>
        <v>17960.72</v>
      </c>
      <c r="M105" s="37">
        <v>5857.3</v>
      </c>
      <c r="N105" s="43">
        <v>11118.42</v>
      </c>
      <c r="O105" s="44">
        <v>985</v>
      </c>
      <c r="P105" s="12" t="s">
        <v>108</v>
      </c>
      <c r="Q105" s="13"/>
      <c r="R105" s="13"/>
      <c r="S105" s="6"/>
    </row>
    <row r="106" spans="1:19">
      <c r="A106" s="7" t="s">
        <v>189</v>
      </c>
      <c r="B106" s="8">
        <f t="shared" si="90"/>
        <v>29692.39</v>
      </c>
      <c r="C106" s="9">
        <f t="shared" si="91"/>
        <v>17</v>
      </c>
      <c r="D106" s="37">
        <v>15</v>
      </c>
      <c r="E106" s="37">
        <v>2</v>
      </c>
      <c r="F106" s="43"/>
      <c r="G106" s="37"/>
      <c r="H106" s="10">
        <f t="shared" si="92"/>
        <v>15021.985000000001</v>
      </c>
      <c r="I106" s="43">
        <v>1075.825</v>
      </c>
      <c r="J106" s="37">
        <v>13053.16</v>
      </c>
      <c r="K106" s="37">
        <v>893</v>
      </c>
      <c r="L106" s="11">
        <f t="shared" si="93"/>
        <v>14653.404999999999</v>
      </c>
      <c r="M106" s="37">
        <v>3355.37</v>
      </c>
      <c r="N106" s="43">
        <v>10824.96</v>
      </c>
      <c r="O106" s="44">
        <v>473.07499999999999</v>
      </c>
      <c r="P106" s="12" t="s">
        <v>109</v>
      </c>
      <c r="Q106" s="13"/>
      <c r="R106" s="13"/>
      <c r="S106" s="6"/>
    </row>
    <row r="107" spans="1:19">
      <c r="A107" s="7" t="s">
        <v>190</v>
      </c>
      <c r="B107" s="8">
        <f t="shared" si="90"/>
        <v>39745.735000000001</v>
      </c>
      <c r="C107" s="9">
        <f t="shared" si="91"/>
        <v>66.5</v>
      </c>
      <c r="D107" s="37"/>
      <c r="E107" s="37">
        <v>66.5</v>
      </c>
      <c r="F107" s="43"/>
      <c r="G107" s="37"/>
      <c r="H107" s="10">
        <f t="shared" si="92"/>
        <v>29143.01</v>
      </c>
      <c r="I107" s="43">
        <v>3425.85</v>
      </c>
      <c r="J107" s="37">
        <v>24878.560000000001</v>
      </c>
      <c r="K107" s="37">
        <v>838.6</v>
      </c>
      <c r="L107" s="11">
        <f t="shared" si="93"/>
        <v>10536.225</v>
      </c>
      <c r="M107" s="37">
        <v>3032.77</v>
      </c>
      <c r="N107" s="43">
        <v>7064.13</v>
      </c>
      <c r="O107" s="44">
        <v>439.32499999999999</v>
      </c>
      <c r="P107" s="12" t="s">
        <v>110</v>
      </c>
      <c r="Q107" s="13"/>
      <c r="R107" s="13"/>
      <c r="S107" s="6"/>
    </row>
    <row r="108" spans="1:19" ht="10.8" thickBot="1">
      <c r="A108" s="16" t="s">
        <v>191</v>
      </c>
      <c r="B108" s="48">
        <f t="shared" si="90"/>
        <v>26699.566999999999</v>
      </c>
      <c r="C108" s="49">
        <f t="shared" si="91"/>
        <v>192.46</v>
      </c>
      <c r="D108" s="50"/>
      <c r="E108" s="50">
        <v>10.5</v>
      </c>
      <c r="F108" s="51">
        <v>181.96</v>
      </c>
      <c r="G108" s="50"/>
      <c r="H108" s="52">
        <f t="shared" si="92"/>
        <v>16900.042999999998</v>
      </c>
      <c r="I108" s="51">
        <v>3960.6129999999998</v>
      </c>
      <c r="J108" s="50">
        <v>12113.33</v>
      </c>
      <c r="K108" s="50">
        <v>826.1</v>
      </c>
      <c r="L108" s="38">
        <f t="shared" si="93"/>
        <v>9607.0640000000021</v>
      </c>
      <c r="M108" s="50">
        <v>4184.3440000000001</v>
      </c>
      <c r="N108" s="51">
        <v>5038.43</v>
      </c>
      <c r="O108" s="53">
        <v>384.29</v>
      </c>
      <c r="P108" s="17" t="s">
        <v>111</v>
      </c>
      <c r="Q108" s="18"/>
      <c r="R108" s="18"/>
      <c r="S108" s="6"/>
    </row>
    <row r="109" spans="1:19">
      <c r="A109" s="19"/>
      <c r="L109" s="20"/>
      <c r="M109" s="20"/>
      <c r="Q109" s="103"/>
      <c r="R109" s="103"/>
    </row>
    <row r="110" spans="1:19">
      <c r="A110" s="6"/>
    </row>
    <row r="111" spans="1:19">
      <c r="A111" s="6"/>
    </row>
    <row r="112" spans="1:19">
      <c r="A112" s="6"/>
    </row>
    <row r="113" spans="1:13">
      <c r="A113" s="6"/>
    </row>
    <row r="114" spans="1:13">
      <c r="A114" s="6"/>
    </row>
    <row r="115" spans="1:13">
      <c r="A115" s="6"/>
    </row>
    <row r="116" spans="1:13">
      <c r="A116" s="6"/>
    </row>
    <row r="117" spans="1:13">
      <c r="A117" s="6"/>
    </row>
    <row r="118" spans="1:13">
      <c r="A118" s="21"/>
    </row>
    <row r="119" spans="1:13" s="6" customFormat="1">
      <c r="A119" s="111"/>
      <c r="B119" s="111"/>
      <c r="C119" s="111"/>
      <c r="D119" s="111"/>
      <c r="E119" s="111"/>
      <c r="F119" s="111"/>
      <c r="G119" s="30"/>
      <c r="H119" s="110"/>
      <c r="I119" s="110"/>
      <c r="J119" s="110"/>
      <c r="K119" s="110"/>
    </row>
    <row r="120" spans="1:13" s="6" customFormat="1">
      <c r="A120" s="111"/>
      <c r="B120" s="111"/>
      <c r="C120" s="111"/>
      <c r="D120" s="111"/>
      <c r="E120" s="111"/>
      <c r="F120" s="111"/>
      <c r="G120" s="30"/>
      <c r="H120" s="110"/>
      <c r="I120" s="110"/>
      <c r="J120" s="110"/>
      <c r="K120" s="110"/>
    </row>
    <row r="121" spans="1:13" s="6" customFormat="1">
      <c r="A121" s="111"/>
      <c r="B121" s="111"/>
      <c r="C121" s="111"/>
      <c r="D121" s="111"/>
      <c r="E121" s="111"/>
      <c r="F121" s="111"/>
      <c r="G121" s="30"/>
      <c r="H121" s="110"/>
      <c r="I121" s="110"/>
      <c r="J121" s="110"/>
      <c r="K121" s="110"/>
    </row>
    <row r="122" spans="1:13" s="6" customFormat="1">
      <c r="A122" s="22"/>
      <c r="F122" s="112"/>
      <c r="G122" s="112"/>
      <c r="H122" s="112"/>
      <c r="I122" s="112"/>
      <c r="J122" s="112"/>
      <c r="K122" s="112"/>
      <c r="M122" s="23" t="s">
        <v>7</v>
      </c>
    </row>
    <row r="123" spans="1:13" s="6" customFormat="1">
      <c r="A123" s="113"/>
      <c r="B123" s="72"/>
      <c r="C123" s="109"/>
      <c r="D123" s="109"/>
      <c r="E123" s="109"/>
      <c r="F123" s="72"/>
      <c r="G123" s="72"/>
      <c r="H123" s="72"/>
      <c r="I123" s="72"/>
      <c r="J123" s="72"/>
      <c r="K123" s="72"/>
    </row>
    <row r="124" spans="1:13" s="6" customFormat="1">
      <c r="A124" s="113"/>
      <c r="B124" s="109"/>
      <c r="C124" s="109"/>
      <c r="D124" s="109"/>
      <c r="E124" s="109"/>
      <c r="F124" s="72"/>
      <c r="G124" s="72"/>
      <c r="H124" s="72"/>
      <c r="I124" s="72"/>
      <c r="J124" s="72"/>
      <c r="K124" s="72"/>
    </row>
    <row r="125" spans="1:13" s="6" customFormat="1">
      <c r="A125" s="113"/>
      <c r="B125" s="72"/>
      <c r="C125" s="72"/>
      <c r="D125" s="72"/>
      <c r="E125" s="72"/>
      <c r="F125" s="72"/>
      <c r="G125" s="72"/>
      <c r="H125" s="72"/>
      <c r="I125" s="72"/>
      <c r="J125" s="72"/>
      <c r="K125" s="72"/>
    </row>
    <row r="126" spans="1:13" s="6" customFormat="1">
      <c r="A126" s="113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3" s="6" customFormat="1">
      <c r="A127" s="25"/>
    </row>
    <row r="128" spans="1:13" s="6" customFormat="1">
      <c r="A128" s="26"/>
    </row>
    <row r="129" spans="1:11" s="6" customFormat="1">
      <c r="A129" s="107"/>
      <c r="B129" s="108"/>
      <c r="C129" s="108"/>
      <c r="D129" s="108"/>
      <c r="E129" s="108"/>
      <c r="F129" s="108"/>
      <c r="G129" s="29"/>
      <c r="H129" s="108"/>
      <c r="I129" s="108"/>
      <c r="J129" s="108"/>
      <c r="K129" s="108"/>
    </row>
    <row r="130" spans="1:11" s="6" customFormat="1">
      <c r="A130" s="107"/>
      <c r="B130" s="108"/>
      <c r="C130" s="108"/>
      <c r="D130" s="108"/>
      <c r="E130" s="108"/>
      <c r="F130" s="108"/>
      <c r="G130" s="29"/>
      <c r="H130" s="108"/>
      <c r="I130" s="108"/>
      <c r="J130" s="108"/>
      <c r="K130" s="108"/>
    </row>
    <row r="131" spans="1:11" s="6" customFormat="1">
      <c r="A131" s="107"/>
      <c r="B131" s="108"/>
      <c r="C131" s="108"/>
      <c r="D131" s="108"/>
      <c r="E131" s="108"/>
      <c r="F131" s="108"/>
      <c r="G131" s="29"/>
      <c r="H131" s="108"/>
      <c r="I131" s="108"/>
      <c r="J131" s="108"/>
      <c r="K131" s="108"/>
    </row>
    <row r="132" spans="1:11" s="6" customFormat="1">
      <c r="A132" s="26"/>
      <c r="F132" s="27"/>
      <c r="G132" s="27"/>
      <c r="H132" s="27"/>
    </row>
    <row r="133" spans="1:11" s="6" customFormat="1">
      <c r="A133" s="26"/>
      <c r="F133" s="27"/>
      <c r="G133" s="27"/>
      <c r="H133" s="27"/>
    </row>
    <row r="134" spans="1:11" s="6" customFormat="1">
      <c r="A134" s="26"/>
      <c r="F134" s="27"/>
      <c r="G134" s="27"/>
      <c r="H134" s="27"/>
    </row>
    <row r="135" spans="1:11" s="6" customFormat="1">
      <c r="A135" s="26"/>
      <c r="F135" s="27"/>
      <c r="G135" s="27"/>
      <c r="H135" s="27"/>
    </row>
    <row r="136" spans="1:11" s="6" customFormat="1">
      <c r="A136" s="26"/>
      <c r="F136" s="27"/>
      <c r="G136" s="27"/>
      <c r="H136" s="27"/>
    </row>
    <row r="137" spans="1:11" s="6" customFormat="1">
      <c r="A137" s="26"/>
      <c r="F137" s="27"/>
      <c r="G137" s="27"/>
      <c r="H137" s="27"/>
    </row>
    <row r="138" spans="1:11" s="6" customFormat="1">
      <c r="A138" s="107"/>
    </row>
    <row r="139" spans="1:11" s="6" customFormat="1">
      <c r="A139" s="107"/>
    </row>
    <row r="140" spans="1:11" s="6" customFormat="1">
      <c r="A140" s="26"/>
      <c r="F140" s="27"/>
      <c r="G140" s="27"/>
      <c r="H140" s="27"/>
    </row>
    <row r="141" spans="1:11" s="6" customFormat="1">
      <c r="A141" s="26"/>
      <c r="F141" s="27"/>
      <c r="G141" s="27"/>
      <c r="H141" s="27"/>
    </row>
    <row r="142" spans="1:11" s="6" customFormat="1">
      <c r="A142" s="26"/>
      <c r="F142" s="27"/>
      <c r="G142" s="27"/>
      <c r="H142" s="27"/>
    </row>
    <row r="143" spans="1:11" s="6" customFormat="1">
      <c r="A143" s="26"/>
      <c r="F143" s="27"/>
      <c r="G143" s="27"/>
      <c r="H143" s="27"/>
    </row>
    <row r="144" spans="1:11" s="6" customFormat="1">
      <c r="A144" s="26"/>
      <c r="F144" s="27"/>
      <c r="G144" s="27"/>
      <c r="H144" s="27"/>
    </row>
    <row r="145" spans="1:8" s="6" customFormat="1">
      <c r="A145" s="26"/>
      <c r="F145" s="27"/>
      <c r="G145" s="27"/>
      <c r="H145" s="27"/>
    </row>
    <row r="146" spans="1:8" s="6" customFormat="1">
      <c r="A146" s="26"/>
      <c r="F146" s="27"/>
      <c r="G146" s="27"/>
      <c r="H146" s="27"/>
    </row>
    <row r="147" spans="1:8" s="6" customFormat="1">
      <c r="A147" s="26"/>
      <c r="F147" s="27"/>
      <c r="G147" s="27"/>
      <c r="H147" s="27"/>
    </row>
    <row r="148" spans="1:8" s="6" customFormat="1">
      <c r="A148" s="26"/>
      <c r="F148" s="27"/>
      <c r="G148" s="27"/>
      <c r="H148" s="27"/>
    </row>
    <row r="149" spans="1:8" s="6" customFormat="1">
      <c r="A149" s="26"/>
      <c r="F149" s="27"/>
      <c r="G149" s="27"/>
      <c r="H149" s="27"/>
    </row>
    <row r="150" spans="1:8" s="6" customFormat="1">
      <c r="A150" s="26"/>
      <c r="F150" s="27"/>
      <c r="G150" s="27"/>
      <c r="H150" s="27"/>
    </row>
    <row r="151" spans="1:8" s="6" customFormat="1">
      <c r="A151" s="104"/>
    </row>
    <row r="152" spans="1:8" s="6" customFormat="1">
      <c r="A152" s="104"/>
    </row>
    <row r="153" spans="1:8" s="6" customFormat="1">
      <c r="A153" s="26"/>
      <c r="F153" s="27"/>
      <c r="G153" s="27"/>
      <c r="H153" s="27"/>
    </row>
    <row r="154" spans="1:8" s="6" customFormat="1">
      <c r="A154" s="26"/>
      <c r="F154" s="27"/>
      <c r="G154" s="27"/>
      <c r="H154" s="27"/>
    </row>
    <row r="155" spans="1:8" s="6" customFormat="1">
      <c r="A155" s="26"/>
      <c r="F155" s="27"/>
      <c r="G155" s="27"/>
      <c r="H155" s="27"/>
    </row>
    <row r="156" spans="1:8" s="6" customFormat="1">
      <c r="A156" s="26"/>
      <c r="F156" s="27"/>
      <c r="G156" s="27"/>
      <c r="H156" s="27"/>
    </row>
    <row r="157" spans="1:8" s="6" customFormat="1">
      <c r="A157" s="104"/>
    </row>
    <row r="158" spans="1:8" s="6" customFormat="1">
      <c r="A158" s="104"/>
    </row>
    <row r="159" spans="1:8" s="6" customFormat="1">
      <c r="A159" s="26"/>
      <c r="F159" s="27"/>
      <c r="G159" s="27"/>
      <c r="H159" s="27"/>
    </row>
    <row r="160" spans="1:8" s="6" customFormat="1">
      <c r="A160" s="26"/>
      <c r="F160" s="27"/>
      <c r="G160" s="27"/>
      <c r="H160" s="27"/>
    </row>
    <row r="161" spans="1:8" s="6" customFormat="1">
      <c r="A161" s="26"/>
      <c r="F161" s="27"/>
      <c r="G161" s="27"/>
      <c r="H161" s="27"/>
    </row>
    <row r="162" spans="1:8" s="6" customFormat="1">
      <c r="A162" s="26"/>
      <c r="F162" s="27"/>
      <c r="G162" s="27"/>
      <c r="H162" s="27"/>
    </row>
    <row r="163" spans="1:8" s="6" customFormat="1">
      <c r="A163" s="26"/>
      <c r="F163" s="27"/>
      <c r="G163" s="27"/>
      <c r="H163" s="27"/>
    </row>
    <row r="164" spans="1:8" s="6" customFormat="1">
      <c r="A164" s="104"/>
    </row>
    <row r="165" spans="1:8" s="6" customFormat="1">
      <c r="A165" s="104"/>
    </row>
    <row r="166" spans="1:8" s="6" customFormat="1">
      <c r="A166" s="26"/>
      <c r="F166" s="27"/>
      <c r="G166" s="27"/>
      <c r="H166" s="27"/>
    </row>
    <row r="167" spans="1:8" s="6" customFormat="1">
      <c r="A167" s="26"/>
      <c r="F167" s="27"/>
      <c r="G167" s="27"/>
      <c r="H167" s="27"/>
    </row>
    <row r="168" spans="1:8" s="6" customFormat="1">
      <c r="A168" s="26"/>
      <c r="F168" s="27"/>
      <c r="G168" s="27"/>
      <c r="H168" s="27"/>
    </row>
    <row r="169" spans="1:8" s="6" customFormat="1">
      <c r="A169" s="26"/>
      <c r="F169" s="27"/>
      <c r="G169" s="27"/>
      <c r="H169" s="27"/>
    </row>
    <row r="170" spans="1:8" s="6" customFormat="1">
      <c r="A170" s="26"/>
      <c r="F170" s="27"/>
      <c r="G170" s="27"/>
      <c r="H170" s="27"/>
    </row>
    <row r="171" spans="1:8" s="6" customFormat="1">
      <c r="A171" s="104"/>
    </row>
    <row r="172" spans="1:8" s="6" customFormat="1">
      <c r="A172" s="104"/>
    </row>
    <row r="173" spans="1:8" s="6" customFormat="1">
      <c r="A173" s="26"/>
      <c r="F173" s="27"/>
      <c r="G173" s="27"/>
      <c r="H173" s="27"/>
    </row>
    <row r="174" spans="1:8" s="6" customFormat="1">
      <c r="A174" s="26"/>
      <c r="F174" s="27"/>
      <c r="G174" s="27"/>
      <c r="H174" s="27"/>
    </row>
    <row r="175" spans="1:8" s="6" customFormat="1">
      <c r="A175" s="26"/>
      <c r="F175" s="27"/>
      <c r="G175" s="27"/>
      <c r="H175" s="27"/>
    </row>
    <row r="176" spans="1:8" s="6" customFormat="1">
      <c r="A176" s="26"/>
      <c r="F176" s="27"/>
      <c r="G176" s="27"/>
      <c r="H176" s="27"/>
    </row>
    <row r="177" spans="1:8" s="6" customFormat="1">
      <c r="A177" s="26"/>
      <c r="F177" s="27"/>
      <c r="G177" s="27"/>
      <c r="H177" s="27"/>
    </row>
    <row r="178" spans="1:8" s="6" customFormat="1">
      <c r="A178" s="104"/>
    </row>
    <row r="179" spans="1:8" s="6" customFormat="1">
      <c r="A179" s="104"/>
    </row>
    <row r="180" spans="1:8" s="6" customFormat="1">
      <c r="A180" s="26"/>
      <c r="F180" s="27"/>
      <c r="G180" s="27"/>
      <c r="H180" s="27"/>
    </row>
    <row r="181" spans="1:8" s="6" customFormat="1">
      <c r="A181" s="26"/>
      <c r="F181" s="27"/>
      <c r="G181" s="27"/>
      <c r="H181" s="27"/>
    </row>
    <row r="182" spans="1:8" s="6" customFormat="1">
      <c r="A182" s="26"/>
      <c r="F182" s="27"/>
      <c r="G182" s="27"/>
      <c r="H182" s="27"/>
    </row>
    <row r="183" spans="1:8" s="6" customFormat="1">
      <c r="A183" s="104"/>
    </row>
    <row r="184" spans="1:8" s="6" customFormat="1">
      <c r="A184" s="104"/>
    </row>
    <row r="185" spans="1:8" s="6" customFormat="1">
      <c r="A185" s="26"/>
      <c r="F185" s="27"/>
      <c r="G185" s="27"/>
      <c r="H185" s="27"/>
    </row>
    <row r="186" spans="1:8" s="6" customFormat="1">
      <c r="A186" s="26"/>
      <c r="F186" s="27"/>
      <c r="G186" s="27"/>
      <c r="H186" s="27"/>
    </row>
    <row r="187" spans="1:8" s="6" customFormat="1">
      <c r="A187" s="26"/>
      <c r="F187" s="27"/>
      <c r="G187" s="27"/>
      <c r="H187" s="27"/>
    </row>
    <row r="188" spans="1:8" s="6" customFormat="1">
      <c r="A188" s="26"/>
      <c r="F188" s="27"/>
      <c r="G188" s="27"/>
      <c r="H188" s="27"/>
    </row>
    <row r="189" spans="1:8" s="6" customFormat="1">
      <c r="A189" s="26"/>
      <c r="F189" s="27"/>
      <c r="G189" s="27"/>
      <c r="H189" s="27"/>
    </row>
    <row r="190" spans="1:8" s="6" customFormat="1">
      <c r="A190" s="104"/>
    </row>
    <row r="191" spans="1:8" s="6" customFormat="1">
      <c r="A191" s="104"/>
    </row>
    <row r="192" spans="1:8" s="6" customFormat="1">
      <c r="A192" s="26"/>
      <c r="F192" s="27"/>
      <c r="G192" s="27"/>
      <c r="H192" s="27"/>
    </row>
    <row r="193" spans="1:8" s="6" customFormat="1">
      <c r="A193" s="26"/>
      <c r="F193" s="27"/>
      <c r="G193" s="27"/>
      <c r="H193" s="27"/>
    </row>
    <row r="194" spans="1:8" s="6" customFormat="1">
      <c r="A194" s="26"/>
      <c r="F194" s="27"/>
      <c r="G194" s="27"/>
      <c r="H194" s="27"/>
    </row>
    <row r="195" spans="1:8" s="6" customFormat="1">
      <c r="A195" s="26"/>
      <c r="F195" s="27"/>
      <c r="G195" s="27"/>
      <c r="H195" s="27"/>
    </row>
    <row r="196" spans="1:8" s="6" customFormat="1">
      <c r="A196" s="26"/>
      <c r="F196" s="27"/>
      <c r="G196" s="27"/>
      <c r="H196" s="27"/>
    </row>
    <row r="197" spans="1:8" s="6" customFormat="1">
      <c r="A197" s="26"/>
      <c r="F197" s="27"/>
      <c r="G197" s="27"/>
      <c r="H197" s="27"/>
    </row>
    <row r="198" spans="1:8" s="6" customFormat="1">
      <c r="A198" s="26"/>
      <c r="F198" s="27"/>
      <c r="G198" s="27"/>
      <c r="H198" s="27"/>
    </row>
    <row r="199" spans="1:8" s="6" customFormat="1">
      <c r="A199" s="26"/>
      <c r="F199" s="27"/>
      <c r="G199" s="27"/>
      <c r="H199" s="27"/>
    </row>
    <row r="200" spans="1:8" s="6" customFormat="1">
      <c r="A200" s="104"/>
    </row>
    <row r="201" spans="1:8" s="6" customFormat="1">
      <c r="A201" s="104"/>
    </row>
    <row r="202" spans="1:8" s="6" customFormat="1">
      <c r="A202" s="26"/>
      <c r="F202" s="27"/>
      <c r="G202" s="27"/>
      <c r="H202" s="27"/>
    </row>
    <row r="203" spans="1:8" s="6" customFormat="1">
      <c r="A203" s="26"/>
      <c r="F203" s="27"/>
      <c r="G203" s="27"/>
      <c r="H203" s="27"/>
    </row>
    <row r="204" spans="1:8" s="6" customFormat="1">
      <c r="A204" s="26"/>
      <c r="F204" s="27"/>
      <c r="G204" s="27"/>
      <c r="H204" s="27"/>
    </row>
    <row r="205" spans="1:8" s="6" customFormat="1">
      <c r="A205" s="26"/>
      <c r="F205" s="27"/>
      <c r="G205" s="27"/>
      <c r="H205" s="27"/>
    </row>
    <row r="206" spans="1:8" s="6" customFormat="1">
      <c r="A206" s="26"/>
      <c r="F206" s="27"/>
      <c r="G206" s="27"/>
      <c r="H206" s="27"/>
    </row>
    <row r="207" spans="1:8" s="6" customFormat="1">
      <c r="A207" s="104"/>
    </row>
    <row r="208" spans="1:8" s="6" customFormat="1">
      <c r="A208" s="104"/>
    </row>
    <row r="209" spans="1:8" s="6" customFormat="1">
      <c r="A209" s="26"/>
      <c r="F209" s="27"/>
      <c r="G209" s="27"/>
      <c r="H209" s="27"/>
    </row>
    <row r="210" spans="1:8" s="6" customFormat="1">
      <c r="A210" s="26"/>
      <c r="F210" s="27"/>
      <c r="G210" s="27"/>
      <c r="H210" s="27"/>
    </row>
    <row r="211" spans="1:8" s="6" customFormat="1">
      <c r="A211" s="26"/>
      <c r="F211" s="27"/>
      <c r="G211" s="27"/>
      <c r="H211" s="27"/>
    </row>
    <row r="212" spans="1:8" s="6" customFormat="1">
      <c r="A212" s="26"/>
      <c r="F212" s="27"/>
      <c r="G212" s="27"/>
      <c r="H212" s="27"/>
    </row>
    <row r="213" spans="1:8" s="6" customFormat="1">
      <c r="A213" s="26"/>
      <c r="F213" s="27"/>
      <c r="G213" s="27"/>
      <c r="H213" s="27"/>
    </row>
    <row r="214" spans="1:8" s="6" customFormat="1">
      <c r="A214" s="26"/>
      <c r="F214" s="27"/>
      <c r="G214" s="27"/>
      <c r="H214" s="27"/>
    </row>
    <row r="215" spans="1:8" s="6" customFormat="1">
      <c r="A215" s="26"/>
      <c r="F215" s="27"/>
      <c r="G215" s="27"/>
      <c r="H215" s="27"/>
    </row>
    <row r="216" spans="1:8" s="6" customFormat="1">
      <c r="A216" s="26"/>
      <c r="F216" s="27"/>
      <c r="G216" s="27"/>
      <c r="H216" s="27"/>
    </row>
    <row r="217" spans="1:8" s="6" customFormat="1">
      <c r="A217" s="26"/>
      <c r="F217" s="27"/>
      <c r="G217" s="27"/>
      <c r="H217" s="27"/>
    </row>
    <row r="218" spans="1:8" s="6" customFormat="1">
      <c r="A218" s="26"/>
      <c r="F218" s="27"/>
      <c r="G218" s="27"/>
      <c r="H218" s="27"/>
    </row>
    <row r="219" spans="1:8" s="6" customFormat="1">
      <c r="A219" s="26"/>
      <c r="F219" s="27"/>
      <c r="G219" s="27"/>
      <c r="H219" s="27"/>
    </row>
    <row r="220" spans="1:8" s="6" customFormat="1">
      <c r="A220" s="26"/>
      <c r="F220" s="27"/>
      <c r="G220" s="27"/>
      <c r="H220" s="27"/>
    </row>
    <row r="221" spans="1:8" s="6" customFormat="1">
      <c r="A221" s="26"/>
      <c r="F221" s="27"/>
      <c r="G221" s="27"/>
      <c r="H221" s="27"/>
    </row>
    <row r="222" spans="1:8" s="6" customFormat="1">
      <c r="A222" s="104"/>
    </row>
    <row r="223" spans="1:8" s="6" customFormat="1">
      <c r="A223" s="104"/>
    </row>
    <row r="224" spans="1:8" s="6" customFormat="1">
      <c r="A224" s="26"/>
      <c r="F224" s="27"/>
      <c r="G224" s="27"/>
      <c r="H224" s="27"/>
    </row>
    <row r="225" spans="1:8" s="6" customFormat="1">
      <c r="A225" s="26"/>
      <c r="F225" s="27"/>
      <c r="G225" s="27"/>
      <c r="H225" s="27"/>
    </row>
    <row r="226" spans="1:8" s="6" customFormat="1">
      <c r="A226" s="26"/>
      <c r="F226" s="27"/>
      <c r="G226" s="27"/>
      <c r="H226" s="27"/>
    </row>
    <row r="227" spans="1:8" s="6" customFormat="1">
      <c r="A227" s="26"/>
      <c r="F227" s="27"/>
      <c r="G227" s="27"/>
      <c r="H227" s="27"/>
    </row>
    <row r="228" spans="1:8" s="6" customFormat="1">
      <c r="A228" s="26"/>
    </row>
    <row r="229" spans="1:8">
      <c r="A229" s="28"/>
    </row>
  </sheetData>
  <mergeCells count="266">
    <mergeCell ref="A207:A208"/>
    <mergeCell ref="A119:F121"/>
    <mergeCell ref="A103:A104"/>
    <mergeCell ref="B103:B104"/>
    <mergeCell ref="C103:C104"/>
    <mergeCell ref="D103:D104"/>
    <mergeCell ref="E103:E104"/>
    <mergeCell ref="F103:F104"/>
    <mergeCell ref="F122:K122"/>
    <mergeCell ref="A123:A126"/>
    <mergeCell ref="I123:J125"/>
    <mergeCell ref="K123:K125"/>
    <mergeCell ref="A164:A165"/>
    <mergeCell ref="A171:A172"/>
    <mergeCell ref="A178:A179"/>
    <mergeCell ref="A138:A139"/>
    <mergeCell ref="A151:A152"/>
    <mergeCell ref="A157:A158"/>
    <mergeCell ref="H129:H131"/>
    <mergeCell ref="I129:I131"/>
    <mergeCell ref="J129:J131"/>
    <mergeCell ref="K129:K131"/>
    <mergeCell ref="G88:G89"/>
    <mergeCell ref="G103:G104"/>
    <mergeCell ref="G45:G46"/>
    <mergeCell ref="G52:G53"/>
    <mergeCell ref="G59:G60"/>
    <mergeCell ref="G64:G65"/>
    <mergeCell ref="G71:G72"/>
    <mergeCell ref="G81:G82"/>
    <mergeCell ref="B123:E124"/>
    <mergeCell ref="F123:H125"/>
    <mergeCell ref="B125:C125"/>
    <mergeCell ref="D125:E125"/>
    <mergeCell ref="H119:K121"/>
    <mergeCell ref="I81:I82"/>
    <mergeCell ref="J81:J82"/>
    <mergeCell ref="C71:C72"/>
    <mergeCell ref="D71:D72"/>
    <mergeCell ref="E71:E72"/>
    <mergeCell ref="F71:F72"/>
    <mergeCell ref="A222:A223"/>
    <mergeCell ref="G4:G7"/>
    <mergeCell ref="G8:G9"/>
    <mergeCell ref="G10:G11"/>
    <mergeCell ref="G18:G19"/>
    <mergeCell ref="G32:G33"/>
    <mergeCell ref="G38:G39"/>
    <mergeCell ref="A183:A184"/>
    <mergeCell ref="A190:A191"/>
    <mergeCell ref="A200:A201"/>
    <mergeCell ref="A129:A131"/>
    <mergeCell ref="B129:B131"/>
    <mergeCell ref="C129:C131"/>
    <mergeCell ref="D129:D131"/>
    <mergeCell ref="E129:E131"/>
    <mergeCell ref="F129:F131"/>
    <mergeCell ref="A88:A89"/>
    <mergeCell ref="B88:B89"/>
    <mergeCell ref="C88:C89"/>
    <mergeCell ref="D88:D89"/>
    <mergeCell ref="E88:E89"/>
    <mergeCell ref="F88:F89"/>
    <mergeCell ref="A71:A72"/>
    <mergeCell ref="B71:B72"/>
    <mergeCell ref="H103:H104"/>
    <mergeCell ref="I103:I104"/>
    <mergeCell ref="J103:J104"/>
    <mergeCell ref="N88:N89"/>
    <mergeCell ref="O88:O89"/>
    <mergeCell ref="J88:J89"/>
    <mergeCell ref="K88:K89"/>
    <mergeCell ref="L88:L89"/>
    <mergeCell ref="M88:M89"/>
    <mergeCell ref="H88:H89"/>
    <mergeCell ref="I88:I89"/>
    <mergeCell ref="Q109:R109"/>
    <mergeCell ref="O103:O104"/>
    <mergeCell ref="P103:R104"/>
    <mergeCell ref="K103:K104"/>
    <mergeCell ref="L103:L104"/>
    <mergeCell ref="M103:M104"/>
    <mergeCell ref="N103:N104"/>
    <mergeCell ref="N81:N82"/>
    <mergeCell ref="O81:O82"/>
    <mergeCell ref="K81:K82"/>
    <mergeCell ref="L81:L82"/>
    <mergeCell ref="P81:R82"/>
    <mergeCell ref="M81:M82"/>
    <mergeCell ref="P88:R89"/>
    <mergeCell ref="A81:A82"/>
    <mergeCell ref="B81:B82"/>
    <mergeCell ref="C81:C82"/>
    <mergeCell ref="D81:D82"/>
    <mergeCell ref="E81:E82"/>
    <mergeCell ref="F81:F82"/>
    <mergeCell ref="H81:H82"/>
    <mergeCell ref="L71:L72"/>
    <mergeCell ref="M71:M72"/>
    <mergeCell ref="O64:O65"/>
    <mergeCell ref="P64:R65"/>
    <mergeCell ref="K64:K65"/>
    <mergeCell ref="L64:L65"/>
    <mergeCell ref="M64:M65"/>
    <mergeCell ref="N64:N65"/>
    <mergeCell ref="N71:N72"/>
    <mergeCell ref="O71:O72"/>
    <mergeCell ref="H71:H72"/>
    <mergeCell ref="I71:I72"/>
    <mergeCell ref="J71:J72"/>
    <mergeCell ref="K71:K72"/>
    <mergeCell ref="P71:R72"/>
    <mergeCell ref="A64:A65"/>
    <mergeCell ref="B64:B65"/>
    <mergeCell ref="C64:C65"/>
    <mergeCell ref="D64:D65"/>
    <mergeCell ref="E64:E65"/>
    <mergeCell ref="F64:F65"/>
    <mergeCell ref="H64:H65"/>
    <mergeCell ref="I64:I65"/>
    <mergeCell ref="J64:J65"/>
    <mergeCell ref="N52:N53"/>
    <mergeCell ref="O52:O53"/>
    <mergeCell ref="I52:I53"/>
    <mergeCell ref="J52:J53"/>
    <mergeCell ref="K52:K53"/>
    <mergeCell ref="L52:L53"/>
    <mergeCell ref="P52:R53"/>
    <mergeCell ref="A59:A60"/>
    <mergeCell ref="B59:B60"/>
    <mergeCell ref="C59:C60"/>
    <mergeCell ref="D59:D60"/>
    <mergeCell ref="E59:E60"/>
    <mergeCell ref="F59:F60"/>
    <mergeCell ref="H59:H60"/>
    <mergeCell ref="I59:I60"/>
    <mergeCell ref="M52:M53"/>
    <mergeCell ref="N59:N60"/>
    <mergeCell ref="O59:O60"/>
    <mergeCell ref="J59:J60"/>
    <mergeCell ref="K59:K60"/>
    <mergeCell ref="L59:L60"/>
    <mergeCell ref="M59:M60"/>
    <mergeCell ref="P59:R60"/>
    <mergeCell ref="A38:A39"/>
    <mergeCell ref="B38:B39"/>
    <mergeCell ref="C38:C39"/>
    <mergeCell ref="D38:D39"/>
    <mergeCell ref="E38:E39"/>
    <mergeCell ref="F38:F39"/>
    <mergeCell ref="A45:A46"/>
    <mergeCell ref="B45:B46"/>
    <mergeCell ref="C45:C46"/>
    <mergeCell ref="D45:D46"/>
    <mergeCell ref="E45:E46"/>
    <mergeCell ref="F45:F46"/>
    <mergeCell ref="A52:A53"/>
    <mergeCell ref="B52:B53"/>
    <mergeCell ref="C52:C53"/>
    <mergeCell ref="D52:D53"/>
    <mergeCell ref="E52:E53"/>
    <mergeCell ref="F52:F53"/>
    <mergeCell ref="H52:H53"/>
    <mergeCell ref="L45:L46"/>
    <mergeCell ref="M45:M46"/>
    <mergeCell ref="H45:H46"/>
    <mergeCell ref="I45:I46"/>
    <mergeCell ref="J45:J46"/>
    <mergeCell ref="K45:K46"/>
    <mergeCell ref="H32:H33"/>
    <mergeCell ref="I32:I33"/>
    <mergeCell ref="J38:J39"/>
    <mergeCell ref="N32:N33"/>
    <mergeCell ref="J32:J33"/>
    <mergeCell ref="K32:K33"/>
    <mergeCell ref="L32:L33"/>
    <mergeCell ref="M32:M33"/>
    <mergeCell ref="P45:R46"/>
    <mergeCell ref="N38:N39"/>
    <mergeCell ref="O38:O39"/>
    <mergeCell ref="N45:N46"/>
    <mergeCell ref="O45:O46"/>
    <mergeCell ref="H38:H39"/>
    <mergeCell ref="I38:I39"/>
    <mergeCell ref="P32:R33"/>
    <mergeCell ref="P38:R39"/>
    <mergeCell ref="K38:K39"/>
    <mergeCell ref="L38:L39"/>
    <mergeCell ref="M38:M39"/>
    <mergeCell ref="D10:D11"/>
    <mergeCell ref="E10:E11"/>
    <mergeCell ref="F10:F11"/>
    <mergeCell ref="N18:N19"/>
    <mergeCell ref="O32:O33"/>
    <mergeCell ref="P10:R11"/>
    <mergeCell ref="M10:M11"/>
    <mergeCell ref="N10:N11"/>
    <mergeCell ref="O10:O11"/>
    <mergeCell ref="O18:O19"/>
    <mergeCell ref="I18:I19"/>
    <mergeCell ref="J18:J19"/>
    <mergeCell ref="K18:K19"/>
    <mergeCell ref="L18:L19"/>
    <mergeCell ref="P18:R19"/>
    <mergeCell ref="M18:M19"/>
    <mergeCell ref="F32:F33"/>
    <mergeCell ref="A32:A33"/>
    <mergeCell ref="B32:B33"/>
    <mergeCell ref="C32:C33"/>
    <mergeCell ref="D32:D33"/>
    <mergeCell ref="E32:E33"/>
    <mergeCell ref="A8:A9"/>
    <mergeCell ref="H18:H19"/>
    <mergeCell ref="L10:L11"/>
    <mergeCell ref="E18:E19"/>
    <mergeCell ref="F18:F19"/>
    <mergeCell ref="H10:H11"/>
    <mergeCell ref="I10:I11"/>
    <mergeCell ref="J10:J11"/>
    <mergeCell ref="K10:K11"/>
    <mergeCell ref="A10:A11"/>
    <mergeCell ref="A18:A19"/>
    <mergeCell ref="B18:B19"/>
    <mergeCell ref="C18:C19"/>
    <mergeCell ref="D18:D19"/>
    <mergeCell ref="B10:B11"/>
    <mergeCell ref="C10:C11"/>
    <mergeCell ref="B8:B9"/>
    <mergeCell ref="C8:C9"/>
    <mergeCell ref="D8:D9"/>
    <mergeCell ref="J6:J7"/>
    <mergeCell ref="E8:E9"/>
    <mergeCell ref="F8:F9"/>
    <mergeCell ref="O8:O9"/>
    <mergeCell ref="J8:J9"/>
    <mergeCell ref="P8:R9"/>
    <mergeCell ref="K8:K9"/>
    <mergeCell ref="L8:L9"/>
    <mergeCell ref="M8:M9"/>
    <mergeCell ref="N8:N9"/>
    <mergeCell ref="H8:H9"/>
    <mergeCell ref="I8:I9"/>
    <mergeCell ref="A1:K1"/>
    <mergeCell ref="L1:R1"/>
    <mergeCell ref="A2:K2"/>
    <mergeCell ref="L2:R2"/>
    <mergeCell ref="H3:K3"/>
    <mergeCell ref="L3:O3"/>
    <mergeCell ref="Q3:R3"/>
    <mergeCell ref="H4:K5"/>
    <mergeCell ref="L4:O5"/>
    <mergeCell ref="A4:A7"/>
    <mergeCell ref="B4:B7"/>
    <mergeCell ref="H6:H7"/>
    <mergeCell ref="P4:R7"/>
    <mergeCell ref="M6:M7"/>
    <mergeCell ref="N6:N7"/>
    <mergeCell ref="C4:F5"/>
    <mergeCell ref="C6:C7"/>
    <mergeCell ref="D6:D7"/>
    <mergeCell ref="E6:E7"/>
    <mergeCell ref="F6:F7"/>
    <mergeCell ref="K6:K7"/>
    <mergeCell ref="L6:L7"/>
    <mergeCell ref="O6:O7"/>
    <mergeCell ref="I6:I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C20:G108" formulaRange="1"/>
    <ignoredError sqref="H10:O10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2017-01-20T15:12:32Z</dcterms:modified>
</cp:coreProperties>
</file>