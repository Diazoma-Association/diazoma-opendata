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80" yWindow="-108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9" i="1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2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A104"/>
  <c r="AZ104"/>
  <c r="AY104"/>
  <c r="AX104"/>
  <c r="AW104"/>
  <c r="AV104"/>
  <c r="AU104"/>
  <c r="AT104"/>
  <c r="AS104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B104"/>
  <c r="AA104"/>
  <c r="Z104"/>
  <c r="BA89"/>
  <c r="AZ89"/>
  <c r="AY89"/>
  <c r="AX89"/>
  <c r="AW89"/>
  <c r="AV89"/>
  <c r="AU89"/>
  <c r="AT89"/>
  <c r="AS89"/>
  <c r="AR89"/>
  <c r="AQ89"/>
  <c r="AP89"/>
  <c r="AO89"/>
  <c r="AN89"/>
  <c r="AM89"/>
  <c r="AL89"/>
  <c r="AK89"/>
  <c r="AJ89"/>
  <c r="AI89"/>
  <c r="AH89"/>
  <c r="AG89"/>
  <c r="AF89"/>
  <c r="AE89"/>
  <c r="AD89"/>
  <c r="AC89"/>
  <c r="AB89"/>
  <c r="AA89"/>
  <c r="Z89"/>
  <c r="BA82"/>
  <c r="AZ82"/>
  <c r="AY82"/>
  <c r="AX82"/>
  <c r="AW82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BA72"/>
  <c r="AZ72"/>
  <c r="AY72"/>
  <c r="AX72"/>
  <c r="AW72"/>
  <c r="AV72"/>
  <c r="AU72"/>
  <c r="AT72"/>
  <c r="AS72"/>
  <c r="AR72"/>
  <c r="AQ72"/>
  <c r="AP72"/>
  <c r="AO72"/>
  <c r="AN72"/>
  <c r="AM72"/>
  <c r="AL72"/>
  <c r="AK72"/>
  <c r="AJ72"/>
  <c r="AI72"/>
  <c r="AH72"/>
  <c r="AG72"/>
  <c r="AF72"/>
  <c r="AE72"/>
  <c r="AD72"/>
  <c r="AC72"/>
  <c r="AB72"/>
  <c r="AA72"/>
  <c r="Z72"/>
  <c r="BA65"/>
  <c r="AZ65"/>
  <c r="AY65"/>
  <c r="AX65"/>
  <c r="AW65"/>
  <c r="AV65"/>
  <c r="AU65"/>
  <c r="AT65"/>
  <c r="AS65"/>
  <c r="AR65"/>
  <c r="AQ65"/>
  <c r="AP65"/>
  <c r="AO65"/>
  <c r="AN65"/>
  <c r="AM65"/>
  <c r="AL65"/>
  <c r="AK65"/>
  <c r="AJ65"/>
  <c r="AI65"/>
  <c r="AH65"/>
  <c r="AG65"/>
  <c r="AF65"/>
  <c r="AE65"/>
  <c r="AD65"/>
  <c r="AC65"/>
  <c r="AB65"/>
  <c r="AA65"/>
  <c r="Z65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BA53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BA46"/>
  <c r="AZ46"/>
  <c r="AY46"/>
  <c r="AX46"/>
  <c r="AW46"/>
  <c r="AV46"/>
  <c r="AU46"/>
  <c r="AT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BA39"/>
  <c r="AZ39"/>
  <c r="AY39"/>
  <c r="AX39"/>
  <c r="AW39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BA33"/>
  <c r="AZ33"/>
  <c r="AY33"/>
  <c r="AX33"/>
  <c r="AW33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E11"/>
  <c r="AD11"/>
  <c r="AC11"/>
  <c r="AB11"/>
  <c r="AA11"/>
  <c r="Z11"/>
  <c r="BA9"/>
  <c r="AZ9"/>
  <c r="AY9"/>
  <c r="AX9"/>
  <c r="AW9"/>
  <c r="AV9"/>
  <c r="AU9"/>
  <c r="AT9"/>
  <c r="AS9"/>
  <c r="AR9"/>
  <c r="AQ9"/>
  <c r="AP9"/>
  <c r="AO9"/>
  <c r="AN9"/>
  <c r="AM9"/>
  <c r="AL9"/>
  <c r="AK9"/>
  <c r="AJ9"/>
  <c r="AI9"/>
  <c r="AH9"/>
  <c r="AG9"/>
  <c r="AF9"/>
  <c r="AE9"/>
  <c r="AD9"/>
  <c r="AC9"/>
  <c r="AB9"/>
  <c r="AA9"/>
  <c r="Z9"/>
  <c r="K104"/>
  <c r="G104"/>
  <c r="H104"/>
  <c r="I104"/>
  <c r="J104"/>
  <c r="L104"/>
  <c r="M104"/>
  <c r="N104"/>
  <c r="O104"/>
  <c r="P104"/>
  <c r="Q104"/>
  <c r="R104"/>
  <c r="S104"/>
  <c r="T104"/>
  <c r="U104"/>
  <c r="V104"/>
  <c r="W104"/>
  <c r="X104"/>
  <c r="Y104"/>
  <c r="B104"/>
  <c r="C104"/>
  <c r="D104"/>
  <c r="E104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B89"/>
  <c r="C89"/>
  <c r="D89"/>
  <c r="E89"/>
  <c r="I82"/>
  <c r="J82"/>
  <c r="K82"/>
  <c r="L82"/>
  <c r="M82"/>
  <c r="N82"/>
  <c r="O82"/>
  <c r="P82"/>
  <c r="Q82"/>
  <c r="R82"/>
  <c r="S82"/>
  <c r="T82"/>
  <c r="U82"/>
  <c r="V82"/>
  <c r="W82"/>
  <c r="X82"/>
  <c r="Y82"/>
  <c r="B82"/>
  <c r="C82"/>
  <c r="D82"/>
  <c r="E82"/>
  <c r="F82"/>
  <c r="G82"/>
  <c r="N72"/>
  <c r="O72"/>
  <c r="P72"/>
  <c r="Q72"/>
  <c r="R72"/>
  <c r="S72"/>
  <c r="T72"/>
  <c r="U72"/>
  <c r="V72"/>
  <c r="W72"/>
  <c r="X72"/>
  <c r="Y72"/>
  <c r="B72"/>
  <c r="C72"/>
  <c r="D72"/>
  <c r="E72"/>
  <c r="F72"/>
  <c r="G72"/>
  <c r="H72"/>
  <c r="I72"/>
  <c r="J72"/>
  <c r="K72"/>
  <c r="L72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B65"/>
  <c r="C65"/>
  <c r="D65"/>
  <c r="E65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B60"/>
  <c r="C60"/>
  <c r="D60"/>
  <c r="E60"/>
  <c r="F60"/>
  <c r="J53"/>
  <c r="K53"/>
  <c r="L53"/>
  <c r="M53"/>
  <c r="N53"/>
  <c r="O53"/>
  <c r="P53"/>
  <c r="Q53"/>
  <c r="R53"/>
  <c r="S53"/>
  <c r="T53"/>
  <c r="U53"/>
  <c r="V53"/>
  <c r="W53"/>
  <c r="X53"/>
  <c r="Y53"/>
  <c r="B53"/>
  <c r="C53"/>
  <c r="D53"/>
  <c r="E53"/>
  <c r="F53"/>
  <c r="G53"/>
  <c r="H53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B46"/>
  <c r="C46"/>
  <c r="D46"/>
  <c r="E46"/>
  <c r="F46"/>
  <c r="I11"/>
  <c r="J11"/>
  <c r="K11"/>
  <c r="L11"/>
  <c r="M11"/>
  <c r="N11"/>
  <c r="O11"/>
  <c r="P11"/>
  <c r="Q11"/>
  <c r="R11"/>
  <c r="S11"/>
  <c r="T11"/>
  <c r="U11"/>
  <c r="V11"/>
  <c r="W11"/>
  <c r="X11"/>
  <c r="Y11"/>
  <c r="B11"/>
  <c r="C11"/>
  <c r="D11"/>
  <c r="E11"/>
  <c r="F11"/>
  <c r="G11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B33"/>
  <c r="C33"/>
  <c r="E39"/>
  <c r="F39"/>
  <c r="G39"/>
  <c r="H39"/>
  <c r="I39"/>
  <c r="J39"/>
  <c r="K39"/>
  <c r="L39"/>
  <c r="M39"/>
  <c r="N39"/>
  <c r="O39"/>
  <c r="P39"/>
  <c r="Q39"/>
  <c r="Q9"/>
  <c r="R39"/>
  <c r="S39"/>
  <c r="T39"/>
  <c r="U39"/>
  <c r="V39"/>
  <c r="W39"/>
  <c r="X39"/>
  <c r="Y39"/>
  <c r="C39"/>
  <c r="D39"/>
  <c r="F104"/>
  <c r="F89"/>
  <c r="F9"/>
  <c r="H82"/>
  <c r="M72"/>
  <c r="F65"/>
  <c r="G60"/>
  <c r="I53"/>
  <c r="G46"/>
  <c r="B39"/>
  <c r="D33"/>
  <c r="H11"/>
  <c r="H9"/>
  <c r="D9"/>
  <c r="B9"/>
  <c r="P9"/>
  <c r="N9"/>
  <c r="L9"/>
  <c r="J9"/>
  <c r="X9"/>
  <c r="I9"/>
  <c r="G9"/>
  <c r="V9"/>
  <c r="R9"/>
  <c r="T9"/>
  <c r="Y9"/>
  <c r="W9"/>
  <c r="U9"/>
  <c r="S9"/>
  <c r="O9"/>
  <c r="M9"/>
  <c r="K9"/>
  <c r="E9"/>
  <c r="C9"/>
</calcChain>
</file>

<file path=xl/sharedStrings.xml><?xml version="1.0" encoding="utf-8"?>
<sst xmlns="http://schemas.openxmlformats.org/spreadsheetml/2006/main" count="1261" uniqueCount="211">
  <si>
    <t>Σε τόννους</t>
  </si>
  <si>
    <t>In tons</t>
  </si>
  <si>
    <t xml:space="preserve">Περιφέρειες και Περιφερειακές Ενότητες      </t>
  </si>
  <si>
    <t>Μοσχάρια 1 -2 ετών                                                 Calves 1 - 2 year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</si>
  <si>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</si>
  <si>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</si>
  <si>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</si>
  <si>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</si>
  <si>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</si>
  <si>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</si>
  <si>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</si>
  <si>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</si>
  <si>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</si>
  <si>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</si>
  <si>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</si>
  <si>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</si>
  <si>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</si>
  <si>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</si>
  <si>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</si>
  <si>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</si>
  <si>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</si>
  <si>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</si>
  <si>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</si>
  <si>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</si>
  <si>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</si>
  <si>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</si>
  <si>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</si>
  <si>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</si>
  <si>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</si>
  <si>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</si>
  <si>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</si>
  <si>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</si>
  <si>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</si>
  <si>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</si>
  <si>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</si>
  <si>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</si>
  <si>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</si>
  <si>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</si>
  <si>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</si>
  <si>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</si>
  <si>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</si>
  <si>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</si>
  <si>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</si>
  <si>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</si>
  <si>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</si>
  <si>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</si>
  <si>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</si>
  <si>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</si>
  <si>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</si>
  <si>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</si>
  <si>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</si>
  <si>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</si>
  <si>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</si>
  <si>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</si>
  <si>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</si>
  <si>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</si>
  <si>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</si>
  <si>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</si>
  <si>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</si>
  <si>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</si>
  <si>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</si>
  <si>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</si>
  <si>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</si>
  <si>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</si>
  <si>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</si>
  <si>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</si>
  <si>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</si>
  <si>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</si>
  <si>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</si>
  <si>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</si>
  <si>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</si>
  <si>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</si>
  <si>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</si>
  <si>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</si>
  <si>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</si>
  <si>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</si>
  <si>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</si>
  <si>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</si>
  <si>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</si>
  <si>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</si>
  <si>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</si>
  <si>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</si>
  <si>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</si>
  <si>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</si>
  <si>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</si>
  <si>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</si>
  <si>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</si>
  <si>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</si>
  <si>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</si>
  <si>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</si>
  <si>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</si>
  <si>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</si>
  <si>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</si>
  <si>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</si>
  <si>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</si>
  <si>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</si>
  <si>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</si>
  <si>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</si>
  <si>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</si>
  <si>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</si>
  <si>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</si>
  <si>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</si>
  <si>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</si>
  <si>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</si>
  <si>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</si>
  <si>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</si>
  <si>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</si>
  <si>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</si>
  <si>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</si>
  <si>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</si>
  <si>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</si>
  <si>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</si>
  <si>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</si>
  <si>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</si>
  <si>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</si>
  <si>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</si>
  <si>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</si>
  <si>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</si>
  <si>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</si>
  <si>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</si>
  <si>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</si>
  <si>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</si>
  <si>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</si>
  <si>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</si>
  <si>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</si>
  <si>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</si>
  <si>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</si>
  <si>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</si>
  <si>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</si>
  <si>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</si>
  <si>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</si>
  <si>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</si>
  <si>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</si>
  <si>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</si>
  <si>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</si>
  <si>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</si>
  <si>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</si>
  <si>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</si>
  <si>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</si>
  <si>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</si>
  <si>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</si>
  <si>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</si>
  <si>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</si>
  <si>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</si>
  <si>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</si>
  <si>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</si>
  <si>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</si>
  <si>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</si>
  <si>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</si>
  <si>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</si>
  <si>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</si>
  <si>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</si>
  <si>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</si>
  <si>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</si>
  <si>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</si>
  <si>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</si>
  <si>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</si>
  <si>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</si>
  <si>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</si>
  <si>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</si>
  <si>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</si>
  <si>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</si>
  <si>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</si>
  <si>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</si>
  <si>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</si>
  <si>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</si>
  <si>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</si>
  <si>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</si>
  <si>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</si>
  <si>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</si>
  <si>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</si>
  <si>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</si>
  <si>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</si>
  <si>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</si>
  <si>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</si>
  <si>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</si>
  <si>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</si>
  <si>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</si>
  <si>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</si>
  <si>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</si>
  <si>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</si>
  <si>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Σφαγέντα μέσα στην κοινότητα              Slaughtered within the commune</t>
  </si>
  <si>
    <t>Πωληθέντα για σφαγή έξω από την κοινότητα          Sold for slaughter outside the communie</t>
  </si>
  <si>
    <t>Σφαγέντα μέσα στην κοινότητα                Slaughtered within the commune</t>
  </si>
  <si>
    <t>Πωληθέντα για σφαγή έξω από την κοινότητα         Sold for slaughter outside the communie</t>
  </si>
  <si>
    <t>Σφαγέντα μέσα στην κοινότητα            Slaughtered within the commune</t>
  </si>
  <si>
    <t>Πωληθέντα για σφαγή έξω από την κοινότητα             Sold for slaughter outside the communie</t>
  </si>
  <si>
    <t>Πωληθέντα για σφαγή έξω από την κοινότητα            Sold for slaughter outside the communie</t>
  </si>
  <si>
    <t>Πωληθέντα για σφαγή έξω από την κοινότητα           Sold for slaughter outside the communie</t>
  </si>
  <si>
    <t>Σφαγέντα μέσα στην κοινότητα           Slaughtered within the commune</t>
  </si>
  <si>
    <t>—</t>
  </si>
  <si>
    <t>Πίνακας 7b2. Παραγωγή κρέατος (αναλυτικά) κατά είδος σφάγιου, περιφέρεια και περιφερειακή ενότητα: 2013</t>
  </si>
  <si>
    <t>Βουβαλίδια 
Buffaloes (less than 1 year old)</t>
  </si>
  <si>
    <t>Αρνιά
Lambs</t>
  </si>
  <si>
    <t>Μοσχάρια κάτω του έτους
Calves less than 1 year</t>
  </si>
  <si>
    <t>Κατσίκια
Goat kids</t>
  </si>
  <si>
    <t>Χοιρίδια
Piglets</t>
  </si>
  <si>
    <t>Δαμάλια και βόδια
Heifers and oxen</t>
  </si>
  <si>
    <t>Βουβάλια και βουβαλοδαμάλια
Buffaloes (1 year and over)</t>
  </si>
  <si>
    <t>Ζυγούρια και πρόβατα
Sheep (1 year and over)</t>
  </si>
  <si>
    <t>Βιτούλια και αίγες
Goats (1 year and over)</t>
  </si>
  <si>
    <t>Χοίροι
Pigs</t>
  </si>
  <si>
    <t>Πουλερικά
 Poultry</t>
  </si>
  <si>
    <t>Κουνέλια
Rabbits</t>
  </si>
  <si>
    <t>Σφαγέντα μέσα στην κοινότητα               Slaughtered within the commune</t>
  </si>
  <si>
    <t>Σφαγέντα μέσα στην κοινότητα          Slaughtered within the commune</t>
  </si>
  <si>
    <t>Σφαγέντα μέσα στην κοινότητα Slaughtered within the commune</t>
  </si>
  <si>
    <t>Πωληθέντα για σφαγή έξω από την κοινότητα              Sold for slaughter outside the communie</t>
  </si>
  <si>
    <t>Region of Western Macedonia</t>
  </si>
  <si>
    <t>Περιφέρεια Δυτικής Μακεδονίας</t>
  </si>
  <si>
    <t>Table 7b2. Meat production (analytical), by kind of animal, region and regional unity: 2013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</si>
</sst>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3" fillId="0" borderId="0" xfId="0" applyFont="1" applyAlignment="1">
      <alignment horizontal="right"/>
    </xf>
    <xf numFmtId="49" fontId="2" fillId="0" borderId="0" xfId="0" applyNumberFormat="1" applyFont="1" applyFill="1" applyBorder="1" applyAlignment="1" applyProtection="1">
      <alignment horizontal="left" wrapText="1" indent="2"/>
    </xf>
    <xf numFmtId="3" fontId="2" fillId="0" borderId="2" xfId="0" applyNumberFormat="1" applyFont="1" applyFill="1" applyBorder="1" applyAlignment="1" applyProtection="1">
      <alignment horizontal="right"/>
    </xf>
    <xf numFmtId="3" fontId="2" fillId="0" borderId="2" xfId="0" quotePrefix="1" applyNumberFormat="1" applyFont="1" applyFill="1" applyBorder="1" applyAlignment="1" applyProtection="1">
      <alignment horizontal="right"/>
    </xf>
    <xf numFmtId="3" fontId="2" fillId="0" borderId="3" xfId="0" applyNumberFormat="1" applyFont="1" applyFill="1" applyBorder="1" applyAlignment="1" applyProtection="1">
      <alignment horizontal="right"/>
    </xf>
    <xf numFmtId="0" fontId="3" fillId="0" borderId="0" xfId="0" applyFont="1" applyBorder="1" applyAlignment="1">
      <alignment horizontal="left" indent="2"/>
    </xf>
    <xf numFmtId="0" fontId="3" fillId="0" borderId="0" xfId="0" applyFont="1" applyBorder="1" applyAlignment="1">
      <alignment horizontal="left"/>
    </xf>
    <xf numFmtId="3" fontId="2" fillId="0" borderId="3" xfId="0" quotePrefix="1" applyNumberFormat="1" applyFont="1" applyFill="1" applyBorder="1" applyAlignment="1" applyProtection="1">
      <alignment horizontal="right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3" fontId="2" fillId="0" borderId="4" xfId="0" quotePrefix="1" applyNumberFormat="1" applyFont="1" applyFill="1" applyBorder="1" applyAlignment="1" applyProtection="1">
      <alignment horizontal="right"/>
    </xf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3" fontId="2" fillId="0" borderId="27" xfId="0" quotePrefix="1" applyNumberFormat="1" applyFont="1" applyFill="1" applyBorder="1" applyAlignment="1" applyProtection="1">
      <alignment horizontal="right"/>
    </xf>
    <xf numFmtId="3" fontId="2" fillId="2" borderId="2" xfId="0" applyNumberFormat="1" applyFont="1" applyFill="1" applyBorder="1" applyAlignment="1">
      <alignment horizontal="right" vertical="top" wrapText="1"/>
    </xf>
    <xf numFmtId="3" fontId="2" fillId="2" borderId="3" xfId="0" applyNumberFormat="1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/>
    </xf>
    <xf numFmtId="3" fontId="2" fillId="0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right" vertical="top" wrapText="1"/>
    </xf>
    <xf numFmtId="3" fontId="2" fillId="2" borderId="3" xfId="0" applyNumberFormat="1" applyFont="1" applyFill="1" applyBorder="1" applyAlignment="1">
      <alignment horizontal="right" vertical="top"/>
    </xf>
    <xf numFmtId="3" fontId="2" fillId="2" borderId="0" xfId="0" applyNumberFormat="1" applyFont="1" applyFill="1" applyBorder="1" applyAlignment="1">
      <alignment horizontal="right" vertical="top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5" fillId="0" borderId="0" xfId="0" applyFont="1" applyBorder="1" applyAlignment="1">
      <alignment vertical="center"/>
    </xf>
    <xf numFmtId="49" fontId="1" fillId="0" borderId="0" xfId="0" applyNumberFormat="1" applyFont="1" applyFill="1" applyBorder="1" applyAlignment="1" applyProtection="1">
      <alignment vertical="center" wrapText="1"/>
    </xf>
    <xf numFmtId="3" fontId="2" fillId="2" borderId="30" xfId="0" applyNumberFormat="1" applyFont="1" applyFill="1" applyBorder="1" applyAlignment="1">
      <alignment horizontal="right" vertical="top" wrapText="1"/>
    </xf>
    <xf numFmtId="3" fontId="2" fillId="0" borderId="31" xfId="0" applyNumberFormat="1" applyFont="1" applyBorder="1"/>
    <xf numFmtId="3" fontId="2" fillId="0" borderId="30" xfId="0" quotePrefix="1" applyNumberFormat="1" applyFont="1" applyFill="1" applyBorder="1" applyAlignment="1" applyProtection="1">
      <alignment horizontal="right"/>
    </xf>
    <xf numFmtId="3" fontId="2" fillId="0" borderId="31" xfId="0" applyNumberFormat="1" applyFont="1" applyFill="1" applyBorder="1" applyAlignment="1" applyProtection="1">
      <alignment horizontal="right"/>
    </xf>
    <xf numFmtId="3" fontId="1" fillId="2" borderId="30" xfId="0" applyNumberFormat="1" applyFont="1" applyFill="1" applyBorder="1" applyAlignment="1">
      <alignment horizontal="right" vertical="center" wrapText="1"/>
    </xf>
    <xf numFmtId="3" fontId="1" fillId="2" borderId="31" xfId="0" applyNumberFormat="1" applyFont="1" applyFill="1" applyBorder="1" applyAlignment="1">
      <alignment horizontal="right" vertical="center" wrapText="1"/>
    </xf>
    <xf numFmtId="3" fontId="2" fillId="0" borderId="31" xfId="0" quotePrefix="1" applyNumberFormat="1" applyFont="1" applyFill="1" applyBorder="1" applyAlignment="1" applyProtection="1">
      <alignment horizontal="right"/>
    </xf>
    <xf numFmtId="3" fontId="2" fillId="0" borderId="30" xfId="0" applyNumberFormat="1" applyFont="1" applyFill="1" applyBorder="1" applyAlignment="1" applyProtection="1">
      <alignment horizontal="right"/>
    </xf>
    <xf numFmtId="3" fontId="2" fillId="2" borderId="32" xfId="0" applyNumberFormat="1" applyFont="1" applyFill="1" applyBorder="1" applyAlignment="1">
      <alignment horizontal="right" vertical="top" wrapText="1"/>
    </xf>
    <xf numFmtId="3" fontId="2" fillId="2" borderId="4" xfId="0" applyNumberFormat="1" applyFont="1" applyFill="1" applyBorder="1" applyAlignment="1">
      <alignment horizontal="right" vertical="top" wrapText="1"/>
    </xf>
    <xf numFmtId="3" fontId="2" fillId="2" borderId="27" xfId="0" applyNumberFormat="1" applyFont="1" applyFill="1" applyBorder="1" applyAlignment="1">
      <alignment horizontal="right" vertical="top" wrapText="1"/>
    </xf>
    <xf numFmtId="3" fontId="2" fillId="2" borderId="4" xfId="0" applyNumberFormat="1" applyFont="1" applyFill="1" applyBorder="1" applyAlignment="1">
      <alignment horizontal="right" vertical="top"/>
    </xf>
    <xf numFmtId="3" fontId="2" fillId="2" borderId="27" xfId="0" applyNumberFormat="1" applyFont="1" applyFill="1" applyBorder="1" applyAlignment="1">
      <alignment horizontal="right" vertical="top"/>
    </xf>
    <xf numFmtId="3" fontId="2" fillId="0" borderId="4" xfId="0" applyNumberFormat="1" applyFont="1" applyFill="1" applyBorder="1" applyAlignment="1">
      <alignment horizontal="right" vertical="top" wrapText="1"/>
    </xf>
    <xf numFmtId="3" fontId="2" fillId="0" borderId="33" xfId="0" applyNumberFormat="1" applyFont="1" applyBorder="1"/>
    <xf numFmtId="3" fontId="1" fillId="0" borderId="2" xfId="0" applyNumberFormat="1" applyFont="1" applyBorder="1" applyAlignment="1">
      <alignment horizontal="right" vertical="center"/>
    </xf>
    <xf numFmtId="3" fontId="1" fillId="0" borderId="31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3" fontId="1" fillId="0" borderId="9" xfId="0" applyNumberFormat="1" applyFont="1" applyBorder="1" applyAlignment="1">
      <alignment horizontal="right" vertical="center"/>
    </xf>
    <xf numFmtId="3" fontId="1" fillId="0" borderId="29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3" fontId="1" fillId="0" borderId="30" xfId="0" applyNumberFormat="1" applyFont="1" applyBorder="1" applyAlignment="1">
      <alignment horizontal="right" vertical="center"/>
    </xf>
    <xf numFmtId="3" fontId="1" fillId="0" borderId="28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49" fontId="1" fillId="0" borderId="18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0" fontId="1" fillId="0" borderId="18" xfId="0" applyNumberFormat="1" applyFont="1" applyFill="1" applyBorder="1" applyAlignment="1" applyProtection="1">
      <alignment horizontal="left" vertical="center" wrapText="1"/>
    </xf>
    <xf numFmtId="0" fontId="1" fillId="0" borderId="34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D109"/>
  <sheetViews>
    <sheetView showGridLines="0" tabSelected="1" zoomScale="115" zoomScaleNormal="115" workbookViewId="0">
      <selection activeCell="AX27" sqref="AX27"/>
    </sheetView>
  </sheetViews>
  <sheetFormatPr defaultRowHeight="10.199999999999999"/>
  <cols>
    <col min="1" max="1" width="21.5546875" style="1" customWidth="1"/>
    <col min="2" max="54" width="8.88671875" style="1"/>
    <col min="55" max="55" width="10.88671875" style="1" customWidth="1"/>
    <col min="56" max="16384" width="8.88671875" style="1"/>
  </cols>
  <sheetData>
    <row r="2" spans="1:56">
      <c r="A2" s="73" t="s">
        <v>191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 t="s">
        <v>210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</row>
    <row r="3" spans="1:56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6" ht="10.8" thickBot="1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D4" s="4" t="s">
        <v>1</v>
      </c>
    </row>
    <row r="5" spans="1:56" ht="27" customHeight="1">
      <c r="A5" s="74" t="s">
        <v>2</v>
      </c>
      <c r="B5" s="76" t="s">
        <v>194</v>
      </c>
      <c r="C5" s="69"/>
      <c r="D5" s="69"/>
      <c r="E5" s="70"/>
      <c r="F5" s="68" t="s">
        <v>3</v>
      </c>
      <c r="G5" s="69"/>
      <c r="H5" s="69"/>
      <c r="I5" s="70"/>
      <c r="J5" s="68" t="s">
        <v>192</v>
      </c>
      <c r="K5" s="69"/>
      <c r="L5" s="69"/>
      <c r="M5" s="70"/>
      <c r="N5" s="68" t="s">
        <v>193</v>
      </c>
      <c r="O5" s="69"/>
      <c r="P5" s="69"/>
      <c r="Q5" s="70"/>
      <c r="R5" s="68" t="s">
        <v>195</v>
      </c>
      <c r="S5" s="69"/>
      <c r="T5" s="69"/>
      <c r="U5" s="69"/>
      <c r="V5" s="68" t="s">
        <v>196</v>
      </c>
      <c r="W5" s="69"/>
      <c r="X5" s="69"/>
      <c r="Y5" s="77"/>
      <c r="Z5" s="66" t="s">
        <v>197</v>
      </c>
      <c r="AA5" s="66"/>
      <c r="AB5" s="66"/>
      <c r="AC5" s="66"/>
      <c r="AD5" s="68" t="s">
        <v>198</v>
      </c>
      <c r="AE5" s="69"/>
      <c r="AF5" s="69"/>
      <c r="AG5" s="70"/>
      <c r="AH5" s="69" t="s">
        <v>199</v>
      </c>
      <c r="AI5" s="69"/>
      <c r="AJ5" s="69"/>
      <c r="AK5" s="70"/>
      <c r="AL5" s="69" t="s">
        <v>200</v>
      </c>
      <c r="AM5" s="69"/>
      <c r="AN5" s="69"/>
      <c r="AO5" s="70"/>
      <c r="AP5" s="69" t="s">
        <v>201</v>
      </c>
      <c r="AQ5" s="69"/>
      <c r="AR5" s="69"/>
      <c r="AS5" s="70"/>
      <c r="AT5" s="69" t="s">
        <v>202</v>
      </c>
      <c r="AU5" s="69"/>
      <c r="AV5" s="69"/>
      <c r="AW5" s="70"/>
      <c r="AX5" s="66" t="s">
        <v>203</v>
      </c>
      <c r="AY5" s="66"/>
      <c r="AZ5" s="66"/>
      <c r="BA5" s="67"/>
      <c r="BB5" s="74" t="s">
        <v>4</v>
      </c>
      <c r="BC5" s="74"/>
      <c r="BD5" s="74"/>
    </row>
    <row r="6" spans="1:56">
      <c r="A6" s="73"/>
      <c r="B6" s="84" t="s">
        <v>181</v>
      </c>
      <c r="C6" s="61"/>
      <c r="D6" s="60" t="s">
        <v>182</v>
      </c>
      <c r="E6" s="78"/>
      <c r="F6" s="60" t="s">
        <v>183</v>
      </c>
      <c r="G6" s="61"/>
      <c r="H6" s="60" t="s">
        <v>184</v>
      </c>
      <c r="I6" s="78"/>
      <c r="J6" s="60" t="s">
        <v>185</v>
      </c>
      <c r="K6" s="61"/>
      <c r="L6" s="60" t="s">
        <v>186</v>
      </c>
      <c r="M6" s="61"/>
      <c r="N6" s="60" t="s">
        <v>183</v>
      </c>
      <c r="O6" s="61"/>
      <c r="P6" s="60" t="s">
        <v>187</v>
      </c>
      <c r="Q6" s="61"/>
      <c r="R6" s="60" t="s">
        <v>183</v>
      </c>
      <c r="S6" s="61"/>
      <c r="T6" s="60" t="s">
        <v>188</v>
      </c>
      <c r="U6" s="61"/>
      <c r="V6" s="60" t="s">
        <v>189</v>
      </c>
      <c r="W6" s="61"/>
      <c r="X6" s="60" t="s">
        <v>186</v>
      </c>
      <c r="Y6" s="64"/>
      <c r="Z6" s="61" t="s">
        <v>204</v>
      </c>
      <c r="AA6" s="61"/>
      <c r="AB6" s="60" t="s">
        <v>187</v>
      </c>
      <c r="AC6" s="61"/>
      <c r="AD6" s="60" t="s">
        <v>205</v>
      </c>
      <c r="AE6" s="61"/>
      <c r="AF6" s="60" t="s">
        <v>186</v>
      </c>
      <c r="AG6" s="61"/>
      <c r="AH6" s="60" t="s">
        <v>183</v>
      </c>
      <c r="AI6" s="61"/>
      <c r="AJ6" s="60" t="s">
        <v>187</v>
      </c>
      <c r="AK6" s="61"/>
      <c r="AL6" s="60" t="s">
        <v>206</v>
      </c>
      <c r="AM6" s="61"/>
      <c r="AN6" s="60" t="s">
        <v>207</v>
      </c>
      <c r="AO6" s="61"/>
      <c r="AP6" s="60" t="s">
        <v>204</v>
      </c>
      <c r="AQ6" s="61"/>
      <c r="AR6" s="60" t="s">
        <v>186</v>
      </c>
      <c r="AS6" s="61"/>
      <c r="AT6" s="60" t="s">
        <v>204</v>
      </c>
      <c r="AU6" s="61"/>
      <c r="AV6" s="60" t="s">
        <v>186</v>
      </c>
      <c r="AW6" s="61"/>
      <c r="AX6" s="60" t="s">
        <v>183</v>
      </c>
      <c r="AY6" s="61"/>
      <c r="AZ6" s="60" t="s">
        <v>182</v>
      </c>
      <c r="BA6" s="64"/>
      <c r="BB6" s="73"/>
      <c r="BC6" s="73"/>
      <c r="BD6" s="73"/>
    </row>
    <row r="7" spans="1:56" ht="42.6" customHeight="1">
      <c r="A7" s="73"/>
      <c r="B7" s="85"/>
      <c r="C7" s="63"/>
      <c r="D7" s="62"/>
      <c r="E7" s="79"/>
      <c r="F7" s="62"/>
      <c r="G7" s="63"/>
      <c r="H7" s="62"/>
      <c r="I7" s="79"/>
      <c r="J7" s="62"/>
      <c r="K7" s="63"/>
      <c r="L7" s="62"/>
      <c r="M7" s="63"/>
      <c r="N7" s="62"/>
      <c r="O7" s="63"/>
      <c r="P7" s="62"/>
      <c r="Q7" s="63"/>
      <c r="R7" s="62"/>
      <c r="S7" s="63"/>
      <c r="T7" s="62"/>
      <c r="U7" s="63"/>
      <c r="V7" s="62"/>
      <c r="W7" s="63"/>
      <c r="X7" s="62"/>
      <c r="Y7" s="65"/>
      <c r="Z7" s="63"/>
      <c r="AA7" s="63"/>
      <c r="AB7" s="62"/>
      <c r="AC7" s="63"/>
      <c r="AD7" s="62"/>
      <c r="AE7" s="63"/>
      <c r="AF7" s="62"/>
      <c r="AG7" s="63"/>
      <c r="AH7" s="62"/>
      <c r="AI7" s="63"/>
      <c r="AJ7" s="62"/>
      <c r="AK7" s="63"/>
      <c r="AL7" s="62"/>
      <c r="AM7" s="63"/>
      <c r="AN7" s="62"/>
      <c r="AO7" s="63"/>
      <c r="AP7" s="62"/>
      <c r="AQ7" s="63"/>
      <c r="AR7" s="62"/>
      <c r="AS7" s="63"/>
      <c r="AT7" s="62"/>
      <c r="AU7" s="63"/>
      <c r="AV7" s="62"/>
      <c r="AW7" s="63"/>
      <c r="AX7" s="62"/>
      <c r="AY7" s="63"/>
      <c r="AZ7" s="62"/>
      <c r="BA7" s="65"/>
      <c r="BB7" s="73"/>
      <c r="BC7" s="73"/>
      <c r="BD7" s="73"/>
    </row>
    <row r="8" spans="1:56" s="20" customFormat="1" ht="30.6">
      <c r="A8" s="75"/>
      <c r="B8" s="17" t="s">
        <v>5</v>
      </c>
      <c r="C8" s="18" t="s">
        <v>6</v>
      </c>
      <c r="D8" s="18" t="s">
        <v>5</v>
      </c>
      <c r="E8" s="18" t="s">
        <v>6</v>
      </c>
      <c r="F8" s="18" t="s">
        <v>5</v>
      </c>
      <c r="G8" s="18" t="s">
        <v>6</v>
      </c>
      <c r="H8" s="18" t="s">
        <v>5</v>
      </c>
      <c r="I8" s="18" t="s">
        <v>6</v>
      </c>
      <c r="J8" s="18" t="s">
        <v>5</v>
      </c>
      <c r="K8" s="18" t="s">
        <v>6</v>
      </c>
      <c r="L8" s="18" t="s">
        <v>5</v>
      </c>
      <c r="M8" s="18" t="s">
        <v>6</v>
      </c>
      <c r="N8" s="18" t="s">
        <v>5</v>
      </c>
      <c r="O8" s="18" t="s">
        <v>6</v>
      </c>
      <c r="P8" s="18" t="s">
        <v>5</v>
      </c>
      <c r="Q8" s="18" t="s">
        <v>6</v>
      </c>
      <c r="R8" s="18" t="s">
        <v>5</v>
      </c>
      <c r="S8" s="18" t="s">
        <v>6</v>
      </c>
      <c r="T8" s="18" t="s">
        <v>5</v>
      </c>
      <c r="U8" s="18" t="s">
        <v>6</v>
      </c>
      <c r="V8" s="18" t="s">
        <v>5</v>
      </c>
      <c r="W8" s="18" t="s">
        <v>6</v>
      </c>
      <c r="X8" s="18" t="s">
        <v>5</v>
      </c>
      <c r="Y8" s="19" t="s">
        <v>6</v>
      </c>
      <c r="Z8" s="23" t="s">
        <v>5</v>
      </c>
      <c r="AA8" s="18" t="s">
        <v>6</v>
      </c>
      <c r="AB8" s="18" t="s">
        <v>5</v>
      </c>
      <c r="AC8" s="18" t="s">
        <v>6</v>
      </c>
      <c r="AD8" s="18" t="s">
        <v>5</v>
      </c>
      <c r="AE8" s="18" t="s">
        <v>6</v>
      </c>
      <c r="AF8" s="18" t="s">
        <v>5</v>
      </c>
      <c r="AG8" s="18" t="s">
        <v>6</v>
      </c>
      <c r="AH8" s="18" t="s">
        <v>5</v>
      </c>
      <c r="AI8" s="18" t="s">
        <v>6</v>
      </c>
      <c r="AJ8" s="18" t="s">
        <v>5</v>
      </c>
      <c r="AK8" s="18" t="s">
        <v>6</v>
      </c>
      <c r="AL8" s="18" t="s">
        <v>5</v>
      </c>
      <c r="AM8" s="18" t="s">
        <v>6</v>
      </c>
      <c r="AN8" s="18" t="s">
        <v>5</v>
      </c>
      <c r="AO8" s="18" t="s">
        <v>6</v>
      </c>
      <c r="AP8" s="18" t="s">
        <v>5</v>
      </c>
      <c r="AQ8" s="18" t="s">
        <v>6</v>
      </c>
      <c r="AR8" s="18" t="s">
        <v>5</v>
      </c>
      <c r="AS8" s="18" t="s">
        <v>6</v>
      </c>
      <c r="AT8" s="18" t="s">
        <v>5</v>
      </c>
      <c r="AU8" s="18" t="s">
        <v>6</v>
      </c>
      <c r="AV8" s="18" t="s">
        <v>5</v>
      </c>
      <c r="AW8" s="18" t="s">
        <v>6</v>
      </c>
      <c r="AX8" s="18" t="s">
        <v>5</v>
      </c>
      <c r="AY8" s="18" t="s">
        <v>6</v>
      </c>
      <c r="AZ8" s="18" t="s">
        <v>5</v>
      </c>
      <c r="BA8" s="19" t="s">
        <v>6</v>
      </c>
      <c r="BB8" s="75"/>
      <c r="BC8" s="75"/>
      <c r="BD8" s="75"/>
    </row>
    <row r="9" spans="1:56">
      <c r="A9" s="80" t="s">
        <v>7</v>
      </c>
      <c r="B9" s="72">
        <f t="shared" ref="B9:P9" si="0">SUM(B11,B19,B33,B39,B46,B53,B60,B65,B72,B82,B89,B104)</f>
        <v>29066</v>
      </c>
      <c r="C9" s="57">
        <f t="shared" si="0"/>
        <v>3622.8160000000003</v>
      </c>
      <c r="D9" s="57">
        <f t="shared" si="0"/>
        <v>77838</v>
      </c>
      <c r="E9" s="57">
        <f t="shared" si="0"/>
        <v>10850.992</v>
      </c>
      <c r="F9" s="57">
        <f t="shared" si="0"/>
        <v>22921</v>
      </c>
      <c r="G9" s="57">
        <f t="shared" si="0"/>
        <v>5051.6500000000005</v>
      </c>
      <c r="H9" s="57">
        <f t="shared" si="0"/>
        <v>144423</v>
      </c>
      <c r="I9" s="57">
        <f t="shared" si="0"/>
        <v>34573.691999999995</v>
      </c>
      <c r="J9" s="57">
        <f t="shared" si="0"/>
        <v>0</v>
      </c>
      <c r="K9" s="57">
        <f t="shared" si="0"/>
        <v>0</v>
      </c>
      <c r="L9" s="57">
        <f t="shared" si="0"/>
        <v>504</v>
      </c>
      <c r="M9" s="57">
        <f t="shared" si="0"/>
        <v>108.33</v>
      </c>
      <c r="N9" s="57">
        <f t="shared" si="0"/>
        <v>1873930</v>
      </c>
      <c r="O9" s="59">
        <f t="shared" si="0"/>
        <v>18178.531999999999</v>
      </c>
      <c r="P9" s="57">
        <f t="shared" si="0"/>
        <v>5363602</v>
      </c>
      <c r="Q9" s="59">
        <f t="shared" ref="Q9:BA9" si="1">SUM(Q11,Q19,Q33,Q39,Q46,Q53,Q60,Q65,Q72,Q82,Q89,Q104)</f>
        <v>51233.25</v>
      </c>
      <c r="R9" s="57">
        <f t="shared" si="1"/>
        <v>1267947</v>
      </c>
      <c r="S9" s="59">
        <f t="shared" si="1"/>
        <v>11723.155999999999</v>
      </c>
      <c r="T9" s="57">
        <f t="shared" si="1"/>
        <v>2881104</v>
      </c>
      <c r="U9" s="57">
        <f t="shared" si="1"/>
        <v>26208.152000000006</v>
      </c>
      <c r="V9" s="57">
        <f t="shared" si="1"/>
        <v>158895</v>
      </c>
      <c r="W9" s="57">
        <f t="shared" si="1"/>
        <v>2931.44</v>
      </c>
      <c r="X9" s="57">
        <f t="shared" si="1"/>
        <v>232171</v>
      </c>
      <c r="Y9" s="57">
        <f t="shared" si="1"/>
        <v>4030.4710000000005</v>
      </c>
      <c r="Z9" s="57">
        <f t="shared" si="1"/>
        <v>6369</v>
      </c>
      <c r="AA9" s="57">
        <f t="shared" si="1"/>
        <v>1490.126</v>
      </c>
      <c r="AB9" s="57">
        <f t="shared" si="1"/>
        <v>33399</v>
      </c>
      <c r="AC9" s="57">
        <f t="shared" si="1"/>
        <v>8610.9410000000025</v>
      </c>
      <c r="AD9" s="59">
        <f t="shared" si="1"/>
        <v>17</v>
      </c>
      <c r="AE9" s="57">
        <f t="shared" si="1"/>
        <v>8.5</v>
      </c>
      <c r="AF9" s="57">
        <f t="shared" si="1"/>
        <v>346</v>
      </c>
      <c r="AG9" s="59">
        <f t="shared" si="1"/>
        <v>87.929999999999993</v>
      </c>
      <c r="AH9" s="57">
        <f t="shared" si="1"/>
        <v>322019</v>
      </c>
      <c r="AI9" s="59">
        <f t="shared" si="1"/>
        <v>6171.7070000000003</v>
      </c>
      <c r="AJ9" s="57">
        <f t="shared" si="1"/>
        <v>538077</v>
      </c>
      <c r="AK9" s="59">
        <f t="shared" si="1"/>
        <v>10640.66</v>
      </c>
      <c r="AL9" s="57">
        <f t="shared" si="1"/>
        <v>223369</v>
      </c>
      <c r="AM9" s="59">
        <f t="shared" si="1"/>
        <v>4331.7030000000004</v>
      </c>
      <c r="AN9" s="57">
        <f t="shared" si="1"/>
        <v>335187</v>
      </c>
      <c r="AO9" s="59">
        <f t="shared" si="1"/>
        <v>6340.9150000000009</v>
      </c>
      <c r="AP9" s="57">
        <f t="shared" si="1"/>
        <v>490910</v>
      </c>
      <c r="AQ9" s="59">
        <f t="shared" si="1"/>
        <v>34387.218999999997</v>
      </c>
      <c r="AR9" s="57">
        <f t="shared" si="1"/>
        <v>739455</v>
      </c>
      <c r="AS9" s="59">
        <f t="shared" si="1"/>
        <v>48416.516000000003</v>
      </c>
      <c r="AT9" s="57">
        <f t="shared" si="1"/>
        <v>18880490</v>
      </c>
      <c r="AU9" s="59">
        <f t="shared" si="1"/>
        <v>31650.989000000001</v>
      </c>
      <c r="AV9" s="57">
        <f t="shared" si="1"/>
        <v>57515623</v>
      </c>
      <c r="AW9" s="57">
        <f t="shared" si="1"/>
        <v>96522.270999999993</v>
      </c>
      <c r="AX9" s="57">
        <f t="shared" si="1"/>
        <v>3198998</v>
      </c>
      <c r="AY9" s="57">
        <f t="shared" si="1"/>
        <v>5572.6049999999996</v>
      </c>
      <c r="AZ9" s="57">
        <f t="shared" si="1"/>
        <v>724418</v>
      </c>
      <c r="BA9" s="58">
        <f t="shared" si="1"/>
        <v>1220.28</v>
      </c>
      <c r="BB9" s="88" t="s">
        <v>8</v>
      </c>
      <c r="BC9" s="89"/>
      <c r="BD9" s="89"/>
    </row>
    <row r="10" spans="1:56">
      <c r="A10" s="81"/>
      <c r="B10" s="7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3"/>
      <c r="P10" s="51"/>
      <c r="Q10" s="53"/>
      <c r="R10" s="51"/>
      <c r="S10" s="53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3"/>
      <c r="AE10" s="51"/>
      <c r="AF10" s="51"/>
      <c r="AG10" s="53"/>
      <c r="AH10" s="51"/>
      <c r="AI10" s="53"/>
      <c r="AJ10" s="51"/>
      <c r="AK10" s="53"/>
      <c r="AL10" s="51"/>
      <c r="AM10" s="53"/>
      <c r="AN10" s="51"/>
      <c r="AO10" s="53"/>
      <c r="AP10" s="51"/>
      <c r="AQ10" s="53"/>
      <c r="AR10" s="51"/>
      <c r="AS10" s="53"/>
      <c r="AT10" s="51"/>
      <c r="AU10" s="53"/>
      <c r="AV10" s="51"/>
      <c r="AW10" s="51"/>
      <c r="AX10" s="51"/>
      <c r="AY10" s="51"/>
      <c r="AZ10" s="51"/>
      <c r="BA10" s="52"/>
      <c r="BB10" s="90"/>
      <c r="BC10" s="83"/>
      <c r="BD10" s="83"/>
    </row>
    <row r="11" spans="1:56">
      <c r="A11" s="82" t="s">
        <v>9</v>
      </c>
      <c r="B11" s="71">
        <f t="shared" ref="B11:G11" si="2">SUM(B13:B18)</f>
        <v>1409</v>
      </c>
      <c r="C11" s="51">
        <f t="shared" si="2"/>
        <v>160.56</v>
      </c>
      <c r="D11" s="51">
        <f t="shared" si="2"/>
        <v>11489</v>
      </c>
      <c r="E11" s="51">
        <f t="shared" si="2"/>
        <v>1414.02</v>
      </c>
      <c r="F11" s="51">
        <f t="shared" si="2"/>
        <v>1508</v>
      </c>
      <c r="G11" s="51">
        <f t="shared" si="2"/>
        <v>366.44499999999999</v>
      </c>
      <c r="H11" s="51">
        <f t="shared" ref="H11:N11" si="3">SUM(H13:H18)</f>
        <v>31477</v>
      </c>
      <c r="I11" s="51">
        <f t="shared" si="3"/>
        <v>7220.6550000000007</v>
      </c>
      <c r="J11" s="51">
        <f t="shared" si="3"/>
        <v>0</v>
      </c>
      <c r="K11" s="51">
        <f t="shared" si="3"/>
        <v>0</v>
      </c>
      <c r="L11" s="51">
        <f t="shared" si="3"/>
        <v>12</v>
      </c>
      <c r="M11" s="51">
        <f t="shared" si="3"/>
        <v>3</v>
      </c>
      <c r="N11" s="51">
        <f t="shared" si="3"/>
        <v>37328</v>
      </c>
      <c r="O11" s="53">
        <f t="shared" ref="O11:BA11" si="4">SUM(O13:O18)</f>
        <v>370.83499999999998</v>
      </c>
      <c r="P11" s="51">
        <f t="shared" si="4"/>
        <v>451200</v>
      </c>
      <c r="Q11" s="53">
        <f t="shared" si="4"/>
        <v>4340.6630000000005</v>
      </c>
      <c r="R11" s="51">
        <f t="shared" si="4"/>
        <v>22334</v>
      </c>
      <c r="S11" s="53">
        <f t="shared" si="4"/>
        <v>185.62</v>
      </c>
      <c r="T11" s="51">
        <f t="shared" si="4"/>
        <v>299827</v>
      </c>
      <c r="U11" s="51">
        <f t="shared" si="4"/>
        <v>2728.32</v>
      </c>
      <c r="V11" s="51">
        <f t="shared" si="4"/>
        <v>10995</v>
      </c>
      <c r="W11" s="51">
        <f t="shared" si="4"/>
        <v>219.26700000000002</v>
      </c>
      <c r="X11" s="51">
        <f t="shared" si="4"/>
        <v>17918</v>
      </c>
      <c r="Y11" s="51">
        <f t="shared" si="4"/>
        <v>317.60199999999998</v>
      </c>
      <c r="Z11" s="51">
        <f t="shared" si="4"/>
        <v>583</v>
      </c>
      <c r="AA11" s="51">
        <f t="shared" si="4"/>
        <v>151.36000000000001</v>
      </c>
      <c r="AB11" s="51">
        <f t="shared" si="4"/>
        <v>3597</v>
      </c>
      <c r="AC11" s="51">
        <f t="shared" si="4"/>
        <v>917.15000000000009</v>
      </c>
      <c r="AD11" s="53">
        <f t="shared" si="4"/>
        <v>0</v>
      </c>
      <c r="AE11" s="51">
        <f t="shared" si="4"/>
        <v>0</v>
      </c>
      <c r="AF11" s="51">
        <v>3</v>
      </c>
      <c r="AG11" s="53">
        <f t="shared" si="4"/>
        <v>0.6</v>
      </c>
      <c r="AH11" s="51">
        <f t="shared" si="4"/>
        <v>12301</v>
      </c>
      <c r="AI11" s="53">
        <f t="shared" si="4"/>
        <v>309.59700000000004</v>
      </c>
      <c r="AJ11" s="51">
        <f t="shared" si="4"/>
        <v>42298</v>
      </c>
      <c r="AK11" s="53">
        <f t="shared" si="4"/>
        <v>789.05599999999993</v>
      </c>
      <c r="AL11" s="51">
        <f t="shared" si="4"/>
        <v>4803</v>
      </c>
      <c r="AM11" s="53">
        <f t="shared" si="4"/>
        <v>102.62199999999999</v>
      </c>
      <c r="AN11" s="51">
        <f t="shared" si="4"/>
        <v>29771</v>
      </c>
      <c r="AO11" s="53">
        <f t="shared" si="4"/>
        <v>516.221</v>
      </c>
      <c r="AP11" s="51">
        <f t="shared" si="4"/>
        <v>30369</v>
      </c>
      <c r="AQ11" s="53">
        <f t="shared" si="4"/>
        <v>1753.105</v>
      </c>
      <c r="AR11" s="51">
        <f t="shared" si="4"/>
        <v>67570</v>
      </c>
      <c r="AS11" s="53">
        <f t="shared" si="4"/>
        <v>4905.82</v>
      </c>
      <c r="AT11" s="51">
        <f t="shared" si="4"/>
        <v>1892340</v>
      </c>
      <c r="AU11" s="53">
        <f t="shared" si="4"/>
        <v>2529.9610000000002</v>
      </c>
      <c r="AV11" s="51">
        <f t="shared" si="4"/>
        <v>469040</v>
      </c>
      <c r="AW11" s="51">
        <f t="shared" si="4"/>
        <v>610.89200000000005</v>
      </c>
      <c r="AX11" s="51">
        <f t="shared" si="4"/>
        <v>154282</v>
      </c>
      <c r="AY11" s="51">
        <f t="shared" si="4"/>
        <v>252.07799999999997</v>
      </c>
      <c r="AZ11" s="51">
        <f t="shared" si="4"/>
        <v>1725</v>
      </c>
      <c r="BA11" s="52">
        <f t="shared" si="4"/>
        <v>3.5100000000000007</v>
      </c>
      <c r="BB11" s="83" t="s">
        <v>10</v>
      </c>
      <c r="BC11" s="83"/>
      <c r="BD11" s="83"/>
    </row>
    <row r="12" spans="1:56">
      <c r="A12" s="82"/>
      <c r="B12" s="7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3"/>
      <c r="P12" s="51"/>
      <c r="Q12" s="53"/>
      <c r="R12" s="51"/>
      <c r="S12" s="53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3"/>
      <c r="AE12" s="51"/>
      <c r="AF12" s="51"/>
      <c r="AG12" s="53"/>
      <c r="AH12" s="51"/>
      <c r="AI12" s="53"/>
      <c r="AJ12" s="51"/>
      <c r="AK12" s="53"/>
      <c r="AL12" s="51"/>
      <c r="AM12" s="53"/>
      <c r="AN12" s="51"/>
      <c r="AO12" s="53"/>
      <c r="AP12" s="51"/>
      <c r="AQ12" s="53"/>
      <c r="AR12" s="51"/>
      <c r="AS12" s="53"/>
      <c r="AT12" s="51"/>
      <c r="AU12" s="53"/>
      <c r="AV12" s="51"/>
      <c r="AW12" s="51"/>
      <c r="AX12" s="51"/>
      <c r="AY12" s="51"/>
      <c r="AZ12" s="51"/>
      <c r="BA12" s="52"/>
      <c r="BB12" s="83"/>
      <c r="BC12" s="83"/>
      <c r="BD12" s="83"/>
    </row>
    <row r="13" spans="1:56">
      <c r="A13" s="5" t="s">
        <v>11</v>
      </c>
      <c r="B13" s="36">
        <v>134</v>
      </c>
      <c r="C13" s="25">
        <v>14.79</v>
      </c>
      <c r="D13" s="25">
        <v>2994</v>
      </c>
      <c r="E13" s="25">
        <v>305.89</v>
      </c>
      <c r="F13" s="25">
        <v>394</v>
      </c>
      <c r="G13" s="25">
        <v>98.5</v>
      </c>
      <c r="H13" s="25">
        <v>4165</v>
      </c>
      <c r="I13" s="25">
        <v>989.24</v>
      </c>
      <c r="J13" s="7" t="s">
        <v>190</v>
      </c>
      <c r="K13" s="7" t="s">
        <v>190</v>
      </c>
      <c r="L13" s="25">
        <v>12</v>
      </c>
      <c r="M13" s="25">
        <v>3</v>
      </c>
      <c r="N13" s="25">
        <v>11080</v>
      </c>
      <c r="O13" s="26">
        <v>110.79</v>
      </c>
      <c r="P13" s="25">
        <v>117590</v>
      </c>
      <c r="Q13" s="26">
        <v>1078.9570000000001</v>
      </c>
      <c r="R13" s="27">
        <v>2956</v>
      </c>
      <c r="S13" s="26">
        <v>26.824999999999999</v>
      </c>
      <c r="T13" s="27">
        <v>85529</v>
      </c>
      <c r="U13" s="27">
        <v>796.54600000000005</v>
      </c>
      <c r="V13" s="25">
        <v>20</v>
      </c>
      <c r="W13" s="25">
        <v>0.4</v>
      </c>
      <c r="X13" s="25">
        <v>620</v>
      </c>
      <c r="Y13" s="25">
        <v>12.18</v>
      </c>
      <c r="Z13" s="25">
        <v>122</v>
      </c>
      <c r="AA13" s="25">
        <v>21.3</v>
      </c>
      <c r="AB13" s="25">
        <v>857</v>
      </c>
      <c r="AC13" s="25">
        <v>206.77</v>
      </c>
      <c r="AD13" s="11" t="s">
        <v>190</v>
      </c>
      <c r="AE13" s="7" t="s">
        <v>190</v>
      </c>
      <c r="AF13" s="25">
        <v>3</v>
      </c>
      <c r="AG13" s="26">
        <v>0.6</v>
      </c>
      <c r="AH13" s="25">
        <v>1821</v>
      </c>
      <c r="AI13" s="26">
        <v>32.729999999999997</v>
      </c>
      <c r="AJ13" s="25">
        <v>20492</v>
      </c>
      <c r="AK13" s="26">
        <v>363.74799999999999</v>
      </c>
      <c r="AL13" s="25">
        <v>485</v>
      </c>
      <c r="AM13" s="26">
        <v>7.7649999999999997</v>
      </c>
      <c r="AN13" s="25">
        <v>13165</v>
      </c>
      <c r="AO13" s="26">
        <v>222.614</v>
      </c>
      <c r="AP13" s="25">
        <v>4570</v>
      </c>
      <c r="AQ13" s="26">
        <v>97.9</v>
      </c>
      <c r="AR13" s="25">
        <v>2795</v>
      </c>
      <c r="AS13" s="26">
        <v>205.25</v>
      </c>
      <c r="AT13" s="25">
        <v>152108</v>
      </c>
      <c r="AU13" s="26">
        <v>224.124</v>
      </c>
      <c r="AV13" s="25">
        <v>70</v>
      </c>
      <c r="AW13" s="25">
        <v>0.112</v>
      </c>
      <c r="AX13" s="28">
        <v>115115</v>
      </c>
      <c r="AY13" s="28">
        <v>172.215</v>
      </c>
      <c r="AZ13" s="28">
        <v>120</v>
      </c>
      <c r="BA13" s="37">
        <v>0.24</v>
      </c>
      <c r="BB13" s="9" t="s">
        <v>12</v>
      </c>
      <c r="BC13" s="10"/>
      <c r="BD13" s="10"/>
    </row>
    <row r="14" spans="1:56">
      <c r="A14" s="5" t="s">
        <v>13</v>
      </c>
      <c r="B14" s="36">
        <v>285</v>
      </c>
      <c r="C14" s="25">
        <v>30.6</v>
      </c>
      <c r="D14" s="25">
        <v>2947</v>
      </c>
      <c r="E14" s="25">
        <v>465.9</v>
      </c>
      <c r="F14" s="25">
        <v>260</v>
      </c>
      <c r="G14" s="25">
        <v>73.5</v>
      </c>
      <c r="H14" s="25">
        <v>8775</v>
      </c>
      <c r="I14" s="25">
        <v>1728.53</v>
      </c>
      <c r="J14" s="7" t="s">
        <v>190</v>
      </c>
      <c r="K14" s="7" t="s">
        <v>190</v>
      </c>
      <c r="L14" s="7" t="s">
        <v>190</v>
      </c>
      <c r="M14" s="7" t="s">
        <v>190</v>
      </c>
      <c r="N14" s="25">
        <v>1717</v>
      </c>
      <c r="O14" s="26">
        <v>15.971</v>
      </c>
      <c r="P14" s="25">
        <v>73218</v>
      </c>
      <c r="Q14" s="26">
        <v>674.87400000000002</v>
      </c>
      <c r="R14" s="25">
        <v>865</v>
      </c>
      <c r="S14" s="26">
        <v>7.5380000000000003</v>
      </c>
      <c r="T14" s="27">
        <v>50575</v>
      </c>
      <c r="U14" s="27">
        <v>464.97899999999998</v>
      </c>
      <c r="V14" s="25">
        <v>10508</v>
      </c>
      <c r="W14" s="25">
        <v>210.12</v>
      </c>
      <c r="X14" s="25">
        <v>2651</v>
      </c>
      <c r="Y14" s="25">
        <v>51.37</v>
      </c>
      <c r="Z14" s="25">
        <v>105</v>
      </c>
      <c r="AA14" s="25">
        <v>33</v>
      </c>
      <c r="AB14" s="25">
        <v>957</v>
      </c>
      <c r="AC14" s="25">
        <v>279.56</v>
      </c>
      <c r="AD14" s="11" t="s">
        <v>190</v>
      </c>
      <c r="AE14" s="7" t="s">
        <v>190</v>
      </c>
      <c r="AF14" s="7" t="s">
        <v>190</v>
      </c>
      <c r="AG14" s="11" t="s">
        <v>190</v>
      </c>
      <c r="AH14" s="25">
        <v>7130</v>
      </c>
      <c r="AI14" s="26">
        <v>211.73</v>
      </c>
      <c r="AJ14" s="25">
        <v>3628</v>
      </c>
      <c r="AK14" s="26">
        <v>81.186999999999998</v>
      </c>
      <c r="AL14" s="25">
        <v>2060</v>
      </c>
      <c r="AM14" s="26">
        <v>57.05</v>
      </c>
      <c r="AN14" s="25">
        <v>2111</v>
      </c>
      <c r="AO14" s="26">
        <v>39.656999999999996</v>
      </c>
      <c r="AP14" s="25">
        <v>19274</v>
      </c>
      <c r="AQ14" s="26">
        <v>1178.74</v>
      </c>
      <c r="AR14" s="25">
        <v>31313</v>
      </c>
      <c r="AS14" s="26">
        <v>2538.15</v>
      </c>
      <c r="AT14" s="25">
        <v>73626</v>
      </c>
      <c r="AU14" s="26">
        <v>194.94499999999999</v>
      </c>
      <c r="AV14" s="25">
        <v>319720</v>
      </c>
      <c r="AW14" s="25">
        <v>424.56</v>
      </c>
      <c r="AX14" s="28">
        <v>7548</v>
      </c>
      <c r="AY14" s="28">
        <v>13.047000000000001</v>
      </c>
      <c r="AZ14" s="28">
        <v>1150</v>
      </c>
      <c r="BA14" s="37">
        <v>2.25</v>
      </c>
      <c r="BB14" s="9" t="s">
        <v>14</v>
      </c>
      <c r="BC14" s="10"/>
      <c r="BD14" s="10"/>
    </row>
    <row r="15" spans="1:56">
      <c r="A15" s="5" t="s">
        <v>15</v>
      </c>
      <c r="B15" s="36">
        <v>8</v>
      </c>
      <c r="C15" s="25">
        <v>1.28</v>
      </c>
      <c r="D15" s="25">
        <v>548</v>
      </c>
      <c r="E15" s="25">
        <v>97.03</v>
      </c>
      <c r="F15" s="25">
        <v>272</v>
      </c>
      <c r="G15" s="25">
        <v>76.16</v>
      </c>
      <c r="H15" s="25">
        <v>8043</v>
      </c>
      <c r="I15" s="25">
        <v>2312.875</v>
      </c>
      <c r="J15" s="7" t="s">
        <v>190</v>
      </c>
      <c r="K15" s="7" t="s">
        <v>190</v>
      </c>
      <c r="L15" s="6" t="s">
        <v>190</v>
      </c>
      <c r="M15" s="6" t="s">
        <v>190</v>
      </c>
      <c r="N15" s="25">
        <v>9669</v>
      </c>
      <c r="O15" s="26">
        <v>99.376000000000005</v>
      </c>
      <c r="P15" s="25">
        <v>91863</v>
      </c>
      <c r="Q15" s="26">
        <v>917.851</v>
      </c>
      <c r="R15" s="25">
        <v>8631</v>
      </c>
      <c r="S15" s="26">
        <v>66.385999999999996</v>
      </c>
      <c r="T15" s="27">
        <v>56411</v>
      </c>
      <c r="U15" s="27">
        <v>524.05799999999999</v>
      </c>
      <c r="V15" s="25">
        <v>219</v>
      </c>
      <c r="W15" s="25">
        <v>4.2519999999999998</v>
      </c>
      <c r="X15" s="25">
        <v>157</v>
      </c>
      <c r="Y15" s="25">
        <v>2.7450000000000001</v>
      </c>
      <c r="Z15" s="25">
        <v>20</v>
      </c>
      <c r="AA15" s="25">
        <v>5</v>
      </c>
      <c r="AB15" s="25">
        <v>685</v>
      </c>
      <c r="AC15" s="25">
        <v>178.47</v>
      </c>
      <c r="AD15" s="11" t="s">
        <v>190</v>
      </c>
      <c r="AE15" s="7" t="s">
        <v>190</v>
      </c>
      <c r="AF15" s="7" t="s">
        <v>190</v>
      </c>
      <c r="AG15" s="11" t="s">
        <v>190</v>
      </c>
      <c r="AH15" s="25">
        <v>885</v>
      </c>
      <c r="AI15" s="26">
        <v>19.163</v>
      </c>
      <c r="AJ15" s="25">
        <v>4618</v>
      </c>
      <c r="AK15" s="26">
        <v>90.391999999999996</v>
      </c>
      <c r="AL15" s="25">
        <v>244</v>
      </c>
      <c r="AM15" s="26">
        <v>4.6769999999999996</v>
      </c>
      <c r="AN15" s="25">
        <v>3797</v>
      </c>
      <c r="AO15" s="26">
        <v>68.617999999999995</v>
      </c>
      <c r="AP15" s="25">
        <v>4982</v>
      </c>
      <c r="AQ15" s="26">
        <v>360.60899999999998</v>
      </c>
      <c r="AR15" s="25">
        <v>7726</v>
      </c>
      <c r="AS15" s="26">
        <v>394.36</v>
      </c>
      <c r="AT15" s="25">
        <v>552084</v>
      </c>
      <c r="AU15" s="26">
        <v>735.76700000000005</v>
      </c>
      <c r="AV15" s="25">
        <v>50</v>
      </c>
      <c r="AW15" s="25">
        <v>7.0000000000000007E-2</v>
      </c>
      <c r="AX15" s="28">
        <v>29169</v>
      </c>
      <c r="AY15" s="28">
        <v>62.265999999999998</v>
      </c>
      <c r="AZ15" s="28">
        <v>205</v>
      </c>
      <c r="BA15" s="37">
        <v>0.41</v>
      </c>
      <c r="BB15" s="9" t="s">
        <v>16</v>
      </c>
      <c r="BC15" s="10"/>
      <c r="BD15" s="10"/>
    </row>
    <row r="16" spans="1:56">
      <c r="A16" s="5" t="s">
        <v>17</v>
      </c>
      <c r="B16" s="36">
        <v>1</v>
      </c>
      <c r="C16" s="25">
        <v>0.2</v>
      </c>
      <c r="D16" s="7" t="s">
        <v>190</v>
      </c>
      <c r="E16" s="7" t="s">
        <v>190</v>
      </c>
      <c r="F16" s="7" t="s">
        <v>190</v>
      </c>
      <c r="G16" s="7" t="s">
        <v>190</v>
      </c>
      <c r="H16" s="29"/>
      <c r="I16" s="25">
        <v>0</v>
      </c>
      <c r="J16" s="7" t="s">
        <v>190</v>
      </c>
      <c r="K16" s="7" t="s">
        <v>190</v>
      </c>
      <c r="L16" s="7" t="s">
        <v>190</v>
      </c>
      <c r="M16" s="7" t="s">
        <v>190</v>
      </c>
      <c r="N16" s="25">
        <v>1280</v>
      </c>
      <c r="O16" s="26">
        <v>12.04</v>
      </c>
      <c r="P16" s="25">
        <v>23225</v>
      </c>
      <c r="Q16" s="26">
        <v>232.25</v>
      </c>
      <c r="R16" s="25">
        <v>870</v>
      </c>
      <c r="S16" s="26">
        <v>7.14</v>
      </c>
      <c r="T16" s="27">
        <v>14745</v>
      </c>
      <c r="U16" s="27">
        <v>121.785</v>
      </c>
      <c r="V16" s="25">
        <v>17</v>
      </c>
      <c r="W16" s="25">
        <v>0.34</v>
      </c>
      <c r="X16" s="25">
        <v>15</v>
      </c>
      <c r="Y16" s="25">
        <v>0.3</v>
      </c>
      <c r="Z16" s="7" t="s">
        <v>190</v>
      </c>
      <c r="AA16" s="7" t="s">
        <v>190</v>
      </c>
      <c r="AB16" s="7" t="s">
        <v>190</v>
      </c>
      <c r="AC16" s="7" t="s">
        <v>190</v>
      </c>
      <c r="AD16" s="11" t="s">
        <v>190</v>
      </c>
      <c r="AE16" s="7" t="s">
        <v>190</v>
      </c>
      <c r="AF16" s="7" t="s">
        <v>190</v>
      </c>
      <c r="AG16" s="11" t="s">
        <v>190</v>
      </c>
      <c r="AH16" s="25">
        <v>126</v>
      </c>
      <c r="AI16" s="26">
        <v>2.3140000000000001</v>
      </c>
      <c r="AJ16" s="25">
        <v>2915</v>
      </c>
      <c r="AK16" s="26">
        <v>55.62</v>
      </c>
      <c r="AL16" s="25">
        <v>92</v>
      </c>
      <c r="AM16" s="26">
        <v>1.601</v>
      </c>
      <c r="AN16" s="25">
        <v>2165</v>
      </c>
      <c r="AO16" s="26">
        <v>36.863</v>
      </c>
      <c r="AP16" s="25">
        <v>4</v>
      </c>
      <c r="AQ16" s="26">
        <v>0.24</v>
      </c>
      <c r="AR16" s="25">
        <v>644</v>
      </c>
      <c r="AS16" s="26">
        <v>37.715000000000003</v>
      </c>
      <c r="AT16" s="25">
        <v>6395</v>
      </c>
      <c r="AU16" s="26">
        <v>11.090999999999999</v>
      </c>
      <c r="AV16" s="25">
        <v>750</v>
      </c>
      <c r="AW16" s="25">
        <v>1.35</v>
      </c>
      <c r="AX16" s="28">
        <v>64</v>
      </c>
      <c r="AY16" s="28">
        <v>0.128</v>
      </c>
      <c r="AZ16" s="30"/>
      <c r="BA16" s="37">
        <v>0</v>
      </c>
      <c r="BB16" s="9" t="s">
        <v>18</v>
      </c>
      <c r="BC16" s="10"/>
      <c r="BD16" s="10"/>
    </row>
    <row r="17" spans="1:56">
      <c r="A17" s="5" t="s">
        <v>19</v>
      </c>
      <c r="B17" s="38" t="s">
        <v>190</v>
      </c>
      <c r="C17" s="7" t="s">
        <v>190</v>
      </c>
      <c r="D17" s="25">
        <v>2059</v>
      </c>
      <c r="E17" s="25">
        <v>207.44</v>
      </c>
      <c r="F17" s="7" t="s">
        <v>190</v>
      </c>
      <c r="G17" s="7" t="s">
        <v>190</v>
      </c>
      <c r="H17" s="25">
        <v>2139</v>
      </c>
      <c r="I17" s="25">
        <v>487.96</v>
      </c>
      <c r="J17" s="7" t="s">
        <v>190</v>
      </c>
      <c r="K17" s="7" t="s">
        <v>190</v>
      </c>
      <c r="L17" s="7" t="s">
        <v>190</v>
      </c>
      <c r="M17" s="7" t="s">
        <v>190</v>
      </c>
      <c r="N17" s="25">
        <v>1491</v>
      </c>
      <c r="O17" s="26">
        <v>12.868</v>
      </c>
      <c r="P17" s="25">
        <v>56650</v>
      </c>
      <c r="Q17" s="26">
        <v>559.17100000000005</v>
      </c>
      <c r="R17" s="25">
        <v>1751</v>
      </c>
      <c r="S17" s="26">
        <v>13.042999999999999</v>
      </c>
      <c r="T17" s="27">
        <v>42131</v>
      </c>
      <c r="U17" s="27">
        <v>377.69799999999998</v>
      </c>
      <c r="V17" s="25">
        <v>58</v>
      </c>
      <c r="W17" s="25">
        <v>0.87</v>
      </c>
      <c r="X17" s="25">
        <v>14475</v>
      </c>
      <c r="Y17" s="25">
        <v>251.00700000000001</v>
      </c>
      <c r="Z17" s="7" t="s">
        <v>190</v>
      </c>
      <c r="AA17" s="7" t="s">
        <v>190</v>
      </c>
      <c r="AB17" s="25">
        <v>344</v>
      </c>
      <c r="AC17" s="25">
        <v>72.5</v>
      </c>
      <c r="AD17" s="11" t="s">
        <v>190</v>
      </c>
      <c r="AE17" s="7" t="s">
        <v>190</v>
      </c>
      <c r="AF17" s="7" t="s">
        <v>190</v>
      </c>
      <c r="AG17" s="11" t="s">
        <v>190</v>
      </c>
      <c r="AH17" s="25">
        <v>87</v>
      </c>
      <c r="AI17" s="26">
        <v>1.68</v>
      </c>
      <c r="AJ17" s="25">
        <v>7309</v>
      </c>
      <c r="AK17" s="26">
        <v>137.565</v>
      </c>
      <c r="AL17" s="25">
        <v>45</v>
      </c>
      <c r="AM17" s="26">
        <v>0.73899999999999999</v>
      </c>
      <c r="AN17" s="25">
        <v>6352</v>
      </c>
      <c r="AO17" s="26">
        <v>111.137</v>
      </c>
      <c r="AP17" s="25">
        <v>220</v>
      </c>
      <c r="AQ17" s="26">
        <v>12.25</v>
      </c>
      <c r="AR17" s="25">
        <v>1155</v>
      </c>
      <c r="AS17" s="26">
        <v>70.239999999999995</v>
      </c>
      <c r="AT17" s="25">
        <v>47712</v>
      </c>
      <c r="AU17" s="26">
        <v>71.643000000000001</v>
      </c>
      <c r="AV17" s="6" t="s">
        <v>190</v>
      </c>
      <c r="AW17" s="6" t="s">
        <v>190</v>
      </c>
      <c r="AX17" s="28">
        <v>435</v>
      </c>
      <c r="AY17" s="28">
        <v>1.087</v>
      </c>
      <c r="AZ17" s="28">
        <v>150</v>
      </c>
      <c r="BA17" s="37">
        <v>0.45</v>
      </c>
      <c r="BB17" s="9" t="s">
        <v>20</v>
      </c>
      <c r="BC17" s="10"/>
      <c r="BD17" s="10"/>
    </row>
    <row r="18" spans="1:56">
      <c r="A18" s="5" t="s">
        <v>21</v>
      </c>
      <c r="B18" s="36">
        <v>981</v>
      </c>
      <c r="C18" s="25">
        <v>113.69</v>
      </c>
      <c r="D18" s="25">
        <v>2941</v>
      </c>
      <c r="E18" s="25">
        <v>337.76</v>
      </c>
      <c r="F18" s="25">
        <v>582</v>
      </c>
      <c r="G18" s="25">
        <v>118.285</v>
      </c>
      <c r="H18" s="25">
        <v>8355</v>
      </c>
      <c r="I18" s="25">
        <v>1702.05</v>
      </c>
      <c r="J18" s="7" t="s">
        <v>190</v>
      </c>
      <c r="K18" s="7" t="s">
        <v>190</v>
      </c>
      <c r="L18" s="7" t="s">
        <v>190</v>
      </c>
      <c r="M18" s="7" t="s">
        <v>190</v>
      </c>
      <c r="N18" s="25">
        <v>12091</v>
      </c>
      <c r="O18" s="26">
        <v>119.79</v>
      </c>
      <c r="P18" s="25">
        <v>88654</v>
      </c>
      <c r="Q18" s="26">
        <v>877.56</v>
      </c>
      <c r="R18" s="25">
        <v>7261</v>
      </c>
      <c r="S18" s="26">
        <v>64.688000000000002</v>
      </c>
      <c r="T18" s="27">
        <v>50436</v>
      </c>
      <c r="U18" s="27">
        <v>443.25400000000002</v>
      </c>
      <c r="V18" s="25">
        <v>173</v>
      </c>
      <c r="W18" s="25">
        <v>3.2850000000000001</v>
      </c>
      <c r="X18" s="6" t="s">
        <v>190</v>
      </c>
      <c r="Y18" s="6" t="s">
        <v>190</v>
      </c>
      <c r="Z18" s="25">
        <v>336</v>
      </c>
      <c r="AA18" s="25">
        <v>92.06</v>
      </c>
      <c r="AB18" s="25">
        <v>754</v>
      </c>
      <c r="AC18" s="25">
        <v>179.85</v>
      </c>
      <c r="AD18" s="11" t="s">
        <v>190</v>
      </c>
      <c r="AE18" s="7" t="s">
        <v>190</v>
      </c>
      <c r="AF18" s="7" t="s">
        <v>190</v>
      </c>
      <c r="AG18" s="11" t="s">
        <v>190</v>
      </c>
      <c r="AH18" s="25">
        <v>2252</v>
      </c>
      <c r="AI18" s="26">
        <v>41.98</v>
      </c>
      <c r="AJ18" s="25">
        <v>3336</v>
      </c>
      <c r="AK18" s="26">
        <v>60.543999999999997</v>
      </c>
      <c r="AL18" s="25">
        <v>1877</v>
      </c>
      <c r="AM18" s="26">
        <v>30.79</v>
      </c>
      <c r="AN18" s="25">
        <v>2181</v>
      </c>
      <c r="AO18" s="26">
        <v>37.332000000000001</v>
      </c>
      <c r="AP18" s="25">
        <v>1319</v>
      </c>
      <c r="AQ18" s="26">
        <v>103.366</v>
      </c>
      <c r="AR18" s="25">
        <v>23937</v>
      </c>
      <c r="AS18" s="26">
        <v>1660.105</v>
      </c>
      <c r="AT18" s="25">
        <v>1060415</v>
      </c>
      <c r="AU18" s="26">
        <v>1292.3910000000001</v>
      </c>
      <c r="AV18" s="25">
        <v>148450</v>
      </c>
      <c r="AW18" s="25">
        <v>184.8</v>
      </c>
      <c r="AX18" s="28">
        <v>1951</v>
      </c>
      <c r="AY18" s="28">
        <v>3.335</v>
      </c>
      <c r="AZ18" s="28">
        <v>100</v>
      </c>
      <c r="BA18" s="37">
        <v>0.16</v>
      </c>
      <c r="BB18" s="9" t="s">
        <v>22</v>
      </c>
      <c r="BC18" s="10"/>
      <c r="BD18" s="10"/>
    </row>
    <row r="19" spans="1:56">
      <c r="A19" s="82" t="s">
        <v>23</v>
      </c>
      <c r="B19" s="71">
        <f>SUM(B21:B27)</f>
        <v>6413</v>
      </c>
      <c r="C19" s="51">
        <f t="shared" ref="C19:BA19" si="5">SUM(C21:C27)</f>
        <v>1004.6619999999999</v>
      </c>
      <c r="D19" s="51">
        <f t="shared" si="5"/>
        <v>16187</v>
      </c>
      <c r="E19" s="51">
        <f t="shared" si="5"/>
        <v>3076.7709999999997</v>
      </c>
      <c r="F19" s="51">
        <f t="shared" si="5"/>
        <v>2541</v>
      </c>
      <c r="G19" s="51">
        <f t="shared" si="5"/>
        <v>711.6400000000001</v>
      </c>
      <c r="H19" s="51">
        <f t="shared" si="5"/>
        <v>52135</v>
      </c>
      <c r="I19" s="51">
        <f t="shared" si="5"/>
        <v>14323.817000000001</v>
      </c>
      <c r="J19" s="51">
        <f t="shared" si="5"/>
        <v>0</v>
      </c>
      <c r="K19" s="51">
        <f t="shared" si="5"/>
        <v>0</v>
      </c>
      <c r="L19" s="51">
        <f t="shared" si="5"/>
        <v>492</v>
      </c>
      <c r="M19" s="51">
        <f t="shared" si="5"/>
        <v>105.33</v>
      </c>
      <c r="N19" s="51">
        <f t="shared" si="5"/>
        <v>92777</v>
      </c>
      <c r="O19" s="51">
        <f t="shared" si="5"/>
        <v>824.12099999999998</v>
      </c>
      <c r="P19" s="51">
        <f t="shared" si="5"/>
        <v>674341</v>
      </c>
      <c r="Q19" s="51">
        <f t="shared" si="5"/>
        <v>6134.2789999999995</v>
      </c>
      <c r="R19" s="51">
        <f t="shared" si="5"/>
        <v>84426</v>
      </c>
      <c r="S19" s="51">
        <f t="shared" si="5"/>
        <v>668.39300000000003</v>
      </c>
      <c r="T19" s="51">
        <f t="shared" si="5"/>
        <v>449248</v>
      </c>
      <c r="U19" s="51">
        <f t="shared" si="5"/>
        <v>3867.8069999999998</v>
      </c>
      <c r="V19" s="51">
        <f t="shared" si="5"/>
        <v>8413</v>
      </c>
      <c r="W19" s="51">
        <f t="shared" si="5"/>
        <v>166.42899999999997</v>
      </c>
      <c r="X19" s="51">
        <f t="shared" si="5"/>
        <v>24262</v>
      </c>
      <c r="Y19" s="51">
        <f t="shared" si="5"/>
        <v>462.45699999999999</v>
      </c>
      <c r="Z19" s="51">
        <f t="shared" si="5"/>
        <v>1236</v>
      </c>
      <c r="AA19" s="51">
        <f t="shared" si="5"/>
        <v>301.69599999999997</v>
      </c>
      <c r="AB19" s="51">
        <f t="shared" si="5"/>
        <v>18289</v>
      </c>
      <c r="AC19" s="51">
        <f t="shared" si="5"/>
        <v>4760.4980000000005</v>
      </c>
      <c r="AD19" s="51">
        <f t="shared" si="5"/>
        <v>0</v>
      </c>
      <c r="AE19" s="51">
        <f t="shared" si="5"/>
        <v>0</v>
      </c>
      <c r="AF19" s="51">
        <f t="shared" si="5"/>
        <v>341</v>
      </c>
      <c r="AG19" s="51">
        <f t="shared" si="5"/>
        <v>86.33</v>
      </c>
      <c r="AH19" s="51">
        <f t="shared" si="5"/>
        <v>7287</v>
      </c>
      <c r="AI19" s="51">
        <f t="shared" si="5"/>
        <v>133.32499999999999</v>
      </c>
      <c r="AJ19" s="51">
        <f t="shared" si="5"/>
        <v>62087</v>
      </c>
      <c r="AK19" s="51">
        <f t="shared" si="5"/>
        <v>1187.82</v>
      </c>
      <c r="AL19" s="51">
        <f t="shared" si="5"/>
        <v>6353</v>
      </c>
      <c r="AM19" s="51">
        <f t="shared" si="5"/>
        <v>120.744</v>
      </c>
      <c r="AN19" s="51">
        <f t="shared" si="5"/>
        <v>50879</v>
      </c>
      <c r="AO19" s="51">
        <f t="shared" si="5"/>
        <v>971.92899999999997</v>
      </c>
      <c r="AP19" s="51">
        <f t="shared" si="5"/>
        <v>67060</v>
      </c>
      <c r="AQ19" s="51">
        <f t="shared" si="5"/>
        <v>4016.636</v>
      </c>
      <c r="AR19" s="51">
        <f t="shared" si="5"/>
        <v>171323</v>
      </c>
      <c r="AS19" s="51">
        <f t="shared" si="5"/>
        <v>10273.573</v>
      </c>
      <c r="AT19" s="51">
        <f t="shared" si="5"/>
        <v>2013501</v>
      </c>
      <c r="AU19" s="51">
        <f t="shared" si="5"/>
        <v>3179.3530000000005</v>
      </c>
      <c r="AV19" s="51">
        <f t="shared" si="5"/>
        <v>9575897</v>
      </c>
      <c r="AW19" s="51">
        <f t="shared" si="5"/>
        <v>14708.858</v>
      </c>
      <c r="AX19" s="51">
        <f t="shared" si="5"/>
        <v>221727</v>
      </c>
      <c r="AY19" s="51">
        <f t="shared" si="5"/>
        <v>420.84800000000001</v>
      </c>
      <c r="AZ19" s="51">
        <f t="shared" si="5"/>
        <v>67650</v>
      </c>
      <c r="BA19" s="52">
        <f t="shared" si="5"/>
        <v>133.285</v>
      </c>
      <c r="BB19" s="86" t="s">
        <v>24</v>
      </c>
      <c r="BC19" s="86"/>
      <c r="BD19" s="86"/>
    </row>
    <row r="20" spans="1:56">
      <c r="A20" s="82"/>
      <c r="B20" s="7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2"/>
      <c r="BB20" s="86"/>
      <c r="BC20" s="86"/>
      <c r="BD20" s="86"/>
    </row>
    <row r="21" spans="1:56">
      <c r="A21" s="5" t="s">
        <v>25</v>
      </c>
      <c r="B21" s="36">
        <v>160</v>
      </c>
      <c r="C21" s="25">
        <v>20.6</v>
      </c>
      <c r="D21" s="25">
        <v>969</v>
      </c>
      <c r="E21" s="25">
        <v>147.09</v>
      </c>
      <c r="F21" s="25">
        <v>1409</v>
      </c>
      <c r="G21" s="25">
        <v>431.1</v>
      </c>
      <c r="H21" s="25">
        <v>14035</v>
      </c>
      <c r="I21" s="25">
        <v>4484.3100000000004</v>
      </c>
      <c r="J21" s="7" t="s">
        <v>190</v>
      </c>
      <c r="K21" s="7" t="s">
        <v>190</v>
      </c>
      <c r="L21" s="25">
        <v>175</v>
      </c>
      <c r="M21" s="25">
        <v>39.5</v>
      </c>
      <c r="N21" s="25">
        <v>6301</v>
      </c>
      <c r="O21" s="26">
        <v>58.143000000000001</v>
      </c>
      <c r="P21" s="25">
        <v>121992</v>
      </c>
      <c r="Q21" s="26">
        <v>1138.328</v>
      </c>
      <c r="R21" s="27">
        <v>1521</v>
      </c>
      <c r="S21" s="31">
        <v>13.092000000000001</v>
      </c>
      <c r="T21" s="27">
        <v>108502</v>
      </c>
      <c r="U21" s="27">
        <v>903.06799999999998</v>
      </c>
      <c r="V21" s="25">
        <v>418</v>
      </c>
      <c r="W21" s="25">
        <v>7.19</v>
      </c>
      <c r="X21" s="25">
        <v>848</v>
      </c>
      <c r="Y21" s="25">
        <v>15.19</v>
      </c>
      <c r="Z21" s="25">
        <v>597</v>
      </c>
      <c r="AA21" s="25">
        <v>141.6</v>
      </c>
      <c r="AB21" s="25">
        <v>8998</v>
      </c>
      <c r="AC21" s="25">
        <v>2310.3200000000002</v>
      </c>
      <c r="AD21" s="11" t="s">
        <v>190</v>
      </c>
      <c r="AE21" s="7" t="s">
        <v>190</v>
      </c>
      <c r="AF21" s="25">
        <v>51</v>
      </c>
      <c r="AG21" s="26">
        <v>11.02</v>
      </c>
      <c r="AH21" s="25">
        <v>830</v>
      </c>
      <c r="AI21" s="26">
        <v>16.559999999999999</v>
      </c>
      <c r="AJ21" s="25">
        <v>16037</v>
      </c>
      <c r="AK21" s="26">
        <v>322.166</v>
      </c>
      <c r="AL21" s="25">
        <v>147</v>
      </c>
      <c r="AM21" s="26">
        <v>2.6480000000000001</v>
      </c>
      <c r="AN21" s="25">
        <v>13969</v>
      </c>
      <c r="AO21" s="26">
        <v>251.28299999999999</v>
      </c>
      <c r="AP21" s="25">
        <v>814</v>
      </c>
      <c r="AQ21" s="26">
        <v>49.2</v>
      </c>
      <c r="AR21" s="25">
        <v>24612</v>
      </c>
      <c r="AS21" s="26">
        <v>1591.4349999999999</v>
      </c>
      <c r="AT21" s="25">
        <v>745769</v>
      </c>
      <c r="AU21" s="26">
        <v>1197.838</v>
      </c>
      <c r="AV21" s="25">
        <v>2752500</v>
      </c>
      <c r="AW21" s="25">
        <v>4159.25</v>
      </c>
      <c r="AX21" s="28">
        <v>31259</v>
      </c>
      <c r="AY21" s="28">
        <v>50.8</v>
      </c>
      <c r="AZ21" s="28">
        <v>1900</v>
      </c>
      <c r="BA21" s="37">
        <v>3.16</v>
      </c>
      <c r="BB21" s="9" t="s">
        <v>26</v>
      </c>
      <c r="BC21" s="10"/>
      <c r="BD21" s="10"/>
    </row>
    <row r="22" spans="1:56">
      <c r="A22" s="5" t="s">
        <v>27</v>
      </c>
      <c r="B22" s="36">
        <v>5569</v>
      </c>
      <c r="C22" s="25">
        <v>835.71</v>
      </c>
      <c r="D22" s="25">
        <v>3288</v>
      </c>
      <c r="E22" s="25">
        <v>601.04999999999995</v>
      </c>
      <c r="F22" s="25">
        <v>60</v>
      </c>
      <c r="G22" s="25">
        <v>15</v>
      </c>
      <c r="H22" s="25">
        <v>7167</v>
      </c>
      <c r="I22" s="25">
        <v>2012.38</v>
      </c>
      <c r="J22" s="7" t="s">
        <v>190</v>
      </c>
      <c r="K22" s="7" t="s">
        <v>190</v>
      </c>
      <c r="L22" s="7" t="s">
        <v>190</v>
      </c>
      <c r="M22" s="7" t="s">
        <v>190</v>
      </c>
      <c r="N22" s="25">
        <v>5887</v>
      </c>
      <c r="O22" s="26">
        <v>44.761000000000003</v>
      </c>
      <c r="P22" s="25">
        <v>49262</v>
      </c>
      <c r="Q22" s="26">
        <v>447.42</v>
      </c>
      <c r="R22" s="27">
        <v>2306</v>
      </c>
      <c r="S22" s="31">
        <v>19.388999999999999</v>
      </c>
      <c r="T22" s="27">
        <v>20849</v>
      </c>
      <c r="U22" s="27">
        <v>185.816</v>
      </c>
      <c r="V22" s="25">
        <v>324</v>
      </c>
      <c r="W22" s="25">
        <v>5.2809999999999997</v>
      </c>
      <c r="X22" s="25">
        <v>7350</v>
      </c>
      <c r="Y22" s="25">
        <v>132.04</v>
      </c>
      <c r="Z22" s="25">
        <v>415</v>
      </c>
      <c r="AA22" s="25">
        <v>103.75</v>
      </c>
      <c r="AB22" s="25">
        <v>769</v>
      </c>
      <c r="AC22" s="25">
        <v>249.21</v>
      </c>
      <c r="AD22" s="11" t="s">
        <v>190</v>
      </c>
      <c r="AE22" s="7" t="s">
        <v>190</v>
      </c>
      <c r="AF22" s="7" t="s">
        <v>190</v>
      </c>
      <c r="AG22" s="11" t="s">
        <v>190</v>
      </c>
      <c r="AH22" s="25">
        <v>413</v>
      </c>
      <c r="AI22" s="26">
        <v>6.9850000000000003</v>
      </c>
      <c r="AJ22" s="25">
        <v>6351</v>
      </c>
      <c r="AK22" s="26">
        <v>113.27500000000001</v>
      </c>
      <c r="AL22" s="25">
        <v>135</v>
      </c>
      <c r="AM22" s="26">
        <v>2.1349999999999998</v>
      </c>
      <c r="AN22" s="25">
        <v>865</v>
      </c>
      <c r="AO22" s="26">
        <v>16.164000000000001</v>
      </c>
      <c r="AP22" s="25">
        <v>2642</v>
      </c>
      <c r="AQ22" s="26">
        <v>138.22999999999999</v>
      </c>
      <c r="AR22" s="25">
        <v>40002</v>
      </c>
      <c r="AS22" s="26">
        <v>2247.4</v>
      </c>
      <c r="AT22" s="25">
        <v>53397</v>
      </c>
      <c r="AU22" s="26">
        <v>83.921000000000006</v>
      </c>
      <c r="AV22" s="25">
        <v>464747</v>
      </c>
      <c r="AW22" s="25">
        <v>1014.4880000000001</v>
      </c>
      <c r="AX22" s="28">
        <v>10771</v>
      </c>
      <c r="AY22" s="28">
        <v>16.754000000000001</v>
      </c>
      <c r="AZ22" s="28">
        <v>1450</v>
      </c>
      <c r="BA22" s="37">
        <v>1.9750000000000001</v>
      </c>
      <c r="BB22" s="9" t="s">
        <v>28</v>
      </c>
      <c r="BC22" s="10"/>
      <c r="BD22" s="10"/>
    </row>
    <row r="23" spans="1:56">
      <c r="A23" s="5" t="s">
        <v>29</v>
      </c>
      <c r="B23" s="36">
        <v>263</v>
      </c>
      <c r="C23" s="25">
        <v>52.04</v>
      </c>
      <c r="D23" s="25">
        <v>4958</v>
      </c>
      <c r="E23" s="25">
        <v>883.88300000000004</v>
      </c>
      <c r="F23" s="25">
        <v>342</v>
      </c>
      <c r="G23" s="25">
        <v>87</v>
      </c>
      <c r="H23" s="25">
        <v>5925</v>
      </c>
      <c r="I23" s="25">
        <v>1533.855</v>
      </c>
      <c r="J23" s="7" t="s">
        <v>190</v>
      </c>
      <c r="K23" s="7" t="s">
        <v>190</v>
      </c>
      <c r="L23" s="7" t="s">
        <v>190</v>
      </c>
      <c r="M23" s="7" t="s">
        <v>190</v>
      </c>
      <c r="N23" s="25">
        <v>12015</v>
      </c>
      <c r="O23" s="26">
        <v>118.361</v>
      </c>
      <c r="P23" s="25">
        <v>106764</v>
      </c>
      <c r="Q23" s="26">
        <v>987.43399999999997</v>
      </c>
      <c r="R23" s="27">
        <v>9034</v>
      </c>
      <c r="S23" s="31">
        <v>83.182000000000002</v>
      </c>
      <c r="T23" s="27">
        <v>24446</v>
      </c>
      <c r="U23" s="27">
        <v>224.83600000000001</v>
      </c>
      <c r="V23" s="25">
        <v>218</v>
      </c>
      <c r="W23" s="25">
        <v>5.2149999999999999</v>
      </c>
      <c r="X23" s="25">
        <v>67</v>
      </c>
      <c r="Y23" s="25">
        <v>1.262</v>
      </c>
      <c r="Z23" s="25">
        <v>70</v>
      </c>
      <c r="AA23" s="25">
        <v>21.2</v>
      </c>
      <c r="AB23" s="25">
        <v>1086</v>
      </c>
      <c r="AC23" s="25">
        <v>314.08</v>
      </c>
      <c r="AD23" s="11" t="s">
        <v>190</v>
      </c>
      <c r="AE23" s="7" t="s">
        <v>190</v>
      </c>
      <c r="AF23" s="7" t="s">
        <v>190</v>
      </c>
      <c r="AG23" s="11" t="s">
        <v>190</v>
      </c>
      <c r="AH23" s="25">
        <v>687</v>
      </c>
      <c r="AI23" s="26">
        <v>8.43</v>
      </c>
      <c r="AJ23" s="25">
        <v>7503</v>
      </c>
      <c r="AK23" s="26">
        <v>134.92599999999999</v>
      </c>
      <c r="AL23" s="25">
        <v>328</v>
      </c>
      <c r="AM23" s="26">
        <v>5.9050000000000002</v>
      </c>
      <c r="AN23" s="25">
        <v>2682</v>
      </c>
      <c r="AO23" s="26">
        <v>56.743000000000002</v>
      </c>
      <c r="AP23" s="25">
        <v>6411</v>
      </c>
      <c r="AQ23" s="26">
        <v>321.98</v>
      </c>
      <c r="AR23" s="25">
        <v>5773</v>
      </c>
      <c r="AS23" s="26">
        <v>239.13</v>
      </c>
      <c r="AT23" s="25">
        <v>40961</v>
      </c>
      <c r="AU23" s="26">
        <v>75.751999999999995</v>
      </c>
      <c r="AV23" s="25">
        <v>2442600</v>
      </c>
      <c r="AW23" s="25">
        <v>3601.9650000000001</v>
      </c>
      <c r="AX23" s="28">
        <v>8294</v>
      </c>
      <c r="AY23" s="28">
        <v>13.345000000000001</v>
      </c>
      <c r="AZ23" s="6" t="s">
        <v>190</v>
      </c>
      <c r="BA23" s="39" t="s">
        <v>190</v>
      </c>
      <c r="BB23" s="9" t="s">
        <v>30</v>
      </c>
      <c r="BC23" s="10"/>
      <c r="BD23" s="10"/>
    </row>
    <row r="24" spans="1:56">
      <c r="A24" s="5" t="s">
        <v>31</v>
      </c>
      <c r="B24" s="36">
        <v>50</v>
      </c>
      <c r="C24" s="25">
        <v>10.5</v>
      </c>
      <c r="D24" s="25">
        <v>432</v>
      </c>
      <c r="E24" s="25">
        <v>98.048000000000002</v>
      </c>
      <c r="F24" s="25">
        <v>332</v>
      </c>
      <c r="G24" s="25">
        <v>91.46</v>
      </c>
      <c r="H24" s="25">
        <v>8361</v>
      </c>
      <c r="I24" s="25">
        <v>2232.212</v>
      </c>
      <c r="J24" s="7" t="s">
        <v>190</v>
      </c>
      <c r="K24" s="7" t="s">
        <v>190</v>
      </c>
      <c r="L24" s="25">
        <v>4</v>
      </c>
      <c r="M24" s="25">
        <v>1.2</v>
      </c>
      <c r="N24" s="25">
        <v>14735</v>
      </c>
      <c r="O24" s="26">
        <v>122.95699999999999</v>
      </c>
      <c r="P24" s="25">
        <v>127265</v>
      </c>
      <c r="Q24" s="26">
        <v>1058.1759999999999</v>
      </c>
      <c r="R24" s="27">
        <v>6189</v>
      </c>
      <c r="S24" s="31">
        <v>48.664999999999999</v>
      </c>
      <c r="T24" s="27">
        <v>50083</v>
      </c>
      <c r="U24" s="27">
        <v>410.42599999999999</v>
      </c>
      <c r="V24" s="25">
        <v>48</v>
      </c>
      <c r="W24" s="25">
        <v>0.96</v>
      </c>
      <c r="X24" s="25">
        <v>303</v>
      </c>
      <c r="Y24" s="25">
        <v>5.66</v>
      </c>
      <c r="Z24" s="25">
        <v>56</v>
      </c>
      <c r="AA24" s="25">
        <v>11.7</v>
      </c>
      <c r="AB24" s="25">
        <v>1989</v>
      </c>
      <c r="AC24" s="25">
        <v>410.178</v>
      </c>
      <c r="AD24" s="11" t="s">
        <v>190</v>
      </c>
      <c r="AE24" s="7" t="s">
        <v>190</v>
      </c>
      <c r="AF24" s="7" t="s">
        <v>190</v>
      </c>
      <c r="AG24" s="11" t="s">
        <v>190</v>
      </c>
      <c r="AH24" s="25">
        <v>695</v>
      </c>
      <c r="AI24" s="26">
        <v>12.185</v>
      </c>
      <c r="AJ24" s="25">
        <v>12607</v>
      </c>
      <c r="AK24" s="26">
        <v>229.96600000000001</v>
      </c>
      <c r="AL24" s="25">
        <v>192</v>
      </c>
      <c r="AM24" s="26">
        <v>3.4510000000000001</v>
      </c>
      <c r="AN24" s="25">
        <v>5790</v>
      </c>
      <c r="AO24" s="26">
        <v>105.56699999999999</v>
      </c>
      <c r="AP24" s="25">
        <v>4832</v>
      </c>
      <c r="AQ24" s="26">
        <v>316.51600000000002</v>
      </c>
      <c r="AR24" s="25">
        <v>13226</v>
      </c>
      <c r="AS24" s="26">
        <v>912.58</v>
      </c>
      <c r="AT24" s="25">
        <v>415720</v>
      </c>
      <c r="AU24" s="26">
        <v>680.59199999999998</v>
      </c>
      <c r="AV24" s="25">
        <v>336150</v>
      </c>
      <c r="AW24" s="25">
        <v>563.86</v>
      </c>
      <c r="AX24" s="28">
        <v>40363</v>
      </c>
      <c r="AY24" s="28">
        <v>80.441000000000003</v>
      </c>
      <c r="AZ24" s="6" t="s">
        <v>190</v>
      </c>
      <c r="BA24" s="39" t="s">
        <v>190</v>
      </c>
      <c r="BB24" s="9" t="s">
        <v>32</v>
      </c>
      <c r="BC24" s="10"/>
      <c r="BD24" s="10"/>
    </row>
    <row r="25" spans="1:56">
      <c r="A25" s="5" t="s">
        <v>33</v>
      </c>
      <c r="B25" s="36">
        <v>72</v>
      </c>
      <c r="C25" s="25">
        <v>8.64</v>
      </c>
      <c r="D25" s="25">
        <v>695</v>
      </c>
      <c r="E25" s="25">
        <v>83.53</v>
      </c>
      <c r="F25" s="25">
        <v>165</v>
      </c>
      <c r="G25" s="25">
        <v>40.33</v>
      </c>
      <c r="H25" s="25">
        <v>909</v>
      </c>
      <c r="I25" s="25">
        <v>188.61</v>
      </c>
      <c r="J25" s="7" t="s">
        <v>190</v>
      </c>
      <c r="K25" s="7" t="s">
        <v>190</v>
      </c>
      <c r="L25" s="7" t="s">
        <v>190</v>
      </c>
      <c r="M25" s="7" t="s">
        <v>190</v>
      </c>
      <c r="N25" s="25">
        <v>8341</v>
      </c>
      <c r="O25" s="26">
        <v>66.873999999999995</v>
      </c>
      <c r="P25" s="25">
        <v>63754</v>
      </c>
      <c r="Q25" s="26">
        <v>510.61399999999998</v>
      </c>
      <c r="R25" s="27">
        <v>9949</v>
      </c>
      <c r="S25" s="31">
        <v>70.864999999999995</v>
      </c>
      <c r="T25" s="27">
        <v>65416</v>
      </c>
      <c r="U25" s="27">
        <v>473.96899999999999</v>
      </c>
      <c r="V25" s="25">
        <v>7245</v>
      </c>
      <c r="W25" s="25">
        <v>144.643</v>
      </c>
      <c r="X25" s="25">
        <v>12674</v>
      </c>
      <c r="Y25" s="25">
        <v>251.30500000000001</v>
      </c>
      <c r="Z25" s="25">
        <v>8</v>
      </c>
      <c r="AA25" s="25">
        <v>1.7</v>
      </c>
      <c r="AB25" s="25">
        <v>428</v>
      </c>
      <c r="AC25" s="25">
        <v>86.28</v>
      </c>
      <c r="AD25" s="11" t="s">
        <v>190</v>
      </c>
      <c r="AE25" s="7" t="s">
        <v>190</v>
      </c>
      <c r="AF25" s="7" t="s">
        <v>190</v>
      </c>
      <c r="AG25" s="11" t="s">
        <v>190</v>
      </c>
      <c r="AH25" s="25">
        <v>2957</v>
      </c>
      <c r="AI25" s="26">
        <v>59.164999999999999</v>
      </c>
      <c r="AJ25" s="25">
        <v>6184</v>
      </c>
      <c r="AK25" s="26">
        <v>123.226</v>
      </c>
      <c r="AL25" s="25">
        <v>3560</v>
      </c>
      <c r="AM25" s="26">
        <v>70.594999999999999</v>
      </c>
      <c r="AN25" s="25">
        <v>16480</v>
      </c>
      <c r="AO25" s="26">
        <v>329.61599999999999</v>
      </c>
      <c r="AP25" s="25">
        <v>26027</v>
      </c>
      <c r="AQ25" s="26">
        <v>1781.92</v>
      </c>
      <c r="AR25" s="25">
        <v>27740</v>
      </c>
      <c r="AS25" s="26">
        <v>1908.008</v>
      </c>
      <c r="AT25" s="25">
        <v>481804</v>
      </c>
      <c r="AU25" s="26">
        <v>723.66600000000005</v>
      </c>
      <c r="AV25" s="25">
        <v>1687450</v>
      </c>
      <c r="AW25" s="25">
        <v>2530.62</v>
      </c>
      <c r="AX25" s="28">
        <v>20805</v>
      </c>
      <c r="AY25" s="28">
        <v>41.29</v>
      </c>
      <c r="AZ25" s="28">
        <v>18000</v>
      </c>
      <c r="BA25" s="37">
        <v>35.549999999999997</v>
      </c>
      <c r="BB25" s="9" t="s">
        <v>34</v>
      </c>
      <c r="BC25" s="10"/>
      <c r="BD25" s="10"/>
    </row>
    <row r="26" spans="1:56">
      <c r="A26" s="5" t="s">
        <v>35</v>
      </c>
      <c r="B26" s="36">
        <v>15</v>
      </c>
      <c r="C26" s="25">
        <v>3.3</v>
      </c>
      <c r="D26" s="25">
        <v>5211</v>
      </c>
      <c r="E26" s="25">
        <v>1152.8</v>
      </c>
      <c r="F26" s="25">
        <v>23</v>
      </c>
      <c r="G26" s="25">
        <v>5.75</v>
      </c>
      <c r="H26" s="25">
        <v>14046</v>
      </c>
      <c r="I26" s="25">
        <v>3514.71</v>
      </c>
      <c r="J26" s="7" t="s">
        <v>190</v>
      </c>
      <c r="K26" s="7" t="s">
        <v>190</v>
      </c>
      <c r="L26" s="25">
        <v>313</v>
      </c>
      <c r="M26" s="25">
        <v>64.63</v>
      </c>
      <c r="N26" s="25">
        <v>23706</v>
      </c>
      <c r="O26" s="26">
        <v>237.06</v>
      </c>
      <c r="P26" s="25">
        <v>167615</v>
      </c>
      <c r="Q26" s="26">
        <v>1676.15</v>
      </c>
      <c r="R26" s="27">
        <v>9353</v>
      </c>
      <c r="S26" s="31">
        <v>60.094999999999999</v>
      </c>
      <c r="T26" s="27">
        <v>110467</v>
      </c>
      <c r="U26" s="27">
        <v>1104.97</v>
      </c>
      <c r="V26" s="25">
        <v>80</v>
      </c>
      <c r="W26" s="25">
        <v>1.6</v>
      </c>
      <c r="X26" s="25">
        <v>2160</v>
      </c>
      <c r="Y26" s="25">
        <v>42.2</v>
      </c>
      <c r="Z26" s="25">
        <v>8</v>
      </c>
      <c r="AA26" s="25">
        <v>2.246</v>
      </c>
      <c r="AB26" s="25">
        <v>4771</v>
      </c>
      <c r="AC26" s="25">
        <v>1339.62</v>
      </c>
      <c r="AD26" s="11" t="s">
        <v>190</v>
      </c>
      <c r="AE26" s="7" t="s">
        <v>190</v>
      </c>
      <c r="AF26" s="25">
        <v>290</v>
      </c>
      <c r="AG26" s="26">
        <v>75.31</v>
      </c>
      <c r="AH26" s="25">
        <v>755</v>
      </c>
      <c r="AI26" s="26">
        <v>12.7</v>
      </c>
      <c r="AJ26" s="25">
        <v>11405</v>
      </c>
      <c r="AK26" s="26">
        <v>227.1</v>
      </c>
      <c r="AL26" s="25">
        <v>511</v>
      </c>
      <c r="AM26" s="26">
        <v>9.17</v>
      </c>
      <c r="AN26" s="25">
        <v>6485</v>
      </c>
      <c r="AO26" s="26">
        <v>130.30000000000001</v>
      </c>
      <c r="AP26" s="25">
        <v>8073</v>
      </c>
      <c r="AQ26" s="26">
        <v>484.38</v>
      </c>
      <c r="AR26" s="25">
        <v>36288</v>
      </c>
      <c r="AS26" s="26">
        <v>2181.2800000000002</v>
      </c>
      <c r="AT26" s="25">
        <v>224192</v>
      </c>
      <c r="AU26" s="26">
        <v>336.37599999999998</v>
      </c>
      <c r="AV26" s="25">
        <v>1892450</v>
      </c>
      <c r="AW26" s="25">
        <v>2838.6750000000002</v>
      </c>
      <c r="AX26" s="28">
        <v>105230</v>
      </c>
      <c r="AY26" s="28">
        <v>210.46</v>
      </c>
      <c r="AZ26" s="28">
        <v>46300</v>
      </c>
      <c r="BA26" s="37">
        <v>92.6</v>
      </c>
      <c r="BB26" s="9" t="s">
        <v>36</v>
      </c>
      <c r="BC26" s="10"/>
      <c r="BD26" s="10"/>
    </row>
    <row r="27" spans="1:56">
      <c r="A27" s="5" t="s">
        <v>37</v>
      </c>
      <c r="B27" s="36">
        <v>284</v>
      </c>
      <c r="C27" s="25">
        <v>73.872</v>
      </c>
      <c r="D27" s="25">
        <v>634</v>
      </c>
      <c r="E27" s="25">
        <v>110.37</v>
      </c>
      <c r="F27" s="25">
        <v>210</v>
      </c>
      <c r="G27" s="25">
        <v>41</v>
      </c>
      <c r="H27" s="25">
        <v>1692</v>
      </c>
      <c r="I27" s="25">
        <v>357.74</v>
      </c>
      <c r="J27" s="7" t="s">
        <v>190</v>
      </c>
      <c r="K27" s="7" t="s">
        <v>190</v>
      </c>
      <c r="L27" s="7" t="s">
        <v>190</v>
      </c>
      <c r="M27" s="7" t="s">
        <v>190</v>
      </c>
      <c r="N27" s="25">
        <v>21792</v>
      </c>
      <c r="O27" s="26">
        <v>175.965</v>
      </c>
      <c r="P27" s="25">
        <v>37689</v>
      </c>
      <c r="Q27" s="26">
        <v>316.15699999999998</v>
      </c>
      <c r="R27" s="27">
        <v>46074</v>
      </c>
      <c r="S27" s="31">
        <v>373.10500000000002</v>
      </c>
      <c r="T27" s="27">
        <v>69485</v>
      </c>
      <c r="U27" s="27">
        <v>564.72199999999998</v>
      </c>
      <c r="V27" s="25">
        <v>80</v>
      </c>
      <c r="W27" s="25">
        <v>1.54</v>
      </c>
      <c r="X27" s="25">
        <v>860</v>
      </c>
      <c r="Y27" s="25">
        <v>14.8</v>
      </c>
      <c r="Z27" s="25">
        <v>82</v>
      </c>
      <c r="AA27" s="25">
        <v>19.5</v>
      </c>
      <c r="AB27" s="25">
        <v>248</v>
      </c>
      <c r="AC27" s="25">
        <v>50.81</v>
      </c>
      <c r="AD27" s="11" t="s">
        <v>190</v>
      </c>
      <c r="AE27" s="7" t="s">
        <v>190</v>
      </c>
      <c r="AF27" s="7" t="s">
        <v>190</v>
      </c>
      <c r="AG27" s="11" t="s">
        <v>190</v>
      </c>
      <c r="AH27" s="25">
        <v>950</v>
      </c>
      <c r="AI27" s="26">
        <v>17.3</v>
      </c>
      <c r="AJ27" s="25">
        <v>2000</v>
      </c>
      <c r="AK27" s="26">
        <v>37.161000000000001</v>
      </c>
      <c r="AL27" s="25">
        <v>1480</v>
      </c>
      <c r="AM27" s="26">
        <v>26.84</v>
      </c>
      <c r="AN27" s="25">
        <v>4608</v>
      </c>
      <c r="AO27" s="26">
        <v>82.256</v>
      </c>
      <c r="AP27" s="25">
        <v>18261</v>
      </c>
      <c r="AQ27" s="26">
        <v>924.41</v>
      </c>
      <c r="AR27" s="25">
        <v>23682</v>
      </c>
      <c r="AS27" s="26">
        <v>1193.74</v>
      </c>
      <c r="AT27" s="25">
        <v>51658</v>
      </c>
      <c r="AU27" s="26">
        <v>81.207999999999998</v>
      </c>
      <c r="AV27" s="6" t="s">
        <v>190</v>
      </c>
      <c r="AW27" s="6" t="s">
        <v>190</v>
      </c>
      <c r="AX27" s="28">
        <v>5005</v>
      </c>
      <c r="AY27" s="28">
        <v>7.758</v>
      </c>
      <c r="AZ27" s="6" t="s">
        <v>190</v>
      </c>
      <c r="BA27" s="39" t="s">
        <v>190</v>
      </c>
      <c r="BB27" s="9" t="s">
        <v>38</v>
      </c>
      <c r="BC27" s="10"/>
      <c r="BD27" s="10"/>
    </row>
    <row r="28" spans="1:56" ht="24" customHeight="1">
      <c r="A28" s="35" t="s">
        <v>209</v>
      </c>
      <c r="B28" s="40">
        <f>SUM(B29:B32)</f>
        <v>1222</v>
      </c>
      <c r="C28" s="33">
        <f t="shared" ref="C28:BA28" si="6">SUM(C29:C32)</f>
        <v>199.60000000000002</v>
      </c>
      <c r="D28" s="33">
        <f t="shared" si="6"/>
        <v>6319</v>
      </c>
      <c r="E28" s="33">
        <f t="shared" si="6"/>
        <v>963.31</v>
      </c>
      <c r="F28" s="33">
        <f t="shared" si="6"/>
        <v>2310</v>
      </c>
      <c r="G28" s="33">
        <f t="shared" si="6"/>
        <v>567.90000000000009</v>
      </c>
      <c r="H28" s="33">
        <f t="shared" si="6"/>
        <v>9272</v>
      </c>
      <c r="I28" s="33">
        <f t="shared" si="6"/>
        <v>2245.6610000000001</v>
      </c>
      <c r="J28" s="33">
        <f t="shared" si="6"/>
        <v>0</v>
      </c>
      <c r="K28" s="33">
        <f t="shared" si="6"/>
        <v>0</v>
      </c>
      <c r="L28" s="33">
        <f t="shared" si="6"/>
        <v>0</v>
      </c>
      <c r="M28" s="33">
        <f t="shared" si="6"/>
        <v>0</v>
      </c>
      <c r="N28" s="33">
        <f t="shared" si="6"/>
        <v>53500</v>
      </c>
      <c r="O28" s="33">
        <f t="shared" si="6"/>
        <v>482.303</v>
      </c>
      <c r="P28" s="33">
        <f t="shared" si="6"/>
        <v>261405</v>
      </c>
      <c r="Q28" s="33">
        <f t="shared" si="6"/>
        <v>2448.4079999999999</v>
      </c>
      <c r="R28" s="33">
        <f t="shared" si="6"/>
        <v>27115</v>
      </c>
      <c r="S28" s="33">
        <f t="shared" si="6"/>
        <v>223.06</v>
      </c>
      <c r="T28" s="33">
        <f t="shared" si="6"/>
        <v>118901</v>
      </c>
      <c r="U28" s="33">
        <f t="shared" si="6"/>
        <v>982.36</v>
      </c>
      <c r="V28" s="33">
        <f t="shared" si="6"/>
        <v>1904</v>
      </c>
      <c r="W28" s="33">
        <f t="shared" si="6"/>
        <v>34.610999999999997</v>
      </c>
      <c r="X28" s="33">
        <f t="shared" si="6"/>
        <v>3843</v>
      </c>
      <c r="Y28" s="33">
        <f t="shared" si="6"/>
        <v>70.960999999999999</v>
      </c>
      <c r="Z28" s="33">
        <f t="shared" si="6"/>
        <v>291</v>
      </c>
      <c r="AA28" s="33">
        <f t="shared" si="6"/>
        <v>80.949999999999989</v>
      </c>
      <c r="AB28" s="33">
        <f t="shared" si="6"/>
        <v>1624</v>
      </c>
      <c r="AC28" s="33">
        <f t="shared" si="6"/>
        <v>488.44999999999993</v>
      </c>
      <c r="AD28" s="33">
        <f t="shared" si="6"/>
        <v>0</v>
      </c>
      <c r="AE28" s="33">
        <f t="shared" si="6"/>
        <v>0</v>
      </c>
      <c r="AF28" s="33">
        <f t="shared" si="6"/>
        <v>0</v>
      </c>
      <c r="AG28" s="33">
        <f t="shared" si="6"/>
        <v>0</v>
      </c>
      <c r="AH28" s="33">
        <f t="shared" si="6"/>
        <v>13467</v>
      </c>
      <c r="AI28" s="33">
        <f t="shared" si="6"/>
        <v>265.12099999999998</v>
      </c>
      <c r="AJ28" s="33">
        <f t="shared" si="6"/>
        <v>22929</v>
      </c>
      <c r="AK28" s="33">
        <f t="shared" si="6"/>
        <v>439.33700000000005</v>
      </c>
      <c r="AL28" s="33">
        <f t="shared" si="6"/>
        <v>3776</v>
      </c>
      <c r="AM28" s="33">
        <f t="shared" si="6"/>
        <v>67.218999999999994</v>
      </c>
      <c r="AN28" s="33">
        <f t="shared" si="6"/>
        <v>9337</v>
      </c>
      <c r="AO28" s="33">
        <f t="shared" si="6"/>
        <v>172.52500000000001</v>
      </c>
      <c r="AP28" s="33">
        <f t="shared" si="6"/>
        <v>13572</v>
      </c>
      <c r="AQ28" s="33">
        <f t="shared" si="6"/>
        <v>800.92300000000012</v>
      </c>
      <c r="AR28" s="33">
        <f t="shared" si="6"/>
        <v>30563</v>
      </c>
      <c r="AS28" s="33">
        <f t="shared" si="6"/>
        <v>521.24700000000007</v>
      </c>
      <c r="AT28" s="33">
        <f t="shared" si="6"/>
        <v>170138</v>
      </c>
      <c r="AU28" s="33">
        <f t="shared" si="6"/>
        <v>284.96199999999999</v>
      </c>
      <c r="AV28" s="33">
        <f t="shared" si="6"/>
        <v>4927</v>
      </c>
      <c r="AW28" s="33">
        <f t="shared" si="6"/>
        <v>8.25</v>
      </c>
      <c r="AX28" s="33">
        <f t="shared" si="6"/>
        <v>24461</v>
      </c>
      <c r="AY28" s="33">
        <f t="shared" si="6"/>
        <v>49.419000000000004</v>
      </c>
      <c r="AZ28" s="33">
        <f t="shared" si="6"/>
        <v>2656</v>
      </c>
      <c r="BA28" s="41">
        <f t="shared" si="6"/>
        <v>6.1160000000000005</v>
      </c>
      <c r="BB28" s="34" t="s">
        <v>208</v>
      </c>
      <c r="BC28" s="10"/>
      <c r="BD28" s="10"/>
    </row>
    <row r="29" spans="1:56">
      <c r="A29" s="5" t="s">
        <v>39</v>
      </c>
      <c r="B29" s="36">
        <v>420</v>
      </c>
      <c r="C29" s="25">
        <v>70.91</v>
      </c>
      <c r="D29" s="25">
        <v>1609</v>
      </c>
      <c r="E29" s="25">
        <v>211.45</v>
      </c>
      <c r="F29" s="25">
        <v>913</v>
      </c>
      <c r="G29" s="25">
        <v>222.22</v>
      </c>
      <c r="H29" s="25">
        <v>4480</v>
      </c>
      <c r="I29" s="25">
        <v>1060.211</v>
      </c>
      <c r="J29" s="7" t="s">
        <v>190</v>
      </c>
      <c r="K29" s="7" t="s">
        <v>190</v>
      </c>
      <c r="L29" s="7" t="s">
        <v>190</v>
      </c>
      <c r="M29" s="7" t="s">
        <v>190</v>
      </c>
      <c r="N29" s="25">
        <v>18284</v>
      </c>
      <c r="O29" s="26">
        <v>165.59</v>
      </c>
      <c r="P29" s="25">
        <v>110441</v>
      </c>
      <c r="Q29" s="26">
        <v>1030.9829999999999</v>
      </c>
      <c r="R29" s="27">
        <v>14489</v>
      </c>
      <c r="S29" s="31">
        <v>114.07899999999999</v>
      </c>
      <c r="T29" s="27">
        <v>59950</v>
      </c>
      <c r="U29" s="27">
        <v>467.32799999999997</v>
      </c>
      <c r="V29" s="25">
        <v>706</v>
      </c>
      <c r="W29" s="25">
        <v>12.815</v>
      </c>
      <c r="X29" s="25">
        <v>1792</v>
      </c>
      <c r="Y29" s="25">
        <v>32.640999999999998</v>
      </c>
      <c r="Z29" s="25">
        <v>101</v>
      </c>
      <c r="AA29" s="25">
        <v>25.65</v>
      </c>
      <c r="AB29" s="25">
        <v>438</v>
      </c>
      <c r="AC29" s="25">
        <v>149.69</v>
      </c>
      <c r="AD29" s="11" t="s">
        <v>190</v>
      </c>
      <c r="AE29" s="7" t="s">
        <v>190</v>
      </c>
      <c r="AF29" s="7" t="s">
        <v>190</v>
      </c>
      <c r="AG29" s="11" t="s">
        <v>190</v>
      </c>
      <c r="AH29" s="25">
        <v>3997</v>
      </c>
      <c r="AI29" s="26">
        <v>77.998999999999995</v>
      </c>
      <c r="AJ29" s="25">
        <v>8740</v>
      </c>
      <c r="AK29" s="26">
        <v>166.31200000000001</v>
      </c>
      <c r="AL29" s="25">
        <v>1691</v>
      </c>
      <c r="AM29" s="26">
        <v>29.454999999999998</v>
      </c>
      <c r="AN29" s="25">
        <v>4387</v>
      </c>
      <c r="AO29" s="26">
        <v>75.873999999999995</v>
      </c>
      <c r="AP29" s="25">
        <v>6244</v>
      </c>
      <c r="AQ29" s="26">
        <v>366.06799999999998</v>
      </c>
      <c r="AR29" s="25">
        <v>27134</v>
      </c>
      <c r="AS29" s="26">
        <v>335.327</v>
      </c>
      <c r="AT29" s="25">
        <v>64228</v>
      </c>
      <c r="AU29" s="26">
        <v>101.432</v>
      </c>
      <c r="AV29" s="25">
        <v>3362</v>
      </c>
      <c r="AW29" s="25">
        <v>4.952</v>
      </c>
      <c r="AX29" s="28">
        <v>11450</v>
      </c>
      <c r="AY29" s="28">
        <v>24.571000000000002</v>
      </c>
      <c r="AZ29" s="28">
        <v>2436</v>
      </c>
      <c r="BA29" s="37">
        <v>5.6760000000000002</v>
      </c>
      <c r="BB29" s="9" t="s">
        <v>40</v>
      </c>
      <c r="BC29" s="10"/>
      <c r="BD29" s="10"/>
    </row>
    <row r="30" spans="1:56">
      <c r="A30" s="5" t="s">
        <v>41</v>
      </c>
      <c r="B30" s="36">
        <v>36</v>
      </c>
      <c r="C30" s="25">
        <v>4.95</v>
      </c>
      <c r="D30" s="25">
        <v>570</v>
      </c>
      <c r="E30" s="25">
        <v>86.77</v>
      </c>
      <c r="F30" s="25">
        <v>565</v>
      </c>
      <c r="G30" s="25">
        <v>144.75</v>
      </c>
      <c r="H30" s="25">
        <v>793</v>
      </c>
      <c r="I30" s="25">
        <v>200.65</v>
      </c>
      <c r="J30" s="7" t="s">
        <v>190</v>
      </c>
      <c r="K30" s="7" t="s">
        <v>190</v>
      </c>
      <c r="L30" s="7" t="s">
        <v>190</v>
      </c>
      <c r="M30" s="7" t="s">
        <v>190</v>
      </c>
      <c r="N30" s="25">
        <v>17051</v>
      </c>
      <c r="O30" s="26">
        <v>142.24700000000001</v>
      </c>
      <c r="P30" s="25">
        <v>39691</v>
      </c>
      <c r="Q30" s="26">
        <v>349.69299999999998</v>
      </c>
      <c r="R30" s="27">
        <v>7498</v>
      </c>
      <c r="S30" s="31">
        <v>62.027000000000001</v>
      </c>
      <c r="T30" s="27">
        <v>31624</v>
      </c>
      <c r="U30" s="27">
        <v>258.36399999999998</v>
      </c>
      <c r="V30" s="25">
        <v>908</v>
      </c>
      <c r="W30" s="25">
        <v>16.216000000000001</v>
      </c>
      <c r="X30" s="25">
        <v>1951</v>
      </c>
      <c r="Y30" s="25">
        <v>36.520000000000003</v>
      </c>
      <c r="Z30" s="25">
        <v>48</v>
      </c>
      <c r="AA30" s="25">
        <v>16</v>
      </c>
      <c r="AB30" s="25">
        <v>176</v>
      </c>
      <c r="AC30" s="25">
        <v>60.58</v>
      </c>
      <c r="AD30" s="11" t="s">
        <v>190</v>
      </c>
      <c r="AE30" s="7" t="s">
        <v>190</v>
      </c>
      <c r="AF30" s="7" t="s">
        <v>190</v>
      </c>
      <c r="AG30" s="11" t="s">
        <v>190</v>
      </c>
      <c r="AH30" s="25">
        <v>4332</v>
      </c>
      <c r="AI30" s="26">
        <v>89.47</v>
      </c>
      <c r="AJ30" s="25">
        <v>3428</v>
      </c>
      <c r="AK30" s="26">
        <v>72.674999999999997</v>
      </c>
      <c r="AL30" s="25">
        <v>1040</v>
      </c>
      <c r="AM30" s="26">
        <v>19.649999999999999</v>
      </c>
      <c r="AN30" s="25">
        <v>2497</v>
      </c>
      <c r="AO30" s="26">
        <v>54.4</v>
      </c>
      <c r="AP30" s="25">
        <v>1981</v>
      </c>
      <c r="AQ30" s="26">
        <v>119.09</v>
      </c>
      <c r="AR30" s="25">
        <v>1834</v>
      </c>
      <c r="AS30" s="26">
        <v>108.42</v>
      </c>
      <c r="AT30" s="25">
        <v>18200</v>
      </c>
      <c r="AU30" s="26">
        <v>33.625</v>
      </c>
      <c r="AV30" s="25">
        <v>1065</v>
      </c>
      <c r="AW30" s="25">
        <v>2.048</v>
      </c>
      <c r="AX30" s="28">
        <v>2800</v>
      </c>
      <c r="AY30" s="28">
        <v>5.6289999999999996</v>
      </c>
      <c r="AZ30" s="6" t="s">
        <v>190</v>
      </c>
      <c r="BA30" s="39" t="s">
        <v>190</v>
      </c>
      <c r="BB30" s="9" t="s">
        <v>42</v>
      </c>
      <c r="BC30" s="10"/>
      <c r="BD30" s="10"/>
    </row>
    <row r="31" spans="1:56">
      <c r="A31" s="5" t="s">
        <v>43</v>
      </c>
      <c r="B31" s="36">
        <v>68</v>
      </c>
      <c r="C31" s="25">
        <v>8.26</v>
      </c>
      <c r="D31" s="25">
        <v>617</v>
      </c>
      <c r="E31" s="25">
        <v>92.48</v>
      </c>
      <c r="F31" s="25">
        <v>52</v>
      </c>
      <c r="G31" s="25">
        <v>10.039999999999999</v>
      </c>
      <c r="H31" s="25">
        <v>640</v>
      </c>
      <c r="I31" s="25">
        <v>150.86000000000001</v>
      </c>
      <c r="J31" s="7" t="s">
        <v>190</v>
      </c>
      <c r="K31" s="7" t="s">
        <v>190</v>
      </c>
      <c r="L31" s="7" t="s">
        <v>190</v>
      </c>
      <c r="M31" s="7" t="s">
        <v>190</v>
      </c>
      <c r="N31" s="25">
        <v>8818</v>
      </c>
      <c r="O31" s="26">
        <v>85.71</v>
      </c>
      <c r="P31" s="25">
        <v>44242</v>
      </c>
      <c r="Q31" s="26">
        <v>442.17</v>
      </c>
      <c r="R31" s="27">
        <v>2169</v>
      </c>
      <c r="S31" s="31">
        <v>19.530999999999999</v>
      </c>
      <c r="T31" s="27">
        <v>11780</v>
      </c>
      <c r="U31" s="27">
        <v>110.544</v>
      </c>
      <c r="V31" s="25">
        <v>60</v>
      </c>
      <c r="W31" s="25">
        <v>1.08</v>
      </c>
      <c r="X31" s="25">
        <v>100</v>
      </c>
      <c r="Y31" s="25">
        <v>1.8</v>
      </c>
      <c r="Z31" s="25">
        <v>18</v>
      </c>
      <c r="AA31" s="25">
        <v>5.4</v>
      </c>
      <c r="AB31" s="25">
        <v>72</v>
      </c>
      <c r="AC31" s="25">
        <v>11.73</v>
      </c>
      <c r="AD31" s="11" t="s">
        <v>190</v>
      </c>
      <c r="AE31" s="7" t="s">
        <v>190</v>
      </c>
      <c r="AF31" s="7" t="s">
        <v>190</v>
      </c>
      <c r="AG31" s="11" t="s">
        <v>190</v>
      </c>
      <c r="AH31" s="25">
        <v>3910</v>
      </c>
      <c r="AI31" s="26">
        <v>75.63</v>
      </c>
      <c r="AJ31" s="25">
        <v>4448</v>
      </c>
      <c r="AK31" s="26">
        <v>75.81</v>
      </c>
      <c r="AL31" s="25">
        <v>687</v>
      </c>
      <c r="AM31" s="26">
        <v>12.592000000000001</v>
      </c>
      <c r="AN31" s="25">
        <v>1291</v>
      </c>
      <c r="AO31" s="26">
        <v>21.387</v>
      </c>
      <c r="AP31" s="25">
        <v>1404</v>
      </c>
      <c r="AQ31" s="26">
        <v>104.06</v>
      </c>
      <c r="AR31" s="25">
        <v>1420</v>
      </c>
      <c r="AS31" s="26">
        <v>65.75</v>
      </c>
      <c r="AT31" s="25">
        <v>25824</v>
      </c>
      <c r="AU31" s="26">
        <v>42.808</v>
      </c>
      <c r="AV31" s="25">
        <v>500</v>
      </c>
      <c r="AW31" s="25">
        <v>1.25</v>
      </c>
      <c r="AX31" s="28">
        <v>2729</v>
      </c>
      <c r="AY31" s="28">
        <v>5.0949999999999998</v>
      </c>
      <c r="AZ31" s="6" t="s">
        <v>190</v>
      </c>
      <c r="BA31" s="39" t="s">
        <v>190</v>
      </c>
      <c r="BB31" s="9" t="s">
        <v>44</v>
      </c>
      <c r="BC31" s="10"/>
      <c r="BD31" s="10"/>
    </row>
    <row r="32" spans="1:56">
      <c r="A32" s="5" t="s">
        <v>45</v>
      </c>
      <c r="B32" s="36">
        <v>698</v>
      </c>
      <c r="C32" s="25">
        <v>115.48</v>
      </c>
      <c r="D32" s="25">
        <v>3523</v>
      </c>
      <c r="E32" s="25">
        <v>572.61</v>
      </c>
      <c r="F32" s="25">
        <v>780</v>
      </c>
      <c r="G32" s="25">
        <v>190.89</v>
      </c>
      <c r="H32" s="25">
        <v>3359</v>
      </c>
      <c r="I32" s="25">
        <v>833.94</v>
      </c>
      <c r="J32" s="7" t="s">
        <v>190</v>
      </c>
      <c r="K32" s="7" t="s">
        <v>190</v>
      </c>
      <c r="L32" s="7" t="s">
        <v>190</v>
      </c>
      <c r="M32" s="7" t="s">
        <v>190</v>
      </c>
      <c r="N32" s="25">
        <v>9347</v>
      </c>
      <c r="O32" s="26">
        <v>88.756</v>
      </c>
      <c r="P32" s="25">
        <v>67031</v>
      </c>
      <c r="Q32" s="26">
        <v>625.56200000000001</v>
      </c>
      <c r="R32" s="27">
        <v>2959</v>
      </c>
      <c r="S32" s="31">
        <v>27.422999999999998</v>
      </c>
      <c r="T32" s="27">
        <v>15547</v>
      </c>
      <c r="U32" s="27">
        <v>146.124</v>
      </c>
      <c r="V32" s="25">
        <v>230</v>
      </c>
      <c r="W32" s="25">
        <v>4.5</v>
      </c>
      <c r="X32" s="6" t="s">
        <v>190</v>
      </c>
      <c r="Y32" s="6" t="s">
        <v>190</v>
      </c>
      <c r="Z32" s="25">
        <v>124</v>
      </c>
      <c r="AA32" s="25">
        <v>33.9</v>
      </c>
      <c r="AB32" s="25">
        <v>938</v>
      </c>
      <c r="AC32" s="25">
        <v>266.45</v>
      </c>
      <c r="AD32" s="8" t="s">
        <v>190</v>
      </c>
      <c r="AE32" s="6" t="s">
        <v>190</v>
      </c>
      <c r="AF32" s="7" t="s">
        <v>190</v>
      </c>
      <c r="AG32" s="11" t="s">
        <v>190</v>
      </c>
      <c r="AH32" s="25">
        <v>1228</v>
      </c>
      <c r="AI32" s="26">
        <v>22.021999999999998</v>
      </c>
      <c r="AJ32" s="25">
        <v>6313</v>
      </c>
      <c r="AK32" s="26">
        <v>124.54</v>
      </c>
      <c r="AL32" s="25">
        <v>358</v>
      </c>
      <c r="AM32" s="26">
        <v>5.5220000000000002</v>
      </c>
      <c r="AN32" s="25">
        <v>1162</v>
      </c>
      <c r="AO32" s="26">
        <v>20.864000000000001</v>
      </c>
      <c r="AP32" s="25">
        <v>3943</v>
      </c>
      <c r="AQ32" s="26">
        <v>211.70500000000001</v>
      </c>
      <c r="AR32" s="25">
        <v>175</v>
      </c>
      <c r="AS32" s="26">
        <v>11.75</v>
      </c>
      <c r="AT32" s="25">
        <v>61886</v>
      </c>
      <c r="AU32" s="26">
        <v>107.09699999999999</v>
      </c>
      <c r="AV32" s="6" t="s">
        <v>190</v>
      </c>
      <c r="AW32" s="6" t="s">
        <v>190</v>
      </c>
      <c r="AX32" s="28">
        <v>7482</v>
      </c>
      <c r="AY32" s="28">
        <v>14.124000000000001</v>
      </c>
      <c r="AZ32" s="28">
        <v>220</v>
      </c>
      <c r="BA32" s="37">
        <v>0.44</v>
      </c>
      <c r="BB32" s="9" t="s">
        <v>46</v>
      </c>
      <c r="BC32" s="10"/>
      <c r="BD32" s="10"/>
    </row>
    <row r="33" spans="1:56">
      <c r="A33" s="82" t="s">
        <v>47</v>
      </c>
      <c r="B33" s="71">
        <f>SUM(B35:B38)</f>
        <v>2567</v>
      </c>
      <c r="C33" s="51">
        <f>SUM(C35:C38)</f>
        <v>216.85500000000002</v>
      </c>
      <c r="D33" s="51">
        <f>SUM(D35:D38)</f>
        <v>13822</v>
      </c>
      <c r="E33" s="51">
        <f t="shared" ref="E33:BA33" si="7">SUM(E35:E38)</f>
        <v>1257.472</v>
      </c>
      <c r="F33" s="51">
        <f t="shared" si="7"/>
        <v>2219</v>
      </c>
      <c r="G33" s="51">
        <f t="shared" si="7"/>
        <v>273.80500000000001</v>
      </c>
      <c r="H33" s="51">
        <f t="shared" si="7"/>
        <v>10945</v>
      </c>
      <c r="I33" s="51">
        <f t="shared" si="7"/>
        <v>1509.6399999999999</v>
      </c>
      <c r="J33" s="51">
        <f t="shared" si="7"/>
        <v>0</v>
      </c>
      <c r="K33" s="51">
        <f t="shared" si="7"/>
        <v>0</v>
      </c>
      <c r="L33" s="51">
        <f t="shared" si="7"/>
        <v>0</v>
      </c>
      <c r="M33" s="51">
        <f t="shared" si="7"/>
        <v>0</v>
      </c>
      <c r="N33" s="51">
        <f t="shared" si="7"/>
        <v>103507</v>
      </c>
      <c r="O33" s="53">
        <f t="shared" si="7"/>
        <v>996.11300000000006</v>
      </c>
      <c r="P33" s="51">
        <f t="shared" si="7"/>
        <v>569266</v>
      </c>
      <c r="Q33" s="53">
        <f t="shared" si="7"/>
        <v>5386.4609999999993</v>
      </c>
      <c r="R33" s="51">
        <f t="shared" si="7"/>
        <v>47474</v>
      </c>
      <c r="S33" s="53">
        <f t="shared" si="7"/>
        <v>425.70100000000002</v>
      </c>
      <c r="T33" s="51">
        <f t="shared" si="7"/>
        <v>168715</v>
      </c>
      <c r="U33" s="51">
        <f t="shared" si="7"/>
        <v>1527.0060000000001</v>
      </c>
      <c r="V33" s="51">
        <f t="shared" si="7"/>
        <v>5924</v>
      </c>
      <c r="W33" s="51">
        <f t="shared" si="7"/>
        <v>106.72800000000001</v>
      </c>
      <c r="X33" s="51">
        <f t="shared" si="7"/>
        <v>7745</v>
      </c>
      <c r="Y33" s="51">
        <f t="shared" si="7"/>
        <v>142.97999999999999</v>
      </c>
      <c r="Z33" s="51">
        <f t="shared" si="7"/>
        <v>474</v>
      </c>
      <c r="AA33" s="51">
        <f t="shared" si="7"/>
        <v>67.995000000000005</v>
      </c>
      <c r="AB33" s="51">
        <f t="shared" si="7"/>
        <v>2234</v>
      </c>
      <c r="AC33" s="51">
        <f t="shared" si="7"/>
        <v>476.18</v>
      </c>
      <c r="AD33" s="53">
        <f t="shared" si="7"/>
        <v>0</v>
      </c>
      <c r="AE33" s="51">
        <f t="shared" si="7"/>
        <v>0</v>
      </c>
      <c r="AF33" s="51">
        <f t="shared" si="7"/>
        <v>0</v>
      </c>
      <c r="AG33" s="53">
        <f t="shared" si="7"/>
        <v>0</v>
      </c>
      <c r="AH33" s="51">
        <f t="shared" si="7"/>
        <v>26745</v>
      </c>
      <c r="AI33" s="53">
        <f t="shared" si="7"/>
        <v>497.70500000000004</v>
      </c>
      <c r="AJ33" s="51">
        <f t="shared" si="7"/>
        <v>57663</v>
      </c>
      <c r="AK33" s="53">
        <f t="shared" si="7"/>
        <v>1085.194</v>
      </c>
      <c r="AL33" s="51">
        <f t="shared" si="7"/>
        <v>11548</v>
      </c>
      <c r="AM33" s="53">
        <f t="shared" si="7"/>
        <v>229.673</v>
      </c>
      <c r="AN33" s="51">
        <f t="shared" si="7"/>
        <v>24257</v>
      </c>
      <c r="AO33" s="53">
        <f t="shared" si="7"/>
        <v>427.95</v>
      </c>
      <c r="AP33" s="51">
        <f t="shared" si="7"/>
        <v>57710</v>
      </c>
      <c r="AQ33" s="53">
        <f t="shared" si="7"/>
        <v>3744.29</v>
      </c>
      <c r="AR33" s="51">
        <f t="shared" si="7"/>
        <v>140892</v>
      </c>
      <c r="AS33" s="53">
        <f t="shared" si="7"/>
        <v>9833.4049999999988</v>
      </c>
      <c r="AT33" s="51">
        <f t="shared" si="7"/>
        <v>1442778</v>
      </c>
      <c r="AU33" s="53">
        <f t="shared" si="7"/>
        <v>2008.5719999999999</v>
      </c>
      <c r="AV33" s="51">
        <f t="shared" si="7"/>
        <v>36030112</v>
      </c>
      <c r="AW33" s="51">
        <f t="shared" si="7"/>
        <v>61018.563000000002</v>
      </c>
      <c r="AX33" s="51">
        <f t="shared" si="7"/>
        <v>34620</v>
      </c>
      <c r="AY33" s="51">
        <f t="shared" si="7"/>
        <v>65.454999999999998</v>
      </c>
      <c r="AZ33" s="51">
        <f t="shared" si="7"/>
        <v>4144</v>
      </c>
      <c r="BA33" s="52">
        <f t="shared" si="7"/>
        <v>8.0259999999999998</v>
      </c>
      <c r="BB33" s="87" t="s">
        <v>48</v>
      </c>
      <c r="BC33" s="87"/>
      <c r="BD33" s="87"/>
    </row>
    <row r="34" spans="1:56">
      <c r="A34" s="82"/>
      <c r="B34" s="7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3"/>
      <c r="P34" s="51"/>
      <c r="Q34" s="53"/>
      <c r="R34" s="51"/>
      <c r="S34" s="53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3"/>
      <c r="AE34" s="51"/>
      <c r="AF34" s="51"/>
      <c r="AG34" s="53"/>
      <c r="AH34" s="51"/>
      <c r="AI34" s="53"/>
      <c r="AJ34" s="51"/>
      <c r="AK34" s="53"/>
      <c r="AL34" s="51"/>
      <c r="AM34" s="53"/>
      <c r="AN34" s="51"/>
      <c r="AO34" s="53"/>
      <c r="AP34" s="51"/>
      <c r="AQ34" s="53"/>
      <c r="AR34" s="51"/>
      <c r="AS34" s="53"/>
      <c r="AT34" s="51"/>
      <c r="AU34" s="53"/>
      <c r="AV34" s="51"/>
      <c r="AW34" s="51"/>
      <c r="AX34" s="51"/>
      <c r="AY34" s="51"/>
      <c r="AZ34" s="51"/>
      <c r="BA34" s="52"/>
      <c r="BB34" s="87"/>
      <c r="BC34" s="87"/>
      <c r="BD34" s="87"/>
    </row>
    <row r="35" spans="1:56">
      <c r="A35" s="5" t="s">
        <v>49</v>
      </c>
      <c r="B35" s="36">
        <v>516</v>
      </c>
      <c r="C35" s="25">
        <v>53.38</v>
      </c>
      <c r="D35" s="25">
        <v>3761</v>
      </c>
      <c r="E35" s="25">
        <v>302.495</v>
      </c>
      <c r="F35" s="25">
        <v>679</v>
      </c>
      <c r="G35" s="25">
        <v>98.42</v>
      </c>
      <c r="H35" s="25">
        <v>3000</v>
      </c>
      <c r="I35" s="25">
        <v>379.62</v>
      </c>
      <c r="J35" s="7" t="s">
        <v>190</v>
      </c>
      <c r="K35" s="7" t="s">
        <v>190</v>
      </c>
      <c r="L35" s="7" t="s">
        <v>190</v>
      </c>
      <c r="M35" s="7" t="s">
        <v>190</v>
      </c>
      <c r="N35" s="25">
        <v>23522</v>
      </c>
      <c r="O35" s="26">
        <v>223.45699999999999</v>
      </c>
      <c r="P35" s="25">
        <v>178393</v>
      </c>
      <c r="Q35" s="26">
        <v>1678.6559999999999</v>
      </c>
      <c r="R35" s="25">
        <v>9135</v>
      </c>
      <c r="S35" s="26">
        <v>86.757000000000005</v>
      </c>
      <c r="T35" s="27">
        <v>42929</v>
      </c>
      <c r="U35" s="27">
        <v>415.75200000000001</v>
      </c>
      <c r="V35" s="25">
        <v>356</v>
      </c>
      <c r="W35" s="25">
        <v>6.4749999999999996</v>
      </c>
      <c r="X35" s="25">
        <v>1875</v>
      </c>
      <c r="Y35" s="25">
        <v>36.14</v>
      </c>
      <c r="Z35" s="25">
        <v>68</v>
      </c>
      <c r="AA35" s="25">
        <v>15.59</v>
      </c>
      <c r="AB35" s="25">
        <v>545</v>
      </c>
      <c r="AC35" s="25">
        <v>170.01</v>
      </c>
      <c r="AD35" s="11" t="s">
        <v>190</v>
      </c>
      <c r="AE35" s="7" t="s">
        <v>190</v>
      </c>
      <c r="AF35" s="7" t="s">
        <v>190</v>
      </c>
      <c r="AG35" s="11" t="s">
        <v>190</v>
      </c>
      <c r="AH35" s="25">
        <v>8829</v>
      </c>
      <c r="AI35" s="26">
        <v>158.97</v>
      </c>
      <c r="AJ35" s="25">
        <v>21878</v>
      </c>
      <c r="AK35" s="26">
        <v>388.714</v>
      </c>
      <c r="AL35" s="25">
        <v>2926</v>
      </c>
      <c r="AM35" s="26">
        <v>75.676000000000002</v>
      </c>
      <c r="AN35" s="25">
        <v>7980</v>
      </c>
      <c r="AO35" s="26">
        <v>126.381</v>
      </c>
      <c r="AP35" s="25">
        <v>985</v>
      </c>
      <c r="AQ35" s="26">
        <v>67.14</v>
      </c>
      <c r="AR35" s="25">
        <v>29999</v>
      </c>
      <c r="AS35" s="26">
        <v>2427.37</v>
      </c>
      <c r="AT35" s="25">
        <v>87084</v>
      </c>
      <c r="AU35" s="26">
        <v>148.91200000000001</v>
      </c>
      <c r="AV35" s="25">
        <v>23945979</v>
      </c>
      <c r="AW35" s="25">
        <v>45059.72</v>
      </c>
      <c r="AX35" s="28">
        <v>6115</v>
      </c>
      <c r="AY35" s="28">
        <v>11.712</v>
      </c>
      <c r="AZ35" s="28">
        <v>599</v>
      </c>
      <c r="BA35" s="37">
        <v>1.145</v>
      </c>
      <c r="BB35" s="9" t="s">
        <v>50</v>
      </c>
      <c r="BC35" s="10"/>
      <c r="BD35" s="10"/>
    </row>
    <row r="36" spans="1:56">
      <c r="A36" s="5" t="s">
        <v>51</v>
      </c>
      <c r="B36" s="36">
        <v>324</v>
      </c>
      <c r="C36" s="25">
        <v>32.61</v>
      </c>
      <c r="D36" s="25">
        <v>1283</v>
      </c>
      <c r="E36" s="25">
        <v>204.27</v>
      </c>
      <c r="F36" s="25">
        <v>165</v>
      </c>
      <c r="G36" s="25">
        <v>28.44</v>
      </c>
      <c r="H36" s="25">
        <v>565</v>
      </c>
      <c r="I36" s="25">
        <v>96.63</v>
      </c>
      <c r="J36" s="7" t="s">
        <v>190</v>
      </c>
      <c r="K36" s="7" t="s">
        <v>190</v>
      </c>
      <c r="L36" s="7" t="s">
        <v>190</v>
      </c>
      <c r="M36" s="7" t="s">
        <v>190</v>
      </c>
      <c r="N36" s="25">
        <v>37306</v>
      </c>
      <c r="O36" s="26">
        <v>364.71600000000001</v>
      </c>
      <c r="P36" s="25">
        <v>138612</v>
      </c>
      <c r="Q36" s="26">
        <v>1373.0709999999999</v>
      </c>
      <c r="R36" s="25">
        <v>14715</v>
      </c>
      <c r="S36" s="26">
        <v>136.22</v>
      </c>
      <c r="T36" s="27">
        <v>35600</v>
      </c>
      <c r="U36" s="27">
        <v>334.88</v>
      </c>
      <c r="V36" s="25">
        <v>1350</v>
      </c>
      <c r="W36" s="25">
        <v>23.7</v>
      </c>
      <c r="X36" s="25">
        <v>1381</v>
      </c>
      <c r="Y36" s="25">
        <v>22.785</v>
      </c>
      <c r="Z36" s="25">
        <v>3</v>
      </c>
      <c r="AA36" s="25">
        <v>0.6</v>
      </c>
      <c r="AB36" s="25">
        <v>250</v>
      </c>
      <c r="AC36" s="25">
        <v>62.5</v>
      </c>
      <c r="AD36" s="11" t="s">
        <v>190</v>
      </c>
      <c r="AE36" s="7" t="s">
        <v>190</v>
      </c>
      <c r="AF36" s="7" t="s">
        <v>190</v>
      </c>
      <c r="AG36" s="11" t="s">
        <v>190</v>
      </c>
      <c r="AH36" s="25">
        <v>7043</v>
      </c>
      <c r="AI36" s="26">
        <v>137.626</v>
      </c>
      <c r="AJ36" s="25">
        <v>15633</v>
      </c>
      <c r="AK36" s="26">
        <v>307.04000000000002</v>
      </c>
      <c r="AL36" s="25">
        <v>2258</v>
      </c>
      <c r="AM36" s="26">
        <v>42.734999999999999</v>
      </c>
      <c r="AN36" s="25">
        <v>4562</v>
      </c>
      <c r="AO36" s="26">
        <v>91.968000000000004</v>
      </c>
      <c r="AP36" s="25">
        <v>3683</v>
      </c>
      <c r="AQ36" s="26">
        <v>222.5</v>
      </c>
      <c r="AR36" s="25">
        <v>60492</v>
      </c>
      <c r="AS36" s="26">
        <v>3844.4850000000001</v>
      </c>
      <c r="AT36" s="25">
        <v>1266568</v>
      </c>
      <c r="AU36" s="26">
        <v>1688.3019999999999</v>
      </c>
      <c r="AV36" s="25">
        <v>11435163</v>
      </c>
      <c r="AW36" s="25">
        <v>14504.45</v>
      </c>
      <c r="AX36" s="28">
        <v>22030</v>
      </c>
      <c r="AY36" s="28">
        <v>40.369999999999997</v>
      </c>
      <c r="AZ36" s="28">
        <v>2205</v>
      </c>
      <c r="BA36" s="37">
        <v>4.298</v>
      </c>
      <c r="BB36" s="9" t="s">
        <v>52</v>
      </c>
      <c r="BC36" s="10"/>
      <c r="BD36" s="10"/>
    </row>
    <row r="37" spans="1:56">
      <c r="A37" s="5" t="s">
        <v>53</v>
      </c>
      <c r="B37" s="36">
        <v>1124</v>
      </c>
      <c r="C37" s="25">
        <v>58.354999999999997</v>
      </c>
      <c r="D37" s="25">
        <v>5032</v>
      </c>
      <c r="E37" s="25">
        <v>302.61700000000002</v>
      </c>
      <c r="F37" s="25">
        <v>750</v>
      </c>
      <c r="G37" s="25">
        <v>66.004999999999995</v>
      </c>
      <c r="H37" s="25">
        <v>3769</v>
      </c>
      <c r="I37" s="25">
        <v>426.47</v>
      </c>
      <c r="J37" s="7" t="s">
        <v>190</v>
      </c>
      <c r="K37" s="7" t="s">
        <v>190</v>
      </c>
      <c r="L37" s="7" t="s">
        <v>190</v>
      </c>
      <c r="M37" s="7" t="s">
        <v>190</v>
      </c>
      <c r="N37" s="25">
        <v>17256</v>
      </c>
      <c r="O37" s="26">
        <v>142.048</v>
      </c>
      <c r="P37" s="25">
        <v>90501</v>
      </c>
      <c r="Q37" s="26">
        <v>748.57799999999997</v>
      </c>
      <c r="R37" s="25">
        <v>10813</v>
      </c>
      <c r="S37" s="26">
        <v>82.966999999999999</v>
      </c>
      <c r="T37" s="27">
        <v>48797</v>
      </c>
      <c r="U37" s="27">
        <v>371.238</v>
      </c>
      <c r="V37" s="25">
        <v>231</v>
      </c>
      <c r="W37" s="25">
        <v>4.2930000000000001</v>
      </c>
      <c r="X37" s="25">
        <v>150</v>
      </c>
      <c r="Y37" s="25">
        <v>2.6349999999999998</v>
      </c>
      <c r="Z37" s="25">
        <v>256</v>
      </c>
      <c r="AA37" s="25">
        <v>30.93</v>
      </c>
      <c r="AB37" s="25">
        <v>678</v>
      </c>
      <c r="AC37" s="25">
        <v>100.6</v>
      </c>
      <c r="AD37" s="11" t="s">
        <v>190</v>
      </c>
      <c r="AE37" s="7" t="s">
        <v>190</v>
      </c>
      <c r="AF37" s="7" t="s">
        <v>190</v>
      </c>
      <c r="AG37" s="11" t="s">
        <v>190</v>
      </c>
      <c r="AH37" s="25">
        <v>4259</v>
      </c>
      <c r="AI37" s="26">
        <v>63.334000000000003</v>
      </c>
      <c r="AJ37" s="25">
        <v>8068</v>
      </c>
      <c r="AK37" s="26">
        <v>126.47799999999999</v>
      </c>
      <c r="AL37" s="25">
        <v>3144</v>
      </c>
      <c r="AM37" s="26">
        <v>48.988999999999997</v>
      </c>
      <c r="AN37" s="25">
        <v>5795</v>
      </c>
      <c r="AO37" s="26">
        <v>91.968000000000004</v>
      </c>
      <c r="AP37" s="25">
        <v>47</v>
      </c>
      <c r="AQ37" s="26">
        <v>1.9</v>
      </c>
      <c r="AR37" s="25">
        <v>626</v>
      </c>
      <c r="AS37" s="26">
        <v>29.85</v>
      </c>
      <c r="AT37" s="25">
        <v>31157</v>
      </c>
      <c r="AU37" s="26">
        <v>55.595999999999997</v>
      </c>
      <c r="AV37" s="25">
        <v>8465</v>
      </c>
      <c r="AW37" s="25">
        <v>15.855</v>
      </c>
      <c r="AX37" s="28">
        <v>1495</v>
      </c>
      <c r="AY37" s="28">
        <v>3.1829999999999998</v>
      </c>
      <c r="AZ37" s="28">
        <v>260</v>
      </c>
      <c r="BA37" s="37">
        <v>0.503</v>
      </c>
      <c r="BB37" s="9" t="s">
        <v>54</v>
      </c>
      <c r="BC37" s="10"/>
      <c r="BD37" s="10"/>
    </row>
    <row r="38" spans="1:56">
      <c r="A38" s="5" t="s">
        <v>55</v>
      </c>
      <c r="B38" s="36">
        <v>603</v>
      </c>
      <c r="C38" s="25">
        <v>72.510000000000005</v>
      </c>
      <c r="D38" s="25">
        <v>3746</v>
      </c>
      <c r="E38" s="25">
        <v>448.09</v>
      </c>
      <c r="F38" s="25">
        <v>625</v>
      </c>
      <c r="G38" s="25">
        <v>80.94</v>
      </c>
      <c r="H38" s="25">
        <v>3611</v>
      </c>
      <c r="I38" s="25">
        <v>606.91999999999996</v>
      </c>
      <c r="J38" s="7" t="s">
        <v>190</v>
      </c>
      <c r="K38" s="7" t="s">
        <v>190</v>
      </c>
      <c r="L38" s="7" t="s">
        <v>190</v>
      </c>
      <c r="M38" s="7" t="s">
        <v>190</v>
      </c>
      <c r="N38" s="25">
        <v>25423</v>
      </c>
      <c r="O38" s="26">
        <v>265.892</v>
      </c>
      <c r="P38" s="25">
        <v>161760</v>
      </c>
      <c r="Q38" s="26">
        <v>1586.1559999999999</v>
      </c>
      <c r="R38" s="25">
        <v>12811</v>
      </c>
      <c r="S38" s="26">
        <v>119.75700000000001</v>
      </c>
      <c r="T38" s="27">
        <v>41389</v>
      </c>
      <c r="U38" s="27">
        <v>405.13600000000002</v>
      </c>
      <c r="V38" s="25">
        <v>3987</v>
      </c>
      <c r="W38" s="25">
        <v>72.260000000000005</v>
      </c>
      <c r="X38" s="25">
        <v>4339</v>
      </c>
      <c r="Y38" s="25">
        <v>81.42</v>
      </c>
      <c r="Z38" s="25">
        <v>147</v>
      </c>
      <c r="AA38" s="25">
        <v>20.875</v>
      </c>
      <c r="AB38" s="25">
        <v>761</v>
      </c>
      <c r="AC38" s="25">
        <v>143.07</v>
      </c>
      <c r="AD38" s="11" t="s">
        <v>190</v>
      </c>
      <c r="AE38" s="7" t="s">
        <v>190</v>
      </c>
      <c r="AF38" s="7" t="s">
        <v>190</v>
      </c>
      <c r="AG38" s="11" t="s">
        <v>190</v>
      </c>
      <c r="AH38" s="25">
        <v>6614</v>
      </c>
      <c r="AI38" s="26">
        <v>137.77500000000001</v>
      </c>
      <c r="AJ38" s="25">
        <v>12084</v>
      </c>
      <c r="AK38" s="26">
        <v>262.96199999999999</v>
      </c>
      <c r="AL38" s="25">
        <v>3220</v>
      </c>
      <c r="AM38" s="26">
        <v>62.273000000000003</v>
      </c>
      <c r="AN38" s="25">
        <v>5920</v>
      </c>
      <c r="AO38" s="26">
        <v>117.633</v>
      </c>
      <c r="AP38" s="25">
        <v>52995</v>
      </c>
      <c r="AQ38" s="26">
        <v>3452.75</v>
      </c>
      <c r="AR38" s="25">
        <v>49775</v>
      </c>
      <c r="AS38" s="26">
        <v>3531.7</v>
      </c>
      <c r="AT38" s="25">
        <v>57969</v>
      </c>
      <c r="AU38" s="26">
        <v>115.762</v>
      </c>
      <c r="AV38" s="25">
        <v>640505</v>
      </c>
      <c r="AW38" s="25">
        <v>1438.538</v>
      </c>
      <c r="AX38" s="28">
        <v>4980</v>
      </c>
      <c r="AY38" s="28">
        <v>10.19</v>
      </c>
      <c r="AZ38" s="28">
        <v>1080</v>
      </c>
      <c r="BA38" s="37">
        <v>2.08</v>
      </c>
      <c r="BB38" s="9" t="s">
        <v>56</v>
      </c>
      <c r="BC38" s="10"/>
      <c r="BD38" s="10"/>
    </row>
    <row r="39" spans="1:56">
      <c r="A39" s="82" t="s">
        <v>57</v>
      </c>
      <c r="B39" s="71">
        <f>SUM(B41:B45)</f>
        <v>6638</v>
      </c>
      <c r="C39" s="51">
        <f>SUM(C41:C45)</f>
        <v>772.41000000000008</v>
      </c>
      <c r="D39" s="51">
        <f>SUM(D41:D45)</f>
        <v>12931</v>
      </c>
      <c r="E39" s="51">
        <f t="shared" ref="E39:U39" si="8">SUM(E41:E45)</f>
        <v>1662.521</v>
      </c>
      <c r="F39" s="51">
        <f t="shared" si="8"/>
        <v>4655</v>
      </c>
      <c r="G39" s="51">
        <f t="shared" si="8"/>
        <v>1027.8339999999998</v>
      </c>
      <c r="H39" s="51">
        <f t="shared" si="8"/>
        <v>26705</v>
      </c>
      <c r="I39" s="51">
        <f t="shared" si="8"/>
        <v>6364.75</v>
      </c>
      <c r="J39" s="51">
        <f t="shared" si="8"/>
        <v>0</v>
      </c>
      <c r="K39" s="51">
        <f t="shared" si="8"/>
        <v>0</v>
      </c>
      <c r="L39" s="51">
        <f t="shared" si="8"/>
        <v>0</v>
      </c>
      <c r="M39" s="51">
        <f t="shared" si="8"/>
        <v>0</v>
      </c>
      <c r="N39" s="51">
        <f t="shared" si="8"/>
        <v>222709</v>
      </c>
      <c r="O39" s="53">
        <f t="shared" si="8"/>
        <v>2063.3469999999998</v>
      </c>
      <c r="P39" s="51">
        <f t="shared" si="8"/>
        <v>809594</v>
      </c>
      <c r="Q39" s="53">
        <f t="shared" si="8"/>
        <v>7667.7569999999996</v>
      </c>
      <c r="R39" s="51">
        <f t="shared" si="8"/>
        <v>90600</v>
      </c>
      <c r="S39" s="53">
        <f t="shared" si="8"/>
        <v>707.54499999999996</v>
      </c>
      <c r="T39" s="51">
        <f t="shared" si="8"/>
        <v>292182</v>
      </c>
      <c r="U39" s="51">
        <f t="shared" si="8"/>
        <v>2345.223</v>
      </c>
      <c r="V39" s="51">
        <f t="shared" ref="V39:AD39" si="9">SUM(V41:V45)</f>
        <v>33088</v>
      </c>
      <c r="W39" s="51">
        <f t="shared" si="9"/>
        <v>570.57000000000005</v>
      </c>
      <c r="X39" s="51">
        <f t="shared" si="9"/>
        <v>76712</v>
      </c>
      <c r="Y39" s="51">
        <f t="shared" si="9"/>
        <v>1304.1129999999998</v>
      </c>
      <c r="Z39" s="51">
        <f t="shared" si="9"/>
        <v>2217</v>
      </c>
      <c r="AA39" s="51">
        <f t="shared" si="9"/>
        <v>551.75</v>
      </c>
      <c r="AB39" s="51">
        <f t="shared" si="9"/>
        <v>5128</v>
      </c>
      <c r="AC39" s="51">
        <f t="shared" si="9"/>
        <v>1393.09</v>
      </c>
      <c r="AD39" s="53">
        <f t="shared" si="9"/>
        <v>0</v>
      </c>
      <c r="AE39" s="51">
        <f t="shared" ref="AE39:BA39" si="10">SUM(AE41:AE45)</f>
        <v>0</v>
      </c>
      <c r="AF39" s="51">
        <f t="shared" si="10"/>
        <v>2</v>
      </c>
      <c r="AG39" s="53">
        <f t="shared" si="10"/>
        <v>1</v>
      </c>
      <c r="AH39" s="51">
        <f t="shared" si="10"/>
        <v>46054</v>
      </c>
      <c r="AI39" s="53">
        <f t="shared" si="10"/>
        <v>896.87699999999995</v>
      </c>
      <c r="AJ39" s="51">
        <f t="shared" si="10"/>
        <v>100599</v>
      </c>
      <c r="AK39" s="53">
        <f t="shared" si="10"/>
        <v>2154.9389999999999</v>
      </c>
      <c r="AL39" s="51">
        <f t="shared" si="10"/>
        <v>21910</v>
      </c>
      <c r="AM39" s="53">
        <f t="shared" si="10"/>
        <v>427.32100000000008</v>
      </c>
      <c r="AN39" s="51">
        <f t="shared" si="10"/>
        <v>41216</v>
      </c>
      <c r="AO39" s="53">
        <f t="shared" si="10"/>
        <v>793.64200000000005</v>
      </c>
      <c r="AP39" s="51">
        <f t="shared" si="10"/>
        <v>45088</v>
      </c>
      <c r="AQ39" s="53">
        <f t="shared" si="10"/>
        <v>2944.0590000000002</v>
      </c>
      <c r="AR39" s="51">
        <f t="shared" si="10"/>
        <v>146848</v>
      </c>
      <c r="AS39" s="53">
        <f t="shared" si="10"/>
        <v>10219.124</v>
      </c>
      <c r="AT39" s="51">
        <f t="shared" si="10"/>
        <v>1133817</v>
      </c>
      <c r="AU39" s="53">
        <f t="shared" si="10"/>
        <v>2070.306</v>
      </c>
      <c r="AV39" s="51">
        <f t="shared" si="10"/>
        <v>253785</v>
      </c>
      <c r="AW39" s="51">
        <f t="shared" si="10"/>
        <v>489.58299999999997</v>
      </c>
      <c r="AX39" s="51">
        <f t="shared" si="10"/>
        <v>163676</v>
      </c>
      <c r="AY39" s="51">
        <f t="shared" si="10"/>
        <v>308.92200000000003</v>
      </c>
      <c r="AZ39" s="51">
        <f t="shared" si="10"/>
        <v>133462</v>
      </c>
      <c r="BA39" s="52">
        <f t="shared" si="10"/>
        <v>239.24599999999998</v>
      </c>
      <c r="BB39" s="87" t="s">
        <v>58</v>
      </c>
      <c r="BC39" s="87"/>
      <c r="BD39" s="87"/>
    </row>
    <row r="40" spans="1:56">
      <c r="A40" s="82"/>
      <c r="B40" s="7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3"/>
      <c r="P40" s="51"/>
      <c r="Q40" s="53"/>
      <c r="R40" s="51"/>
      <c r="S40" s="53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3"/>
      <c r="AE40" s="51"/>
      <c r="AF40" s="51"/>
      <c r="AG40" s="53"/>
      <c r="AH40" s="51"/>
      <c r="AI40" s="53"/>
      <c r="AJ40" s="51"/>
      <c r="AK40" s="53"/>
      <c r="AL40" s="51"/>
      <c r="AM40" s="53"/>
      <c r="AN40" s="51"/>
      <c r="AO40" s="53"/>
      <c r="AP40" s="51"/>
      <c r="AQ40" s="53"/>
      <c r="AR40" s="51"/>
      <c r="AS40" s="53"/>
      <c r="AT40" s="51"/>
      <c r="AU40" s="53"/>
      <c r="AV40" s="51"/>
      <c r="AW40" s="51"/>
      <c r="AX40" s="51"/>
      <c r="AY40" s="51"/>
      <c r="AZ40" s="51"/>
      <c r="BA40" s="52"/>
      <c r="BB40" s="87"/>
      <c r="BC40" s="87"/>
      <c r="BD40" s="87"/>
    </row>
    <row r="41" spans="1:56">
      <c r="A41" s="5" t="s">
        <v>59</v>
      </c>
      <c r="B41" s="36">
        <v>1417</v>
      </c>
      <c r="C41" s="25">
        <v>178.32</v>
      </c>
      <c r="D41" s="25">
        <v>4967</v>
      </c>
      <c r="E41" s="25">
        <v>731.87099999999998</v>
      </c>
      <c r="F41" s="25">
        <v>1609</v>
      </c>
      <c r="G41" s="25">
        <v>293.13400000000001</v>
      </c>
      <c r="H41" s="25">
        <v>9722</v>
      </c>
      <c r="I41" s="25">
        <v>2107.59</v>
      </c>
      <c r="J41" s="7" t="s">
        <v>190</v>
      </c>
      <c r="K41" s="7" t="s">
        <v>190</v>
      </c>
      <c r="L41" s="7" t="s">
        <v>190</v>
      </c>
      <c r="M41" s="7" t="s">
        <v>190</v>
      </c>
      <c r="N41" s="25">
        <v>113268</v>
      </c>
      <c r="O41" s="26">
        <v>929.41099999999994</v>
      </c>
      <c r="P41" s="25">
        <v>442545</v>
      </c>
      <c r="Q41" s="26">
        <v>3820.1619999999998</v>
      </c>
      <c r="R41" s="25">
        <v>37768</v>
      </c>
      <c r="S41" s="26">
        <v>250.71299999999999</v>
      </c>
      <c r="T41" s="27">
        <v>141431</v>
      </c>
      <c r="U41" s="27">
        <v>1023.712</v>
      </c>
      <c r="V41" s="25">
        <v>9775</v>
      </c>
      <c r="W41" s="25">
        <v>188.95500000000001</v>
      </c>
      <c r="X41" s="25">
        <v>13770</v>
      </c>
      <c r="Y41" s="25">
        <v>237.33500000000001</v>
      </c>
      <c r="Z41" s="25">
        <v>1538</v>
      </c>
      <c r="AA41" s="25">
        <v>382.35</v>
      </c>
      <c r="AB41" s="25">
        <v>3345</v>
      </c>
      <c r="AC41" s="25">
        <v>899.33</v>
      </c>
      <c r="AD41" s="11" t="s">
        <v>190</v>
      </c>
      <c r="AE41" s="7" t="s">
        <v>190</v>
      </c>
      <c r="AF41" s="7" t="s">
        <v>190</v>
      </c>
      <c r="AG41" s="11" t="s">
        <v>190</v>
      </c>
      <c r="AH41" s="25">
        <v>28142</v>
      </c>
      <c r="AI41" s="26">
        <v>505.10300000000001</v>
      </c>
      <c r="AJ41" s="25">
        <v>63855</v>
      </c>
      <c r="AK41" s="26">
        <v>1293.194</v>
      </c>
      <c r="AL41" s="25">
        <v>11879</v>
      </c>
      <c r="AM41" s="26">
        <v>228.583</v>
      </c>
      <c r="AN41" s="25">
        <v>25954</v>
      </c>
      <c r="AO41" s="26">
        <v>480.58100000000002</v>
      </c>
      <c r="AP41" s="25">
        <v>9491</v>
      </c>
      <c r="AQ41" s="26">
        <v>548.995</v>
      </c>
      <c r="AR41" s="25">
        <v>65277</v>
      </c>
      <c r="AS41" s="26">
        <v>4258.223</v>
      </c>
      <c r="AT41" s="25">
        <v>347423</v>
      </c>
      <c r="AU41" s="26">
        <v>833.80799999999999</v>
      </c>
      <c r="AV41" s="25">
        <v>54475</v>
      </c>
      <c r="AW41" s="25">
        <v>173.27199999999999</v>
      </c>
      <c r="AX41" s="28">
        <v>46814</v>
      </c>
      <c r="AY41" s="28">
        <v>100.42700000000001</v>
      </c>
      <c r="AZ41" s="28">
        <v>105032</v>
      </c>
      <c r="BA41" s="37">
        <v>182.999</v>
      </c>
      <c r="BB41" s="9" t="s">
        <v>60</v>
      </c>
      <c r="BC41" s="10"/>
      <c r="BD41" s="10"/>
    </row>
    <row r="42" spans="1:56">
      <c r="A42" s="5" t="s">
        <v>61</v>
      </c>
      <c r="B42" s="36">
        <v>137</v>
      </c>
      <c r="C42" s="25">
        <v>18.28</v>
      </c>
      <c r="D42" s="25">
        <v>1335</v>
      </c>
      <c r="E42" s="25">
        <v>221.78</v>
      </c>
      <c r="F42" s="25">
        <v>99</v>
      </c>
      <c r="G42" s="25">
        <v>23.46</v>
      </c>
      <c r="H42" s="25">
        <v>3356</v>
      </c>
      <c r="I42" s="25">
        <v>945.45</v>
      </c>
      <c r="J42" s="7" t="s">
        <v>190</v>
      </c>
      <c r="K42" s="7" t="s">
        <v>190</v>
      </c>
      <c r="L42" s="7" t="s">
        <v>190</v>
      </c>
      <c r="M42" s="7" t="s">
        <v>190</v>
      </c>
      <c r="N42" s="25">
        <v>39738</v>
      </c>
      <c r="O42" s="26">
        <v>450.32499999999999</v>
      </c>
      <c r="P42" s="25">
        <v>111172</v>
      </c>
      <c r="Q42" s="26">
        <v>1217.395</v>
      </c>
      <c r="R42" s="25">
        <v>7465</v>
      </c>
      <c r="S42" s="26">
        <v>85.674999999999997</v>
      </c>
      <c r="T42" s="27">
        <v>19763</v>
      </c>
      <c r="U42" s="27">
        <v>210.86799999999999</v>
      </c>
      <c r="V42" s="25">
        <v>2811</v>
      </c>
      <c r="W42" s="25">
        <v>47.786000000000001</v>
      </c>
      <c r="X42" s="25">
        <v>5965</v>
      </c>
      <c r="Y42" s="25">
        <v>104.535</v>
      </c>
      <c r="Z42" s="25">
        <v>50</v>
      </c>
      <c r="AA42" s="25">
        <v>14.65</v>
      </c>
      <c r="AB42" s="25">
        <v>370</v>
      </c>
      <c r="AC42" s="25">
        <v>97.15</v>
      </c>
      <c r="AD42" s="11" t="s">
        <v>190</v>
      </c>
      <c r="AE42" s="7" t="s">
        <v>190</v>
      </c>
      <c r="AF42" s="7" t="s">
        <v>190</v>
      </c>
      <c r="AG42" s="11" t="s">
        <v>190</v>
      </c>
      <c r="AH42" s="25">
        <v>5614</v>
      </c>
      <c r="AI42" s="26">
        <v>117.29600000000001</v>
      </c>
      <c r="AJ42" s="25">
        <v>11155</v>
      </c>
      <c r="AK42" s="26">
        <v>244.52199999999999</v>
      </c>
      <c r="AL42" s="25">
        <v>827</v>
      </c>
      <c r="AM42" s="26">
        <v>15.116</v>
      </c>
      <c r="AN42" s="25">
        <v>1616</v>
      </c>
      <c r="AO42" s="26">
        <v>28.652999999999999</v>
      </c>
      <c r="AP42" s="25">
        <v>3057</v>
      </c>
      <c r="AQ42" s="26">
        <v>200.065</v>
      </c>
      <c r="AR42" s="25">
        <v>16987</v>
      </c>
      <c r="AS42" s="26">
        <v>1079.46</v>
      </c>
      <c r="AT42" s="25">
        <v>342676</v>
      </c>
      <c r="AU42" s="26">
        <v>547.55999999999995</v>
      </c>
      <c r="AV42" s="25">
        <v>35640</v>
      </c>
      <c r="AW42" s="25">
        <v>55.21</v>
      </c>
      <c r="AX42" s="28">
        <v>24791</v>
      </c>
      <c r="AY42" s="28">
        <v>42.250999999999998</v>
      </c>
      <c r="AZ42" s="28">
        <v>4825</v>
      </c>
      <c r="BA42" s="37">
        <v>9.7449999999999992</v>
      </c>
      <c r="BB42" s="9" t="s">
        <v>62</v>
      </c>
      <c r="BC42" s="10"/>
      <c r="BD42" s="10"/>
    </row>
    <row r="43" spans="1:56">
      <c r="A43" s="5" t="s">
        <v>63</v>
      </c>
      <c r="B43" s="36">
        <v>2710</v>
      </c>
      <c r="C43" s="25">
        <v>331.5</v>
      </c>
      <c r="D43" s="25">
        <v>1200</v>
      </c>
      <c r="E43" s="25">
        <v>150.255</v>
      </c>
      <c r="F43" s="25">
        <v>1352</v>
      </c>
      <c r="G43" s="25">
        <v>339.6</v>
      </c>
      <c r="H43" s="25">
        <v>4892</v>
      </c>
      <c r="I43" s="25">
        <v>1242.3800000000001</v>
      </c>
      <c r="J43" s="7" t="s">
        <v>190</v>
      </c>
      <c r="K43" s="7" t="s">
        <v>190</v>
      </c>
      <c r="L43" s="7" t="s">
        <v>190</v>
      </c>
      <c r="M43" s="7" t="s">
        <v>190</v>
      </c>
      <c r="N43" s="25">
        <v>30286</v>
      </c>
      <c r="O43" s="26">
        <v>267.53399999999999</v>
      </c>
      <c r="P43" s="25">
        <v>85871</v>
      </c>
      <c r="Q43" s="26">
        <v>755.87599999999998</v>
      </c>
      <c r="R43" s="25">
        <v>22892</v>
      </c>
      <c r="S43" s="26">
        <v>174.68899999999999</v>
      </c>
      <c r="T43" s="27">
        <v>62212</v>
      </c>
      <c r="U43" s="27">
        <v>463.916</v>
      </c>
      <c r="V43" s="25">
        <v>2878</v>
      </c>
      <c r="W43" s="25">
        <v>55.06</v>
      </c>
      <c r="X43" s="25">
        <v>492</v>
      </c>
      <c r="Y43" s="25">
        <v>9.64</v>
      </c>
      <c r="Z43" s="25">
        <v>190</v>
      </c>
      <c r="AA43" s="25">
        <v>39</v>
      </c>
      <c r="AB43" s="25">
        <v>482</v>
      </c>
      <c r="AC43" s="25">
        <v>123.82</v>
      </c>
      <c r="AD43" s="11" t="s">
        <v>190</v>
      </c>
      <c r="AE43" s="7" t="s">
        <v>190</v>
      </c>
      <c r="AF43" s="7" t="s">
        <v>190</v>
      </c>
      <c r="AG43" s="11" t="s">
        <v>190</v>
      </c>
      <c r="AH43" s="25">
        <v>4408</v>
      </c>
      <c r="AI43" s="26">
        <v>86.16</v>
      </c>
      <c r="AJ43" s="25">
        <v>11491</v>
      </c>
      <c r="AK43" s="26">
        <v>237.29</v>
      </c>
      <c r="AL43" s="25">
        <v>4428</v>
      </c>
      <c r="AM43" s="26">
        <v>84.65</v>
      </c>
      <c r="AN43" s="25">
        <v>7728</v>
      </c>
      <c r="AO43" s="26">
        <v>152.76400000000001</v>
      </c>
      <c r="AP43" s="25">
        <v>18042</v>
      </c>
      <c r="AQ43" s="26">
        <v>1162.43</v>
      </c>
      <c r="AR43" s="25">
        <v>8638</v>
      </c>
      <c r="AS43" s="26">
        <v>502.95</v>
      </c>
      <c r="AT43" s="25">
        <v>110060</v>
      </c>
      <c r="AU43" s="26">
        <v>190.1</v>
      </c>
      <c r="AV43" s="25">
        <v>13480</v>
      </c>
      <c r="AW43" s="25">
        <v>21.065000000000001</v>
      </c>
      <c r="AX43" s="28">
        <v>41085</v>
      </c>
      <c r="AY43" s="28">
        <v>72.67</v>
      </c>
      <c r="AZ43" s="28">
        <v>2550</v>
      </c>
      <c r="BA43" s="37">
        <v>6.1</v>
      </c>
      <c r="BB43" s="9" t="s">
        <v>64</v>
      </c>
      <c r="BC43" s="10"/>
      <c r="BD43" s="10"/>
    </row>
    <row r="44" spans="1:56">
      <c r="A44" s="5" t="s">
        <v>65</v>
      </c>
      <c r="B44" s="38" t="s">
        <v>190</v>
      </c>
      <c r="C44" s="7" t="s">
        <v>190</v>
      </c>
      <c r="D44" s="7" t="s">
        <v>190</v>
      </c>
      <c r="E44" s="7" t="s">
        <v>190</v>
      </c>
      <c r="F44" s="25">
        <v>3</v>
      </c>
      <c r="G44" s="25">
        <v>0.75</v>
      </c>
      <c r="H44" s="7" t="s">
        <v>190</v>
      </c>
      <c r="I44" s="7" t="s">
        <v>190</v>
      </c>
      <c r="J44" s="7" t="s">
        <v>190</v>
      </c>
      <c r="K44" s="7" t="s">
        <v>190</v>
      </c>
      <c r="L44" s="7" t="s">
        <v>190</v>
      </c>
      <c r="M44" s="7" t="s">
        <v>190</v>
      </c>
      <c r="N44" s="25">
        <v>1845</v>
      </c>
      <c r="O44" s="26">
        <v>14.82</v>
      </c>
      <c r="P44" s="7" t="s">
        <v>190</v>
      </c>
      <c r="Q44" s="11" t="s">
        <v>190</v>
      </c>
      <c r="R44" s="25">
        <v>7871</v>
      </c>
      <c r="S44" s="26">
        <v>62.05</v>
      </c>
      <c r="T44" s="7" t="s">
        <v>190</v>
      </c>
      <c r="U44" s="7" t="s">
        <v>190</v>
      </c>
      <c r="V44" s="7" t="s">
        <v>190</v>
      </c>
      <c r="W44" s="7" t="s">
        <v>190</v>
      </c>
      <c r="X44" s="7" t="s">
        <v>190</v>
      </c>
      <c r="Y44" s="7" t="s">
        <v>190</v>
      </c>
      <c r="Z44" s="7" t="s">
        <v>190</v>
      </c>
      <c r="AA44" s="7" t="s">
        <v>190</v>
      </c>
      <c r="AB44" s="7" t="s">
        <v>190</v>
      </c>
      <c r="AC44" s="7" t="s">
        <v>190</v>
      </c>
      <c r="AD44" s="11" t="s">
        <v>190</v>
      </c>
      <c r="AE44" s="7" t="s">
        <v>190</v>
      </c>
      <c r="AF44" s="7" t="s">
        <v>190</v>
      </c>
      <c r="AG44" s="11" t="s">
        <v>190</v>
      </c>
      <c r="AH44" s="25">
        <v>285</v>
      </c>
      <c r="AI44" s="26">
        <v>5.21</v>
      </c>
      <c r="AJ44" s="7" t="s">
        <v>190</v>
      </c>
      <c r="AK44" s="11" t="s">
        <v>190</v>
      </c>
      <c r="AL44" s="25">
        <v>1887</v>
      </c>
      <c r="AM44" s="26">
        <v>33.54</v>
      </c>
      <c r="AN44" s="7" t="s">
        <v>190</v>
      </c>
      <c r="AO44" s="11" t="s">
        <v>190</v>
      </c>
      <c r="AP44" s="25">
        <v>15</v>
      </c>
      <c r="AQ44" s="26">
        <v>1</v>
      </c>
      <c r="AR44" s="7" t="s">
        <v>190</v>
      </c>
      <c r="AS44" s="11" t="s">
        <v>190</v>
      </c>
      <c r="AT44" s="25">
        <v>1580</v>
      </c>
      <c r="AU44" s="26">
        <v>2.38</v>
      </c>
      <c r="AV44" s="7" t="s">
        <v>190</v>
      </c>
      <c r="AW44" s="7" t="s">
        <v>190</v>
      </c>
      <c r="AX44" s="28">
        <v>1100</v>
      </c>
      <c r="AY44" s="28">
        <v>1.68</v>
      </c>
      <c r="AZ44" s="7" t="s">
        <v>190</v>
      </c>
      <c r="BA44" s="42" t="s">
        <v>190</v>
      </c>
      <c r="BB44" s="9" t="s">
        <v>66</v>
      </c>
      <c r="BC44" s="10"/>
      <c r="BD44" s="10"/>
    </row>
    <row r="45" spans="1:56">
      <c r="A45" s="5" t="s">
        <v>67</v>
      </c>
      <c r="B45" s="36">
        <v>2374</v>
      </c>
      <c r="C45" s="25">
        <v>244.31</v>
      </c>
      <c r="D45" s="25">
        <v>5429</v>
      </c>
      <c r="E45" s="25">
        <v>558.61500000000001</v>
      </c>
      <c r="F45" s="25">
        <v>1592</v>
      </c>
      <c r="G45" s="25">
        <v>370.89</v>
      </c>
      <c r="H45" s="25">
        <v>8735</v>
      </c>
      <c r="I45" s="25">
        <v>2069.33</v>
      </c>
      <c r="J45" s="7" t="s">
        <v>190</v>
      </c>
      <c r="K45" s="7" t="s">
        <v>190</v>
      </c>
      <c r="L45" s="7" t="s">
        <v>190</v>
      </c>
      <c r="M45" s="7" t="s">
        <v>190</v>
      </c>
      <c r="N45" s="25">
        <v>37572</v>
      </c>
      <c r="O45" s="26">
        <v>401.25700000000001</v>
      </c>
      <c r="P45" s="25">
        <v>170006</v>
      </c>
      <c r="Q45" s="26">
        <v>1874.3240000000001</v>
      </c>
      <c r="R45" s="25">
        <v>14604</v>
      </c>
      <c r="S45" s="26">
        <v>134.41800000000001</v>
      </c>
      <c r="T45" s="25">
        <v>68776</v>
      </c>
      <c r="U45" s="25">
        <v>646.72699999999998</v>
      </c>
      <c r="V45" s="25">
        <v>17624</v>
      </c>
      <c r="W45" s="25">
        <v>278.76900000000001</v>
      </c>
      <c r="X45" s="25">
        <v>56485</v>
      </c>
      <c r="Y45" s="25">
        <v>952.60299999999995</v>
      </c>
      <c r="Z45" s="25">
        <v>439</v>
      </c>
      <c r="AA45" s="25">
        <v>115.75</v>
      </c>
      <c r="AB45" s="25">
        <v>931</v>
      </c>
      <c r="AC45" s="25">
        <v>272.79000000000002</v>
      </c>
      <c r="AD45" s="11" t="s">
        <v>190</v>
      </c>
      <c r="AE45" s="7" t="s">
        <v>190</v>
      </c>
      <c r="AF45" s="25">
        <v>2</v>
      </c>
      <c r="AG45" s="26">
        <v>1</v>
      </c>
      <c r="AH45" s="25">
        <v>7605</v>
      </c>
      <c r="AI45" s="26">
        <v>183.108</v>
      </c>
      <c r="AJ45" s="25">
        <v>14098</v>
      </c>
      <c r="AK45" s="26">
        <v>379.93299999999999</v>
      </c>
      <c r="AL45" s="25">
        <v>2889</v>
      </c>
      <c r="AM45" s="26">
        <v>65.432000000000002</v>
      </c>
      <c r="AN45" s="25">
        <v>5918</v>
      </c>
      <c r="AO45" s="26">
        <v>131.64400000000001</v>
      </c>
      <c r="AP45" s="25">
        <v>14483</v>
      </c>
      <c r="AQ45" s="26">
        <v>1031.569</v>
      </c>
      <c r="AR45" s="25">
        <v>55946</v>
      </c>
      <c r="AS45" s="26">
        <v>4378.491</v>
      </c>
      <c r="AT45" s="25">
        <v>332078</v>
      </c>
      <c r="AU45" s="26">
        <v>496.45800000000003</v>
      </c>
      <c r="AV45" s="25">
        <v>150190</v>
      </c>
      <c r="AW45" s="25">
        <v>240.036</v>
      </c>
      <c r="AX45" s="28">
        <v>49886</v>
      </c>
      <c r="AY45" s="28">
        <v>91.894000000000005</v>
      </c>
      <c r="AZ45" s="28">
        <v>21055</v>
      </c>
      <c r="BA45" s="37">
        <v>40.402000000000001</v>
      </c>
      <c r="BB45" s="9" t="s">
        <v>68</v>
      </c>
      <c r="BC45" s="10"/>
      <c r="BD45" s="10"/>
    </row>
    <row r="46" spans="1:56">
      <c r="A46" s="82" t="s">
        <v>69</v>
      </c>
      <c r="B46" s="71">
        <f t="shared" ref="B46:L46" si="11">SUM(B48:B52)</f>
        <v>3133</v>
      </c>
      <c r="C46" s="51">
        <f t="shared" si="11"/>
        <v>330.48</v>
      </c>
      <c r="D46" s="51">
        <f t="shared" si="11"/>
        <v>5270</v>
      </c>
      <c r="E46" s="51">
        <f t="shared" si="11"/>
        <v>661.71299999999997</v>
      </c>
      <c r="F46" s="51">
        <f t="shared" si="11"/>
        <v>1836</v>
      </c>
      <c r="G46" s="51">
        <f t="shared" si="11"/>
        <v>257.04499999999996</v>
      </c>
      <c r="H46" s="51">
        <f t="shared" si="11"/>
        <v>4951</v>
      </c>
      <c r="I46" s="51">
        <f t="shared" si="11"/>
        <v>973.15000000000009</v>
      </c>
      <c r="J46" s="51">
        <f t="shared" si="11"/>
        <v>0</v>
      </c>
      <c r="K46" s="51">
        <f t="shared" si="11"/>
        <v>0</v>
      </c>
      <c r="L46" s="51">
        <f t="shared" si="11"/>
        <v>0</v>
      </c>
      <c r="M46" s="51">
        <f t="shared" ref="M46:Y46" si="12">SUM(M48:M52)</f>
        <v>0</v>
      </c>
      <c r="N46" s="51">
        <f t="shared" si="12"/>
        <v>145977</v>
      </c>
      <c r="O46" s="53">
        <f t="shared" si="12"/>
        <v>1556.374</v>
      </c>
      <c r="P46" s="51">
        <f t="shared" si="12"/>
        <v>290205</v>
      </c>
      <c r="Q46" s="53">
        <f t="shared" si="12"/>
        <v>2994.1739999999995</v>
      </c>
      <c r="R46" s="51">
        <f t="shared" si="12"/>
        <v>124152</v>
      </c>
      <c r="S46" s="53">
        <f t="shared" si="12"/>
        <v>1246.8809999999999</v>
      </c>
      <c r="T46" s="51">
        <f t="shared" si="12"/>
        <v>248251</v>
      </c>
      <c r="U46" s="51">
        <f t="shared" si="12"/>
        <v>2466.1579999999999</v>
      </c>
      <c r="V46" s="51">
        <f t="shared" si="12"/>
        <v>12456</v>
      </c>
      <c r="W46" s="51">
        <f t="shared" si="12"/>
        <v>240.887</v>
      </c>
      <c r="X46" s="51">
        <f t="shared" si="12"/>
        <v>6401</v>
      </c>
      <c r="Y46" s="51">
        <f t="shared" si="12"/>
        <v>120.16500000000001</v>
      </c>
      <c r="Z46" s="51">
        <f>SUM(Z48:Z52)</f>
        <v>272</v>
      </c>
      <c r="AA46" s="51">
        <f>SUM(AA48:AA52)</f>
        <v>59.460000000000008</v>
      </c>
      <c r="AB46" s="51">
        <f>SUM(AB48:AB52)</f>
        <v>705</v>
      </c>
      <c r="AC46" s="51">
        <f>SUM(AC48:AC52)</f>
        <v>175.54300000000001</v>
      </c>
      <c r="AD46" s="53">
        <f>SUM(AD48:AD52)</f>
        <v>17</v>
      </c>
      <c r="AE46" s="51">
        <f t="shared" ref="AE46:BA46" si="13">SUM(AE48:AE52)</f>
        <v>8.5</v>
      </c>
      <c r="AF46" s="51">
        <f t="shared" si="13"/>
        <v>0</v>
      </c>
      <c r="AG46" s="53">
        <f t="shared" si="13"/>
        <v>0</v>
      </c>
      <c r="AH46" s="51">
        <f t="shared" si="13"/>
        <v>33379</v>
      </c>
      <c r="AI46" s="53">
        <f t="shared" si="13"/>
        <v>695.93600000000004</v>
      </c>
      <c r="AJ46" s="51">
        <f t="shared" si="13"/>
        <v>40302</v>
      </c>
      <c r="AK46" s="53">
        <f t="shared" si="13"/>
        <v>871.17899999999997</v>
      </c>
      <c r="AL46" s="51">
        <f t="shared" si="13"/>
        <v>29109</v>
      </c>
      <c r="AM46" s="53">
        <f t="shared" si="13"/>
        <v>666.77800000000002</v>
      </c>
      <c r="AN46" s="51">
        <f t="shared" si="13"/>
        <v>35712</v>
      </c>
      <c r="AO46" s="53">
        <f t="shared" si="13"/>
        <v>727.43999999999994</v>
      </c>
      <c r="AP46" s="51">
        <f t="shared" si="13"/>
        <v>93751</v>
      </c>
      <c r="AQ46" s="53">
        <f t="shared" si="13"/>
        <v>7595.76</v>
      </c>
      <c r="AR46" s="51">
        <f t="shared" si="13"/>
        <v>38560</v>
      </c>
      <c r="AS46" s="53">
        <f t="shared" si="13"/>
        <v>2156.7600000000002</v>
      </c>
      <c r="AT46" s="51">
        <f t="shared" si="13"/>
        <v>5940508</v>
      </c>
      <c r="AU46" s="53">
        <f t="shared" si="13"/>
        <v>9544.0460000000003</v>
      </c>
      <c r="AV46" s="51">
        <f t="shared" si="13"/>
        <v>7073496</v>
      </c>
      <c r="AW46" s="51">
        <f t="shared" si="13"/>
        <v>12124.05</v>
      </c>
      <c r="AX46" s="51">
        <f t="shared" si="13"/>
        <v>150933</v>
      </c>
      <c r="AY46" s="51">
        <f t="shared" si="13"/>
        <v>255.03800000000001</v>
      </c>
      <c r="AZ46" s="51">
        <f t="shared" si="13"/>
        <v>25017</v>
      </c>
      <c r="BA46" s="52">
        <f t="shared" si="13"/>
        <v>46.491</v>
      </c>
      <c r="BB46" s="87" t="s">
        <v>70</v>
      </c>
      <c r="BC46" s="87"/>
      <c r="BD46" s="87"/>
    </row>
    <row r="47" spans="1:56">
      <c r="A47" s="82"/>
      <c r="B47" s="7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3"/>
      <c r="P47" s="51"/>
      <c r="Q47" s="53"/>
      <c r="R47" s="51"/>
      <c r="S47" s="53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3"/>
      <c r="AE47" s="51"/>
      <c r="AF47" s="51"/>
      <c r="AG47" s="53"/>
      <c r="AH47" s="51"/>
      <c r="AI47" s="53"/>
      <c r="AJ47" s="51"/>
      <c r="AK47" s="53"/>
      <c r="AL47" s="51"/>
      <c r="AM47" s="53"/>
      <c r="AN47" s="51"/>
      <c r="AO47" s="53"/>
      <c r="AP47" s="51"/>
      <c r="AQ47" s="53"/>
      <c r="AR47" s="51"/>
      <c r="AS47" s="53"/>
      <c r="AT47" s="51"/>
      <c r="AU47" s="53"/>
      <c r="AV47" s="51"/>
      <c r="AW47" s="51"/>
      <c r="AX47" s="51"/>
      <c r="AY47" s="51"/>
      <c r="AZ47" s="51"/>
      <c r="BA47" s="52"/>
      <c r="BB47" s="87"/>
      <c r="BC47" s="87"/>
      <c r="BD47" s="87"/>
    </row>
    <row r="48" spans="1:56">
      <c r="A48" s="5" t="s">
        <v>71</v>
      </c>
      <c r="B48" s="36">
        <v>661</v>
      </c>
      <c r="C48" s="25">
        <v>95.28</v>
      </c>
      <c r="D48" s="25">
        <v>1724</v>
      </c>
      <c r="E48" s="25">
        <v>297.07799999999997</v>
      </c>
      <c r="F48" s="25">
        <v>415</v>
      </c>
      <c r="G48" s="25">
        <v>77.194999999999993</v>
      </c>
      <c r="H48" s="25">
        <v>985</v>
      </c>
      <c r="I48" s="25">
        <v>259.89499999999998</v>
      </c>
      <c r="J48" s="7" t="s">
        <v>190</v>
      </c>
      <c r="K48" s="7" t="s">
        <v>190</v>
      </c>
      <c r="L48" s="7" t="s">
        <v>190</v>
      </c>
      <c r="M48" s="7" t="s">
        <v>190</v>
      </c>
      <c r="N48" s="25">
        <v>56484</v>
      </c>
      <c r="O48" s="26">
        <v>605.22</v>
      </c>
      <c r="P48" s="25">
        <v>90320</v>
      </c>
      <c r="Q48" s="26">
        <v>897.01199999999994</v>
      </c>
      <c r="R48" s="25">
        <v>37488</v>
      </c>
      <c r="S48" s="26">
        <v>387.50900000000001</v>
      </c>
      <c r="T48" s="27">
        <v>57632</v>
      </c>
      <c r="U48" s="27">
        <v>579.50199999999995</v>
      </c>
      <c r="V48" s="25">
        <v>5592</v>
      </c>
      <c r="W48" s="25">
        <v>105.35</v>
      </c>
      <c r="X48" s="25">
        <v>682</v>
      </c>
      <c r="Y48" s="25">
        <v>12.01</v>
      </c>
      <c r="Z48" s="25">
        <v>80</v>
      </c>
      <c r="AA48" s="25">
        <v>14.98</v>
      </c>
      <c r="AB48" s="25">
        <v>111</v>
      </c>
      <c r="AC48" s="25">
        <v>29.37</v>
      </c>
      <c r="AD48" s="32">
        <v>17</v>
      </c>
      <c r="AE48" s="6">
        <v>8.5</v>
      </c>
      <c r="AF48" s="7" t="s">
        <v>190</v>
      </c>
      <c r="AG48" s="11" t="s">
        <v>190</v>
      </c>
      <c r="AH48" s="25">
        <v>16569</v>
      </c>
      <c r="AI48" s="26">
        <v>355.42</v>
      </c>
      <c r="AJ48" s="25">
        <v>10614</v>
      </c>
      <c r="AK48" s="26">
        <v>229.27099999999999</v>
      </c>
      <c r="AL48" s="25">
        <v>11860</v>
      </c>
      <c r="AM48" s="26">
        <v>324.101</v>
      </c>
      <c r="AN48" s="25">
        <v>9027</v>
      </c>
      <c r="AO48" s="26">
        <v>195.90899999999999</v>
      </c>
      <c r="AP48" s="25">
        <v>7362</v>
      </c>
      <c r="AQ48" s="26">
        <v>488.97</v>
      </c>
      <c r="AR48" s="25">
        <v>1198</v>
      </c>
      <c r="AS48" s="26">
        <v>76.239999999999995</v>
      </c>
      <c r="AT48" s="25">
        <v>150543</v>
      </c>
      <c r="AU48" s="26">
        <v>280.11399999999998</v>
      </c>
      <c r="AV48" s="25">
        <v>24292</v>
      </c>
      <c r="AW48" s="25">
        <v>42.826999999999998</v>
      </c>
      <c r="AX48" s="28">
        <v>75382</v>
      </c>
      <c r="AY48" s="28">
        <v>126.2</v>
      </c>
      <c r="AZ48" s="28">
        <v>11605</v>
      </c>
      <c r="BA48" s="37">
        <v>22.558</v>
      </c>
      <c r="BB48" s="9" t="s">
        <v>72</v>
      </c>
      <c r="BC48" s="10"/>
      <c r="BD48" s="10"/>
    </row>
    <row r="49" spans="1:56">
      <c r="A49" s="5" t="s">
        <v>73</v>
      </c>
      <c r="B49" s="36">
        <v>408</v>
      </c>
      <c r="C49" s="25">
        <v>52.33</v>
      </c>
      <c r="D49" s="25">
        <v>2029</v>
      </c>
      <c r="E49" s="25">
        <v>229.03</v>
      </c>
      <c r="F49" s="25">
        <v>364</v>
      </c>
      <c r="G49" s="25">
        <v>50.43</v>
      </c>
      <c r="H49" s="25">
        <v>1106</v>
      </c>
      <c r="I49" s="25">
        <v>165.61</v>
      </c>
      <c r="J49" s="7" t="s">
        <v>190</v>
      </c>
      <c r="K49" s="7" t="s">
        <v>190</v>
      </c>
      <c r="L49" s="7" t="s">
        <v>190</v>
      </c>
      <c r="M49" s="7" t="s">
        <v>190</v>
      </c>
      <c r="N49" s="25">
        <v>28192</v>
      </c>
      <c r="O49" s="26">
        <v>326.08199999999999</v>
      </c>
      <c r="P49" s="25">
        <v>67185</v>
      </c>
      <c r="Q49" s="26">
        <v>794.39800000000002</v>
      </c>
      <c r="R49" s="25">
        <v>20657</v>
      </c>
      <c r="S49" s="26">
        <v>217.346</v>
      </c>
      <c r="T49" s="27">
        <v>54328</v>
      </c>
      <c r="U49" s="27">
        <v>604.02200000000005</v>
      </c>
      <c r="V49" s="25">
        <v>1050</v>
      </c>
      <c r="W49" s="25">
        <v>20.614999999999998</v>
      </c>
      <c r="X49" s="25">
        <v>1616</v>
      </c>
      <c r="Y49" s="25">
        <v>30.645</v>
      </c>
      <c r="Z49" s="25">
        <v>14</v>
      </c>
      <c r="AA49" s="25">
        <v>3.6</v>
      </c>
      <c r="AB49" s="25">
        <v>178</v>
      </c>
      <c r="AC49" s="25">
        <v>40.953000000000003</v>
      </c>
      <c r="AD49" s="11" t="s">
        <v>190</v>
      </c>
      <c r="AE49" s="7" t="s">
        <v>190</v>
      </c>
      <c r="AF49" s="7" t="s">
        <v>190</v>
      </c>
      <c r="AG49" s="11" t="s">
        <v>190</v>
      </c>
      <c r="AH49" s="25">
        <v>6769</v>
      </c>
      <c r="AI49" s="26">
        <v>145.50299999999999</v>
      </c>
      <c r="AJ49" s="25">
        <v>11143</v>
      </c>
      <c r="AK49" s="26">
        <v>238.00800000000001</v>
      </c>
      <c r="AL49" s="25">
        <v>5043</v>
      </c>
      <c r="AM49" s="26">
        <v>105.536</v>
      </c>
      <c r="AN49" s="25">
        <v>9732</v>
      </c>
      <c r="AO49" s="26">
        <v>207.59299999999999</v>
      </c>
      <c r="AP49" s="25">
        <v>9743</v>
      </c>
      <c r="AQ49" s="26">
        <v>507.25</v>
      </c>
      <c r="AR49" s="25">
        <v>14438</v>
      </c>
      <c r="AS49" s="26">
        <v>783.73500000000001</v>
      </c>
      <c r="AT49" s="25">
        <v>4174574</v>
      </c>
      <c r="AU49" s="26">
        <v>7100.5929999999998</v>
      </c>
      <c r="AV49" s="25">
        <v>4223953</v>
      </c>
      <c r="AW49" s="25">
        <v>7890.3850000000002</v>
      </c>
      <c r="AX49" s="28">
        <v>8083</v>
      </c>
      <c r="AY49" s="28">
        <v>10.682</v>
      </c>
      <c r="AZ49" s="28">
        <v>1300</v>
      </c>
      <c r="BA49" s="37">
        <v>1.3</v>
      </c>
      <c r="BB49" s="9" t="s">
        <v>74</v>
      </c>
      <c r="BC49" s="10"/>
      <c r="BD49" s="10"/>
    </row>
    <row r="50" spans="1:56">
      <c r="A50" s="5" t="s">
        <v>75</v>
      </c>
      <c r="B50" s="36">
        <v>248</v>
      </c>
      <c r="C50" s="25">
        <v>32.56</v>
      </c>
      <c r="D50" s="25">
        <v>454</v>
      </c>
      <c r="E50" s="25">
        <v>41.84</v>
      </c>
      <c r="F50" s="25">
        <v>119</v>
      </c>
      <c r="G50" s="25">
        <v>27.1</v>
      </c>
      <c r="H50" s="25">
        <v>2127</v>
      </c>
      <c r="I50" s="25">
        <v>448.54</v>
      </c>
      <c r="J50" s="7" t="s">
        <v>190</v>
      </c>
      <c r="K50" s="7" t="s">
        <v>190</v>
      </c>
      <c r="L50" s="7" t="s">
        <v>190</v>
      </c>
      <c r="M50" s="7" t="s">
        <v>190</v>
      </c>
      <c r="N50" s="25">
        <v>27253</v>
      </c>
      <c r="O50" s="26">
        <v>285.67599999999999</v>
      </c>
      <c r="P50" s="25">
        <v>72469</v>
      </c>
      <c r="Q50" s="26">
        <v>683.16399999999999</v>
      </c>
      <c r="R50" s="25">
        <v>31070</v>
      </c>
      <c r="S50" s="26">
        <v>309.54199999999997</v>
      </c>
      <c r="T50" s="27">
        <v>86272</v>
      </c>
      <c r="U50" s="27">
        <v>783.85799999999995</v>
      </c>
      <c r="V50" s="25">
        <v>5502</v>
      </c>
      <c r="W50" s="25">
        <v>108.845</v>
      </c>
      <c r="X50" s="25">
        <v>4001</v>
      </c>
      <c r="Y50" s="25">
        <v>75.53</v>
      </c>
      <c r="Z50" s="25">
        <v>20</v>
      </c>
      <c r="AA50" s="25">
        <v>8</v>
      </c>
      <c r="AB50" s="25">
        <v>235</v>
      </c>
      <c r="AC50" s="25">
        <v>71.349999999999994</v>
      </c>
      <c r="AD50" s="11" t="s">
        <v>190</v>
      </c>
      <c r="AE50" s="7" t="s">
        <v>190</v>
      </c>
      <c r="AF50" s="7" t="s">
        <v>190</v>
      </c>
      <c r="AG50" s="11" t="s">
        <v>190</v>
      </c>
      <c r="AH50" s="25">
        <v>5313</v>
      </c>
      <c r="AI50" s="26">
        <v>102.065</v>
      </c>
      <c r="AJ50" s="25">
        <v>14447</v>
      </c>
      <c r="AK50" s="26">
        <v>321.65300000000002</v>
      </c>
      <c r="AL50" s="25">
        <v>6641</v>
      </c>
      <c r="AM50" s="26">
        <v>129.59899999999999</v>
      </c>
      <c r="AN50" s="25">
        <v>12619</v>
      </c>
      <c r="AO50" s="26">
        <v>238.95500000000001</v>
      </c>
      <c r="AP50" s="25">
        <v>66630</v>
      </c>
      <c r="AQ50" s="26">
        <v>5947.7550000000001</v>
      </c>
      <c r="AR50" s="25">
        <v>20918</v>
      </c>
      <c r="AS50" s="26">
        <v>1185.105</v>
      </c>
      <c r="AT50" s="25">
        <v>1566262</v>
      </c>
      <c r="AU50" s="26">
        <v>2083.9609999999998</v>
      </c>
      <c r="AV50" s="25">
        <v>2753590</v>
      </c>
      <c r="AW50" s="25">
        <v>4107.9960000000001</v>
      </c>
      <c r="AX50" s="28">
        <v>34433</v>
      </c>
      <c r="AY50" s="28">
        <v>69.814999999999998</v>
      </c>
      <c r="AZ50" s="28">
        <v>10032</v>
      </c>
      <c r="BA50" s="37">
        <v>19.684999999999999</v>
      </c>
      <c r="BB50" s="9" t="s">
        <v>76</v>
      </c>
      <c r="BC50" s="10"/>
      <c r="BD50" s="10"/>
    </row>
    <row r="51" spans="1:56">
      <c r="A51" s="5" t="s">
        <v>77</v>
      </c>
      <c r="B51" s="36">
        <v>424</v>
      </c>
      <c r="C51" s="25">
        <v>34.340000000000003</v>
      </c>
      <c r="D51" s="25">
        <v>410</v>
      </c>
      <c r="E51" s="25">
        <v>32.305</v>
      </c>
      <c r="F51" s="25">
        <v>172</v>
      </c>
      <c r="G51" s="25">
        <v>20.2</v>
      </c>
      <c r="H51" s="25">
        <v>191</v>
      </c>
      <c r="I51" s="25">
        <v>28.195</v>
      </c>
      <c r="J51" s="7" t="s">
        <v>190</v>
      </c>
      <c r="K51" s="7" t="s">
        <v>190</v>
      </c>
      <c r="L51" s="7" t="s">
        <v>190</v>
      </c>
      <c r="M51" s="7" t="s">
        <v>190</v>
      </c>
      <c r="N51" s="25">
        <v>4877</v>
      </c>
      <c r="O51" s="26">
        <v>50.953000000000003</v>
      </c>
      <c r="P51" s="25">
        <v>31314</v>
      </c>
      <c r="Q51" s="26">
        <v>345.97699999999998</v>
      </c>
      <c r="R51" s="25">
        <v>5633</v>
      </c>
      <c r="S51" s="26">
        <v>58.197000000000003</v>
      </c>
      <c r="T51" s="27">
        <v>24583</v>
      </c>
      <c r="U51" s="27">
        <v>255.66200000000001</v>
      </c>
      <c r="V51" s="25">
        <v>88</v>
      </c>
      <c r="W51" s="25">
        <v>1.76</v>
      </c>
      <c r="X51" s="25">
        <v>6</v>
      </c>
      <c r="Y51" s="25">
        <v>0.11600000000000001</v>
      </c>
      <c r="Z51" s="25">
        <v>73</v>
      </c>
      <c r="AA51" s="25">
        <v>14.54</v>
      </c>
      <c r="AB51" s="25">
        <v>152</v>
      </c>
      <c r="AC51" s="25">
        <v>29.67</v>
      </c>
      <c r="AD51" s="11" t="s">
        <v>190</v>
      </c>
      <c r="AE51" s="7" t="s">
        <v>190</v>
      </c>
      <c r="AF51" s="7" t="s">
        <v>190</v>
      </c>
      <c r="AG51" s="11" t="s">
        <v>190</v>
      </c>
      <c r="AH51" s="25">
        <v>1558</v>
      </c>
      <c r="AI51" s="26">
        <v>31.978000000000002</v>
      </c>
      <c r="AJ51" s="25">
        <v>1852</v>
      </c>
      <c r="AK51" s="26">
        <v>37.506999999999998</v>
      </c>
      <c r="AL51" s="25">
        <v>2170</v>
      </c>
      <c r="AM51" s="26">
        <v>42.645000000000003</v>
      </c>
      <c r="AN51" s="25">
        <v>2328</v>
      </c>
      <c r="AO51" s="26">
        <v>43.813000000000002</v>
      </c>
      <c r="AP51" s="25">
        <v>1705</v>
      </c>
      <c r="AQ51" s="26">
        <v>107.38500000000001</v>
      </c>
      <c r="AR51" s="25">
        <v>154</v>
      </c>
      <c r="AS51" s="26">
        <v>9.7799999999999994</v>
      </c>
      <c r="AT51" s="25">
        <v>16662</v>
      </c>
      <c r="AU51" s="26">
        <v>31.251999999999999</v>
      </c>
      <c r="AV51" s="25">
        <v>621</v>
      </c>
      <c r="AW51" s="25">
        <v>1.353</v>
      </c>
      <c r="AX51" s="28">
        <v>7195</v>
      </c>
      <c r="AY51" s="28">
        <v>10.757999999999999</v>
      </c>
      <c r="AZ51" s="28">
        <v>260</v>
      </c>
      <c r="BA51" s="37">
        <v>0.4</v>
      </c>
      <c r="BB51" s="9" t="s">
        <v>78</v>
      </c>
      <c r="BC51" s="10"/>
      <c r="BD51" s="10"/>
    </row>
    <row r="52" spans="1:56">
      <c r="A52" s="5" t="s">
        <v>79</v>
      </c>
      <c r="B52" s="36">
        <v>1392</v>
      </c>
      <c r="C52" s="25">
        <v>115.97</v>
      </c>
      <c r="D52" s="25">
        <v>653</v>
      </c>
      <c r="E52" s="25">
        <v>61.46</v>
      </c>
      <c r="F52" s="25">
        <v>766</v>
      </c>
      <c r="G52" s="25">
        <v>82.12</v>
      </c>
      <c r="H52" s="25">
        <v>542</v>
      </c>
      <c r="I52" s="25">
        <v>70.91</v>
      </c>
      <c r="J52" s="7" t="s">
        <v>190</v>
      </c>
      <c r="K52" s="7" t="s">
        <v>190</v>
      </c>
      <c r="L52" s="7" t="s">
        <v>190</v>
      </c>
      <c r="M52" s="7" t="s">
        <v>190</v>
      </c>
      <c r="N52" s="25">
        <v>29171</v>
      </c>
      <c r="O52" s="26">
        <v>288.44299999999998</v>
      </c>
      <c r="P52" s="25">
        <v>28917</v>
      </c>
      <c r="Q52" s="26">
        <v>273.62299999999999</v>
      </c>
      <c r="R52" s="25">
        <v>29304</v>
      </c>
      <c r="S52" s="26">
        <v>274.28699999999998</v>
      </c>
      <c r="T52" s="27">
        <v>25436</v>
      </c>
      <c r="U52" s="27">
        <v>243.114</v>
      </c>
      <c r="V52" s="25">
        <v>224</v>
      </c>
      <c r="W52" s="25">
        <v>4.3170000000000002</v>
      </c>
      <c r="X52" s="25">
        <v>96</v>
      </c>
      <c r="Y52" s="25">
        <v>1.8640000000000001</v>
      </c>
      <c r="Z52" s="25">
        <v>85</v>
      </c>
      <c r="AA52" s="25">
        <v>18.34</v>
      </c>
      <c r="AB52" s="25">
        <v>29</v>
      </c>
      <c r="AC52" s="25">
        <v>4.2</v>
      </c>
      <c r="AD52" s="11" t="s">
        <v>190</v>
      </c>
      <c r="AE52" s="7" t="s">
        <v>190</v>
      </c>
      <c r="AF52" s="7" t="s">
        <v>190</v>
      </c>
      <c r="AG52" s="11" t="s">
        <v>190</v>
      </c>
      <c r="AH52" s="25">
        <v>3170</v>
      </c>
      <c r="AI52" s="26">
        <v>60.97</v>
      </c>
      <c r="AJ52" s="25">
        <v>2246</v>
      </c>
      <c r="AK52" s="26">
        <v>44.74</v>
      </c>
      <c r="AL52" s="25">
        <v>3395</v>
      </c>
      <c r="AM52" s="26">
        <v>64.897000000000006</v>
      </c>
      <c r="AN52" s="25">
        <v>2006</v>
      </c>
      <c r="AO52" s="26">
        <v>41.17</v>
      </c>
      <c r="AP52" s="25">
        <v>8311</v>
      </c>
      <c r="AQ52" s="26">
        <v>544.4</v>
      </c>
      <c r="AR52" s="25">
        <v>1852</v>
      </c>
      <c r="AS52" s="26">
        <v>101.9</v>
      </c>
      <c r="AT52" s="25">
        <v>32467</v>
      </c>
      <c r="AU52" s="26">
        <v>48.125999999999998</v>
      </c>
      <c r="AV52" s="25">
        <v>71040</v>
      </c>
      <c r="AW52" s="25">
        <v>81.489000000000004</v>
      </c>
      <c r="AX52" s="28">
        <v>25840</v>
      </c>
      <c r="AY52" s="28">
        <v>37.582999999999998</v>
      </c>
      <c r="AZ52" s="28">
        <v>1820</v>
      </c>
      <c r="BA52" s="37">
        <v>2.548</v>
      </c>
      <c r="BB52" s="9" t="s">
        <v>80</v>
      </c>
      <c r="BC52" s="10"/>
      <c r="BD52" s="10"/>
    </row>
    <row r="53" spans="1:56">
      <c r="A53" s="82" t="s">
        <v>81</v>
      </c>
      <c r="B53" s="71">
        <f t="shared" ref="B53:H53" si="14">SUM(B55:B59)</f>
        <v>363</v>
      </c>
      <c r="C53" s="51">
        <f t="shared" si="14"/>
        <v>56.839999999999996</v>
      </c>
      <c r="D53" s="51">
        <f t="shared" si="14"/>
        <v>566</v>
      </c>
      <c r="E53" s="51">
        <f t="shared" si="14"/>
        <v>71.73</v>
      </c>
      <c r="F53" s="51">
        <f t="shared" si="14"/>
        <v>550</v>
      </c>
      <c r="G53" s="51">
        <f t="shared" si="14"/>
        <v>129.76500000000001</v>
      </c>
      <c r="H53" s="51">
        <f t="shared" si="14"/>
        <v>1036</v>
      </c>
      <c r="I53" s="51">
        <f t="shared" ref="I53:P53" si="15">SUM(I55:I59)</f>
        <v>224.66</v>
      </c>
      <c r="J53" s="51">
        <f t="shared" si="15"/>
        <v>0</v>
      </c>
      <c r="K53" s="51">
        <f t="shared" si="15"/>
        <v>0</v>
      </c>
      <c r="L53" s="51">
        <f t="shared" si="15"/>
        <v>0</v>
      </c>
      <c r="M53" s="51">
        <f t="shared" si="15"/>
        <v>0</v>
      </c>
      <c r="N53" s="51">
        <f t="shared" si="15"/>
        <v>40993</v>
      </c>
      <c r="O53" s="53">
        <f t="shared" si="15"/>
        <v>398.67199999999997</v>
      </c>
      <c r="P53" s="51">
        <f t="shared" si="15"/>
        <v>83108</v>
      </c>
      <c r="Q53" s="53">
        <f t="shared" ref="Q53:Y53" si="16">SUM(Q55:Q59)</f>
        <v>737.423</v>
      </c>
      <c r="R53" s="51">
        <f t="shared" si="16"/>
        <v>33288</v>
      </c>
      <c r="S53" s="53">
        <f t="shared" si="16"/>
        <v>316.863</v>
      </c>
      <c r="T53" s="51">
        <f t="shared" si="16"/>
        <v>87357</v>
      </c>
      <c r="U53" s="51">
        <f t="shared" si="16"/>
        <v>834.50600000000009</v>
      </c>
      <c r="V53" s="51">
        <f t="shared" si="16"/>
        <v>1963</v>
      </c>
      <c r="W53" s="51">
        <f t="shared" si="16"/>
        <v>35.307999999999993</v>
      </c>
      <c r="X53" s="51">
        <f t="shared" si="16"/>
        <v>3310</v>
      </c>
      <c r="Y53" s="51">
        <f t="shared" si="16"/>
        <v>56.545000000000002</v>
      </c>
      <c r="Z53" s="51">
        <f>SUM(Z55:Z59)</f>
        <v>178</v>
      </c>
      <c r="AA53" s="51">
        <f>SUM(AA55:AA59)</f>
        <v>38.71</v>
      </c>
      <c r="AB53" s="51">
        <f>SUM(AB55:AB59)</f>
        <v>317</v>
      </c>
      <c r="AC53" s="51">
        <f>SUM(AC55:AC59)</f>
        <v>74.900000000000006</v>
      </c>
      <c r="AD53" s="53">
        <f>SUM(AD55:AD59)</f>
        <v>0</v>
      </c>
      <c r="AE53" s="51">
        <f t="shared" ref="AE53:BA53" si="17">SUM(AE55:AE59)</f>
        <v>0</v>
      </c>
      <c r="AF53" s="51">
        <f t="shared" si="17"/>
        <v>0</v>
      </c>
      <c r="AG53" s="53">
        <f t="shared" si="17"/>
        <v>0</v>
      </c>
      <c r="AH53" s="51">
        <f t="shared" si="17"/>
        <v>5958</v>
      </c>
      <c r="AI53" s="53">
        <f t="shared" si="17"/>
        <v>132.30200000000002</v>
      </c>
      <c r="AJ53" s="51">
        <f t="shared" si="17"/>
        <v>5511</v>
      </c>
      <c r="AK53" s="53">
        <f t="shared" si="17"/>
        <v>115.34800000000001</v>
      </c>
      <c r="AL53" s="51">
        <f t="shared" si="17"/>
        <v>4493</v>
      </c>
      <c r="AM53" s="53">
        <f t="shared" si="17"/>
        <v>91.685999999999993</v>
      </c>
      <c r="AN53" s="51">
        <f t="shared" si="17"/>
        <v>5617</v>
      </c>
      <c r="AO53" s="53">
        <f t="shared" si="17"/>
        <v>111.42</v>
      </c>
      <c r="AP53" s="51">
        <f t="shared" si="17"/>
        <v>2984</v>
      </c>
      <c r="AQ53" s="53">
        <f t="shared" si="17"/>
        <v>170.15500000000003</v>
      </c>
      <c r="AR53" s="51">
        <f t="shared" si="17"/>
        <v>2294</v>
      </c>
      <c r="AS53" s="53">
        <f t="shared" si="17"/>
        <v>139.03100000000001</v>
      </c>
      <c r="AT53" s="51">
        <f t="shared" si="17"/>
        <v>206014</v>
      </c>
      <c r="AU53" s="53">
        <f t="shared" si="17"/>
        <v>366.03100000000006</v>
      </c>
      <c r="AV53" s="51">
        <f t="shared" si="17"/>
        <v>16191</v>
      </c>
      <c r="AW53" s="51">
        <f t="shared" si="17"/>
        <v>28.520999999999997</v>
      </c>
      <c r="AX53" s="51">
        <f t="shared" si="17"/>
        <v>167456</v>
      </c>
      <c r="AY53" s="51">
        <f t="shared" si="17"/>
        <v>247.756</v>
      </c>
      <c r="AZ53" s="51">
        <f t="shared" si="17"/>
        <v>38413</v>
      </c>
      <c r="BA53" s="52">
        <f t="shared" si="17"/>
        <v>53.488999999999997</v>
      </c>
      <c r="BB53" s="87" t="s">
        <v>82</v>
      </c>
      <c r="BC53" s="87"/>
      <c r="BD53" s="87"/>
    </row>
    <row r="54" spans="1:56">
      <c r="A54" s="82"/>
      <c r="B54" s="7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3"/>
      <c r="P54" s="51"/>
      <c r="Q54" s="53"/>
      <c r="R54" s="51"/>
      <c r="S54" s="53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3"/>
      <c r="AE54" s="51"/>
      <c r="AF54" s="51"/>
      <c r="AG54" s="53"/>
      <c r="AH54" s="51"/>
      <c r="AI54" s="53"/>
      <c r="AJ54" s="51"/>
      <c r="AK54" s="53"/>
      <c r="AL54" s="51"/>
      <c r="AM54" s="53"/>
      <c r="AN54" s="51"/>
      <c r="AO54" s="53"/>
      <c r="AP54" s="51"/>
      <c r="AQ54" s="53"/>
      <c r="AR54" s="51"/>
      <c r="AS54" s="53"/>
      <c r="AT54" s="51"/>
      <c r="AU54" s="53"/>
      <c r="AV54" s="51"/>
      <c r="AW54" s="51"/>
      <c r="AX54" s="51"/>
      <c r="AY54" s="51"/>
      <c r="AZ54" s="51"/>
      <c r="BA54" s="52"/>
      <c r="BB54" s="87"/>
      <c r="BC54" s="87"/>
      <c r="BD54" s="87"/>
    </row>
    <row r="55" spans="1:56">
      <c r="A55" s="5" t="s">
        <v>83</v>
      </c>
      <c r="B55" s="36">
        <v>81</v>
      </c>
      <c r="C55" s="25">
        <v>19.579999999999998</v>
      </c>
      <c r="D55" s="25">
        <v>3</v>
      </c>
      <c r="E55" s="25">
        <v>0.9</v>
      </c>
      <c r="F55" s="25">
        <v>387</v>
      </c>
      <c r="G55" s="25">
        <v>97.885000000000005</v>
      </c>
      <c r="H55" s="25">
        <v>191</v>
      </c>
      <c r="I55" s="25">
        <v>56.7</v>
      </c>
      <c r="J55" s="7" t="s">
        <v>190</v>
      </c>
      <c r="K55" s="7" t="s">
        <v>190</v>
      </c>
      <c r="L55" s="7" t="s">
        <v>190</v>
      </c>
      <c r="M55" s="7" t="s">
        <v>190</v>
      </c>
      <c r="N55" s="25">
        <v>15237</v>
      </c>
      <c r="O55" s="26">
        <v>166.47</v>
      </c>
      <c r="P55" s="25">
        <v>2388</v>
      </c>
      <c r="Q55" s="26">
        <v>30.152999999999999</v>
      </c>
      <c r="R55" s="25">
        <v>9583</v>
      </c>
      <c r="S55" s="26">
        <v>97.858000000000004</v>
      </c>
      <c r="T55" s="25">
        <v>806</v>
      </c>
      <c r="U55" s="25">
        <v>8.4320000000000004</v>
      </c>
      <c r="V55" s="25">
        <v>488</v>
      </c>
      <c r="W55" s="25">
        <v>9.66</v>
      </c>
      <c r="X55" s="25">
        <v>97</v>
      </c>
      <c r="Y55" s="25">
        <v>1.84</v>
      </c>
      <c r="Z55" s="25">
        <v>141</v>
      </c>
      <c r="AA55" s="25">
        <v>29.85</v>
      </c>
      <c r="AB55" s="25">
        <v>49</v>
      </c>
      <c r="AC55" s="25">
        <v>12.97</v>
      </c>
      <c r="AD55" s="11" t="s">
        <v>190</v>
      </c>
      <c r="AE55" s="7" t="s">
        <v>190</v>
      </c>
      <c r="AF55" s="7" t="s">
        <v>190</v>
      </c>
      <c r="AG55" s="11" t="s">
        <v>190</v>
      </c>
      <c r="AH55" s="25">
        <v>3136</v>
      </c>
      <c r="AI55" s="26">
        <v>70.733000000000004</v>
      </c>
      <c r="AJ55" s="25">
        <v>783</v>
      </c>
      <c r="AK55" s="26">
        <v>18.635999999999999</v>
      </c>
      <c r="AL55" s="25">
        <v>1460</v>
      </c>
      <c r="AM55" s="26">
        <v>28.702999999999999</v>
      </c>
      <c r="AN55" s="25">
        <v>480</v>
      </c>
      <c r="AO55" s="26">
        <v>9.4600000000000009</v>
      </c>
      <c r="AP55" s="25">
        <v>1542</v>
      </c>
      <c r="AQ55" s="26">
        <v>96.545000000000002</v>
      </c>
      <c r="AR55" s="25">
        <v>1369</v>
      </c>
      <c r="AS55" s="26">
        <v>98.234999999999999</v>
      </c>
      <c r="AT55" s="25">
        <v>115172</v>
      </c>
      <c r="AU55" s="26">
        <v>194.51499999999999</v>
      </c>
      <c r="AV55" s="25">
        <v>2689</v>
      </c>
      <c r="AW55" s="25">
        <v>5.5259999999999998</v>
      </c>
      <c r="AX55" s="28">
        <v>28361</v>
      </c>
      <c r="AY55" s="28">
        <v>43.122999999999998</v>
      </c>
      <c r="AZ55" s="28">
        <v>335</v>
      </c>
      <c r="BA55" s="37">
        <v>0.51</v>
      </c>
      <c r="BB55" s="9" t="s">
        <v>84</v>
      </c>
      <c r="BC55" s="10"/>
      <c r="BD55" s="10"/>
    </row>
    <row r="56" spans="1:56">
      <c r="A56" s="5" t="s">
        <v>85</v>
      </c>
      <c r="B56" s="36">
        <v>156</v>
      </c>
      <c r="C56" s="25">
        <v>19.04</v>
      </c>
      <c r="D56" s="25">
        <v>292</v>
      </c>
      <c r="E56" s="25">
        <v>40.68</v>
      </c>
      <c r="F56" s="25">
        <v>83</v>
      </c>
      <c r="G56" s="25">
        <v>14.54</v>
      </c>
      <c r="H56" s="25">
        <v>320</v>
      </c>
      <c r="I56" s="25">
        <v>73.290000000000006</v>
      </c>
      <c r="J56" s="7" t="s">
        <v>190</v>
      </c>
      <c r="K56" s="7" t="s">
        <v>190</v>
      </c>
      <c r="L56" s="7" t="s">
        <v>190</v>
      </c>
      <c r="M56" s="7" t="s">
        <v>190</v>
      </c>
      <c r="N56" s="25">
        <v>3618</v>
      </c>
      <c r="O56" s="26">
        <v>41.957000000000001</v>
      </c>
      <c r="P56" s="25">
        <v>5470</v>
      </c>
      <c r="Q56" s="26">
        <v>60.335000000000001</v>
      </c>
      <c r="R56" s="25">
        <v>4560</v>
      </c>
      <c r="S56" s="26">
        <v>44.548000000000002</v>
      </c>
      <c r="T56" s="25">
        <v>7692</v>
      </c>
      <c r="U56" s="25">
        <v>72.674999999999997</v>
      </c>
      <c r="V56" s="25">
        <v>631</v>
      </c>
      <c r="W56" s="25">
        <v>12.435</v>
      </c>
      <c r="X56" s="25">
        <v>1784</v>
      </c>
      <c r="Y56" s="25">
        <v>35.6</v>
      </c>
      <c r="Z56" s="25">
        <v>11</v>
      </c>
      <c r="AA56" s="25">
        <v>2.42</v>
      </c>
      <c r="AB56" s="25">
        <v>48</v>
      </c>
      <c r="AC56" s="25">
        <v>11.89</v>
      </c>
      <c r="AD56" s="11" t="s">
        <v>190</v>
      </c>
      <c r="AE56" s="7" t="s">
        <v>190</v>
      </c>
      <c r="AF56" s="7" t="s">
        <v>190</v>
      </c>
      <c r="AG56" s="11" t="s">
        <v>190</v>
      </c>
      <c r="AH56" s="25">
        <v>143</v>
      </c>
      <c r="AI56" s="26">
        <v>3.355</v>
      </c>
      <c r="AJ56" s="25">
        <v>412</v>
      </c>
      <c r="AK56" s="26">
        <v>10.385</v>
      </c>
      <c r="AL56" s="25">
        <v>266</v>
      </c>
      <c r="AM56" s="26">
        <v>5.8</v>
      </c>
      <c r="AN56" s="25">
        <v>619</v>
      </c>
      <c r="AO56" s="26">
        <v>13.324999999999999</v>
      </c>
      <c r="AP56" s="25">
        <v>394</v>
      </c>
      <c r="AQ56" s="26">
        <v>17.29</v>
      </c>
      <c r="AR56" s="25">
        <v>557</v>
      </c>
      <c r="AS56" s="26">
        <v>26.736000000000001</v>
      </c>
      <c r="AT56" s="25">
        <v>56959</v>
      </c>
      <c r="AU56" s="26">
        <v>93.061000000000007</v>
      </c>
      <c r="AV56" s="25">
        <v>12063</v>
      </c>
      <c r="AW56" s="25">
        <v>19.402999999999999</v>
      </c>
      <c r="AX56" s="28">
        <v>104760</v>
      </c>
      <c r="AY56" s="28">
        <v>149.428</v>
      </c>
      <c r="AZ56" s="28">
        <v>31185</v>
      </c>
      <c r="BA56" s="37">
        <v>40.049999999999997</v>
      </c>
      <c r="BB56" s="9" t="s">
        <v>86</v>
      </c>
      <c r="BC56" s="10"/>
      <c r="BD56" s="10"/>
    </row>
    <row r="57" spans="1:56">
      <c r="A57" s="5" t="s">
        <v>87</v>
      </c>
      <c r="B57" s="43" t="s">
        <v>190</v>
      </c>
      <c r="C57" s="6" t="s">
        <v>190</v>
      </c>
      <c r="D57" s="6" t="s">
        <v>190</v>
      </c>
      <c r="E57" s="6" t="s">
        <v>190</v>
      </c>
      <c r="F57" s="7" t="s">
        <v>190</v>
      </c>
      <c r="G57" s="7" t="s">
        <v>190</v>
      </c>
      <c r="H57" s="25">
        <v>1</v>
      </c>
      <c r="I57" s="25">
        <v>0.17</v>
      </c>
      <c r="J57" s="7" t="s">
        <v>190</v>
      </c>
      <c r="K57" s="7" t="s">
        <v>190</v>
      </c>
      <c r="L57" s="7" t="s">
        <v>190</v>
      </c>
      <c r="M57" s="7" t="s">
        <v>190</v>
      </c>
      <c r="N57" s="25">
        <v>570</v>
      </c>
      <c r="O57" s="26">
        <v>4.6500000000000004</v>
      </c>
      <c r="P57" s="25">
        <v>644</v>
      </c>
      <c r="Q57" s="26">
        <v>4.508</v>
      </c>
      <c r="R57" s="25">
        <v>852</v>
      </c>
      <c r="S57" s="26">
        <v>6.2619999999999996</v>
      </c>
      <c r="T57" s="25">
        <v>1390</v>
      </c>
      <c r="U57" s="25">
        <v>8.34</v>
      </c>
      <c r="V57" s="25">
        <v>65</v>
      </c>
      <c r="W57" s="25">
        <v>1.23</v>
      </c>
      <c r="X57" s="25">
        <v>60</v>
      </c>
      <c r="Y57" s="25">
        <v>1.155</v>
      </c>
      <c r="Z57" s="7" t="s">
        <v>190</v>
      </c>
      <c r="AA57" s="7" t="s">
        <v>190</v>
      </c>
      <c r="AB57" s="25">
        <v>13</v>
      </c>
      <c r="AC57" s="25">
        <v>2.6</v>
      </c>
      <c r="AD57" s="11" t="s">
        <v>190</v>
      </c>
      <c r="AE57" s="7" t="s">
        <v>190</v>
      </c>
      <c r="AF57" s="7" t="s">
        <v>190</v>
      </c>
      <c r="AG57" s="11" t="s">
        <v>190</v>
      </c>
      <c r="AH57" s="25">
        <v>147</v>
      </c>
      <c r="AI57" s="26">
        <v>2.6459999999999999</v>
      </c>
      <c r="AJ57" s="25">
        <v>174</v>
      </c>
      <c r="AK57" s="26">
        <v>3.1320000000000001</v>
      </c>
      <c r="AL57" s="25">
        <v>190</v>
      </c>
      <c r="AM57" s="26">
        <v>3.04</v>
      </c>
      <c r="AN57" s="25">
        <v>290</v>
      </c>
      <c r="AO57" s="26">
        <v>4.6900000000000004</v>
      </c>
      <c r="AP57" s="25">
        <v>4</v>
      </c>
      <c r="AQ57" s="26">
        <v>0.2</v>
      </c>
      <c r="AR57" s="7" t="s">
        <v>190</v>
      </c>
      <c r="AS57" s="11" t="s">
        <v>190</v>
      </c>
      <c r="AT57" s="25">
        <v>329</v>
      </c>
      <c r="AU57" s="26">
        <v>0.66600000000000004</v>
      </c>
      <c r="AV57" s="7" t="s">
        <v>190</v>
      </c>
      <c r="AW57" s="7" t="s">
        <v>190</v>
      </c>
      <c r="AX57" s="28">
        <v>110</v>
      </c>
      <c r="AY57" s="28">
        <v>0.33</v>
      </c>
      <c r="AZ57" s="7" t="s">
        <v>190</v>
      </c>
      <c r="BA57" s="42" t="s">
        <v>190</v>
      </c>
      <c r="BB57" s="9" t="s">
        <v>88</v>
      </c>
      <c r="BC57" s="10"/>
      <c r="BD57" s="10"/>
    </row>
    <row r="58" spans="1:56">
      <c r="A58" s="5" t="s">
        <v>89</v>
      </c>
      <c r="B58" s="36">
        <v>75</v>
      </c>
      <c r="C58" s="25">
        <v>12.72</v>
      </c>
      <c r="D58" s="25">
        <v>239</v>
      </c>
      <c r="E58" s="25">
        <v>27.2</v>
      </c>
      <c r="F58" s="25">
        <v>50</v>
      </c>
      <c r="G58" s="25">
        <v>10.34</v>
      </c>
      <c r="H58" s="25">
        <v>503</v>
      </c>
      <c r="I58" s="25">
        <v>90.04</v>
      </c>
      <c r="J58" s="7" t="s">
        <v>190</v>
      </c>
      <c r="K58" s="7" t="s">
        <v>190</v>
      </c>
      <c r="L58" s="7" t="s">
        <v>190</v>
      </c>
      <c r="M58" s="7" t="s">
        <v>190</v>
      </c>
      <c r="N58" s="25">
        <v>15706</v>
      </c>
      <c r="O58" s="26">
        <v>131.52500000000001</v>
      </c>
      <c r="P58" s="25">
        <v>69227</v>
      </c>
      <c r="Q58" s="26">
        <v>588.89700000000005</v>
      </c>
      <c r="R58" s="25">
        <v>11383</v>
      </c>
      <c r="S58" s="26">
        <v>101.11499999999999</v>
      </c>
      <c r="T58" s="25">
        <v>71263</v>
      </c>
      <c r="U58" s="25">
        <v>682.35900000000004</v>
      </c>
      <c r="V58" s="25">
        <v>710</v>
      </c>
      <c r="W58" s="25">
        <v>10.683</v>
      </c>
      <c r="X58" s="25">
        <v>1344</v>
      </c>
      <c r="Y58" s="25">
        <v>17.45</v>
      </c>
      <c r="Z58" s="25">
        <v>17</v>
      </c>
      <c r="AA58" s="25">
        <v>5.54</v>
      </c>
      <c r="AB58" s="25">
        <v>187</v>
      </c>
      <c r="AC58" s="25">
        <v>38.44</v>
      </c>
      <c r="AD58" s="11" t="s">
        <v>190</v>
      </c>
      <c r="AE58" s="7" t="s">
        <v>190</v>
      </c>
      <c r="AF58" s="7" t="s">
        <v>190</v>
      </c>
      <c r="AG58" s="11" t="s">
        <v>190</v>
      </c>
      <c r="AH58" s="25">
        <v>2254</v>
      </c>
      <c r="AI58" s="26">
        <v>50.878</v>
      </c>
      <c r="AJ58" s="25">
        <v>3967</v>
      </c>
      <c r="AK58" s="26">
        <v>79.790000000000006</v>
      </c>
      <c r="AL58" s="25">
        <v>2282</v>
      </c>
      <c r="AM58" s="26">
        <v>48.533000000000001</v>
      </c>
      <c r="AN58" s="25">
        <v>4008</v>
      </c>
      <c r="AO58" s="26">
        <v>79.924999999999997</v>
      </c>
      <c r="AP58" s="25">
        <v>989</v>
      </c>
      <c r="AQ58" s="26">
        <v>52.82</v>
      </c>
      <c r="AR58" s="25">
        <v>328</v>
      </c>
      <c r="AS58" s="26">
        <v>10.36</v>
      </c>
      <c r="AT58" s="25">
        <v>18891</v>
      </c>
      <c r="AU58" s="26">
        <v>30.449000000000002</v>
      </c>
      <c r="AV58" s="25">
        <v>1331</v>
      </c>
      <c r="AW58" s="25">
        <v>2.976</v>
      </c>
      <c r="AX58" s="28">
        <v>28645</v>
      </c>
      <c r="AY58" s="28">
        <v>44.375</v>
      </c>
      <c r="AZ58" s="28">
        <v>6593</v>
      </c>
      <c r="BA58" s="37">
        <v>12.404</v>
      </c>
      <c r="BB58" s="9" t="s">
        <v>90</v>
      </c>
      <c r="BC58" s="10"/>
      <c r="BD58" s="10"/>
    </row>
    <row r="59" spans="1:56">
      <c r="A59" s="5" t="s">
        <v>91</v>
      </c>
      <c r="B59" s="36">
        <v>51</v>
      </c>
      <c r="C59" s="25">
        <v>5.5</v>
      </c>
      <c r="D59" s="25">
        <v>32</v>
      </c>
      <c r="E59" s="25">
        <v>2.95</v>
      </c>
      <c r="F59" s="25">
        <v>30</v>
      </c>
      <c r="G59" s="25">
        <v>7</v>
      </c>
      <c r="H59" s="25">
        <v>21</v>
      </c>
      <c r="I59" s="25">
        <v>4.46</v>
      </c>
      <c r="J59" s="7" t="s">
        <v>190</v>
      </c>
      <c r="K59" s="7" t="s">
        <v>190</v>
      </c>
      <c r="L59" s="7" t="s">
        <v>190</v>
      </c>
      <c r="M59" s="7" t="s">
        <v>190</v>
      </c>
      <c r="N59" s="25">
        <v>5862</v>
      </c>
      <c r="O59" s="26">
        <v>54.07</v>
      </c>
      <c r="P59" s="25">
        <v>5379</v>
      </c>
      <c r="Q59" s="26">
        <v>53.53</v>
      </c>
      <c r="R59" s="25">
        <v>6910</v>
      </c>
      <c r="S59" s="26">
        <v>67.08</v>
      </c>
      <c r="T59" s="25">
        <v>6206</v>
      </c>
      <c r="U59" s="25">
        <v>62.7</v>
      </c>
      <c r="V59" s="25">
        <v>69</v>
      </c>
      <c r="W59" s="25">
        <v>1.3</v>
      </c>
      <c r="X59" s="25">
        <v>25</v>
      </c>
      <c r="Y59" s="25">
        <v>0.5</v>
      </c>
      <c r="Z59" s="25">
        <v>9</v>
      </c>
      <c r="AA59" s="25">
        <v>0.9</v>
      </c>
      <c r="AB59" s="25">
        <v>20</v>
      </c>
      <c r="AC59" s="25">
        <v>9</v>
      </c>
      <c r="AD59" s="11" t="s">
        <v>190</v>
      </c>
      <c r="AE59" s="7" t="s">
        <v>190</v>
      </c>
      <c r="AF59" s="7" t="s">
        <v>190</v>
      </c>
      <c r="AG59" s="11" t="s">
        <v>190</v>
      </c>
      <c r="AH59" s="25">
        <v>278</v>
      </c>
      <c r="AI59" s="26">
        <v>4.6900000000000004</v>
      </c>
      <c r="AJ59" s="25">
        <v>175</v>
      </c>
      <c r="AK59" s="26">
        <v>3.4049999999999998</v>
      </c>
      <c r="AL59" s="25">
        <v>295</v>
      </c>
      <c r="AM59" s="26">
        <v>5.61</v>
      </c>
      <c r="AN59" s="25">
        <v>220</v>
      </c>
      <c r="AO59" s="26">
        <v>4.0199999999999996</v>
      </c>
      <c r="AP59" s="25">
        <v>55</v>
      </c>
      <c r="AQ59" s="26">
        <v>3.3</v>
      </c>
      <c r="AR59" s="25">
        <v>40</v>
      </c>
      <c r="AS59" s="26">
        <v>3.7</v>
      </c>
      <c r="AT59" s="25">
        <v>14663</v>
      </c>
      <c r="AU59" s="26">
        <v>47.34</v>
      </c>
      <c r="AV59" s="25">
        <v>108</v>
      </c>
      <c r="AW59" s="25">
        <v>0.61599999999999999</v>
      </c>
      <c r="AX59" s="28">
        <v>5580</v>
      </c>
      <c r="AY59" s="28">
        <v>10.5</v>
      </c>
      <c r="AZ59" s="28">
        <v>300</v>
      </c>
      <c r="BA59" s="37">
        <v>0.52500000000000002</v>
      </c>
      <c r="BB59" s="9" t="s">
        <v>92</v>
      </c>
      <c r="BC59" s="10"/>
      <c r="BD59" s="10"/>
    </row>
    <row r="60" spans="1:56">
      <c r="A60" s="82" t="s">
        <v>93</v>
      </c>
      <c r="B60" s="71">
        <f t="shared" ref="B60:L60" si="18">SUM(B62:B64)</f>
        <v>5039</v>
      </c>
      <c r="C60" s="51">
        <f t="shared" si="18"/>
        <v>552.10699999999997</v>
      </c>
      <c r="D60" s="51">
        <f t="shared" si="18"/>
        <v>8307</v>
      </c>
      <c r="E60" s="51">
        <f t="shared" si="18"/>
        <v>936.28</v>
      </c>
      <c r="F60" s="51">
        <f t="shared" si="18"/>
        <v>4165</v>
      </c>
      <c r="G60" s="51">
        <f t="shared" si="18"/>
        <v>825.58600000000001</v>
      </c>
      <c r="H60" s="51">
        <f t="shared" si="18"/>
        <v>5989</v>
      </c>
      <c r="I60" s="51">
        <f t="shared" si="18"/>
        <v>1110.69</v>
      </c>
      <c r="J60" s="51">
        <f t="shared" si="18"/>
        <v>0</v>
      </c>
      <c r="K60" s="51">
        <f t="shared" si="18"/>
        <v>0</v>
      </c>
      <c r="L60" s="51">
        <f t="shared" si="18"/>
        <v>0</v>
      </c>
      <c r="M60" s="51">
        <f t="shared" ref="M60:BA60" si="19">SUM(M62:M64)</f>
        <v>0</v>
      </c>
      <c r="N60" s="51">
        <f t="shared" si="19"/>
        <v>562134</v>
      </c>
      <c r="O60" s="53">
        <f t="shared" si="19"/>
        <v>5471.0050000000001</v>
      </c>
      <c r="P60" s="51">
        <f t="shared" si="19"/>
        <v>824873</v>
      </c>
      <c r="Q60" s="53">
        <f t="shared" si="19"/>
        <v>7875.549</v>
      </c>
      <c r="R60" s="51">
        <f t="shared" si="19"/>
        <v>262783</v>
      </c>
      <c r="S60" s="53">
        <f t="shared" si="19"/>
        <v>2398.2330000000002</v>
      </c>
      <c r="T60" s="51">
        <f t="shared" si="19"/>
        <v>390813</v>
      </c>
      <c r="U60" s="51">
        <f t="shared" si="19"/>
        <v>3515.3739999999998</v>
      </c>
      <c r="V60" s="51">
        <f t="shared" si="19"/>
        <v>29155</v>
      </c>
      <c r="W60" s="51">
        <f t="shared" si="19"/>
        <v>536.35599999999999</v>
      </c>
      <c r="X60" s="51">
        <f t="shared" si="19"/>
        <v>37925</v>
      </c>
      <c r="Y60" s="51">
        <f t="shared" si="19"/>
        <v>622.68200000000002</v>
      </c>
      <c r="Z60" s="51">
        <f t="shared" si="19"/>
        <v>740</v>
      </c>
      <c r="AA60" s="51">
        <f t="shared" si="19"/>
        <v>137.125</v>
      </c>
      <c r="AB60" s="51">
        <f t="shared" si="19"/>
        <v>893</v>
      </c>
      <c r="AC60" s="51">
        <f t="shared" si="19"/>
        <v>190.785</v>
      </c>
      <c r="AD60" s="53">
        <f t="shared" si="19"/>
        <v>0</v>
      </c>
      <c r="AE60" s="51">
        <f t="shared" si="19"/>
        <v>0</v>
      </c>
      <c r="AF60" s="51">
        <f t="shared" si="19"/>
        <v>0</v>
      </c>
      <c r="AG60" s="53">
        <f t="shared" si="19"/>
        <v>0</v>
      </c>
      <c r="AH60" s="51">
        <f t="shared" si="19"/>
        <v>77588</v>
      </c>
      <c r="AI60" s="53">
        <f t="shared" si="19"/>
        <v>1415.7729999999999</v>
      </c>
      <c r="AJ60" s="51">
        <f t="shared" si="19"/>
        <v>81765</v>
      </c>
      <c r="AK60" s="53">
        <f t="shared" si="19"/>
        <v>1675.1419999999998</v>
      </c>
      <c r="AL60" s="51">
        <f t="shared" si="19"/>
        <v>37631</v>
      </c>
      <c r="AM60" s="53">
        <f t="shared" si="19"/>
        <v>717.78800000000001</v>
      </c>
      <c r="AN60" s="51">
        <f t="shared" si="19"/>
        <v>43075</v>
      </c>
      <c r="AO60" s="53">
        <f t="shared" si="19"/>
        <v>833.69399999999996</v>
      </c>
      <c r="AP60" s="51">
        <f t="shared" si="19"/>
        <v>57287</v>
      </c>
      <c r="AQ60" s="53">
        <f t="shared" si="19"/>
        <v>3597.04</v>
      </c>
      <c r="AR60" s="51">
        <f t="shared" si="19"/>
        <v>86346</v>
      </c>
      <c r="AS60" s="53">
        <f t="shared" si="19"/>
        <v>5582.1039999999994</v>
      </c>
      <c r="AT60" s="51">
        <f t="shared" si="19"/>
        <v>2454316</v>
      </c>
      <c r="AU60" s="53">
        <f t="shared" si="19"/>
        <v>5315.9210000000003</v>
      </c>
      <c r="AV60" s="51">
        <f t="shared" si="19"/>
        <v>269397</v>
      </c>
      <c r="AW60" s="51">
        <f t="shared" si="19"/>
        <v>491.35399999999998</v>
      </c>
      <c r="AX60" s="51">
        <f t="shared" si="19"/>
        <v>476766</v>
      </c>
      <c r="AY60" s="51">
        <f t="shared" si="19"/>
        <v>810.29899999999998</v>
      </c>
      <c r="AZ60" s="51">
        <f t="shared" si="19"/>
        <v>126087</v>
      </c>
      <c r="BA60" s="52">
        <f t="shared" si="19"/>
        <v>215.96899999999999</v>
      </c>
      <c r="BB60" s="87" t="s">
        <v>94</v>
      </c>
      <c r="BC60" s="87"/>
      <c r="BD60" s="87"/>
    </row>
    <row r="61" spans="1:56">
      <c r="A61" s="82"/>
      <c r="B61" s="7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3"/>
      <c r="P61" s="51"/>
      <c r="Q61" s="53"/>
      <c r="R61" s="51"/>
      <c r="S61" s="53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3"/>
      <c r="AE61" s="51"/>
      <c r="AF61" s="51"/>
      <c r="AG61" s="53"/>
      <c r="AH61" s="51"/>
      <c r="AI61" s="53"/>
      <c r="AJ61" s="51"/>
      <c r="AK61" s="53"/>
      <c r="AL61" s="51"/>
      <c r="AM61" s="53"/>
      <c r="AN61" s="51"/>
      <c r="AO61" s="53"/>
      <c r="AP61" s="51"/>
      <c r="AQ61" s="53"/>
      <c r="AR61" s="51"/>
      <c r="AS61" s="53"/>
      <c r="AT61" s="51"/>
      <c r="AU61" s="53"/>
      <c r="AV61" s="51"/>
      <c r="AW61" s="51"/>
      <c r="AX61" s="51"/>
      <c r="AY61" s="51"/>
      <c r="AZ61" s="51"/>
      <c r="BA61" s="52"/>
      <c r="BB61" s="87"/>
      <c r="BC61" s="87"/>
      <c r="BD61" s="87"/>
    </row>
    <row r="62" spans="1:56">
      <c r="A62" s="5" t="s">
        <v>95</v>
      </c>
      <c r="B62" s="36">
        <v>959</v>
      </c>
      <c r="C62" s="25">
        <v>121.55</v>
      </c>
      <c r="D62" s="25">
        <v>1381</v>
      </c>
      <c r="E62" s="25">
        <v>163.77000000000001</v>
      </c>
      <c r="F62" s="25">
        <v>409</v>
      </c>
      <c r="G62" s="25">
        <v>72.77</v>
      </c>
      <c r="H62" s="25">
        <v>519</v>
      </c>
      <c r="I62" s="25">
        <v>75.12</v>
      </c>
      <c r="J62" s="7" t="s">
        <v>190</v>
      </c>
      <c r="K62" s="7" t="s">
        <v>190</v>
      </c>
      <c r="L62" s="7" t="s">
        <v>190</v>
      </c>
      <c r="M62" s="7" t="s">
        <v>190</v>
      </c>
      <c r="N62" s="25">
        <v>127371</v>
      </c>
      <c r="O62" s="26">
        <v>1345.546</v>
      </c>
      <c r="P62" s="25">
        <v>185703</v>
      </c>
      <c r="Q62" s="26">
        <v>1918.011</v>
      </c>
      <c r="R62" s="25">
        <v>83422</v>
      </c>
      <c r="S62" s="26">
        <v>732.91099999999994</v>
      </c>
      <c r="T62" s="25">
        <v>106056</v>
      </c>
      <c r="U62" s="25">
        <v>887.70899999999995</v>
      </c>
      <c r="V62" s="25">
        <v>1398</v>
      </c>
      <c r="W62" s="25">
        <v>24.552</v>
      </c>
      <c r="X62" s="25">
        <v>1519</v>
      </c>
      <c r="Y62" s="25">
        <v>28.707000000000001</v>
      </c>
      <c r="Z62" s="25">
        <v>30</v>
      </c>
      <c r="AA62" s="25">
        <v>5.35</v>
      </c>
      <c r="AB62" s="25">
        <v>21</v>
      </c>
      <c r="AC62" s="25">
        <v>6.35</v>
      </c>
      <c r="AD62" s="11" t="s">
        <v>190</v>
      </c>
      <c r="AE62" s="7" t="s">
        <v>190</v>
      </c>
      <c r="AF62" s="7" t="s">
        <v>190</v>
      </c>
      <c r="AG62" s="11" t="s">
        <v>190</v>
      </c>
      <c r="AH62" s="25">
        <v>14383</v>
      </c>
      <c r="AI62" s="26">
        <v>236.01</v>
      </c>
      <c r="AJ62" s="25">
        <v>16424</v>
      </c>
      <c r="AK62" s="26">
        <v>413.05099999999999</v>
      </c>
      <c r="AL62" s="25">
        <v>8325</v>
      </c>
      <c r="AM62" s="26">
        <v>141.625</v>
      </c>
      <c r="AN62" s="25">
        <v>7975</v>
      </c>
      <c r="AO62" s="26">
        <v>140.38800000000001</v>
      </c>
      <c r="AP62" s="25">
        <v>3762</v>
      </c>
      <c r="AQ62" s="26">
        <v>219.15</v>
      </c>
      <c r="AR62" s="25">
        <v>1588</v>
      </c>
      <c r="AS62" s="26">
        <v>93.12</v>
      </c>
      <c r="AT62" s="25">
        <v>170473</v>
      </c>
      <c r="AU62" s="26">
        <v>363.767</v>
      </c>
      <c r="AV62" s="25">
        <v>32564</v>
      </c>
      <c r="AW62" s="25">
        <v>69.628</v>
      </c>
      <c r="AX62" s="28">
        <v>189491</v>
      </c>
      <c r="AY62" s="28">
        <v>327.07799999999997</v>
      </c>
      <c r="AZ62" s="28">
        <v>19551</v>
      </c>
      <c r="BA62" s="37">
        <v>38.328000000000003</v>
      </c>
      <c r="BB62" s="9" t="s">
        <v>96</v>
      </c>
      <c r="BC62" s="10"/>
      <c r="BD62" s="10"/>
    </row>
    <row r="63" spans="1:56">
      <c r="A63" s="5" t="s">
        <v>97</v>
      </c>
      <c r="B63" s="36">
        <v>2344</v>
      </c>
      <c r="C63" s="25">
        <v>175.62700000000001</v>
      </c>
      <c r="D63" s="25">
        <v>4610</v>
      </c>
      <c r="E63" s="25">
        <v>367.11</v>
      </c>
      <c r="F63" s="25">
        <v>1922</v>
      </c>
      <c r="G63" s="25">
        <v>255.626</v>
      </c>
      <c r="H63" s="25">
        <v>2561</v>
      </c>
      <c r="I63" s="25">
        <v>313.33</v>
      </c>
      <c r="J63" s="7" t="s">
        <v>190</v>
      </c>
      <c r="K63" s="7" t="s">
        <v>190</v>
      </c>
      <c r="L63" s="7" t="s">
        <v>190</v>
      </c>
      <c r="M63" s="7" t="s">
        <v>190</v>
      </c>
      <c r="N63" s="25">
        <v>204672</v>
      </c>
      <c r="O63" s="26">
        <v>1859.9739999999999</v>
      </c>
      <c r="P63" s="25">
        <v>365657</v>
      </c>
      <c r="Q63" s="26">
        <v>3278.2159999999999</v>
      </c>
      <c r="R63" s="25">
        <v>76598</v>
      </c>
      <c r="S63" s="26">
        <v>662.20299999999997</v>
      </c>
      <c r="T63" s="25">
        <v>157371</v>
      </c>
      <c r="U63" s="25">
        <v>1352.029</v>
      </c>
      <c r="V63" s="25">
        <v>19997</v>
      </c>
      <c r="W63" s="25">
        <v>357.19600000000003</v>
      </c>
      <c r="X63" s="25">
        <v>29784</v>
      </c>
      <c r="Y63" s="25">
        <v>467.07499999999999</v>
      </c>
      <c r="Z63" s="25">
        <v>639</v>
      </c>
      <c r="AA63" s="25">
        <v>109.075</v>
      </c>
      <c r="AB63" s="25">
        <v>630</v>
      </c>
      <c r="AC63" s="25">
        <v>110.535</v>
      </c>
      <c r="AD63" s="11" t="s">
        <v>190</v>
      </c>
      <c r="AE63" s="7" t="s">
        <v>190</v>
      </c>
      <c r="AF63" s="7" t="s">
        <v>190</v>
      </c>
      <c r="AG63" s="11" t="s">
        <v>190</v>
      </c>
      <c r="AH63" s="25">
        <v>40956</v>
      </c>
      <c r="AI63" s="26">
        <v>729.279</v>
      </c>
      <c r="AJ63" s="25">
        <v>33145</v>
      </c>
      <c r="AK63" s="26">
        <v>600.43100000000004</v>
      </c>
      <c r="AL63" s="25">
        <v>20132</v>
      </c>
      <c r="AM63" s="26">
        <v>372.89400000000001</v>
      </c>
      <c r="AN63" s="25">
        <v>19810</v>
      </c>
      <c r="AO63" s="26">
        <v>377.541</v>
      </c>
      <c r="AP63" s="25">
        <v>37519</v>
      </c>
      <c r="AQ63" s="26">
        <v>2143.6370000000002</v>
      </c>
      <c r="AR63" s="25">
        <v>68537</v>
      </c>
      <c r="AS63" s="26">
        <v>4418.5439999999999</v>
      </c>
      <c r="AT63" s="25">
        <v>1642561</v>
      </c>
      <c r="AU63" s="26">
        <v>3702.8870000000002</v>
      </c>
      <c r="AV63" s="25">
        <v>80070</v>
      </c>
      <c r="AW63" s="25">
        <v>132.71600000000001</v>
      </c>
      <c r="AX63" s="28">
        <v>159494</v>
      </c>
      <c r="AY63" s="28">
        <v>252.14</v>
      </c>
      <c r="AZ63" s="28">
        <v>23661</v>
      </c>
      <c r="BA63" s="37">
        <v>41.72</v>
      </c>
      <c r="BB63" s="9" t="s">
        <v>98</v>
      </c>
      <c r="BC63" s="10"/>
      <c r="BD63" s="10"/>
    </row>
    <row r="64" spans="1:56">
      <c r="A64" s="5" t="s">
        <v>99</v>
      </c>
      <c r="B64" s="36">
        <v>1736</v>
      </c>
      <c r="C64" s="25">
        <v>254.93</v>
      </c>
      <c r="D64" s="25">
        <v>2316</v>
      </c>
      <c r="E64" s="25">
        <v>405.4</v>
      </c>
      <c r="F64" s="25">
        <v>1834</v>
      </c>
      <c r="G64" s="25">
        <v>497.19</v>
      </c>
      <c r="H64" s="25">
        <v>2909</v>
      </c>
      <c r="I64" s="25">
        <v>722.24</v>
      </c>
      <c r="J64" s="7" t="s">
        <v>190</v>
      </c>
      <c r="K64" s="7" t="s">
        <v>190</v>
      </c>
      <c r="L64" s="7" t="s">
        <v>190</v>
      </c>
      <c r="M64" s="7" t="s">
        <v>190</v>
      </c>
      <c r="N64" s="25">
        <v>230091</v>
      </c>
      <c r="O64" s="26">
        <v>2265.4850000000001</v>
      </c>
      <c r="P64" s="25">
        <v>273513</v>
      </c>
      <c r="Q64" s="26">
        <v>2679.3220000000001</v>
      </c>
      <c r="R64" s="25">
        <v>102763</v>
      </c>
      <c r="S64" s="26">
        <v>1003.119</v>
      </c>
      <c r="T64" s="25">
        <v>127386</v>
      </c>
      <c r="U64" s="25">
        <v>1275.636</v>
      </c>
      <c r="V64" s="25">
        <v>7760</v>
      </c>
      <c r="W64" s="25">
        <v>154.608</v>
      </c>
      <c r="X64" s="25">
        <v>6622</v>
      </c>
      <c r="Y64" s="25">
        <v>126.9</v>
      </c>
      <c r="Z64" s="25">
        <v>71</v>
      </c>
      <c r="AA64" s="25">
        <v>22.7</v>
      </c>
      <c r="AB64" s="25">
        <v>242</v>
      </c>
      <c r="AC64" s="25">
        <v>73.900000000000006</v>
      </c>
      <c r="AD64" s="11" t="s">
        <v>190</v>
      </c>
      <c r="AE64" s="7" t="s">
        <v>190</v>
      </c>
      <c r="AF64" s="7" t="s">
        <v>190</v>
      </c>
      <c r="AG64" s="11" t="s">
        <v>190</v>
      </c>
      <c r="AH64" s="25">
        <v>22249</v>
      </c>
      <c r="AI64" s="26">
        <v>450.48399999999998</v>
      </c>
      <c r="AJ64" s="25">
        <v>32196</v>
      </c>
      <c r="AK64" s="26">
        <v>661.66</v>
      </c>
      <c r="AL64" s="25">
        <v>9174</v>
      </c>
      <c r="AM64" s="26">
        <v>203.26900000000001</v>
      </c>
      <c r="AN64" s="25">
        <v>15290</v>
      </c>
      <c r="AO64" s="26">
        <v>315.76499999999999</v>
      </c>
      <c r="AP64" s="25">
        <v>16006</v>
      </c>
      <c r="AQ64" s="26">
        <v>1234.2529999999999</v>
      </c>
      <c r="AR64" s="25">
        <v>16221</v>
      </c>
      <c r="AS64" s="26">
        <v>1070.44</v>
      </c>
      <c r="AT64" s="25">
        <v>641282</v>
      </c>
      <c r="AU64" s="26">
        <v>1249.2670000000001</v>
      </c>
      <c r="AV64" s="25">
        <v>156763</v>
      </c>
      <c r="AW64" s="25">
        <v>289.01</v>
      </c>
      <c r="AX64" s="28">
        <v>127781</v>
      </c>
      <c r="AY64" s="28">
        <v>231.08099999999999</v>
      </c>
      <c r="AZ64" s="28">
        <v>82875</v>
      </c>
      <c r="BA64" s="37">
        <v>135.92099999999999</v>
      </c>
      <c r="BB64" s="9" t="s">
        <v>100</v>
      </c>
      <c r="BC64" s="10"/>
      <c r="BD64" s="10"/>
    </row>
    <row r="65" spans="1:56">
      <c r="A65" s="82" t="s">
        <v>101</v>
      </c>
      <c r="B65" s="71">
        <f t="shared" ref="B65:J65" si="20">SUM(B67:B71)</f>
        <v>381</v>
      </c>
      <c r="C65" s="51">
        <f t="shared" si="20"/>
        <v>69.025999999999996</v>
      </c>
      <c r="D65" s="51">
        <f t="shared" si="20"/>
        <v>4077</v>
      </c>
      <c r="E65" s="51">
        <f t="shared" si="20"/>
        <v>818.36</v>
      </c>
      <c r="F65" s="51">
        <f t="shared" si="20"/>
        <v>399</v>
      </c>
      <c r="G65" s="51">
        <f t="shared" si="20"/>
        <v>100.97</v>
      </c>
      <c r="H65" s="51">
        <f t="shared" si="20"/>
        <v>3367</v>
      </c>
      <c r="I65" s="51">
        <f t="shared" si="20"/>
        <v>838.42000000000007</v>
      </c>
      <c r="J65" s="51">
        <f t="shared" si="20"/>
        <v>0</v>
      </c>
      <c r="K65" s="51">
        <f t="shared" ref="K65:BA65" si="21">SUM(K67:K71)</f>
        <v>0</v>
      </c>
      <c r="L65" s="51">
        <f t="shared" si="21"/>
        <v>0</v>
      </c>
      <c r="M65" s="51">
        <f t="shared" si="21"/>
        <v>0</v>
      </c>
      <c r="N65" s="51">
        <f t="shared" si="21"/>
        <v>132413</v>
      </c>
      <c r="O65" s="53">
        <f t="shared" si="21"/>
        <v>1360.2620000000002</v>
      </c>
      <c r="P65" s="51">
        <f t="shared" si="21"/>
        <v>408160</v>
      </c>
      <c r="Q65" s="53">
        <f t="shared" si="21"/>
        <v>4176.0019999999995</v>
      </c>
      <c r="R65" s="51">
        <f t="shared" si="21"/>
        <v>147698</v>
      </c>
      <c r="S65" s="53">
        <f t="shared" si="21"/>
        <v>1407.6389999999999</v>
      </c>
      <c r="T65" s="51">
        <f t="shared" si="21"/>
        <v>441629</v>
      </c>
      <c r="U65" s="51">
        <f t="shared" si="21"/>
        <v>4213.9679999999998</v>
      </c>
      <c r="V65" s="51">
        <f t="shared" si="21"/>
        <v>7552</v>
      </c>
      <c r="W65" s="51">
        <f t="shared" si="21"/>
        <v>139.26</v>
      </c>
      <c r="X65" s="51">
        <f t="shared" si="21"/>
        <v>10349</v>
      </c>
      <c r="Y65" s="51">
        <f t="shared" si="21"/>
        <v>162.35999999999999</v>
      </c>
      <c r="Z65" s="51">
        <f t="shared" si="21"/>
        <v>14</v>
      </c>
      <c r="AA65" s="51">
        <f t="shared" si="21"/>
        <v>3.2</v>
      </c>
      <c r="AB65" s="51">
        <f t="shared" si="21"/>
        <v>267</v>
      </c>
      <c r="AC65" s="51">
        <f t="shared" si="21"/>
        <v>83.19</v>
      </c>
      <c r="AD65" s="53">
        <f t="shared" si="21"/>
        <v>0</v>
      </c>
      <c r="AE65" s="51">
        <f t="shared" si="21"/>
        <v>0</v>
      </c>
      <c r="AF65" s="51">
        <f t="shared" si="21"/>
        <v>0</v>
      </c>
      <c r="AG65" s="53">
        <f t="shared" si="21"/>
        <v>0</v>
      </c>
      <c r="AH65" s="51">
        <f t="shared" si="21"/>
        <v>17491</v>
      </c>
      <c r="AI65" s="53">
        <f t="shared" si="21"/>
        <v>352.98499999999996</v>
      </c>
      <c r="AJ65" s="51">
        <f t="shared" si="21"/>
        <v>22408</v>
      </c>
      <c r="AK65" s="53">
        <f t="shared" si="21"/>
        <v>475.21999999999997</v>
      </c>
      <c r="AL65" s="51">
        <f t="shared" si="21"/>
        <v>15810</v>
      </c>
      <c r="AM65" s="53">
        <f t="shared" si="21"/>
        <v>335.85299999999995</v>
      </c>
      <c r="AN65" s="51">
        <f t="shared" si="21"/>
        <v>27939</v>
      </c>
      <c r="AO65" s="53">
        <f t="shared" si="21"/>
        <v>567.60799999999995</v>
      </c>
      <c r="AP65" s="51">
        <f t="shared" si="21"/>
        <v>45025</v>
      </c>
      <c r="AQ65" s="53">
        <f t="shared" si="21"/>
        <v>3725.7620000000002</v>
      </c>
      <c r="AR65" s="51">
        <f t="shared" si="21"/>
        <v>29022</v>
      </c>
      <c r="AS65" s="53">
        <f t="shared" si="21"/>
        <v>1873.46</v>
      </c>
      <c r="AT65" s="51">
        <f t="shared" si="21"/>
        <v>1033700</v>
      </c>
      <c r="AU65" s="53">
        <f t="shared" si="21"/>
        <v>2080.19</v>
      </c>
      <c r="AV65" s="51">
        <f t="shared" si="21"/>
        <v>655493</v>
      </c>
      <c r="AW65" s="51">
        <f t="shared" si="21"/>
        <v>1319.7830000000001</v>
      </c>
      <c r="AX65" s="51">
        <f t="shared" si="21"/>
        <v>294759</v>
      </c>
      <c r="AY65" s="51">
        <f t="shared" si="21"/>
        <v>545.81600000000003</v>
      </c>
      <c r="AZ65" s="51">
        <f t="shared" si="21"/>
        <v>29709</v>
      </c>
      <c r="BA65" s="52">
        <f t="shared" si="21"/>
        <v>56.231999999999999</v>
      </c>
      <c r="BB65" s="87" t="s">
        <v>102</v>
      </c>
      <c r="BC65" s="87"/>
      <c r="BD65" s="87"/>
    </row>
    <row r="66" spans="1:56">
      <c r="A66" s="82"/>
      <c r="B66" s="7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3"/>
      <c r="P66" s="51"/>
      <c r="Q66" s="53"/>
      <c r="R66" s="51"/>
      <c r="S66" s="53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3"/>
      <c r="AE66" s="51"/>
      <c r="AF66" s="51"/>
      <c r="AG66" s="53"/>
      <c r="AH66" s="51"/>
      <c r="AI66" s="53"/>
      <c r="AJ66" s="51"/>
      <c r="AK66" s="53"/>
      <c r="AL66" s="51"/>
      <c r="AM66" s="53"/>
      <c r="AN66" s="51"/>
      <c r="AO66" s="53"/>
      <c r="AP66" s="51"/>
      <c r="AQ66" s="53"/>
      <c r="AR66" s="51"/>
      <c r="AS66" s="53"/>
      <c r="AT66" s="51"/>
      <c r="AU66" s="53"/>
      <c r="AV66" s="51"/>
      <c r="AW66" s="51"/>
      <c r="AX66" s="51"/>
      <c r="AY66" s="51"/>
      <c r="AZ66" s="51"/>
      <c r="BA66" s="52"/>
      <c r="BB66" s="87"/>
      <c r="BC66" s="87"/>
      <c r="BD66" s="87"/>
    </row>
    <row r="67" spans="1:56">
      <c r="A67" s="5" t="s">
        <v>103</v>
      </c>
      <c r="B67" s="36">
        <v>9</v>
      </c>
      <c r="C67" s="25">
        <v>1.35</v>
      </c>
      <c r="D67" s="25">
        <v>425</v>
      </c>
      <c r="E67" s="25">
        <v>62.58</v>
      </c>
      <c r="F67" s="25">
        <v>37</v>
      </c>
      <c r="G67" s="25">
        <v>7.96</v>
      </c>
      <c r="H67" s="25">
        <v>532</v>
      </c>
      <c r="I67" s="25">
        <v>165.6</v>
      </c>
      <c r="J67" s="7" t="s">
        <v>190</v>
      </c>
      <c r="K67" s="7" t="s">
        <v>190</v>
      </c>
      <c r="L67" s="7" t="s">
        <v>190</v>
      </c>
      <c r="M67" s="7" t="s">
        <v>190</v>
      </c>
      <c r="N67" s="25">
        <v>23094</v>
      </c>
      <c r="O67" s="26">
        <v>253.22200000000001</v>
      </c>
      <c r="P67" s="25">
        <v>135236</v>
      </c>
      <c r="Q67" s="26">
        <v>1463.6669999999999</v>
      </c>
      <c r="R67" s="25">
        <v>15804</v>
      </c>
      <c r="S67" s="26">
        <v>145.816</v>
      </c>
      <c r="T67" s="27">
        <v>119839</v>
      </c>
      <c r="U67" s="27">
        <v>1152.528</v>
      </c>
      <c r="V67" s="25">
        <v>804</v>
      </c>
      <c r="W67" s="25">
        <v>15.86</v>
      </c>
      <c r="X67" s="25">
        <v>1007</v>
      </c>
      <c r="Y67" s="25">
        <v>12.79</v>
      </c>
      <c r="Z67" s="25">
        <v>5</v>
      </c>
      <c r="AA67" s="25">
        <v>0.55000000000000004</v>
      </c>
      <c r="AB67" s="25">
        <v>18</v>
      </c>
      <c r="AC67" s="25">
        <v>2.95</v>
      </c>
      <c r="AD67" s="11" t="s">
        <v>190</v>
      </c>
      <c r="AE67" s="7" t="s">
        <v>190</v>
      </c>
      <c r="AF67" s="7" t="s">
        <v>190</v>
      </c>
      <c r="AG67" s="11" t="s">
        <v>190</v>
      </c>
      <c r="AH67" s="25">
        <v>3685</v>
      </c>
      <c r="AI67" s="26">
        <v>79.593999999999994</v>
      </c>
      <c r="AJ67" s="25">
        <v>7420</v>
      </c>
      <c r="AK67" s="26">
        <v>164.036</v>
      </c>
      <c r="AL67" s="25">
        <v>3585</v>
      </c>
      <c r="AM67" s="26">
        <v>78.628</v>
      </c>
      <c r="AN67" s="25">
        <v>7543</v>
      </c>
      <c r="AO67" s="26">
        <v>152.63300000000001</v>
      </c>
      <c r="AP67" s="25">
        <v>3247</v>
      </c>
      <c r="AQ67" s="26">
        <v>1116.221</v>
      </c>
      <c r="AR67" s="25">
        <v>6429</v>
      </c>
      <c r="AS67" s="26">
        <v>412.94499999999999</v>
      </c>
      <c r="AT67" s="25">
        <v>274322</v>
      </c>
      <c r="AU67" s="26">
        <v>581.16399999999999</v>
      </c>
      <c r="AV67" s="25">
        <v>331425</v>
      </c>
      <c r="AW67" s="25">
        <v>671.50300000000004</v>
      </c>
      <c r="AX67" s="28">
        <v>39252</v>
      </c>
      <c r="AY67" s="28">
        <v>76.841999999999999</v>
      </c>
      <c r="AZ67" s="28">
        <v>10970</v>
      </c>
      <c r="BA67" s="37">
        <v>21.198</v>
      </c>
      <c r="BB67" s="9" t="s">
        <v>104</v>
      </c>
      <c r="BC67" s="10"/>
      <c r="BD67" s="10"/>
    </row>
    <row r="68" spans="1:56">
      <c r="A68" s="5" t="s">
        <v>105</v>
      </c>
      <c r="B68" s="36">
        <v>7</v>
      </c>
      <c r="C68" s="25">
        <v>1.85</v>
      </c>
      <c r="D68" s="25">
        <v>709</v>
      </c>
      <c r="E68" s="25">
        <v>146.63</v>
      </c>
      <c r="F68" s="25">
        <v>17</v>
      </c>
      <c r="G68" s="25">
        <v>5.0999999999999996</v>
      </c>
      <c r="H68" s="25">
        <v>223</v>
      </c>
      <c r="I68" s="25">
        <v>67.75</v>
      </c>
      <c r="J68" s="7" t="s">
        <v>190</v>
      </c>
      <c r="K68" s="7" t="s">
        <v>190</v>
      </c>
      <c r="L68" s="7" t="s">
        <v>190</v>
      </c>
      <c r="M68" s="7" t="s">
        <v>190</v>
      </c>
      <c r="N68" s="25">
        <v>27505</v>
      </c>
      <c r="O68" s="26">
        <v>250.113</v>
      </c>
      <c r="P68" s="25">
        <v>93509</v>
      </c>
      <c r="Q68" s="26">
        <v>853.27599999999995</v>
      </c>
      <c r="R68" s="25">
        <v>25328</v>
      </c>
      <c r="S68" s="26">
        <v>202.47800000000001</v>
      </c>
      <c r="T68" s="27">
        <v>91793</v>
      </c>
      <c r="U68" s="27">
        <v>727.351</v>
      </c>
      <c r="V68" s="25">
        <v>2380</v>
      </c>
      <c r="W68" s="25">
        <v>40.1</v>
      </c>
      <c r="X68" s="25">
        <v>4900</v>
      </c>
      <c r="Y68" s="25">
        <v>77.94</v>
      </c>
      <c r="Z68" s="25">
        <v>3</v>
      </c>
      <c r="AA68" s="25">
        <v>0.9</v>
      </c>
      <c r="AB68" s="7" t="s">
        <v>190</v>
      </c>
      <c r="AC68" s="7" t="s">
        <v>190</v>
      </c>
      <c r="AD68" s="11" t="s">
        <v>190</v>
      </c>
      <c r="AE68" s="7" t="s">
        <v>190</v>
      </c>
      <c r="AF68" s="7" t="s">
        <v>190</v>
      </c>
      <c r="AG68" s="11" t="s">
        <v>190</v>
      </c>
      <c r="AH68" s="25">
        <v>7150</v>
      </c>
      <c r="AI68" s="26">
        <v>149.36600000000001</v>
      </c>
      <c r="AJ68" s="25">
        <v>8579</v>
      </c>
      <c r="AK68" s="26">
        <v>184.43299999999999</v>
      </c>
      <c r="AL68" s="25">
        <v>6488</v>
      </c>
      <c r="AM68" s="26">
        <v>141.214</v>
      </c>
      <c r="AN68" s="25">
        <v>9621</v>
      </c>
      <c r="AO68" s="26">
        <v>211.89599999999999</v>
      </c>
      <c r="AP68" s="25">
        <v>6032</v>
      </c>
      <c r="AQ68" s="26">
        <v>412.26600000000002</v>
      </c>
      <c r="AR68" s="25">
        <v>7688</v>
      </c>
      <c r="AS68" s="26">
        <v>481.6</v>
      </c>
      <c r="AT68" s="25">
        <v>240651</v>
      </c>
      <c r="AU68" s="26">
        <v>516.82799999999997</v>
      </c>
      <c r="AV68" s="25">
        <v>11640</v>
      </c>
      <c r="AW68" s="25">
        <v>25.335999999999999</v>
      </c>
      <c r="AX68" s="28">
        <v>86714</v>
      </c>
      <c r="AY68" s="28">
        <v>157.62100000000001</v>
      </c>
      <c r="AZ68" s="28">
        <v>1280</v>
      </c>
      <c r="BA68" s="37">
        <v>2.1800000000000002</v>
      </c>
      <c r="BB68" s="9" t="s">
        <v>106</v>
      </c>
      <c r="BC68" s="10"/>
      <c r="BD68" s="10"/>
    </row>
    <row r="69" spans="1:56">
      <c r="A69" s="5" t="s">
        <v>107</v>
      </c>
      <c r="B69" s="36">
        <v>25</v>
      </c>
      <c r="C69" s="25">
        <v>5.75</v>
      </c>
      <c r="D69" s="25">
        <v>161</v>
      </c>
      <c r="E69" s="25">
        <v>30.6</v>
      </c>
      <c r="F69" s="25">
        <v>31</v>
      </c>
      <c r="G69" s="25">
        <v>13.6</v>
      </c>
      <c r="H69" s="25">
        <v>157</v>
      </c>
      <c r="I69" s="25">
        <v>31.95</v>
      </c>
      <c r="J69" s="7" t="s">
        <v>190</v>
      </c>
      <c r="K69" s="7" t="s">
        <v>190</v>
      </c>
      <c r="L69" s="7" t="s">
        <v>190</v>
      </c>
      <c r="M69" s="7" t="s">
        <v>190</v>
      </c>
      <c r="N69" s="25">
        <v>23117</v>
      </c>
      <c r="O69" s="26">
        <v>266.36</v>
      </c>
      <c r="P69" s="25">
        <v>39936</v>
      </c>
      <c r="Q69" s="26">
        <v>443.52</v>
      </c>
      <c r="R69" s="25">
        <v>21487</v>
      </c>
      <c r="S69" s="26">
        <v>220.327</v>
      </c>
      <c r="T69" s="27">
        <v>34465</v>
      </c>
      <c r="U69" s="27">
        <v>324.64800000000002</v>
      </c>
      <c r="V69" s="25">
        <v>3687</v>
      </c>
      <c r="W69" s="25">
        <v>69.83</v>
      </c>
      <c r="X69" s="25">
        <v>3114</v>
      </c>
      <c r="Y69" s="25">
        <v>60.29</v>
      </c>
      <c r="Z69" s="7" t="s">
        <v>190</v>
      </c>
      <c r="AA69" s="7" t="s">
        <v>190</v>
      </c>
      <c r="AB69" s="25">
        <v>5</v>
      </c>
      <c r="AC69" s="25">
        <v>1</v>
      </c>
      <c r="AD69" s="11" t="s">
        <v>190</v>
      </c>
      <c r="AE69" s="7" t="s">
        <v>190</v>
      </c>
      <c r="AF69" s="7" t="s">
        <v>190</v>
      </c>
      <c r="AG69" s="11" t="s">
        <v>190</v>
      </c>
      <c r="AH69" s="25">
        <v>3189</v>
      </c>
      <c r="AI69" s="26">
        <v>68.661000000000001</v>
      </c>
      <c r="AJ69" s="25">
        <v>3072</v>
      </c>
      <c r="AK69" s="26">
        <v>59.64</v>
      </c>
      <c r="AL69" s="25">
        <v>2185</v>
      </c>
      <c r="AM69" s="26">
        <v>44.784999999999997</v>
      </c>
      <c r="AN69" s="25">
        <v>5701</v>
      </c>
      <c r="AO69" s="26">
        <v>108.24</v>
      </c>
      <c r="AP69" s="25">
        <v>16593</v>
      </c>
      <c r="AQ69" s="26">
        <v>1017.485</v>
      </c>
      <c r="AR69" s="25">
        <v>9066</v>
      </c>
      <c r="AS69" s="26">
        <v>578.96</v>
      </c>
      <c r="AT69" s="25">
        <v>171273</v>
      </c>
      <c r="AU69" s="26">
        <v>298.77300000000002</v>
      </c>
      <c r="AV69" s="25">
        <v>214816</v>
      </c>
      <c r="AW69" s="25">
        <v>429.6</v>
      </c>
      <c r="AX69" s="28">
        <v>61913</v>
      </c>
      <c r="AY69" s="28">
        <v>103.232</v>
      </c>
      <c r="AZ69" s="28">
        <v>7030</v>
      </c>
      <c r="BA69" s="37">
        <v>11.404999999999999</v>
      </c>
      <c r="BB69" s="9" t="s">
        <v>108</v>
      </c>
      <c r="BC69" s="10"/>
      <c r="BD69" s="10"/>
    </row>
    <row r="70" spans="1:56">
      <c r="A70" s="5" t="s">
        <v>109</v>
      </c>
      <c r="B70" s="36">
        <v>125</v>
      </c>
      <c r="C70" s="25">
        <v>18</v>
      </c>
      <c r="D70" s="25">
        <v>1647</v>
      </c>
      <c r="E70" s="25">
        <v>312.94</v>
      </c>
      <c r="F70" s="25">
        <v>175</v>
      </c>
      <c r="G70" s="25">
        <v>44.05</v>
      </c>
      <c r="H70" s="25">
        <v>1536</v>
      </c>
      <c r="I70" s="25">
        <v>366.3</v>
      </c>
      <c r="J70" s="7" t="s">
        <v>190</v>
      </c>
      <c r="K70" s="7" t="s">
        <v>190</v>
      </c>
      <c r="L70" s="7" t="s">
        <v>190</v>
      </c>
      <c r="M70" s="7" t="s">
        <v>190</v>
      </c>
      <c r="N70" s="25">
        <v>27575</v>
      </c>
      <c r="O70" s="26">
        <v>270.25400000000002</v>
      </c>
      <c r="P70" s="25">
        <v>50606</v>
      </c>
      <c r="Q70" s="26">
        <v>514.48599999999999</v>
      </c>
      <c r="R70" s="25">
        <v>53546</v>
      </c>
      <c r="S70" s="26">
        <v>526.38199999999995</v>
      </c>
      <c r="T70" s="27">
        <v>137459</v>
      </c>
      <c r="U70" s="27">
        <v>1330.1</v>
      </c>
      <c r="V70" s="25">
        <v>497</v>
      </c>
      <c r="W70" s="25">
        <v>9.7550000000000008</v>
      </c>
      <c r="X70" s="25">
        <v>1103</v>
      </c>
      <c r="Y70" s="25">
        <v>7.0949999999999998</v>
      </c>
      <c r="Z70" s="25">
        <v>3</v>
      </c>
      <c r="AA70" s="25">
        <v>0.75</v>
      </c>
      <c r="AB70" s="25">
        <v>153</v>
      </c>
      <c r="AC70" s="25">
        <v>68.239999999999995</v>
      </c>
      <c r="AD70" s="11" t="s">
        <v>190</v>
      </c>
      <c r="AE70" s="7" t="s">
        <v>190</v>
      </c>
      <c r="AF70" s="7" t="s">
        <v>190</v>
      </c>
      <c r="AG70" s="11" t="s">
        <v>190</v>
      </c>
      <c r="AH70" s="25">
        <v>1406</v>
      </c>
      <c r="AI70" s="26">
        <v>28.097000000000001</v>
      </c>
      <c r="AJ70" s="25">
        <v>1753</v>
      </c>
      <c r="AK70" s="26">
        <v>36.600999999999999</v>
      </c>
      <c r="AL70" s="25">
        <v>2213</v>
      </c>
      <c r="AM70" s="26">
        <v>44.844000000000001</v>
      </c>
      <c r="AN70" s="25">
        <v>3317</v>
      </c>
      <c r="AO70" s="26">
        <v>68.626000000000005</v>
      </c>
      <c r="AP70" s="25">
        <v>15578</v>
      </c>
      <c r="AQ70" s="26">
        <v>986.245</v>
      </c>
      <c r="AR70" s="25">
        <v>2283</v>
      </c>
      <c r="AS70" s="26">
        <v>151.995</v>
      </c>
      <c r="AT70" s="25">
        <v>136973</v>
      </c>
      <c r="AU70" s="26">
        <v>278.17899999999997</v>
      </c>
      <c r="AV70" s="25">
        <v>91432</v>
      </c>
      <c r="AW70" s="25">
        <v>179.02</v>
      </c>
      <c r="AX70" s="28">
        <v>40146</v>
      </c>
      <c r="AY70" s="28">
        <v>76.531000000000006</v>
      </c>
      <c r="AZ70" s="28">
        <v>4347</v>
      </c>
      <c r="BA70" s="37">
        <v>8.0540000000000003</v>
      </c>
      <c r="BB70" s="9" t="s">
        <v>110</v>
      </c>
      <c r="BC70" s="10"/>
      <c r="BD70" s="10"/>
    </row>
    <row r="71" spans="1:56">
      <c r="A71" s="5" t="s">
        <v>111</v>
      </c>
      <c r="B71" s="36">
        <v>215</v>
      </c>
      <c r="C71" s="25">
        <v>42.076000000000001</v>
      </c>
      <c r="D71" s="25">
        <v>1135</v>
      </c>
      <c r="E71" s="25">
        <v>265.61</v>
      </c>
      <c r="F71" s="25">
        <v>139</v>
      </c>
      <c r="G71" s="25">
        <v>30.26</v>
      </c>
      <c r="H71" s="25">
        <v>919</v>
      </c>
      <c r="I71" s="25">
        <v>206.82</v>
      </c>
      <c r="J71" s="7" t="s">
        <v>190</v>
      </c>
      <c r="K71" s="7" t="s">
        <v>190</v>
      </c>
      <c r="L71" s="7" t="s">
        <v>190</v>
      </c>
      <c r="M71" s="7" t="s">
        <v>190</v>
      </c>
      <c r="N71" s="25">
        <v>31122</v>
      </c>
      <c r="O71" s="26">
        <v>320.31299999999999</v>
      </c>
      <c r="P71" s="25">
        <v>88873</v>
      </c>
      <c r="Q71" s="26">
        <v>901.053</v>
      </c>
      <c r="R71" s="25">
        <v>31533</v>
      </c>
      <c r="S71" s="26">
        <v>312.63600000000002</v>
      </c>
      <c r="T71" s="27">
        <v>58073</v>
      </c>
      <c r="U71" s="27">
        <v>679.34100000000001</v>
      </c>
      <c r="V71" s="25">
        <v>184</v>
      </c>
      <c r="W71" s="25">
        <v>3.7149999999999999</v>
      </c>
      <c r="X71" s="25">
        <v>225</v>
      </c>
      <c r="Y71" s="25">
        <v>4.2450000000000001</v>
      </c>
      <c r="Z71" s="25">
        <v>3</v>
      </c>
      <c r="AA71" s="25">
        <v>1</v>
      </c>
      <c r="AB71" s="25">
        <v>91</v>
      </c>
      <c r="AC71" s="25">
        <v>11</v>
      </c>
      <c r="AD71" s="11" t="s">
        <v>190</v>
      </c>
      <c r="AE71" s="7" t="s">
        <v>190</v>
      </c>
      <c r="AF71" s="7" t="s">
        <v>190</v>
      </c>
      <c r="AG71" s="11" t="s">
        <v>190</v>
      </c>
      <c r="AH71" s="25">
        <v>2061</v>
      </c>
      <c r="AI71" s="26">
        <v>27.266999999999999</v>
      </c>
      <c r="AJ71" s="25">
        <v>1584</v>
      </c>
      <c r="AK71" s="26">
        <v>30.51</v>
      </c>
      <c r="AL71" s="25">
        <v>1339</v>
      </c>
      <c r="AM71" s="26">
        <v>26.382000000000001</v>
      </c>
      <c r="AN71" s="25">
        <v>1757</v>
      </c>
      <c r="AO71" s="26">
        <v>26.213000000000001</v>
      </c>
      <c r="AP71" s="25">
        <v>3575</v>
      </c>
      <c r="AQ71" s="26">
        <v>193.54499999999999</v>
      </c>
      <c r="AR71" s="25">
        <v>3556</v>
      </c>
      <c r="AS71" s="26">
        <v>247.96</v>
      </c>
      <c r="AT71" s="25">
        <v>210481</v>
      </c>
      <c r="AU71" s="26">
        <v>405.24599999999998</v>
      </c>
      <c r="AV71" s="25">
        <v>6180</v>
      </c>
      <c r="AW71" s="25">
        <v>14.324</v>
      </c>
      <c r="AX71" s="28">
        <v>66734</v>
      </c>
      <c r="AY71" s="28">
        <v>131.59</v>
      </c>
      <c r="AZ71" s="28">
        <v>6082</v>
      </c>
      <c r="BA71" s="37">
        <v>13.395</v>
      </c>
      <c r="BB71" s="9" t="s">
        <v>112</v>
      </c>
      <c r="BC71" s="10"/>
      <c r="BD71" s="10"/>
    </row>
    <row r="72" spans="1:56">
      <c r="A72" s="82" t="s">
        <v>113</v>
      </c>
      <c r="B72" s="71">
        <f t="shared" ref="B72:L72" si="22">SUM(B74:B81)</f>
        <v>430</v>
      </c>
      <c r="C72" s="51">
        <f t="shared" si="22"/>
        <v>75.2</v>
      </c>
      <c r="D72" s="51">
        <f t="shared" si="22"/>
        <v>403</v>
      </c>
      <c r="E72" s="51">
        <f t="shared" si="22"/>
        <v>88.25</v>
      </c>
      <c r="F72" s="51">
        <f t="shared" si="22"/>
        <v>2098</v>
      </c>
      <c r="G72" s="51">
        <f t="shared" si="22"/>
        <v>658.5</v>
      </c>
      <c r="H72" s="51">
        <f t="shared" si="22"/>
        <v>264</v>
      </c>
      <c r="I72" s="51">
        <f t="shared" si="22"/>
        <v>73.099999999999994</v>
      </c>
      <c r="J72" s="51">
        <f t="shared" si="22"/>
        <v>0</v>
      </c>
      <c r="K72" s="51">
        <f t="shared" si="22"/>
        <v>0</v>
      </c>
      <c r="L72" s="51">
        <f t="shared" si="22"/>
        <v>0</v>
      </c>
      <c r="M72" s="51">
        <f t="shared" ref="M72:X72" si="23">SUM(M74:M81)</f>
        <v>0</v>
      </c>
      <c r="N72" s="51">
        <f t="shared" si="23"/>
        <v>39448</v>
      </c>
      <c r="O72" s="53">
        <f t="shared" si="23"/>
        <v>361.11699999999996</v>
      </c>
      <c r="P72" s="51">
        <f t="shared" si="23"/>
        <v>43865</v>
      </c>
      <c r="Q72" s="53">
        <f t="shared" si="23"/>
        <v>404.75</v>
      </c>
      <c r="R72" s="51">
        <f t="shared" si="23"/>
        <v>37441</v>
      </c>
      <c r="S72" s="53">
        <f t="shared" si="23"/>
        <v>347.40300000000002</v>
      </c>
      <c r="T72" s="51">
        <f t="shared" si="23"/>
        <v>12942</v>
      </c>
      <c r="U72" s="51">
        <f t="shared" si="23"/>
        <v>110.678</v>
      </c>
      <c r="V72" s="51">
        <f t="shared" si="23"/>
        <v>3044</v>
      </c>
      <c r="W72" s="51">
        <f t="shared" si="23"/>
        <v>58.344999999999999</v>
      </c>
      <c r="X72" s="51">
        <f t="shared" si="23"/>
        <v>6845</v>
      </c>
      <c r="Y72" s="51">
        <f>SUM(Y74:Y81)</f>
        <v>106.03</v>
      </c>
      <c r="Z72" s="51">
        <f t="shared" ref="Z72:BA72" si="24">SUM(Z74:Z81)</f>
        <v>120</v>
      </c>
      <c r="AA72" s="51">
        <f t="shared" si="24"/>
        <v>36</v>
      </c>
      <c r="AB72" s="51">
        <f t="shared" si="24"/>
        <v>214</v>
      </c>
      <c r="AC72" s="51">
        <f t="shared" si="24"/>
        <v>76.56</v>
      </c>
      <c r="AD72" s="53">
        <f t="shared" si="24"/>
        <v>0</v>
      </c>
      <c r="AE72" s="51">
        <f t="shared" si="24"/>
        <v>0</v>
      </c>
      <c r="AF72" s="51">
        <f t="shared" si="24"/>
        <v>0</v>
      </c>
      <c r="AG72" s="53">
        <f t="shared" si="24"/>
        <v>0</v>
      </c>
      <c r="AH72" s="51">
        <f t="shared" si="24"/>
        <v>12874</v>
      </c>
      <c r="AI72" s="53">
        <f t="shared" si="24"/>
        <v>226.88800000000001</v>
      </c>
      <c r="AJ72" s="51">
        <f t="shared" si="24"/>
        <v>10639</v>
      </c>
      <c r="AK72" s="53">
        <f t="shared" si="24"/>
        <v>198.876</v>
      </c>
      <c r="AL72" s="51">
        <f t="shared" si="24"/>
        <v>10213</v>
      </c>
      <c r="AM72" s="53">
        <f t="shared" si="24"/>
        <v>181.06700000000001</v>
      </c>
      <c r="AN72" s="51">
        <f t="shared" si="24"/>
        <v>2081</v>
      </c>
      <c r="AO72" s="53">
        <f t="shared" si="24"/>
        <v>37.645000000000003</v>
      </c>
      <c r="AP72" s="51">
        <f t="shared" si="24"/>
        <v>7977</v>
      </c>
      <c r="AQ72" s="53">
        <f t="shared" si="24"/>
        <v>474.89</v>
      </c>
      <c r="AR72" s="51">
        <f t="shared" si="24"/>
        <v>13033</v>
      </c>
      <c r="AS72" s="53">
        <f t="shared" si="24"/>
        <v>718.39</v>
      </c>
      <c r="AT72" s="51">
        <f t="shared" si="24"/>
        <v>447618</v>
      </c>
      <c r="AU72" s="53">
        <f t="shared" si="24"/>
        <v>806.79199999999992</v>
      </c>
      <c r="AV72" s="51">
        <f t="shared" si="24"/>
        <v>2741295</v>
      </c>
      <c r="AW72" s="51">
        <f t="shared" si="24"/>
        <v>4829.2000000000007</v>
      </c>
      <c r="AX72" s="51">
        <f t="shared" si="24"/>
        <v>143105</v>
      </c>
      <c r="AY72" s="51">
        <f t="shared" si="24"/>
        <v>229.86099999999999</v>
      </c>
      <c r="AZ72" s="51">
        <f t="shared" si="24"/>
        <v>2950</v>
      </c>
      <c r="BA72" s="52">
        <f t="shared" si="24"/>
        <v>4.7549999999999999</v>
      </c>
      <c r="BB72" s="87" t="s">
        <v>114</v>
      </c>
      <c r="BC72" s="87"/>
      <c r="BD72" s="87"/>
    </row>
    <row r="73" spans="1:56">
      <c r="A73" s="82"/>
      <c r="B73" s="7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3"/>
      <c r="P73" s="51"/>
      <c r="Q73" s="53"/>
      <c r="R73" s="51"/>
      <c r="S73" s="53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3"/>
      <c r="AE73" s="51"/>
      <c r="AF73" s="51"/>
      <c r="AG73" s="53"/>
      <c r="AH73" s="51"/>
      <c r="AI73" s="53"/>
      <c r="AJ73" s="51"/>
      <c r="AK73" s="53"/>
      <c r="AL73" s="51"/>
      <c r="AM73" s="53"/>
      <c r="AN73" s="51"/>
      <c r="AO73" s="53"/>
      <c r="AP73" s="51"/>
      <c r="AQ73" s="53"/>
      <c r="AR73" s="51"/>
      <c r="AS73" s="53"/>
      <c r="AT73" s="51"/>
      <c r="AU73" s="53"/>
      <c r="AV73" s="51"/>
      <c r="AW73" s="51"/>
      <c r="AX73" s="51"/>
      <c r="AY73" s="51"/>
      <c r="AZ73" s="51"/>
      <c r="BA73" s="52"/>
      <c r="BB73" s="87"/>
      <c r="BC73" s="87"/>
      <c r="BD73" s="87"/>
    </row>
    <row r="74" spans="1:56">
      <c r="A74" s="12" t="s">
        <v>115</v>
      </c>
      <c r="B74" s="38" t="s">
        <v>190</v>
      </c>
      <c r="C74" s="7" t="s">
        <v>190</v>
      </c>
      <c r="D74" s="7" t="s">
        <v>190</v>
      </c>
      <c r="E74" s="7" t="s">
        <v>190</v>
      </c>
      <c r="F74" s="7" t="s">
        <v>190</v>
      </c>
      <c r="G74" s="7" t="s">
        <v>190</v>
      </c>
      <c r="H74" s="7" t="s">
        <v>190</v>
      </c>
      <c r="I74" s="7" t="s">
        <v>190</v>
      </c>
      <c r="J74" s="7" t="s">
        <v>190</v>
      </c>
      <c r="K74" s="7" t="s">
        <v>190</v>
      </c>
      <c r="L74" s="7" t="s">
        <v>190</v>
      </c>
      <c r="M74" s="7" t="s">
        <v>190</v>
      </c>
      <c r="N74" s="7" t="s">
        <v>190</v>
      </c>
      <c r="O74" s="11" t="s">
        <v>190</v>
      </c>
      <c r="P74" s="7" t="s">
        <v>190</v>
      </c>
      <c r="Q74" s="11" t="s">
        <v>190</v>
      </c>
      <c r="R74" s="7" t="s">
        <v>190</v>
      </c>
      <c r="S74" s="11" t="s">
        <v>190</v>
      </c>
      <c r="T74" s="7" t="s">
        <v>190</v>
      </c>
      <c r="U74" s="7" t="s">
        <v>190</v>
      </c>
      <c r="V74" s="7" t="s">
        <v>190</v>
      </c>
      <c r="W74" s="7" t="s">
        <v>190</v>
      </c>
      <c r="X74" s="7" t="s">
        <v>190</v>
      </c>
      <c r="Y74" s="7" t="s">
        <v>190</v>
      </c>
      <c r="Z74" s="7" t="s">
        <v>190</v>
      </c>
      <c r="AA74" s="7" t="s">
        <v>190</v>
      </c>
      <c r="AB74" s="7" t="s">
        <v>190</v>
      </c>
      <c r="AC74" s="7" t="s">
        <v>190</v>
      </c>
      <c r="AD74" s="11" t="s">
        <v>190</v>
      </c>
      <c r="AE74" s="7" t="s">
        <v>190</v>
      </c>
      <c r="AF74" s="7" t="s">
        <v>190</v>
      </c>
      <c r="AG74" s="11" t="s">
        <v>190</v>
      </c>
      <c r="AH74" s="7" t="s">
        <v>190</v>
      </c>
      <c r="AI74" s="11" t="s">
        <v>190</v>
      </c>
      <c r="AJ74" s="7" t="s">
        <v>190</v>
      </c>
      <c r="AK74" s="11" t="s">
        <v>190</v>
      </c>
      <c r="AL74" s="7" t="s">
        <v>190</v>
      </c>
      <c r="AM74" s="11" t="s">
        <v>190</v>
      </c>
      <c r="AN74" s="7" t="s">
        <v>190</v>
      </c>
      <c r="AO74" s="11" t="s">
        <v>190</v>
      </c>
      <c r="AP74" s="7" t="s">
        <v>190</v>
      </c>
      <c r="AQ74" s="11" t="s">
        <v>190</v>
      </c>
      <c r="AR74" s="7" t="s">
        <v>190</v>
      </c>
      <c r="AS74" s="11" t="s">
        <v>190</v>
      </c>
      <c r="AT74" s="7" t="s">
        <v>190</v>
      </c>
      <c r="AU74" s="11" t="s">
        <v>190</v>
      </c>
      <c r="AV74" s="7" t="s">
        <v>190</v>
      </c>
      <c r="AW74" s="7" t="s">
        <v>190</v>
      </c>
      <c r="AX74" s="7" t="s">
        <v>190</v>
      </c>
      <c r="AY74" s="7" t="s">
        <v>190</v>
      </c>
      <c r="AZ74" s="7" t="s">
        <v>190</v>
      </c>
      <c r="BA74" s="42" t="s">
        <v>190</v>
      </c>
      <c r="BB74" s="9" t="s">
        <v>116</v>
      </c>
      <c r="BC74" s="10"/>
      <c r="BD74" s="10"/>
    </row>
    <row r="75" spans="1:56">
      <c r="A75" s="12" t="s">
        <v>117</v>
      </c>
      <c r="B75" s="38" t="s">
        <v>190</v>
      </c>
      <c r="C75" s="7" t="s">
        <v>190</v>
      </c>
      <c r="D75" s="6" t="s">
        <v>190</v>
      </c>
      <c r="E75" s="6" t="s">
        <v>190</v>
      </c>
      <c r="F75" s="7" t="s">
        <v>190</v>
      </c>
      <c r="G75" s="7" t="s">
        <v>190</v>
      </c>
      <c r="H75" s="25">
        <v>2</v>
      </c>
      <c r="I75" s="25">
        <v>0.65</v>
      </c>
      <c r="J75" s="7" t="s">
        <v>190</v>
      </c>
      <c r="K75" s="7" t="s">
        <v>190</v>
      </c>
      <c r="L75" s="7" t="s">
        <v>190</v>
      </c>
      <c r="M75" s="7" t="s">
        <v>190</v>
      </c>
      <c r="N75" s="25">
        <v>110</v>
      </c>
      <c r="O75" s="26">
        <v>1.0649999999999999</v>
      </c>
      <c r="P75" s="25">
        <v>635</v>
      </c>
      <c r="Q75" s="26">
        <v>6.09</v>
      </c>
      <c r="R75" s="25">
        <v>304</v>
      </c>
      <c r="S75" s="26">
        <v>3.036</v>
      </c>
      <c r="T75" s="25">
        <v>1130</v>
      </c>
      <c r="U75" s="25">
        <v>10.97</v>
      </c>
      <c r="V75" s="7" t="s">
        <v>190</v>
      </c>
      <c r="W75" s="7" t="s">
        <v>190</v>
      </c>
      <c r="X75" s="7" t="s">
        <v>190</v>
      </c>
      <c r="Y75" s="7" t="s">
        <v>190</v>
      </c>
      <c r="Z75" s="7" t="s">
        <v>190</v>
      </c>
      <c r="AA75" s="7" t="s">
        <v>190</v>
      </c>
      <c r="AB75" s="7" t="s">
        <v>190</v>
      </c>
      <c r="AC75" s="7" t="s">
        <v>190</v>
      </c>
      <c r="AD75" s="11" t="s">
        <v>190</v>
      </c>
      <c r="AE75" s="7" t="s">
        <v>190</v>
      </c>
      <c r="AF75" s="7" t="s">
        <v>190</v>
      </c>
      <c r="AG75" s="11" t="s">
        <v>190</v>
      </c>
      <c r="AH75" s="25">
        <v>40</v>
      </c>
      <c r="AI75" s="26">
        <v>0.78</v>
      </c>
      <c r="AJ75" s="25">
        <v>70</v>
      </c>
      <c r="AK75" s="26">
        <v>1.3</v>
      </c>
      <c r="AL75" s="25">
        <v>48</v>
      </c>
      <c r="AM75" s="26">
        <v>0.75</v>
      </c>
      <c r="AN75" s="25">
        <v>210</v>
      </c>
      <c r="AO75" s="26">
        <v>3.8</v>
      </c>
      <c r="AP75" s="7" t="s">
        <v>190</v>
      </c>
      <c r="AQ75" s="11" t="s">
        <v>190</v>
      </c>
      <c r="AR75" s="7" t="s">
        <v>190</v>
      </c>
      <c r="AS75" s="11" t="s">
        <v>190</v>
      </c>
      <c r="AT75" s="25">
        <v>1165</v>
      </c>
      <c r="AU75" s="26">
        <v>2.31</v>
      </c>
      <c r="AV75" s="7" t="s">
        <v>190</v>
      </c>
      <c r="AW75" s="7" t="s">
        <v>190</v>
      </c>
      <c r="AX75" s="28">
        <v>1715</v>
      </c>
      <c r="AY75" s="28">
        <v>3.3780000000000001</v>
      </c>
      <c r="AZ75" s="7" t="s">
        <v>190</v>
      </c>
      <c r="BA75" s="42" t="s">
        <v>190</v>
      </c>
      <c r="BB75" s="9" t="s">
        <v>118</v>
      </c>
      <c r="BC75" s="10"/>
      <c r="BD75" s="10"/>
    </row>
    <row r="76" spans="1:56">
      <c r="A76" s="12" t="s">
        <v>119</v>
      </c>
      <c r="B76" s="38" t="s">
        <v>190</v>
      </c>
      <c r="C76" s="7" t="s">
        <v>190</v>
      </c>
      <c r="D76" s="7" t="s">
        <v>190</v>
      </c>
      <c r="E76" s="7" t="s">
        <v>190</v>
      </c>
      <c r="F76" s="7" t="s">
        <v>190</v>
      </c>
      <c r="G76" s="7" t="s">
        <v>190</v>
      </c>
      <c r="H76" s="7" t="s">
        <v>190</v>
      </c>
      <c r="I76" s="7" t="s">
        <v>190</v>
      </c>
      <c r="J76" s="7" t="s">
        <v>190</v>
      </c>
      <c r="K76" s="7" t="s">
        <v>190</v>
      </c>
      <c r="L76" s="7" t="s">
        <v>190</v>
      </c>
      <c r="M76" s="7" t="s">
        <v>190</v>
      </c>
      <c r="N76" s="7" t="s">
        <v>190</v>
      </c>
      <c r="O76" s="11" t="s">
        <v>190</v>
      </c>
      <c r="P76" s="7" t="s">
        <v>190</v>
      </c>
      <c r="Q76" s="11" t="s">
        <v>190</v>
      </c>
      <c r="R76" s="7" t="s">
        <v>190</v>
      </c>
      <c r="S76" s="11" t="s">
        <v>190</v>
      </c>
      <c r="T76" s="7" t="s">
        <v>190</v>
      </c>
      <c r="U76" s="7" t="s">
        <v>190</v>
      </c>
      <c r="V76" s="7" t="s">
        <v>190</v>
      </c>
      <c r="W76" s="7" t="s">
        <v>190</v>
      </c>
      <c r="X76" s="7" t="s">
        <v>190</v>
      </c>
      <c r="Y76" s="7" t="s">
        <v>190</v>
      </c>
      <c r="Z76" s="7" t="s">
        <v>190</v>
      </c>
      <c r="AA76" s="7" t="s">
        <v>190</v>
      </c>
      <c r="AB76" s="7" t="s">
        <v>190</v>
      </c>
      <c r="AC76" s="7" t="s">
        <v>190</v>
      </c>
      <c r="AD76" s="11" t="s">
        <v>190</v>
      </c>
      <c r="AE76" s="7" t="s">
        <v>190</v>
      </c>
      <c r="AF76" s="7" t="s">
        <v>190</v>
      </c>
      <c r="AG76" s="11" t="s">
        <v>190</v>
      </c>
      <c r="AH76" s="7" t="s">
        <v>190</v>
      </c>
      <c r="AI76" s="11" t="s">
        <v>190</v>
      </c>
      <c r="AJ76" s="7" t="s">
        <v>190</v>
      </c>
      <c r="AK76" s="11" t="s">
        <v>190</v>
      </c>
      <c r="AL76" s="7" t="s">
        <v>190</v>
      </c>
      <c r="AM76" s="11" t="s">
        <v>190</v>
      </c>
      <c r="AN76" s="7" t="s">
        <v>190</v>
      </c>
      <c r="AO76" s="11" t="s">
        <v>190</v>
      </c>
      <c r="AP76" s="7" t="s">
        <v>190</v>
      </c>
      <c r="AQ76" s="11" t="s">
        <v>190</v>
      </c>
      <c r="AR76" s="7" t="s">
        <v>190</v>
      </c>
      <c r="AS76" s="11" t="s">
        <v>190</v>
      </c>
      <c r="AT76" s="25">
        <v>200</v>
      </c>
      <c r="AU76" s="26">
        <v>0.35</v>
      </c>
      <c r="AV76" s="7" t="s">
        <v>190</v>
      </c>
      <c r="AW76" s="7" t="s">
        <v>190</v>
      </c>
      <c r="AX76" s="7" t="s">
        <v>190</v>
      </c>
      <c r="AY76" s="7" t="s">
        <v>190</v>
      </c>
      <c r="AZ76" s="6" t="s">
        <v>190</v>
      </c>
      <c r="BA76" s="39" t="s">
        <v>190</v>
      </c>
      <c r="BB76" s="9" t="s">
        <v>120</v>
      </c>
      <c r="BC76" s="10"/>
      <c r="BD76" s="10"/>
    </row>
    <row r="77" spans="1:56">
      <c r="A77" s="12" t="s">
        <v>121</v>
      </c>
      <c r="B77" s="38" t="s">
        <v>190</v>
      </c>
      <c r="C77" s="7" t="s">
        <v>190</v>
      </c>
      <c r="D77" s="7" t="s">
        <v>190</v>
      </c>
      <c r="E77" s="7" t="s">
        <v>190</v>
      </c>
      <c r="F77" s="7" t="s">
        <v>190</v>
      </c>
      <c r="G77" s="7" t="s">
        <v>190</v>
      </c>
      <c r="H77" s="7" t="s">
        <v>190</v>
      </c>
      <c r="I77" s="7" t="s">
        <v>190</v>
      </c>
      <c r="J77" s="7" t="s">
        <v>190</v>
      </c>
      <c r="K77" s="7" t="s">
        <v>190</v>
      </c>
      <c r="L77" s="7" t="s">
        <v>190</v>
      </c>
      <c r="M77" s="7" t="s">
        <v>190</v>
      </c>
      <c r="N77" s="7" t="s">
        <v>190</v>
      </c>
      <c r="O77" s="11" t="s">
        <v>190</v>
      </c>
      <c r="P77" s="7" t="s">
        <v>190</v>
      </c>
      <c r="Q77" s="11" t="s">
        <v>190</v>
      </c>
      <c r="R77" s="7" t="s">
        <v>190</v>
      </c>
      <c r="S77" s="11" t="s">
        <v>190</v>
      </c>
      <c r="T77" s="7" t="s">
        <v>190</v>
      </c>
      <c r="U77" s="7" t="s">
        <v>190</v>
      </c>
      <c r="V77" s="7" t="s">
        <v>190</v>
      </c>
      <c r="W77" s="7" t="s">
        <v>190</v>
      </c>
      <c r="X77" s="7" t="s">
        <v>190</v>
      </c>
      <c r="Y77" s="7" t="s">
        <v>190</v>
      </c>
      <c r="Z77" s="7" t="s">
        <v>190</v>
      </c>
      <c r="AA77" s="7" t="s">
        <v>190</v>
      </c>
      <c r="AB77" s="7" t="s">
        <v>190</v>
      </c>
      <c r="AC77" s="7" t="s">
        <v>190</v>
      </c>
      <c r="AD77" s="11" t="s">
        <v>190</v>
      </c>
      <c r="AE77" s="7" t="s">
        <v>190</v>
      </c>
      <c r="AF77" s="7" t="s">
        <v>190</v>
      </c>
      <c r="AG77" s="11" t="s">
        <v>190</v>
      </c>
      <c r="AH77" s="7" t="s">
        <v>190</v>
      </c>
      <c r="AI77" s="11" t="s">
        <v>190</v>
      </c>
      <c r="AJ77" s="7" t="s">
        <v>190</v>
      </c>
      <c r="AK77" s="11" t="s">
        <v>190</v>
      </c>
      <c r="AL77" s="7" t="s">
        <v>190</v>
      </c>
      <c r="AM77" s="11" t="s">
        <v>190</v>
      </c>
      <c r="AN77" s="7" t="s">
        <v>190</v>
      </c>
      <c r="AO77" s="11" t="s">
        <v>190</v>
      </c>
      <c r="AP77" s="7" t="s">
        <v>190</v>
      </c>
      <c r="AQ77" s="11" t="s">
        <v>190</v>
      </c>
      <c r="AR77" s="7" t="s">
        <v>190</v>
      </c>
      <c r="AS77" s="11" t="s">
        <v>190</v>
      </c>
      <c r="AT77" s="7" t="s">
        <v>190</v>
      </c>
      <c r="AU77" s="11" t="s">
        <v>190</v>
      </c>
      <c r="AV77" s="7" t="s">
        <v>190</v>
      </c>
      <c r="AW77" s="7" t="s">
        <v>190</v>
      </c>
      <c r="AX77" s="7" t="s">
        <v>190</v>
      </c>
      <c r="AY77" s="7" t="s">
        <v>190</v>
      </c>
      <c r="AZ77" s="7" t="s">
        <v>190</v>
      </c>
      <c r="BA77" s="42" t="s">
        <v>190</v>
      </c>
      <c r="BB77" s="9" t="s">
        <v>122</v>
      </c>
      <c r="BC77" s="10"/>
      <c r="BD77" s="10"/>
    </row>
    <row r="78" spans="1:56">
      <c r="A78" s="12" t="s">
        <v>123</v>
      </c>
      <c r="B78" s="36">
        <v>30</v>
      </c>
      <c r="C78" s="25">
        <v>7.5</v>
      </c>
      <c r="D78" s="25">
        <v>316</v>
      </c>
      <c r="E78" s="25">
        <v>71.05</v>
      </c>
      <c r="F78" s="25">
        <v>20</v>
      </c>
      <c r="G78" s="25">
        <v>6</v>
      </c>
      <c r="H78" s="25">
        <v>106</v>
      </c>
      <c r="I78" s="25">
        <v>30.35</v>
      </c>
      <c r="J78" s="7" t="s">
        <v>190</v>
      </c>
      <c r="K78" s="7" t="s">
        <v>190</v>
      </c>
      <c r="L78" s="7" t="s">
        <v>190</v>
      </c>
      <c r="M78" s="7" t="s">
        <v>190</v>
      </c>
      <c r="N78" s="25">
        <v>13348</v>
      </c>
      <c r="O78" s="26">
        <v>126.551</v>
      </c>
      <c r="P78" s="25">
        <v>26223</v>
      </c>
      <c r="Q78" s="26">
        <v>244.11</v>
      </c>
      <c r="R78" s="27">
        <v>5314</v>
      </c>
      <c r="S78" s="31">
        <v>47.496000000000002</v>
      </c>
      <c r="T78" s="25">
        <v>3921</v>
      </c>
      <c r="U78" s="25">
        <v>33.817999999999998</v>
      </c>
      <c r="V78" s="25">
        <v>1078</v>
      </c>
      <c r="W78" s="25">
        <v>20.475000000000001</v>
      </c>
      <c r="X78" s="25">
        <v>5407</v>
      </c>
      <c r="Y78" s="25">
        <v>79.38</v>
      </c>
      <c r="Z78" s="7" t="s">
        <v>190</v>
      </c>
      <c r="AA78" s="7" t="s">
        <v>190</v>
      </c>
      <c r="AB78" s="25">
        <v>170</v>
      </c>
      <c r="AC78" s="25">
        <v>61.36</v>
      </c>
      <c r="AD78" s="11" t="s">
        <v>190</v>
      </c>
      <c r="AE78" s="7" t="s">
        <v>190</v>
      </c>
      <c r="AF78" s="7" t="s">
        <v>190</v>
      </c>
      <c r="AG78" s="11" t="s">
        <v>190</v>
      </c>
      <c r="AH78" s="25">
        <v>3483</v>
      </c>
      <c r="AI78" s="26">
        <v>66.141999999999996</v>
      </c>
      <c r="AJ78" s="25">
        <v>3298</v>
      </c>
      <c r="AK78" s="26">
        <v>65.406000000000006</v>
      </c>
      <c r="AL78" s="25">
        <v>1409</v>
      </c>
      <c r="AM78" s="26">
        <v>28.49</v>
      </c>
      <c r="AN78" s="25">
        <v>910</v>
      </c>
      <c r="AO78" s="26">
        <v>16.885000000000002</v>
      </c>
      <c r="AP78" s="25">
        <v>3746</v>
      </c>
      <c r="AQ78" s="26">
        <v>224.15</v>
      </c>
      <c r="AR78" s="25">
        <v>11315</v>
      </c>
      <c r="AS78" s="26">
        <v>629.45000000000005</v>
      </c>
      <c r="AT78" s="25">
        <v>361854</v>
      </c>
      <c r="AU78" s="26">
        <v>651.60699999999997</v>
      </c>
      <c r="AV78" s="25">
        <v>2735500</v>
      </c>
      <c r="AW78" s="25">
        <v>4820.18</v>
      </c>
      <c r="AX78" s="28">
        <v>33380</v>
      </c>
      <c r="AY78" s="28">
        <v>62.49</v>
      </c>
      <c r="AZ78" s="28">
        <v>900</v>
      </c>
      <c r="BA78" s="37">
        <v>1.68</v>
      </c>
      <c r="BB78" s="9" t="s">
        <v>124</v>
      </c>
      <c r="BC78" s="10"/>
      <c r="BD78" s="10"/>
    </row>
    <row r="79" spans="1:56">
      <c r="A79" s="12" t="s">
        <v>125</v>
      </c>
      <c r="B79" s="36">
        <v>360</v>
      </c>
      <c r="C79" s="25">
        <v>58.5</v>
      </c>
      <c r="D79" s="25">
        <v>50</v>
      </c>
      <c r="E79" s="25">
        <v>8</v>
      </c>
      <c r="F79" s="25">
        <v>2008</v>
      </c>
      <c r="G79" s="25">
        <v>632.4</v>
      </c>
      <c r="H79" s="25">
        <v>50</v>
      </c>
      <c r="I79" s="25">
        <v>12</v>
      </c>
      <c r="J79" s="7" t="s">
        <v>190</v>
      </c>
      <c r="K79" s="7" t="s">
        <v>190</v>
      </c>
      <c r="L79" s="7" t="s">
        <v>190</v>
      </c>
      <c r="M79" s="7" t="s">
        <v>190</v>
      </c>
      <c r="N79" s="25">
        <v>21226</v>
      </c>
      <c r="O79" s="26">
        <v>187.43</v>
      </c>
      <c r="P79" s="25">
        <v>12332</v>
      </c>
      <c r="Q79" s="26">
        <v>109.03</v>
      </c>
      <c r="R79" s="27">
        <v>27520</v>
      </c>
      <c r="S79" s="31">
        <v>259.68</v>
      </c>
      <c r="T79" s="25">
        <v>1868</v>
      </c>
      <c r="U79" s="25">
        <v>15.67</v>
      </c>
      <c r="V79" s="25">
        <v>1800</v>
      </c>
      <c r="W79" s="25">
        <v>34.75</v>
      </c>
      <c r="X79" s="25">
        <v>1350</v>
      </c>
      <c r="Y79" s="25">
        <v>24.95</v>
      </c>
      <c r="Z79" s="25">
        <v>100</v>
      </c>
      <c r="AA79" s="25">
        <v>30</v>
      </c>
      <c r="AB79" s="7" t="s">
        <v>190</v>
      </c>
      <c r="AC79" s="7" t="s">
        <v>190</v>
      </c>
      <c r="AD79" s="11" t="s">
        <v>190</v>
      </c>
      <c r="AE79" s="7" t="s">
        <v>190</v>
      </c>
      <c r="AF79" s="7" t="s">
        <v>190</v>
      </c>
      <c r="AG79" s="11" t="s">
        <v>190</v>
      </c>
      <c r="AH79" s="25">
        <v>7819</v>
      </c>
      <c r="AI79" s="26">
        <v>129.65</v>
      </c>
      <c r="AJ79" s="25">
        <v>7050</v>
      </c>
      <c r="AK79" s="26">
        <v>128.06</v>
      </c>
      <c r="AL79" s="25">
        <v>6670</v>
      </c>
      <c r="AM79" s="26">
        <v>113.85</v>
      </c>
      <c r="AN79" s="25">
        <v>530</v>
      </c>
      <c r="AO79" s="26">
        <v>9.3000000000000007</v>
      </c>
      <c r="AP79" s="25">
        <v>2210</v>
      </c>
      <c r="AQ79" s="26">
        <v>141.4</v>
      </c>
      <c r="AR79" s="25">
        <v>1465</v>
      </c>
      <c r="AS79" s="26">
        <v>75.05</v>
      </c>
      <c r="AT79" s="25">
        <v>68050</v>
      </c>
      <c r="AU79" s="26">
        <v>113.1</v>
      </c>
      <c r="AV79" s="25">
        <v>5450</v>
      </c>
      <c r="AW79" s="25">
        <v>8</v>
      </c>
      <c r="AX79" s="28">
        <v>100850</v>
      </c>
      <c r="AY79" s="28">
        <v>151.71</v>
      </c>
      <c r="AZ79" s="7" t="s">
        <v>190</v>
      </c>
      <c r="BA79" s="42" t="s">
        <v>190</v>
      </c>
      <c r="BB79" s="9" t="s">
        <v>126</v>
      </c>
      <c r="BC79" s="10"/>
      <c r="BD79" s="10"/>
    </row>
    <row r="80" spans="1:56">
      <c r="A80" s="12" t="s">
        <v>127</v>
      </c>
      <c r="B80" s="38" t="s">
        <v>190</v>
      </c>
      <c r="C80" s="7" t="s">
        <v>190</v>
      </c>
      <c r="D80" s="7" t="s">
        <v>190</v>
      </c>
      <c r="E80" s="7" t="s">
        <v>190</v>
      </c>
      <c r="F80" s="7" t="s">
        <v>190</v>
      </c>
      <c r="G80" s="7" t="s">
        <v>190</v>
      </c>
      <c r="H80" s="7" t="s">
        <v>190</v>
      </c>
      <c r="I80" s="7" t="s">
        <v>190</v>
      </c>
      <c r="J80" s="7" t="s">
        <v>190</v>
      </c>
      <c r="K80" s="7" t="s">
        <v>190</v>
      </c>
      <c r="L80" s="7" t="s">
        <v>190</v>
      </c>
      <c r="M80" s="7" t="s">
        <v>190</v>
      </c>
      <c r="N80" s="25">
        <v>20</v>
      </c>
      <c r="O80" s="26">
        <v>0.2</v>
      </c>
      <c r="P80" s="25">
        <v>90</v>
      </c>
      <c r="Q80" s="26">
        <v>0.81</v>
      </c>
      <c r="R80" s="7" t="s">
        <v>190</v>
      </c>
      <c r="S80" s="11" t="s">
        <v>190</v>
      </c>
      <c r="T80" s="7" t="s">
        <v>190</v>
      </c>
      <c r="U80" s="7" t="s">
        <v>190</v>
      </c>
      <c r="V80" s="7" t="s">
        <v>190</v>
      </c>
      <c r="W80" s="7" t="s">
        <v>190</v>
      </c>
      <c r="X80" s="7" t="s">
        <v>190</v>
      </c>
      <c r="Y80" s="7" t="s">
        <v>190</v>
      </c>
      <c r="Z80" s="7" t="s">
        <v>190</v>
      </c>
      <c r="AA80" s="7" t="s">
        <v>190</v>
      </c>
      <c r="AB80" s="7" t="s">
        <v>190</v>
      </c>
      <c r="AC80" s="7" t="s">
        <v>190</v>
      </c>
      <c r="AD80" s="11" t="s">
        <v>190</v>
      </c>
      <c r="AE80" s="7" t="s">
        <v>190</v>
      </c>
      <c r="AF80" s="7" t="s">
        <v>190</v>
      </c>
      <c r="AG80" s="11" t="s">
        <v>190</v>
      </c>
      <c r="AH80" s="25">
        <v>10</v>
      </c>
      <c r="AI80" s="26">
        <v>0.18</v>
      </c>
      <c r="AJ80" s="25">
        <v>20</v>
      </c>
      <c r="AK80" s="26">
        <v>0.38</v>
      </c>
      <c r="AL80" s="7" t="s">
        <v>190</v>
      </c>
      <c r="AM80" s="11" t="s">
        <v>190</v>
      </c>
      <c r="AN80" s="7" t="s">
        <v>190</v>
      </c>
      <c r="AO80" s="11" t="s">
        <v>190</v>
      </c>
      <c r="AP80" s="7" t="s">
        <v>190</v>
      </c>
      <c r="AQ80" s="11" t="s">
        <v>190</v>
      </c>
      <c r="AR80" s="7" t="s">
        <v>190</v>
      </c>
      <c r="AS80" s="11" t="s">
        <v>190</v>
      </c>
      <c r="AT80" s="25">
        <v>700</v>
      </c>
      <c r="AU80" s="26">
        <v>1.26</v>
      </c>
      <c r="AV80" s="7" t="s">
        <v>190</v>
      </c>
      <c r="AW80" s="7" t="s">
        <v>190</v>
      </c>
      <c r="AX80" s="6" t="s">
        <v>190</v>
      </c>
      <c r="AY80" s="6" t="s">
        <v>190</v>
      </c>
      <c r="AZ80" s="7" t="s">
        <v>190</v>
      </c>
      <c r="BA80" s="42" t="s">
        <v>190</v>
      </c>
      <c r="BB80" s="9" t="s">
        <v>128</v>
      </c>
      <c r="BC80" s="10"/>
      <c r="BD80" s="10"/>
    </row>
    <row r="81" spans="1:56">
      <c r="A81" s="12" t="s">
        <v>129</v>
      </c>
      <c r="B81" s="36">
        <v>40</v>
      </c>
      <c r="C81" s="25">
        <v>9.1999999999999993</v>
      </c>
      <c r="D81" s="25">
        <v>37</v>
      </c>
      <c r="E81" s="25">
        <v>9.1999999999999993</v>
      </c>
      <c r="F81" s="25">
        <v>70</v>
      </c>
      <c r="G81" s="25">
        <v>20.100000000000001</v>
      </c>
      <c r="H81" s="25">
        <v>106</v>
      </c>
      <c r="I81" s="25">
        <v>30.1</v>
      </c>
      <c r="J81" s="7" t="s">
        <v>190</v>
      </c>
      <c r="K81" s="7" t="s">
        <v>190</v>
      </c>
      <c r="L81" s="7" t="s">
        <v>190</v>
      </c>
      <c r="M81" s="7" t="s">
        <v>190</v>
      </c>
      <c r="N81" s="25">
        <v>4744</v>
      </c>
      <c r="O81" s="26">
        <v>45.871000000000002</v>
      </c>
      <c r="P81" s="25">
        <v>4585</v>
      </c>
      <c r="Q81" s="26">
        <v>44.71</v>
      </c>
      <c r="R81" s="25">
        <v>4303</v>
      </c>
      <c r="S81" s="26">
        <v>37.191000000000003</v>
      </c>
      <c r="T81" s="25">
        <v>6023</v>
      </c>
      <c r="U81" s="25">
        <v>50.22</v>
      </c>
      <c r="V81" s="25">
        <v>166</v>
      </c>
      <c r="W81" s="25">
        <v>3.12</v>
      </c>
      <c r="X81" s="25">
        <v>88</v>
      </c>
      <c r="Y81" s="25">
        <v>1.7</v>
      </c>
      <c r="Z81" s="25">
        <v>20</v>
      </c>
      <c r="AA81" s="25">
        <v>6</v>
      </c>
      <c r="AB81" s="25">
        <v>44</v>
      </c>
      <c r="AC81" s="25">
        <v>15.2</v>
      </c>
      <c r="AD81" s="11" t="s">
        <v>190</v>
      </c>
      <c r="AE81" s="7" t="s">
        <v>190</v>
      </c>
      <c r="AF81" s="7" t="s">
        <v>190</v>
      </c>
      <c r="AG81" s="11" t="s">
        <v>190</v>
      </c>
      <c r="AH81" s="25">
        <v>1522</v>
      </c>
      <c r="AI81" s="26">
        <v>30.135999999999999</v>
      </c>
      <c r="AJ81" s="25">
        <v>201</v>
      </c>
      <c r="AK81" s="26">
        <v>3.73</v>
      </c>
      <c r="AL81" s="25">
        <v>2086</v>
      </c>
      <c r="AM81" s="26">
        <v>37.976999999999997</v>
      </c>
      <c r="AN81" s="25">
        <v>431</v>
      </c>
      <c r="AO81" s="26">
        <v>7.66</v>
      </c>
      <c r="AP81" s="25">
        <v>2021</v>
      </c>
      <c r="AQ81" s="26">
        <v>109.34</v>
      </c>
      <c r="AR81" s="25">
        <v>253</v>
      </c>
      <c r="AS81" s="26">
        <v>13.89</v>
      </c>
      <c r="AT81" s="25">
        <v>15649</v>
      </c>
      <c r="AU81" s="26">
        <v>38.164999999999999</v>
      </c>
      <c r="AV81" s="25">
        <v>345</v>
      </c>
      <c r="AW81" s="25">
        <v>1.02</v>
      </c>
      <c r="AX81" s="28">
        <v>7160</v>
      </c>
      <c r="AY81" s="28">
        <v>12.282999999999999</v>
      </c>
      <c r="AZ81" s="28">
        <v>2050</v>
      </c>
      <c r="BA81" s="37">
        <v>3.0750000000000002</v>
      </c>
      <c r="BB81" s="9" t="s">
        <v>130</v>
      </c>
      <c r="BC81" s="10"/>
      <c r="BD81" s="10"/>
    </row>
    <row r="82" spans="1:56">
      <c r="A82" s="82" t="s">
        <v>131</v>
      </c>
      <c r="B82" s="71">
        <f t="shared" ref="B82:G82" si="25">SUM(B84:B88)</f>
        <v>551</v>
      </c>
      <c r="C82" s="51">
        <f t="shared" si="25"/>
        <v>101.21299999999999</v>
      </c>
      <c r="D82" s="51">
        <f t="shared" si="25"/>
        <v>1034</v>
      </c>
      <c r="E82" s="51">
        <f t="shared" si="25"/>
        <v>206.44</v>
      </c>
      <c r="F82" s="51">
        <f t="shared" si="25"/>
        <v>1409</v>
      </c>
      <c r="G82" s="51">
        <f t="shared" si="25"/>
        <v>306.8</v>
      </c>
      <c r="H82" s="51">
        <f t="shared" ref="H82:N82" si="26">SUM(H84:H88)</f>
        <v>2307</v>
      </c>
      <c r="I82" s="51">
        <f t="shared" si="26"/>
        <v>637.28</v>
      </c>
      <c r="J82" s="51">
        <f t="shared" si="26"/>
        <v>0</v>
      </c>
      <c r="K82" s="51">
        <f t="shared" si="26"/>
        <v>0</v>
      </c>
      <c r="L82" s="51">
        <f t="shared" si="26"/>
        <v>0</v>
      </c>
      <c r="M82" s="51">
        <f t="shared" si="26"/>
        <v>0</v>
      </c>
      <c r="N82" s="51">
        <f t="shared" si="26"/>
        <v>97165</v>
      </c>
      <c r="O82" s="53">
        <f t="shared" ref="O82:BA82" si="27">SUM(O84:O88)</f>
        <v>908.19199999999989</v>
      </c>
      <c r="P82" s="51">
        <f t="shared" si="27"/>
        <v>291753</v>
      </c>
      <c r="Q82" s="53">
        <f t="shared" si="27"/>
        <v>2849.5929999999998</v>
      </c>
      <c r="R82" s="51">
        <f t="shared" si="27"/>
        <v>77135</v>
      </c>
      <c r="S82" s="53">
        <f t="shared" si="27"/>
        <v>733.51099999999997</v>
      </c>
      <c r="T82" s="51">
        <f t="shared" si="27"/>
        <v>57911</v>
      </c>
      <c r="U82" s="51">
        <f t="shared" si="27"/>
        <v>509.54399999999998</v>
      </c>
      <c r="V82" s="51">
        <f t="shared" si="27"/>
        <v>11151</v>
      </c>
      <c r="W82" s="51">
        <f t="shared" si="27"/>
        <v>215.70600000000002</v>
      </c>
      <c r="X82" s="51">
        <f t="shared" si="27"/>
        <v>1735</v>
      </c>
      <c r="Y82" s="51">
        <f t="shared" si="27"/>
        <v>32.119</v>
      </c>
      <c r="Z82" s="54">
        <f t="shared" si="27"/>
        <v>255</v>
      </c>
      <c r="AA82" s="54">
        <f t="shared" si="27"/>
        <v>77.674999999999997</v>
      </c>
      <c r="AB82" s="54">
        <f t="shared" si="27"/>
        <v>683</v>
      </c>
      <c r="AC82" s="54">
        <f t="shared" si="27"/>
        <v>172.76</v>
      </c>
      <c r="AD82" s="56">
        <f t="shared" si="27"/>
        <v>0</v>
      </c>
      <c r="AE82" s="54">
        <f t="shared" si="27"/>
        <v>0</v>
      </c>
      <c r="AF82" s="54">
        <f t="shared" si="27"/>
        <v>0</v>
      </c>
      <c r="AG82" s="56">
        <f t="shared" si="27"/>
        <v>0</v>
      </c>
      <c r="AH82" s="54">
        <f t="shared" si="27"/>
        <v>7976</v>
      </c>
      <c r="AI82" s="56">
        <f t="shared" si="27"/>
        <v>169.042</v>
      </c>
      <c r="AJ82" s="54">
        <f t="shared" si="27"/>
        <v>11629</v>
      </c>
      <c r="AK82" s="56">
        <f t="shared" si="27"/>
        <v>266.58799999999997</v>
      </c>
      <c r="AL82" s="54">
        <f t="shared" si="27"/>
        <v>19630</v>
      </c>
      <c r="AM82" s="56">
        <f t="shared" si="27"/>
        <v>382.947</v>
      </c>
      <c r="AN82" s="54">
        <f t="shared" si="27"/>
        <v>6577</v>
      </c>
      <c r="AO82" s="56">
        <f t="shared" si="27"/>
        <v>141.58600000000001</v>
      </c>
      <c r="AP82" s="54">
        <f t="shared" si="27"/>
        <v>8891</v>
      </c>
      <c r="AQ82" s="56">
        <f t="shared" si="27"/>
        <v>473.94399999999996</v>
      </c>
      <c r="AR82" s="54">
        <f t="shared" si="27"/>
        <v>4910</v>
      </c>
      <c r="AS82" s="56">
        <f t="shared" si="27"/>
        <v>295.43</v>
      </c>
      <c r="AT82" s="54">
        <f t="shared" si="27"/>
        <v>908194</v>
      </c>
      <c r="AU82" s="56">
        <f t="shared" si="27"/>
        <v>1116.0999999999999</v>
      </c>
      <c r="AV82" s="54">
        <f t="shared" si="27"/>
        <v>14909</v>
      </c>
      <c r="AW82" s="54">
        <f t="shared" si="27"/>
        <v>30.471000000000004</v>
      </c>
      <c r="AX82" s="54">
        <f t="shared" si="27"/>
        <v>85169</v>
      </c>
      <c r="AY82" s="54">
        <f t="shared" si="27"/>
        <v>164.18099999999998</v>
      </c>
      <c r="AZ82" s="54">
        <f t="shared" si="27"/>
        <v>2600</v>
      </c>
      <c r="BA82" s="55">
        <f t="shared" si="27"/>
        <v>6.3100000000000005</v>
      </c>
      <c r="BB82" s="87" t="s">
        <v>132</v>
      </c>
      <c r="BC82" s="87"/>
      <c r="BD82" s="87"/>
    </row>
    <row r="83" spans="1:56">
      <c r="A83" s="82"/>
      <c r="B83" s="7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3"/>
      <c r="P83" s="51"/>
      <c r="Q83" s="53"/>
      <c r="R83" s="51"/>
      <c r="S83" s="53"/>
      <c r="T83" s="51"/>
      <c r="U83" s="51"/>
      <c r="V83" s="51"/>
      <c r="W83" s="51"/>
      <c r="X83" s="51"/>
      <c r="Y83" s="51"/>
      <c r="Z83" s="54"/>
      <c r="AA83" s="54"/>
      <c r="AB83" s="54"/>
      <c r="AC83" s="54"/>
      <c r="AD83" s="56"/>
      <c r="AE83" s="54"/>
      <c r="AF83" s="54"/>
      <c r="AG83" s="56"/>
      <c r="AH83" s="54"/>
      <c r="AI83" s="56"/>
      <c r="AJ83" s="54"/>
      <c r="AK83" s="56"/>
      <c r="AL83" s="54"/>
      <c r="AM83" s="56"/>
      <c r="AN83" s="54"/>
      <c r="AO83" s="56"/>
      <c r="AP83" s="54"/>
      <c r="AQ83" s="56"/>
      <c r="AR83" s="54"/>
      <c r="AS83" s="56"/>
      <c r="AT83" s="54"/>
      <c r="AU83" s="56"/>
      <c r="AV83" s="54"/>
      <c r="AW83" s="54"/>
      <c r="AX83" s="54"/>
      <c r="AY83" s="54"/>
      <c r="AZ83" s="54"/>
      <c r="BA83" s="55"/>
      <c r="BB83" s="87"/>
      <c r="BC83" s="87"/>
      <c r="BD83" s="87"/>
    </row>
    <row r="84" spans="1:56">
      <c r="A84" s="5" t="s">
        <v>133</v>
      </c>
      <c r="B84" s="36">
        <v>205</v>
      </c>
      <c r="C84" s="25">
        <v>38.26</v>
      </c>
      <c r="D84" s="25">
        <v>219</v>
      </c>
      <c r="E84" s="25">
        <v>54.34</v>
      </c>
      <c r="F84" s="25">
        <v>1058</v>
      </c>
      <c r="G84" s="25">
        <v>227.04</v>
      </c>
      <c r="H84" s="25">
        <v>1166</v>
      </c>
      <c r="I84" s="25">
        <v>297.11</v>
      </c>
      <c r="J84" s="7" t="s">
        <v>190</v>
      </c>
      <c r="K84" s="7" t="s">
        <v>190</v>
      </c>
      <c r="L84" s="7" t="s">
        <v>190</v>
      </c>
      <c r="M84" s="7" t="s">
        <v>190</v>
      </c>
      <c r="N84" s="25">
        <v>71726</v>
      </c>
      <c r="O84" s="26">
        <v>639.72199999999998</v>
      </c>
      <c r="P84" s="25">
        <v>229015</v>
      </c>
      <c r="Q84" s="26">
        <v>2015.5830000000001</v>
      </c>
      <c r="R84" s="27">
        <v>23471</v>
      </c>
      <c r="S84" s="26">
        <v>199.78200000000001</v>
      </c>
      <c r="T84" s="25">
        <v>28786</v>
      </c>
      <c r="U84" s="25">
        <v>249.10900000000001</v>
      </c>
      <c r="V84" s="25">
        <v>2193</v>
      </c>
      <c r="W84" s="25">
        <v>43.441000000000003</v>
      </c>
      <c r="X84" s="25">
        <v>722</v>
      </c>
      <c r="Y84" s="25">
        <v>12.929</v>
      </c>
      <c r="Z84" s="25">
        <v>67</v>
      </c>
      <c r="AA84" s="25">
        <v>17.850000000000001</v>
      </c>
      <c r="AB84" s="25">
        <v>278</v>
      </c>
      <c r="AC84" s="25">
        <v>57.83</v>
      </c>
      <c r="AD84" s="11" t="s">
        <v>190</v>
      </c>
      <c r="AE84" s="7" t="s">
        <v>190</v>
      </c>
      <c r="AF84" s="7" t="s">
        <v>190</v>
      </c>
      <c r="AG84" s="11" t="s">
        <v>190</v>
      </c>
      <c r="AH84" s="25">
        <v>3563</v>
      </c>
      <c r="AI84" s="26">
        <v>79.11</v>
      </c>
      <c r="AJ84" s="25">
        <v>7806</v>
      </c>
      <c r="AK84" s="26">
        <v>182.18799999999999</v>
      </c>
      <c r="AL84" s="25">
        <v>1252</v>
      </c>
      <c r="AM84" s="26">
        <v>26.227</v>
      </c>
      <c r="AN84" s="25">
        <v>2013</v>
      </c>
      <c r="AO84" s="26">
        <v>48.034999999999997</v>
      </c>
      <c r="AP84" s="25">
        <v>2476</v>
      </c>
      <c r="AQ84" s="26">
        <v>111.66</v>
      </c>
      <c r="AR84" s="25">
        <v>2039</v>
      </c>
      <c r="AS84" s="26">
        <v>118.77</v>
      </c>
      <c r="AT84" s="25">
        <v>229091</v>
      </c>
      <c r="AU84" s="26">
        <v>389.916</v>
      </c>
      <c r="AV84" s="25">
        <v>9190</v>
      </c>
      <c r="AW84" s="25">
        <v>17.536000000000001</v>
      </c>
      <c r="AX84" s="28">
        <v>3350</v>
      </c>
      <c r="AY84" s="28">
        <v>8.7089999999999996</v>
      </c>
      <c r="AZ84" s="28">
        <v>1100</v>
      </c>
      <c r="BA84" s="37">
        <v>3.31</v>
      </c>
      <c r="BB84" s="9" t="s">
        <v>134</v>
      </c>
      <c r="BC84" s="10"/>
      <c r="BD84" s="10"/>
    </row>
    <row r="85" spans="1:56">
      <c r="A85" s="5" t="s">
        <v>135</v>
      </c>
      <c r="B85" s="36">
        <v>133</v>
      </c>
      <c r="C85" s="25">
        <v>20.885000000000002</v>
      </c>
      <c r="D85" s="7" t="s">
        <v>190</v>
      </c>
      <c r="E85" s="7" t="s">
        <v>190</v>
      </c>
      <c r="F85" s="25">
        <v>105</v>
      </c>
      <c r="G85" s="25">
        <v>22.56</v>
      </c>
      <c r="H85" s="7" t="s">
        <v>190</v>
      </c>
      <c r="I85" s="7" t="s">
        <v>190</v>
      </c>
      <c r="J85" s="7" t="s">
        <v>190</v>
      </c>
      <c r="K85" s="7" t="s">
        <v>190</v>
      </c>
      <c r="L85" s="7" t="s">
        <v>190</v>
      </c>
      <c r="M85" s="7" t="s">
        <v>190</v>
      </c>
      <c r="N85" s="25">
        <v>1828</v>
      </c>
      <c r="O85" s="26">
        <v>19.25</v>
      </c>
      <c r="P85" s="25">
        <v>670</v>
      </c>
      <c r="Q85" s="26">
        <v>8</v>
      </c>
      <c r="R85" s="27">
        <v>12622</v>
      </c>
      <c r="S85" s="26">
        <v>120.84</v>
      </c>
      <c r="T85" s="25">
        <v>6755</v>
      </c>
      <c r="U85" s="25">
        <v>67.150000000000006</v>
      </c>
      <c r="V85" s="25">
        <v>402</v>
      </c>
      <c r="W85" s="25">
        <v>7.98</v>
      </c>
      <c r="X85" s="7" t="s">
        <v>190</v>
      </c>
      <c r="Y85" s="7" t="s">
        <v>190</v>
      </c>
      <c r="Z85" s="25">
        <v>109</v>
      </c>
      <c r="AA85" s="25">
        <v>36.4</v>
      </c>
      <c r="AB85" s="7" t="s">
        <v>190</v>
      </c>
      <c r="AC85" s="7" t="s">
        <v>190</v>
      </c>
      <c r="AD85" s="11" t="s">
        <v>190</v>
      </c>
      <c r="AE85" s="7" t="s">
        <v>190</v>
      </c>
      <c r="AF85" s="7" t="s">
        <v>190</v>
      </c>
      <c r="AG85" s="11" t="s">
        <v>190</v>
      </c>
      <c r="AH85" s="25">
        <v>349</v>
      </c>
      <c r="AI85" s="26">
        <v>5.1749999999999998</v>
      </c>
      <c r="AJ85" s="7" t="s">
        <v>190</v>
      </c>
      <c r="AK85" s="11" t="s">
        <v>190</v>
      </c>
      <c r="AL85" s="25">
        <v>3884</v>
      </c>
      <c r="AM85" s="26">
        <v>58.18</v>
      </c>
      <c r="AN85" s="7" t="s">
        <v>190</v>
      </c>
      <c r="AO85" s="11" t="s">
        <v>190</v>
      </c>
      <c r="AP85" s="25">
        <v>1255</v>
      </c>
      <c r="AQ85" s="26">
        <v>70.025000000000006</v>
      </c>
      <c r="AR85" s="25">
        <v>550</v>
      </c>
      <c r="AS85" s="26">
        <v>21.55</v>
      </c>
      <c r="AT85" s="25">
        <v>12000</v>
      </c>
      <c r="AU85" s="26">
        <v>21.363</v>
      </c>
      <c r="AV85" s="7" t="s">
        <v>190</v>
      </c>
      <c r="AW85" s="7" t="s">
        <v>190</v>
      </c>
      <c r="AX85" s="28">
        <v>16825</v>
      </c>
      <c r="AY85" s="28">
        <v>29.815000000000001</v>
      </c>
      <c r="AZ85" s="7" t="s">
        <v>190</v>
      </c>
      <c r="BA85" s="42" t="s">
        <v>190</v>
      </c>
      <c r="BB85" s="9" t="s">
        <v>136</v>
      </c>
      <c r="BC85" s="10"/>
      <c r="BD85" s="10"/>
    </row>
    <row r="86" spans="1:56">
      <c r="A86" s="5" t="s">
        <v>137</v>
      </c>
      <c r="B86" s="36">
        <v>51</v>
      </c>
      <c r="C86" s="25">
        <v>13.08</v>
      </c>
      <c r="D86" s="25">
        <v>130</v>
      </c>
      <c r="E86" s="25">
        <v>25.46</v>
      </c>
      <c r="F86" s="25">
        <v>54</v>
      </c>
      <c r="G86" s="25">
        <v>15.2</v>
      </c>
      <c r="H86" s="25">
        <v>449</v>
      </c>
      <c r="I86" s="25">
        <v>152.80000000000001</v>
      </c>
      <c r="J86" s="7" t="s">
        <v>190</v>
      </c>
      <c r="K86" s="7" t="s">
        <v>190</v>
      </c>
      <c r="L86" s="7" t="s">
        <v>190</v>
      </c>
      <c r="M86" s="7" t="s">
        <v>190</v>
      </c>
      <c r="N86" s="25">
        <v>12166</v>
      </c>
      <c r="O86" s="26">
        <v>114.88</v>
      </c>
      <c r="P86" s="25">
        <v>57540</v>
      </c>
      <c r="Q86" s="26">
        <v>787.14</v>
      </c>
      <c r="R86" s="27">
        <v>4352</v>
      </c>
      <c r="S86" s="26">
        <v>39.28</v>
      </c>
      <c r="T86" s="25">
        <v>9934</v>
      </c>
      <c r="U86" s="25">
        <v>90.825000000000003</v>
      </c>
      <c r="V86" s="25">
        <v>470</v>
      </c>
      <c r="W86" s="25">
        <v>9.4499999999999993</v>
      </c>
      <c r="X86" s="25">
        <v>260</v>
      </c>
      <c r="Y86" s="25">
        <v>4.26</v>
      </c>
      <c r="Z86" s="25">
        <v>46</v>
      </c>
      <c r="AA86" s="25">
        <v>11.8</v>
      </c>
      <c r="AB86" s="25">
        <v>40</v>
      </c>
      <c r="AC86" s="25">
        <v>12.6</v>
      </c>
      <c r="AD86" s="11" t="s">
        <v>190</v>
      </c>
      <c r="AE86" s="7" t="s">
        <v>190</v>
      </c>
      <c r="AF86" s="7" t="s">
        <v>190</v>
      </c>
      <c r="AG86" s="11" t="s">
        <v>190</v>
      </c>
      <c r="AH86" s="25">
        <v>732</v>
      </c>
      <c r="AI86" s="26">
        <v>18.315000000000001</v>
      </c>
      <c r="AJ86" s="25">
        <v>3393</v>
      </c>
      <c r="AK86" s="26">
        <v>75.25</v>
      </c>
      <c r="AL86" s="25">
        <v>816</v>
      </c>
      <c r="AM86" s="26">
        <v>13.09</v>
      </c>
      <c r="AN86" s="25">
        <v>1677</v>
      </c>
      <c r="AO86" s="26">
        <v>31.091000000000001</v>
      </c>
      <c r="AP86" s="25">
        <v>1698</v>
      </c>
      <c r="AQ86" s="26">
        <v>111.33499999999999</v>
      </c>
      <c r="AR86" s="25">
        <v>1409</v>
      </c>
      <c r="AS86" s="26">
        <v>101.26</v>
      </c>
      <c r="AT86" s="25">
        <v>28098</v>
      </c>
      <c r="AU86" s="26">
        <v>43.865000000000002</v>
      </c>
      <c r="AV86" s="25">
        <v>5579</v>
      </c>
      <c r="AW86" s="25">
        <v>12.725</v>
      </c>
      <c r="AX86" s="28">
        <v>102</v>
      </c>
      <c r="AY86" s="28">
        <v>0.17399999999999999</v>
      </c>
      <c r="AZ86" s="6" t="s">
        <v>190</v>
      </c>
      <c r="BA86" s="39" t="s">
        <v>190</v>
      </c>
      <c r="BB86" s="9" t="s">
        <v>138</v>
      </c>
      <c r="BC86" s="10"/>
      <c r="BD86" s="10"/>
    </row>
    <row r="87" spans="1:56">
      <c r="A87" s="5" t="s">
        <v>139</v>
      </c>
      <c r="B87" s="36">
        <v>100</v>
      </c>
      <c r="C87" s="25">
        <v>19.347999999999999</v>
      </c>
      <c r="D87" s="7" t="s">
        <v>190</v>
      </c>
      <c r="E87" s="7" t="s">
        <v>190</v>
      </c>
      <c r="F87" s="25">
        <v>44</v>
      </c>
      <c r="G87" s="25">
        <v>11</v>
      </c>
      <c r="H87" s="7" t="s">
        <v>190</v>
      </c>
      <c r="I87" s="7" t="s">
        <v>190</v>
      </c>
      <c r="J87" s="7" t="s">
        <v>190</v>
      </c>
      <c r="K87" s="7" t="s">
        <v>190</v>
      </c>
      <c r="L87" s="7" t="s">
        <v>190</v>
      </c>
      <c r="M87" s="7" t="s">
        <v>190</v>
      </c>
      <c r="N87" s="25">
        <v>1589</v>
      </c>
      <c r="O87" s="26">
        <v>15.271000000000001</v>
      </c>
      <c r="P87" s="6" t="s">
        <v>190</v>
      </c>
      <c r="Q87" s="8" t="s">
        <v>190</v>
      </c>
      <c r="R87" s="27">
        <v>8918</v>
      </c>
      <c r="S87" s="26">
        <v>88.019000000000005</v>
      </c>
      <c r="T87" s="25">
        <v>205</v>
      </c>
      <c r="U87" s="25">
        <v>2.06</v>
      </c>
      <c r="V87" s="25">
        <v>1443</v>
      </c>
      <c r="W87" s="25">
        <v>28.085000000000001</v>
      </c>
      <c r="X87" s="25">
        <v>55</v>
      </c>
      <c r="Y87" s="25">
        <v>1.1000000000000001</v>
      </c>
      <c r="Z87" s="25">
        <v>31</v>
      </c>
      <c r="AA87" s="25">
        <v>11.324999999999999</v>
      </c>
      <c r="AB87" s="7" t="s">
        <v>190</v>
      </c>
      <c r="AC87" s="7" t="s">
        <v>190</v>
      </c>
      <c r="AD87" s="11" t="s">
        <v>190</v>
      </c>
      <c r="AE87" s="7" t="s">
        <v>190</v>
      </c>
      <c r="AF87" s="7" t="s">
        <v>190</v>
      </c>
      <c r="AG87" s="11" t="s">
        <v>190</v>
      </c>
      <c r="AH87" s="25">
        <v>77</v>
      </c>
      <c r="AI87" s="26">
        <v>1.4319999999999999</v>
      </c>
      <c r="AJ87" s="7" t="s">
        <v>190</v>
      </c>
      <c r="AK87" s="11" t="s">
        <v>190</v>
      </c>
      <c r="AL87" s="25">
        <v>429</v>
      </c>
      <c r="AM87" s="26">
        <v>8.3699999999999992</v>
      </c>
      <c r="AN87" s="6" t="s">
        <v>190</v>
      </c>
      <c r="AO87" s="8" t="s">
        <v>190</v>
      </c>
      <c r="AP87" s="25">
        <v>1384</v>
      </c>
      <c r="AQ87" s="26">
        <v>46.664000000000001</v>
      </c>
      <c r="AR87" s="6" t="s">
        <v>190</v>
      </c>
      <c r="AS87" s="8" t="s">
        <v>190</v>
      </c>
      <c r="AT87" s="25">
        <v>11167</v>
      </c>
      <c r="AU87" s="26">
        <v>24.286000000000001</v>
      </c>
      <c r="AV87" s="7" t="s">
        <v>190</v>
      </c>
      <c r="AW87" s="7" t="s">
        <v>190</v>
      </c>
      <c r="AX87" s="28">
        <v>9312</v>
      </c>
      <c r="AY87" s="28">
        <v>18.763000000000002</v>
      </c>
      <c r="AZ87" s="7" t="s">
        <v>190</v>
      </c>
      <c r="BA87" s="42" t="s">
        <v>190</v>
      </c>
      <c r="BB87" s="9" t="s">
        <v>140</v>
      </c>
      <c r="BC87" s="10"/>
      <c r="BD87" s="10"/>
    </row>
    <row r="88" spans="1:56">
      <c r="A88" s="5" t="s">
        <v>141</v>
      </c>
      <c r="B88" s="36">
        <v>62</v>
      </c>
      <c r="C88" s="25">
        <v>9.64</v>
      </c>
      <c r="D88" s="25">
        <v>685</v>
      </c>
      <c r="E88" s="25">
        <v>126.64</v>
      </c>
      <c r="F88" s="25">
        <v>148</v>
      </c>
      <c r="G88" s="25">
        <v>31</v>
      </c>
      <c r="H88" s="25">
        <v>692</v>
      </c>
      <c r="I88" s="25">
        <v>187.37</v>
      </c>
      <c r="J88" s="7" t="s">
        <v>190</v>
      </c>
      <c r="K88" s="7" t="s">
        <v>190</v>
      </c>
      <c r="L88" s="7" t="s">
        <v>190</v>
      </c>
      <c r="M88" s="7" t="s">
        <v>190</v>
      </c>
      <c r="N88" s="25">
        <v>9856</v>
      </c>
      <c r="O88" s="26">
        <v>119.069</v>
      </c>
      <c r="P88" s="25">
        <v>4528</v>
      </c>
      <c r="Q88" s="26">
        <v>38.869999999999997</v>
      </c>
      <c r="R88" s="27">
        <v>27772</v>
      </c>
      <c r="S88" s="26">
        <v>285.58999999999997</v>
      </c>
      <c r="T88" s="25">
        <v>12231</v>
      </c>
      <c r="U88" s="25">
        <v>100.4</v>
      </c>
      <c r="V88" s="25">
        <v>6643</v>
      </c>
      <c r="W88" s="25">
        <v>126.75</v>
      </c>
      <c r="X88" s="25">
        <v>698</v>
      </c>
      <c r="Y88" s="25">
        <v>13.83</v>
      </c>
      <c r="Z88" s="25">
        <v>2</v>
      </c>
      <c r="AA88" s="25">
        <v>0.3</v>
      </c>
      <c r="AB88" s="25">
        <v>365</v>
      </c>
      <c r="AC88" s="25">
        <v>102.33</v>
      </c>
      <c r="AD88" s="11" t="s">
        <v>190</v>
      </c>
      <c r="AE88" s="7" t="s">
        <v>190</v>
      </c>
      <c r="AF88" s="7" t="s">
        <v>190</v>
      </c>
      <c r="AG88" s="11" t="s">
        <v>190</v>
      </c>
      <c r="AH88" s="25">
        <v>3255</v>
      </c>
      <c r="AI88" s="26">
        <v>65.010000000000005</v>
      </c>
      <c r="AJ88" s="25">
        <v>430</v>
      </c>
      <c r="AK88" s="26">
        <v>9.15</v>
      </c>
      <c r="AL88" s="25">
        <v>13249</v>
      </c>
      <c r="AM88" s="26">
        <v>277.08</v>
      </c>
      <c r="AN88" s="25">
        <v>2887</v>
      </c>
      <c r="AO88" s="26">
        <v>62.46</v>
      </c>
      <c r="AP88" s="25">
        <v>2078</v>
      </c>
      <c r="AQ88" s="26">
        <v>134.26</v>
      </c>
      <c r="AR88" s="25">
        <v>912</v>
      </c>
      <c r="AS88" s="26">
        <v>53.85</v>
      </c>
      <c r="AT88" s="25">
        <v>627838</v>
      </c>
      <c r="AU88" s="26">
        <v>636.66999999999996</v>
      </c>
      <c r="AV88" s="25">
        <v>140</v>
      </c>
      <c r="AW88" s="25">
        <v>0.21</v>
      </c>
      <c r="AX88" s="28">
        <v>55580</v>
      </c>
      <c r="AY88" s="28">
        <v>106.72</v>
      </c>
      <c r="AZ88" s="28">
        <v>1500</v>
      </c>
      <c r="BA88" s="37">
        <v>3</v>
      </c>
      <c r="BB88" s="9" t="s">
        <v>142</v>
      </c>
      <c r="BC88" s="10"/>
      <c r="BD88" s="10"/>
    </row>
    <row r="89" spans="1:56">
      <c r="A89" s="82" t="s">
        <v>143</v>
      </c>
      <c r="B89" s="71">
        <f t="shared" ref="B89:J89" si="28">SUM(B91:B103)</f>
        <v>1441</v>
      </c>
      <c r="C89" s="51">
        <f t="shared" si="28"/>
        <v>215.233</v>
      </c>
      <c r="D89" s="51">
        <f t="shared" si="28"/>
        <v>2990</v>
      </c>
      <c r="E89" s="51">
        <f t="shared" si="28"/>
        <v>506.23500000000001</v>
      </c>
      <c r="F89" s="51">
        <f t="shared" si="28"/>
        <v>1433</v>
      </c>
      <c r="G89" s="51">
        <f t="shared" si="28"/>
        <v>368.04</v>
      </c>
      <c r="H89" s="51">
        <f t="shared" si="28"/>
        <v>4425</v>
      </c>
      <c r="I89" s="51">
        <f t="shared" si="28"/>
        <v>1117.44</v>
      </c>
      <c r="J89" s="51">
        <f t="shared" si="28"/>
        <v>0</v>
      </c>
      <c r="K89" s="51">
        <f t="shared" ref="K89:Y89" si="29">SUM(K91:K103)</f>
        <v>0</v>
      </c>
      <c r="L89" s="51">
        <f t="shared" si="29"/>
        <v>0</v>
      </c>
      <c r="M89" s="51">
        <f t="shared" si="29"/>
        <v>0</v>
      </c>
      <c r="N89" s="51">
        <f t="shared" si="29"/>
        <v>80900</v>
      </c>
      <c r="O89" s="53">
        <f t="shared" si="29"/>
        <v>799.39300000000014</v>
      </c>
      <c r="P89" s="51">
        <f t="shared" si="29"/>
        <v>61168</v>
      </c>
      <c r="Q89" s="53">
        <f t="shared" si="29"/>
        <v>600.279</v>
      </c>
      <c r="R89" s="51">
        <f t="shared" si="29"/>
        <v>149288</v>
      </c>
      <c r="S89" s="53">
        <f t="shared" si="29"/>
        <v>1462.2649999999999</v>
      </c>
      <c r="T89" s="51">
        <f t="shared" si="29"/>
        <v>130064</v>
      </c>
      <c r="U89" s="51">
        <f t="shared" si="29"/>
        <v>1237.8480000000002</v>
      </c>
      <c r="V89" s="51">
        <f t="shared" si="29"/>
        <v>9103</v>
      </c>
      <c r="W89" s="51">
        <f t="shared" si="29"/>
        <v>169.40800000000002</v>
      </c>
      <c r="X89" s="51">
        <f t="shared" si="29"/>
        <v>10498</v>
      </c>
      <c r="Y89" s="51">
        <f t="shared" si="29"/>
        <v>194.215</v>
      </c>
      <c r="Z89" s="51">
        <f>SUM(Z91:Z103)</f>
        <v>221</v>
      </c>
      <c r="AA89" s="51">
        <f>SUM(AA91:AA103)</f>
        <v>56.415000000000006</v>
      </c>
      <c r="AB89" s="51">
        <f>SUM(AB91:AB103)</f>
        <v>1028</v>
      </c>
      <c r="AC89" s="51">
        <f>SUM(AC91:AC103)</f>
        <v>277.08500000000004</v>
      </c>
      <c r="AD89" s="53">
        <f>SUM(AD91:AD103)</f>
        <v>0</v>
      </c>
      <c r="AE89" s="51">
        <f t="shared" ref="AE89:BA89" si="30">SUM(AE91:AE103)</f>
        <v>0</v>
      </c>
      <c r="AF89" s="51">
        <f t="shared" si="30"/>
        <v>0</v>
      </c>
      <c r="AG89" s="53">
        <f t="shared" si="30"/>
        <v>0</v>
      </c>
      <c r="AH89" s="51">
        <f t="shared" si="30"/>
        <v>6190</v>
      </c>
      <c r="AI89" s="53">
        <f t="shared" si="30"/>
        <v>100.82699999999998</v>
      </c>
      <c r="AJ89" s="51">
        <f t="shared" si="30"/>
        <v>5271</v>
      </c>
      <c r="AK89" s="53">
        <f t="shared" si="30"/>
        <v>85.829000000000008</v>
      </c>
      <c r="AL89" s="51">
        <f t="shared" si="30"/>
        <v>14713</v>
      </c>
      <c r="AM89" s="53">
        <f t="shared" si="30"/>
        <v>226.8</v>
      </c>
      <c r="AN89" s="51">
        <f t="shared" si="30"/>
        <v>12101</v>
      </c>
      <c r="AO89" s="53">
        <f t="shared" si="30"/>
        <v>209.91800000000001</v>
      </c>
      <c r="AP89" s="51">
        <f t="shared" si="30"/>
        <v>8957</v>
      </c>
      <c r="AQ89" s="53">
        <f t="shared" si="30"/>
        <v>626.59500000000003</v>
      </c>
      <c r="AR89" s="51">
        <f t="shared" si="30"/>
        <v>17459</v>
      </c>
      <c r="AS89" s="53">
        <f t="shared" si="30"/>
        <v>1309.1029999999998</v>
      </c>
      <c r="AT89" s="51">
        <f t="shared" si="30"/>
        <v>423398</v>
      </c>
      <c r="AU89" s="53">
        <f t="shared" si="30"/>
        <v>573.65899999999999</v>
      </c>
      <c r="AV89" s="51">
        <f t="shared" si="30"/>
        <v>64343</v>
      </c>
      <c r="AW89" s="51">
        <f t="shared" si="30"/>
        <v>114.235</v>
      </c>
      <c r="AX89" s="51">
        <f t="shared" si="30"/>
        <v>111702</v>
      </c>
      <c r="AY89" s="51">
        <f t="shared" si="30"/>
        <v>194.239</v>
      </c>
      <c r="AZ89" s="51">
        <f t="shared" si="30"/>
        <v>18702</v>
      </c>
      <c r="BA89" s="52">
        <f t="shared" si="30"/>
        <v>29.451000000000004</v>
      </c>
      <c r="BB89" s="87" t="s">
        <v>144</v>
      </c>
      <c r="BC89" s="87"/>
      <c r="BD89" s="87"/>
    </row>
    <row r="90" spans="1:56">
      <c r="A90" s="82"/>
      <c r="B90" s="7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3"/>
      <c r="P90" s="51"/>
      <c r="Q90" s="53"/>
      <c r="R90" s="51"/>
      <c r="S90" s="53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3"/>
      <c r="AE90" s="51"/>
      <c r="AF90" s="51"/>
      <c r="AG90" s="53"/>
      <c r="AH90" s="51"/>
      <c r="AI90" s="53"/>
      <c r="AJ90" s="51"/>
      <c r="AK90" s="53"/>
      <c r="AL90" s="51"/>
      <c r="AM90" s="53"/>
      <c r="AN90" s="51"/>
      <c r="AO90" s="53"/>
      <c r="AP90" s="51"/>
      <c r="AQ90" s="53"/>
      <c r="AR90" s="51"/>
      <c r="AS90" s="53"/>
      <c r="AT90" s="51"/>
      <c r="AU90" s="53"/>
      <c r="AV90" s="51"/>
      <c r="AW90" s="51"/>
      <c r="AX90" s="51"/>
      <c r="AY90" s="51"/>
      <c r="AZ90" s="51"/>
      <c r="BA90" s="52"/>
      <c r="BB90" s="87"/>
      <c r="BC90" s="87"/>
      <c r="BD90" s="87"/>
    </row>
    <row r="91" spans="1:56">
      <c r="A91" s="5" t="s">
        <v>145</v>
      </c>
      <c r="B91" s="38" t="s">
        <v>190</v>
      </c>
      <c r="C91" s="7" t="s">
        <v>190</v>
      </c>
      <c r="D91" s="25">
        <v>80</v>
      </c>
      <c r="E91" s="25">
        <v>19</v>
      </c>
      <c r="F91" s="7" t="s">
        <v>190</v>
      </c>
      <c r="G91" s="7" t="s">
        <v>190</v>
      </c>
      <c r="H91" s="25">
        <v>151</v>
      </c>
      <c r="I91" s="25">
        <v>37.5</v>
      </c>
      <c r="J91" s="7" t="s">
        <v>190</v>
      </c>
      <c r="K91" s="7" t="s">
        <v>190</v>
      </c>
      <c r="L91" s="7" t="s">
        <v>190</v>
      </c>
      <c r="M91" s="7" t="s">
        <v>190</v>
      </c>
      <c r="N91" s="25">
        <v>371</v>
      </c>
      <c r="O91" s="26">
        <v>3.66</v>
      </c>
      <c r="P91" s="25">
        <v>3009</v>
      </c>
      <c r="Q91" s="26">
        <v>29.79</v>
      </c>
      <c r="R91" s="25">
        <v>500</v>
      </c>
      <c r="S91" s="31">
        <v>5.04</v>
      </c>
      <c r="T91" s="25">
        <v>2075</v>
      </c>
      <c r="U91" s="25">
        <v>20.85</v>
      </c>
      <c r="V91" s="25">
        <v>50</v>
      </c>
      <c r="W91" s="25">
        <v>1</v>
      </c>
      <c r="X91" s="25">
        <v>20</v>
      </c>
      <c r="Y91" s="25">
        <v>0.3</v>
      </c>
      <c r="Z91" s="7" t="s">
        <v>190</v>
      </c>
      <c r="AA91" s="7" t="s">
        <v>190</v>
      </c>
      <c r="AB91" s="25">
        <v>5</v>
      </c>
      <c r="AC91" s="25">
        <v>1.5</v>
      </c>
      <c r="AD91" s="11" t="s">
        <v>190</v>
      </c>
      <c r="AE91" s="7" t="s">
        <v>190</v>
      </c>
      <c r="AF91" s="7" t="s">
        <v>190</v>
      </c>
      <c r="AG91" s="11" t="s">
        <v>190</v>
      </c>
      <c r="AH91" s="7" t="s">
        <v>190</v>
      </c>
      <c r="AI91" s="11" t="s">
        <v>190</v>
      </c>
      <c r="AJ91" s="25">
        <v>5</v>
      </c>
      <c r="AK91" s="26">
        <v>7.4999999999999997E-2</v>
      </c>
      <c r="AL91" s="25">
        <v>5</v>
      </c>
      <c r="AM91" s="26">
        <v>8.5000000000000006E-2</v>
      </c>
      <c r="AN91" s="25">
        <v>5</v>
      </c>
      <c r="AO91" s="26">
        <v>7.4999999999999997E-2</v>
      </c>
      <c r="AP91" s="25">
        <v>197</v>
      </c>
      <c r="AQ91" s="26">
        <v>15.35</v>
      </c>
      <c r="AR91" s="25">
        <v>1121</v>
      </c>
      <c r="AS91" s="26">
        <v>84.98</v>
      </c>
      <c r="AT91" s="25">
        <v>5230</v>
      </c>
      <c r="AU91" s="26">
        <v>8.7100000000000009</v>
      </c>
      <c r="AV91" s="25">
        <v>2270</v>
      </c>
      <c r="AW91" s="25">
        <v>5.0750000000000002</v>
      </c>
      <c r="AX91" s="28">
        <v>4100</v>
      </c>
      <c r="AY91" s="28">
        <v>6.48</v>
      </c>
      <c r="AZ91" s="28">
        <v>4590</v>
      </c>
      <c r="BA91" s="37">
        <v>7</v>
      </c>
      <c r="BB91" s="9" t="s">
        <v>146</v>
      </c>
      <c r="BC91" s="10"/>
      <c r="BD91" s="10"/>
    </row>
    <row r="92" spans="1:56">
      <c r="A92" s="5" t="s">
        <v>147</v>
      </c>
      <c r="B92" s="36">
        <v>42</v>
      </c>
      <c r="C92" s="25">
        <v>7.2350000000000003</v>
      </c>
      <c r="D92" s="25">
        <v>454</v>
      </c>
      <c r="E92" s="25">
        <v>57.795000000000002</v>
      </c>
      <c r="F92" s="25">
        <v>119</v>
      </c>
      <c r="G92" s="25">
        <v>28.79</v>
      </c>
      <c r="H92" s="25">
        <v>805</v>
      </c>
      <c r="I92" s="25">
        <v>191.4</v>
      </c>
      <c r="J92" s="7" t="s">
        <v>190</v>
      </c>
      <c r="K92" s="7" t="s">
        <v>190</v>
      </c>
      <c r="L92" s="7" t="s">
        <v>190</v>
      </c>
      <c r="M92" s="7" t="s">
        <v>190</v>
      </c>
      <c r="N92" s="25">
        <v>3524</v>
      </c>
      <c r="O92" s="26">
        <v>38.331000000000003</v>
      </c>
      <c r="P92" s="25">
        <v>16546</v>
      </c>
      <c r="Q92" s="26">
        <v>157.59200000000001</v>
      </c>
      <c r="R92" s="25">
        <v>4211</v>
      </c>
      <c r="S92" s="31">
        <v>46.1</v>
      </c>
      <c r="T92" s="25">
        <v>16762</v>
      </c>
      <c r="U92" s="25">
        <v>175.33</v>
      </c>
      <c r="V92" s="25">
        <v>236</v>
      </c>
      <c r="W92" s="25">
        <v>4.6479999999999997</v>
      </c>
      <c r="X92" s="25">
        <v>221</v>
      </c>
      <c r="Y92" s="25">
        <v>4.38</v>
      </c>
      <c r="Z92" s="6" t="s">
        <v>190</v>
      </c>
      <c r="AA92" s="6" t="s">
        <v>190</v>
      </c>
      <c r="AB92" s="25">
        <v>19</v>
      </c>
      <c r="AC92" s="25">
        <v>7.66</v>
      </c>
      <c r="AD92" s="11" t="s">
        <v>190</v>
      </c>
      <c r="AE92" s="7" t="s">
        <v>190</v>
      </c>
      <c r="AF92" s="7" t="s">
        <v>190</v>
      </c>
      <c r="AG92" s="11" t="s">
        <v>190</v>
      </c>
      <c r="AH92" s="25">
        <v>190</v>
      </c>
      <c r="AI92" s="26">
        <v>3.6520000000000001</v>
      </c>
      <c r="AJ92" s="25">
        <v>543</v>
      </c>
      <c r="AK92" s="26">
        <v>10.91</v>
      </c>
      <c r="AL92" s="25">
        <v>229</v>
      </c>
      <c r="AM92" s="26">
        <v>4.17</v>
      </c>
      <c r="AN92" s="25">
        <v>597</v>
      </c>
      <c r="AO92" s="26">
        <v>11.59</v>
      </c>
      <c r="AP92" s="25">
        <v>672</v>
      </c>
      <c r="AQ92" s="26">
        <v>64.88</v>
      </c>
      <c r="AR92" s="25">
        <v>1116</v>
      </c>
      <c r="AS92" s="26">
        <v>93.495000000000005</v>
      </c>
      <c r="AT92" s="25">
        <v>31244</v>
      </c>
      <c r="AU92" s="26">
        <v>46.14</v>
      </c>
      <c r="AV92" s="25">
        <v>6766</v>
      </c>
      <c r="AW92" s="25">
        <v>10.105</v>
      </c>
      <c r="AX92" s="28">
        <v>7418</v>
      </c>
      <c r="AY92" s="28">
        <v>11.08</v>
      </c>
      <c r="AZ92" s="28">
        <v>1172</v>
      </c>
      <c r="BA92" s="37">
        <v>1.6950000000000001</v>
      </c>
      <c r="BB92" s="9" t="s">
        <v>148</v>
      </c>
      <c r="BC92" s="10"/>
      <c r="BD92" s="10"/>
    </row>
    <row r="93" spans="1:56">
      <c r="A93" s="5" t="s">
        <v>149</v>
      </c>
      <c r="B93" s="36">
        <v>44</v>
      </c>
      <c r="C93" s="25">
        <v>6.84</v>
      </c>
      <c r="D93" s="25">
        <v>13</v>
      </c>
      <c r="E93" s="25">
        <v>2.38</v>
      </c>
      <c r="F93" s="25">
        <v>16</v>
      </c>
      <c r="G93" s="25">
        <v>3.55</v>
      </c>
      <c r="H93" s="25">
        <v>12</v>
      </c>
      <c r="I93" s="25">
        <v>3.6</v>
      </c>
      <c r="J93" s="7" t="s">
        <v>190</v>
      </c>
      <c r="K93" s="7" t="s">
        <v>190</v>
      </c>
      <c r="L93" s="7" t="s">
        <v>190</v>
      </c>
      <c r="M93" s="7" t="s">
        <v>190</v>
      </c>
      <c r="N93" s="25">
        <v>1410</v>
      </c>
      <c r="O93" s="26">
        <v>14.26</v>
      </c>
      <c r="P93" s="25">
        <v>638</v>
      </c>
      <c r="Q93" s="26">
        <v>6.41</v>
      </c>
      <c r="R93" s="25">
        <v>8328</v>
      </c>
      <c r="S93" s="31">
        <v>76.742000000000004</v>
      </c>
      <c r="T93" s="25">
        <v>1190</v>
      </c>
      <c r="U93" s="25">
        <v>11.9</v>
      </c>
      <c r="V93" s="25">
        <v>685</v>
      </c>
      <c r="W93" s="25">
        <v>13.505000000000001</v>
      </c>
      <c r="X93" s="25">
        <v>81</v>
      </c>
      <c r="Y93" s="25">
        <v>1.62</v>
      </c>
      <c r="Z93" s="25">
        <v>2</v>
      </c>
      <c r="AA93" s="25">
        <v>0.7</v>
      </c>
      <c r="AB93" s="7" t="s">
        <v>190</v>
      </c>
      <c r="AC93" s="7" t="s">
        <v>190</v>
      </c>
      <c r="AD93" s="11" t="s">
        <v>190</v>
      </c>
      <c r="AE93" s="7" t="s">
        <v>190</v>
      </c>
      <c r="AF93" s="7" t="s">
        <v>190</v>
      </c>
      <c r="AG93" s="11" t="s">
        <v>190</v>
      </c>
      <c r="AH93" s="25">
        <v>84</v>
      </c>
      <c r="AI93" s="26">
        <v>1.26</v>
      </c>
      <c r="AJ93" s="6" t="s">
        <v>190</v>
      </c>
      <c r="AK93" s="8" t="s">
        <v>190</v>
      </c>
      <c r="AL93" s="25">
        <v>229</v>
      </c>
      <c r="AM93" s="26">
        <v>3.53</v>
      </c>
      <c r="AN93" s="25">
        <v>30</v>
      </c>
      <c r="AO93" s="26">
        <v>0.48</v>
      </c>
      <c r="AP93" s="25">
        <v>543</v>
      </c>
      <c r="AQ93" s="26">
        <v>36.865000000000002</v>
      </c>
      <c r="AR93" s="25">
        <v>127</v>
      </c>
      <c r="AS93" s="26">
        <v>8.5</v>
      </c>
      <c r="AT93" s="25">
        <v>7393</v>
      </c>
      <c r="AU93" s="26">
        <v>10.612</v>
      </c>
      <c r="AV93" s="25">
        <v>350</v>
      </c>
      <c r="AW93" s="25">
        <v>0.51500000000000001</v>
      </c>
      <c r="AX93" s="28">
        <v>9735</v>
      </c>
      <c r="AY93" s="28">
        <v>15.345000000000001</v>
      </c>
      <c r="AZ93" s="28">
        <v>2100</v>
      </c>
      <c r="BA93" s="37">
        <v>3.15</v>
      </c>
      <c r="BB93" s="9" t="s">
        <v>150</v>
      </c>
      <c r="BC93" s="10"/>
      <c r="BD93" s="10"/>
    </row>
    <row r="94" spans="1:56">
      <c r="A94" s="5" t="s">
        <v>151</v>
      </c>
      <c r="B94" s="36">
        <v>191</v>
      </c>
      <c r="C94" s="25">
        <v>20.100000000000001</v>
      </c>
      <c r="D94" s="7" t="s">
        <v>190</v>
      </c>
      <c r="E94" s="7" t="s">
        <v>190</v>
      </c>
      <c r="F94" s="25">
        <v>218</v>
      </c>
      <c r="G94" s="25">
        <v>69</v>
      </c>
      <c r="H94" s="7" t="s">
        <v>190</v>
      </c>
      <c r="I94" s="7" t="s">
        <v>190</v>
      </c>
      <c r="J94" s="7" t="s">
        <v>190</v>
      </c>
      <c r="K94" s="7" t="s">
        <v>190</v>
      </c>
      <c r="L94" s="7" t="s">
        <v>190</v>
      </c>
      <c r="M94" s="7" t="s">
        <v>190</v>
      </c>
      <c r="N94" s="25">
        <v>4980</v>
      </c>
      <c r="O94" s="26">
        <v>42.66</v>
      </c>
      <c r="P94" s="25">
        <v>730</v>
      </c>
      <c r="Q94" s="26">
        <v>7.2</v>
      </c>
      <c r="R94" s="25">
        <v>11600</v>
      </c>
      <c r="S94" s="31">
        <v>91.4</v>
      </c>
      <c r="T94" s="25">
        <v>4370</v>
      </c>
      <c r="U94" s="25">
        <v>37.33</v>
      </c>
      <c r="V94" s="25">
        <v>1482</v>
      </c>
      <c r="W94" s="25">
        <v>26.884</v>
      </c>
      <c r="X94" s="7" t="s">
        <v>190</v>
      </c>
      <c r="Y94" s="7" t="s">
        <v>190</v>
      </c>
      <c r="Z94" s="25">
        <v>46</v>
      </c>
      <c r="AA94" s="25">
        <v>11.4</v>
      </c>
      <c r="AB94" s="7" t="s">
        <v>190</v>
      </c>
      <c r="AC94" s="7" t="s">
        <v>190</v>
      </c>
      <c r="AD94" s="11" t="s">
        <v>190</v>
      </c>
      <c r="AE94" s="7" t="s">
        <v>190</v>
      </c>
      <c r="AF94" s="7" t="s">
        <v>190</v>
      </c>
      <c r="AG94" s="11" t="s">
        <v>190</v>
      </c>
      <c r="AH94" s="25">
        <v>1030</v>
      </c>
      <c r="AI94" s="26">
        <v>15.05</v>
      </c>
      <c r="AJ94" s="25">
        <v>120</v>
      </c>
      <c r="AK94" s="26">
        <v>1.8</v>
      </c>
      <c r="AL94" s="25">
        <v>2650</v>
      </c>
      <c r="AM94" s="26">
        <v>33.090000000000003</v>
      </c>
      <c r="AN94" s="25">
        <v>950</v>
      </c>
      <c r="AO94" s="26">
        <v>18.75</v>
      </c>
      <c r="AP94" s="25">
        <v>160</v>
      </c>
      <c r="AQ94" s="26">
        <v>13.4</v>
      </c>
      <c r="AR94" s="25">
        <v>205</v>
      </c>
      <c r="AS94" s="26">
        <v>10.25</v>
      </c>
      <c r="AT94" s="25">
        <v>36160</v>
      </c>
      <c r="AU94" s="26">
        <v>65.099999999999994</v>
      </c>
      <c r="AV94" s="25">
        <v>1750</v>
      </c>
      <c r="AW94" s="25">
        <v>5.4</v>
      </c>
      <c r="AX94" s="28">
        <v>6000</v>
      </c>
      <c r="AY94" s="28">
        <v>8.8000000000000007</v>
      </c>
      <c r="AZ94" s="6" t="s">
        <v>190</v>
      </c>
      <c r="BA94" s="39" t="s">
        <v>190</v>
      </c>
      <c r="BB94" s="9" t="s">
        <v>152</v>
      </c>
      <c r="BC94" s="10"/>
      <c r="BD94" s="10"/>
    </row>
    <row r="95" spans="1:56">
      <c r="A95" s="5" t="s">
        <v>153</v>
      </c>
      <c r="B95" s="38" t="s">
        <v>190</v>
      </c>
      <c r="C95" s="7" t="s">
        <v>190</v>
      </c>
      <c r="D95" s="7" t="s">
        <v>190</v>
      </c>
      <c r="E95" s="7" t="s">
        <v>190</v>
      </c>
      <c r="F95" s="7" t="s">
        <v>190</v>
      </c>
      <c r="G95" s="7" t="s">
        <v>190</v>
      </c>
      <c r="H95" s="7" t="s">
        <v>190</v>
      </c>
      <c r="I95" s="7" t="s">
        <v>190</v>
      </c>
      <c r="J95" s="7" t="s">
        <v>190</v>
      </c>
      <c r="K95" s="7" t="s">
        <v>190</v>
      </c>
      <c r="L95" s="7" t="s">
        <v>190</v>
      </c>
      <c r="M95" s="7" t="s">
        <v>190</v>
      </c>
      <c r="N95" s="25">
        <v>300</v>
      </c>
      <c r="O95" s="26">
        <v>2</v>
      </c>
      <c r="P95" s="25">
        <v>715</v>
      </c>
      <c r="Q95" s="26">
        <v>7.15</v>
      </c>
      <c r="R95" s="25">
        <v>200</v>
      </c>
      <c r="S95" s="31">
        <v>1.5</v>
      </c>
      <c r="T95" s="25">
        <v>300</v>
      </c>
      <c r="U95" s="25">
        <v>3</v>
      </c>
      <c r="V95" s="7" t="s">
        <v>190</v>
      </c>
      <c r="W95" s="7" t="s">
        <v>190</v>
      </c>
      <c r="X95" s="7" t="s">
        <v>190</v>
      </c>
      <c r="Y95" s="7" t="s">
        <v>190</v>
      </c>
      <c r="Z95" s="7" t="s">
        <v>190</v>
      </c>
      <c r="AA95" s="7" t="s">
        <v>190</v>
      </c>
      <c r="AB95" s="7" t="s">
        <v>190</v>
      </c>
      <c r="AC95" s="7" t="s">
        <v>190</v>
      </c>
      <c r="AD95" s="11" t="s">
        <v>190</v>
      </c>
      <c r="AE95" s="7" t="s">
        <v>190</v>
      </c>
      <c r="AF95" s="7" t="s">
        <v>190</v>
      </c>
      <c r="AG95" s="11" t="s">
        <v>190</v>
      </c>
      <c r="AH95" s="7" t="s">
        <v>190</v>
      </c>
      <c r="AI95" s="11" t="s">
        <v>190</v>
      </c>
      <c r="AJ95" s="6" t="s">
        <v>190</v>
      </c>
      <c r="AK95" s="8" t="s">
        <v>190</v>
      </c>
      <c r="AL95" s="25">
        <v>430</v>
      </c>
      <c r="AM95" s="26">
        <v>7.3</v>
      </c>
      <c r="AN95" s="6" t="s">
        <v>190</v>
      </c>
      <c r="AO95" s="8" t="s">
        <v>190</v>
      </c>
      <c r="AP95" s="7" t="s">
        <v>190</v>
      </c>
      <c r="AQ95" s="11" t="s">
        <v>190</v>
      </c>
      <c r="AR95" s="7" t="s">
        <v>190</v>
      </c>
      <c r="AS95" s="11" t="s">
        <v>190</v>
      </c>
      <c r="AT95" s="25">
        <v>65</v>
      </c>
      <c r="AU95" s="26">
        <v>0.15</v>
      </c>
      <c r="AV95" s="7" t="s">
        <v>190</v>
      </c>
      <c r="AW95" s="7" t="s">
        <v>190</v>
      </c>
      <c r="AX95" s="28">
        <v>50</v>
      </c>
      <c r="AY95" s="28">
        <v>0.12</v>
      </c>
      <c r="AZ95" s="7" t="s">
        <v>190</v>
      </c>
      <c r="BA95" s="42" t="s">
        <v>190</v>
      </c>
      <c r="BB95" s="9" t="s">
        <v>154</v>
      </c>
      <c r="BC95" s="10"/>
      <c r="BD95" s="10"/>
    </row>
    <row r="96" spans="1:56">
      <c r="A96" s="5" t="s">
        <v>155</v>
      </c>
      <c r="B96" s="36">
        <v>205</v>
      </c>
      <c r="C96" s="25">
        <v>36.9</v>
      </c>
      <c r="D96" s="25">
        <v>830</v>
      </c>
      <c r="E96" s="25">
        <v>149.24</v>
      </c>
      <c r="F96" s="25">
        <v>165</v>
      </c>
      <c r="G96" s="25">
        <v>48.75</v>
      </c>
      <c r="H96" s="25">
        <v>1032</v>
      </c>
      <c r="I96" s="25">
        <v>305.8</v>
      </c>
      <c r="J96" s="7" t="s">
        <v>190</v>
      </c>
      <c r="K96" s="7" t="s">
        <v>190</v>
      </c>
      <c r="L96" s="7" t="s">
        <v>190</v>
      </c>
      <c r="M96" s="7" t="s">
        <v>190</v>
      </c>
      <c r="N96" s="25">
        <v>6269</v>
      </c>
      <c r="O96" s="26">
        <v>69.8</v>
      </c>
      <c r="P96" s="25">
        <v>1320</v>
      </c>
      <c r="Q96" s="26">
        <v>14.21</v>
      </c>
      <c r="R96" s="25">
        <v>6530</v>
      </c>
      <c r="S96" s="31">
        <v>65.599999999999994</v>
      </c>
      <c r="T96" s="25">
        <v>12900</v>
      </c>
      <c r="U96" s="25">
        <v>128.5</v>
      </c>
      <c r="V96" s="25">
        <v>931</v>
      </c>
      <c r="W96" s="25">
        <v>12.6</v>
      </c>
      <c r="X96" s="25">
        <v>525</v>
      </c>
      <c r="Y96" s="25">
        <v>7.4</v>
      </c>
      <c r="Z96" s="7" t="s">
        <v>190</v>
      </c>
      <c r="AA96" s="7" t="s">
        <v>190</v>
      </c>
      <c r="AB96" s="7" t="s">
        <v>190</v>
      </c>
      <c r="AC96" s="7" t="s">
        <v>190</v>
      </c>
      <c r="AD96" s="11" t="s">
        <v>190</v>
      </c>
      <c r="AE96" s="7" t="s">
        <v>190</v>
      </c>
      <c r="AF96" s="7" t="s">
        <v>190</v>
      </c>
      <c r="AG96" s="11" t="s">
        <v>190</v>
      </c>
      <c r="AH96" s="25">
        <v>41</v>
      </c>
      <c r="AI96" s="26">
        <v>0.82</v>
      </c>
      <c r="AJ96" s="25">
        <v>150</v>
      </c>
      <c r="AK96" s="26">
        <v>2.85</v>
      </c>
      <c r="AL96" s="25">
        <v>570</v>
      </c>
      <c r="AM96" s="26">
        <v>6.7</v>
      </c>
      <c r="AN96" s="25">
        <v>350</v>
      </c>
      <c r="AO96" s="26">
        <v>6.35</v>
      </c>
      <c r="AP96" s="25">
        <v>393</v>
      </c>
      <c r="AQ96" s="26">
        <v>28.31</v>
      </c>
      <c r="AR96" s="25">
        <v>32</v>
      </c>
      <c r="AS96" s="26">
        <v>2.5</v>
      </c>
      <c r="AT96" s="25">
        <v>2650</v>
      </c>
      <c r="AU96" s="26">
        <v>4.915</v>
      </c>
      <c r="AV96" s="25">
        <v>600</v>
      </c>
      <c r="AW96" s="25">
        <v>1</v>
      </c>
      <c r="AX96" s="28">
        <v>825</v>
      </c>
      <c r="AY96" s="28">
        <v>1.29</v>
      </c>
      <c r="AZ96" s="6" t="s">
        <v>190</v>
      </c>
      <c r="BA96" s="39" t="s">
        <v>190</v>
      </c>
      <c r="BB96" s="9" t="s">
        <v>156</v>
      </c>
      <c r="BC96" s="10"/>
      <c r="BD96" s="10"/>
    </row>
    <row r="97" spans="1:56">
      <c r="A97" s="5" t="s">
        <v>157</v>
      </c>
      <c r="B97" s="36">
        <v>176</v>
      </c>
      <c r="C97" s="25">
        <v>23.103999999999999</v>
      </c>
      <c r="D97" s="25">
        <v>31</v>
      </c>
      <c r="E97" s="25">
        <v>6.44</v>
      </c>
      <c r="F97" s="25">
        <v>300</v>
      </c>
      <c r="G97" s="25">
        <v>94.5</v>
      </c>
      <c r="H97" s="25">
        <v>348</v>
      </c>
      <c r="I97" s="25">
        <v>114.52</v>
      </c>
      <c r="J97" s="7" t="s">
        <v>190</v>
      </c>
      <c r="K97" s="7" t="s">
        <v>190</v>
      </c>
      <c r="L97" s="7" t="s">
        <v>190</v>
      </c>
      <c r="M97" s="7" t="s">
        <v>190</v>
      </c>
      <c r="N97" s="25">
        <v>8576</v>
      </c>
      <c r="O97" s="26">
        <v>85.224000000000004</v>
      </c>
      <c r="P97" s="25">
        <v>705</v>
      </c>
      <c r="Q97" s="26">
        <v>7.2</v>
      </c>
      <c r="R97" s="25">
        <v>13581</v>
      </c>
      <c r="S97" s="31">
        <v>146.167</v>
      </c>
      <c r="T97" s="25">
        <v>1275</v>
      </c>
      <c r="U97" s="25">
        <v>13.895</v>
      </c>
      <c r="V97" s="25">
        <v>480</v>
      </c>
      <c r="W97" s="25">
        <v>8.2149999999999999</v>
      </c>
      <c r="X97" s="25">
        <v>72</v>
      </c>
      <c r="Y97" s="25">
        <v>1.1220000000000001</v>
      </c>
      <c r="Z97" s="25">
        <v>131</v>
      </c>
      <c r="AA97" s="25">
        <v>34.715000000000003</v>
      </c>
      <c r="AB97" s="25">
        <v>125</v>
      </c>
      <c r="AC97" s="25">
        <v>33.524999999999999</v>
      </c>
      <c r="AD97" s="11" t="s">
        <v>190</v>
      </c>
      <c r="AE97" s="7" t="s">
        <v>190</v>
      </c>
      <c r="AF97" s="7" t="s">
        <v>190</v>
      </c>
      <c r="AG97" s="11" t="s">
        <v>190</v>
      </c>
      <c r="AH97" s="7" t="s">
        <v>190</v>
      </c>
      <c r="AI97" s="11" t="s">
        <v>190</v>
      </c>
      <c r="AJ97" s="6" t="s">
        <v>190</v>
      </c>
      <c r="AK97" s="8" t="s">
        <v>190</v>
      </c>
      <c r="AL97" s="25">
        <v>4</v>
      </c>
      <c r="AM97" s="26">
        <v>5.1999999999999998E-2</v>
      </c>
      <c r="AN97" s="25">
        <v>100</v>
      </c>
      <c r="AO97" s="26">
        <v>2.2000000000000002</v>
      </c>
      <c r="AP97" s="25">
        <v>1855</v>
      </c>
      <c r="AQ97" s="26">
        <v>128.94499999999999</v>
      </c>
      <c r="AR97" s="25">
        <v>590</v>
      </c>
      <c r="AS97" s="26">
        <v>44.08</v>
      </c>
      <c r="AT97" s="25">
        <v>20485</v>
      </c>
      <c r="AU97" s="26">
        <v>60.783000000000001</v>
      </c>
      <c r="AV97" s="7" t="s">
        <v>190</v>
      </c>
      <c r="AW97" s="7" t="s">
        <v>190</v>
      </c>
      <c r="AX97" s="28">
        <v>10400</v>
      </c>
      <c r="AY97" s="28">
        <v>26.85</v>
      </c>
      <c r="AZ97" s="7" t="s">
        <v>190</v>
      </c>
      <c r="BA97" s="42" t="s">
        <v>190</v>
      </c>
      <c r="BB97" s="9" t="s">
        <v>158</v>
      </c>
      <c r="BC97" s="10"/>
      <c r="BD97" s="10"/>
    </row>
    <row r="98" spans="1:56">
      <c r="A98" s="5" t="s">
        <v>159</v>
      </c>
      <c r="B98" s="36">
        <v>36</v>
      </c>
      <c r="C98" s="25">
        <v>6.66</v>
      </c>
      <c r="D98" s="25">
        <v>28</v>
      </c>
      <c r="E98" s="25">
        <v>5.35</v>
      </c>
      <c r="F98" s="25">
        <v>1</v>
      </c>
      <c r="G98" s="25">
        <v>0.2</v>
      </c>
      <c r="H98" s="25">
        <v>40</v>
      </c>
      <c r="I98" s="25">
        <v>10.1</v>
      </c>
      <c r="J98" s="7" t="s">
        <v>190</v>
      </c>
      <c r="K98" s="7" t="s">
        <v>190</v>
      </c>
      <c r="L98" s="7" t="s">
        <v>190</v>
      </c>
      <c r="M98" s="7" t="s">
        <v>190</v>
      </c>
      <c r="N98" s="25">
        <v>7000</v>
      </c>
      <c r="O98" s="26">
        <v>69.75</v>
      </c>
      <c r="P98" s="25">
        <v>1210</v>
      </c>
      <c r="Q98" s="26">
        <v>12.1</v>
      </c>
      <c r="R98" s="25">
        <v>12952</v>
      </c>
      <c r="S98" s="31">
        <v>129.27000000000001</v>
      </c>
      <c r="T98" s="25">
        <v>4130</v>
      </c>
      <c r="U98" s="25">
        <v>41.3</v>
      </c>
      <c r="V98" s="25">
        <v>242</v>
      </c>
      <c r="W98" s="25">
        <v>4.84</v>
      </c>
      <c r="X98" s="7" t="s">
        <v>190</v>
      </c>
      <c r="Y98" s="7" t="s">
        <v>190</v>
      </c>
      <c r="Z98" s="6" t="s">
        <v>190</v>
      </c>
      <c r="AA98" s="6" t="s">
        <v>190</v>
      </c>
      <c r="AB98" s="7" t="s">
        <v>190</v>
      </c>
      <c r="AC98" s="7" t="s">
        <v>190</v>
      </c>
      <c r="AD98" s="11" t="s">
        <v>190</v>
      </c>
      <c r="AE98" s="7" t="s">
        <v>190</v>
      </c>
      <c r="AF98" s="7" t="s">
        <v>190</v>
      </c>
      <c r="AG98" s="11" t="s">
        <v>190</v>
      </c>
      <c r="AH98" s="25">
        <v>923</v>
      </c>
      <c r="AI98" s="26">
        <v>14.92</v>
      </c>
      <c r="AJ98" s="25">
        <v>1030</v>
      </c>
      <c r="AK98" s="26">
        <v>17.8</v>
      </c>
      <c r="AL98" s="25">
        <v>1080</v>
      </c>
      <c r="AM98" s="26">
        <v>17.885000000000002</v>
      </c>
      <c r="AN98" s="25">
        <v>1730</v>
      </c>
      <c r="AO98" s="26">
        <v>29.15</v>
      </c>
      <c r="AP98" s="25">
        <v>899</v>
      </c>
      <c r="AQ98" s="26">
        <v>59.22</v>
      </c>
      <c r="AR98" s="25">
        <v>170</v>
      </c>
      <c r="AS98" s="26">
        <v>11</v>
      </c>
      <c r="AT98" s="25">
        <v>21825</v>
      </c>
      <c r="AU98" s="26">
        <v>33.15</v>
      </c>
      <c r="AV98" s="25">
        <v>125</v>
      </c>
      <c r="AW98" s="25">
        <v>0.19</v>
      </c>
      <c r="AX98" s="28">
        <v>3760</v>
      </c>
      <c r="AY98" s="28">
        <v>6.81</v>
      </c>
      <c r="AZ98" s="6" t="s">
        <v>190</v>
      </c>
      <c r="BA98" s="39" t="s">
        <v>190</v>
      </c>
      <c r="BB98" s="9" t="s">
        <v>160</v>
      </c>
      <c r="BC98" s="10"/>
      <c r="BD98" s="10"/>
    </row>
    <row r="99" spans="1:56">
      <c r="A99" s="5" t="s">
        <v>161</v>
      </c>
      <c r="B99" s="36">
        <v>3</v>
      </c>
      <c r="C99" s="25">
        <v>0.45</v>
      </c>
      <c r="D99" s="25">
        <v>60</v>
      </c>
      <c r="E99" s="25">
        <v>9</v>
      </c>
      <c r="F99" s="25">
        <v>7</v>
      </c>
      <c r="G99" s="25">
        <v>1.4</v>
      </c>
      <c r="H99" s="25">
        <v>30</v>
      </c>
      <c r="I99" s="25">
        <v>7.5</v>
      </c>
      <c r="J99" s="7" t="s">
        <v>190</v>
      </c>
      <c r="K99" s="7" t="s">
        <v>190</v>
      </c>
      <c r="L99" s="7" t="s">
        <v>190</v>
      </c>
      <c r="M99" s="7" t="s">
        <v>190</v>
      </c>
      <c r="N99" s="25">
        <v>2331</v>
      </c>
      <c r="O99" s="26">
        <v>23.31</v>
      </c>
      <c r="P99" s="25">
        <v>310</v>
      </c>
      <c r="Q99" s="26">
        <v>3.1</v>
      </c>
      <c r="R99" s="25">
        <v>807</v>
      </c>
      <c r="S99" s="31">
        <v>8.07</v>
      </c>
      <c r="T99" s="25">
        <v>220</v>
      </c>
      <c r="U99" s="25">
        <v>2.2000000000000002</v>
      </c>
      <c r="V99" s="25">
        <v>60</v>
      </c>
      <c r="W99" s="25">
        <v>1.2</v>
      </c>
      <c r="X99" s="7" t="s">
        <v>190</v>
      </c>
      <c r="Y99" s="7" t="s">
        <v>190</v>
      </c>
      <c r="Z99" s="7" t="s">
        <v>190</v>
      </c>
      <c r="AA99" s="7" t="s">
        <v>190</v>
      </c>
      <c r="AB99" s="7" t="s">
        <v>190</v>
      </c>
      <c r="AC99" s="7" t="s">
        <v>190</v>
      </c>
      <c r="AD99" s="11" t="s">
        <v>190</v>
      </c>
      <c r="AE99" s="7" t="s">
        <v>190</v>
      </c>
      <c r="AF99" s="7" t="s">
        <v>190</v>
      </c>
      <c r="AG99" s="11" t="s">
        <v>190</v>
      </c>
      <c r="AH99" s="25">
        <v>90</v>
      </c>
      <c r="AI99" s="26">
        <v>1.53</v>
      </c>
      <c r="AJ99" s="7" t="s">
        <v>190</v>
      </c>
      <c r="AK99" s="11" t="s">
        <v>190</v>
      </c>
      <c r="AL99" s="25">
        <v>50</v>
      </c>
      <c r="AM99" s="26">
        <v>0.8</v>
      </c>
      <c r="AN99" s="25">
        <v>5</v>
      </c>
      <c r="AO99" s="26">
        <v>8.5000000000000006E-2</v>
      </c>
      <c r="AP99" s="25">
        <v>67</v>
      </c>
      <c r="AQ99" s="26">
        <v>5.35</v>
      </c>
      <c r="AR99" s="25">
        <v>8</v>
      </c>
      <c r="AS99" s="26">
        <v>0.65</v>
      </c>
      <c r="AT99" s="25">
        <v>1128</v>
      </c>
      <c r="AU99" s="26">
        <v>1.7</v>
      </c>
      <c r="AV99" s="7" t="s">
        <v>190</v>
      </c>
      <c r="AW99" s="7" t="s">
        <v>190</v>
      </c>
      <c r="AX99" s="28">
        <v>820</v>
      </c>
      <c r="AY99" s="28">
        <v>1.08</v>
      </c>
      <c r="AZ99" s="7" t="s">
        <v>190</v>
      </c>
      <c r="BA99" s="42" t="s">
        <v>190</v>
      </c>
      <c r="BB99" s="9" t="s">
        <v>162</v>
      </c>
      <c r="BC99" s="10"/>
      <c r="BD99" s="10"/>
    </row>
    <row r="100" spans="1:56">
      <c r="A100" s="5" t="s">
        <v>163</v>
      </c>
      <c r="B100" s="36">
        <v>388</v>
      </c>
      <c r="C100" s="25">
        <v>68.48</v>
      </c>
      <c r="D100" s="25">
        <v>1039</v>
      </c>
      <c r="E100" s="25">
        <v>185.01</v>
      </c>
      <c r="F100" s="25">
        <v>398</v>
      </c>
      <c r="G100" s="25">
        <v>93.8</v>
      </c>
      <c r="H100" s="25">
        <v>1218</v>
      </c>
      <c r="I100" s="25">
        <v>256</v>
      </c>
      <c r="J100" s="7" t="s">
        <v>190</v>
      </c>
      <c r="K100" s="7" t="s">
        <v>190</v>
      </c>
      <c r="L100" s="7" t="s">
        <v>190</v>
      </c>
      <c r="M100" s="7" t="s">
        <v>190</v>
      </c>
      <c r="N100" s="25">
        <v>31415</v>
      </c>
      <c r="O100" s="26">
        <v>312.55</v>
      </c>
      <c r="P100" s="25">
        <v>24019</v>
      </c>
      <c r="Q100" s="26">
        <v>239.19</v>
      </c>
      <c r="R100" s="25">
        <v>63512</v>
      </c>
      <c r="S100" s="31">
        <v>627.89499999999998</v>
      </c>
      <c r="T100" s="25">
        <v>61015</v>
      </c>
      <c r="U100" s="25">
        <v>601.19000000000005</v>
      </c>
      <c r="V100" s="25">
        <v>2333</v>
      </c>
      <c r="W100" s="25">
        <v>44.747999999999998</v>
      </c>
      <c r="X100" s="25">
        <v>1176</v>
      </c>
      <c r="Y100" s="25">
        <v>20.384</v>
      </c>
      <c r="Z100" s="25">
        <v>10</v>
      </c>
      <c r="AA100" s="25">
        <v>3</v>
      </c>
      <c r="AB100" s="25">
        <v>519</v>
      </c>
      <c r="AC100" s="25">
        <v>158.30000000000001</v>
      </c>
      <c r="AD100" s="11" t="s">
        <v>190</v>
      </c>
      <c r="AE100" s="7" t="s">
        <v>190</v>
      </c>
      <c r="AF100" s="7" t="s">
        <v>190</v>
      </c>
      <c r="AG100" s="11" t="s">
        <v>190</v>
      </c>
      <c r="AH100" s="25">
        <v>2084</v>
      </c>
      <c r="AI100" s="26">
        <v>34.975000000000001</v>
      </c>
      <c r="AJ100" s="25">
        <v>1620</v>
      </c>
      <c r="AK100" s="26">
        <v>25.885000000000002</v>
      </c>
      <c r="AL100" s="25">
        <v>3280</v>
      </c>
      <c r="AM100" s="26">
        <v>54.21</v>
      </c>
      <c r="AN100" s="25">
        <v>3940</v>
      </c>
      <c r="AO100" s="26">
        <v>61.8</v>
      </c>
      <c r="AP100" s="25">
        <v>2085</v>
      </c>
      <c r="AQ100" s="26">
        <v>142.30000000000001</v>
      </c>
      <c r="AR100" s="25">
        <v>1445</v>
      </c>
      <c r="AS100" s="26">
        <v>119.35</v>
      </c>
      <c r="AT100" s="25">
        <v>39924</v>
      </c>
      <c r="AU100" s="26">
        <v>77.42</v>
      </c>
      <c r="AV100" s="25">
        <v>16815</v>
      </c>
      <c r="AW100" s="25">
        <v>33.1</v>
      </c>
      <c r="AX100" s="28">
        <v>31517</v>
      </c>
      <c r="AY100" s="28">
        <v>50.073999999999998</v>
      </c>
      <c r="AZ100" s="28">
        <v>7360</v>
      </c>
      <c r="BA100" s="37">
        <v>12.861000000000001</v>
      </c>
      <c r="BB100" s="9" t="s">
        <v>164</v>
      </c>
      <c r="BC100" s="10"/>
      <c r="BD100" s="10"/>
    </row>
    <row r="101" spans="1:56">
      <c r="A101" s="5" t="s">
        <v>165</v>
      </c>
      <c r="B101" s="36">
        <v>87</v>
      </c>
      <c r="C101" s="25">
        <v>9.9</v>
      </c>
      <c r="D101" s="25">
        <v>180</v>
      </c>
      <c r="E101" s="25">
        <v>30.75</v>
      </c>
      <c r="F101" s="25">
        <v>8</v>
      </c>
      <c r="G101" s="25">
        <v>2.4</v>
      </c>
      <c r="H101" s="25">
        <v>350</v>
      </c>
      <c r="I101" s="25">
        <v>95.45</v>
      </c>
      <c r="J101" s="7" t="s">
        <v>190</v>
      </c>
      <c r="K101" s="7" t="s">
        <v>190</v>
      </c>
      <c r="L101" s="7" t="s">
        <v>190</v>
      </c>
      <c r="M101" s="7" t="s">
        <v>190</v>
      </c>
      <c r="N101" s="25">
        <v>1930</v>
      </c>
      <c r="O101" s="26">
        <v>18.53</v>
      </c>
      <c r="P101" s="25">
        <v>1115</v>
      </c>
      <c r="Q101" s="26">
        <v>11.074999999999999</v>
      </c>
      <c r="R101" s="25">
        <v>4765</v>
      </c>
      <c r="S101" s="31">
        <v>45.924999999999997</v>
      </c>
      <c r="T101" s="25">
        <v>3725</v>
      </c>
      <c r="U101" s="25">
        <v>36.795000000000002</v>
      </c>
      <c r="V101" s="25">
        <v>552</v>
      </c>
      <c r="W101" s="25">
        <v>10.9</v>
      </c>
      <c r="X101" s="25">
        <v>260</v>
      </c>
      <c r="Y101" s="25">
        <v>5.18</v>
      </c>
      <c r="Z101" s="7" t="s">
        <v>190</v>
      </c>
      <c r="AA101" s="7" t="s">
        <v>190</v>
      </c>
      <c r="AB101" s="25">
        <v>30</v>
      </c>
      <c r="AC101" s="25">
        <v>7.5</v>
      </c>
      <c r="AD101" s="11" t="s">
        <v>190</v>
      </c>
      <c r="AE101" s="7" t="s">
        <v>190</v>
      </c>
      <c r="AF101" s="7" t="s">
        <v>190</v>
      </c>
      <c r="AG101" s="11" t="s">
        <v>190</v>
      </c>
      <c r="AH101" s="25">
        <v>65</v>
      </c>
      <c r="AI101" s="26">
        <v>1</v>
      </c>
      <c r="AJ101" s="25">
        <v>60</v>
      </c>
      <c r="AK101" s="26">
        <v>0.93</v>
      </c>
      <c r="AL101" s="25">
        <v>500</v>
      </c>
      <c r="AM101" s="26">
        <v>7.6449999999999996</v>
      </c>
      <c r="AN101" s="25">
        <v>460</v>
      </c>
      <c r="AO101" s="26">
        <v>7.19</v>
      </c>
      <c r="AP101" s="25">
        <v>825</v>
      </c>
      <c r="AQ101" s="26">
        <v>61.4</v>
      </c>
      <c r="AR101" s="25">
        <v>517</v>
      </c>
      <c r="AS101" s="26">
        <v>38.94</v>
      </c>
      <c r="AT101" s="25">
        <v>45185</v>
      </c>
      <c r="AU101" s="26">
        <v>66.430000000000007</v>
      </c>
      <c r="AV101" s="25">
        <v>8780</v>
      </c>
      <c r="AW101" s="25">
        <v>13.275</v>
      </c>
      <c r="AX101" s="28">
        <v>21725</v>
      </c>
      <c r="AY101" s="28">
        <v>32.590000000000003</v>
      </c>
      <c r="AZ101" s="28">
        <v>670</v>
      </c>
      <c r="BA101" s="37">
        <v>1.125</v>
      </c>
      <c r="BB101" s="9" t="s">
        <v>166</v>
      </c>
      <c r="BC101" s="10"/>
      <c r="BD101" s="10"/>
    </row>
    <row r="102" spans="1:56">
      <c r="A102" s="5" t="s">
        <v>167</v>
      </c>
      <c r="B102" s="36">
        <v>151</v>
      </c>
      <c r="C102" s="25">
        <v>15.554</v>
      </c>
      <c r="D102" s="25">
        <v>160</v>
      </c>
      <c r="E102" s="25">
        <v>25.39</v>
      </c>
      <c r="F102" s="25">
        <v>145</v>
      </c>
      <c r="G102" s="25">
        <v>14.1</v>
      </c>
      <c r="H102" s="25">
        <v>380</v>
      </c>
      <c r="I102" s="25">
        <v>83.82</v>
      </c>
      <c r="J102" s="7" t="s">
        <v>190</v>
      </c>
      <c r="K102" s="7" t="s">
        <v>190</v>
      </c>
      <c r="L102" s="7" t="s">
        <v>190</v>
      </c>
      <c r="M102" s="7" t="s">
        <v>190</v>
      </c>
      <c r="N102" s="25">
        <v>8999</v>
      </c>
      <c r="O102" s="26">
        <v>81.498000000000005</v>
      </c>
      <c r="P102" s="25">
        <v>5171</v>
      </c>
      <c r="Q102" s="26">
        <v>50.377000000000002</v>
      </c>
      <c r="R102" s="25">
        <v>15877</v>
      </c>
      <c r="S102" s="31">
        <v>154.68600000000001</v>
      </c>
      <c r="T102" s="25">
        <v>11607</v>
      </c>
      <c r="U102" s="25">
        <v>62.078000000000003</v>
      </c>
      <c r="V102" s="25">
        <v>2016</v>
      </c>
      <c r="W102" s="25">
        <v>40.167999999999999</v>
      </c>
      <c r="X102" s="25">
        <v>8143</v>
      </c>
      <c r="Y102" s="25">
        <v>153.82900000000001</v>
      </c>
      <c r="Z102" s="25">
        <v>32</v>
      </c>
      <c r="AA102" s="25">
        <v>6.6</v>
      </c>
      <c r="AB102" s="25">
        <v>330</v>
      </c>
      <c r="AC102" s="25">
        <v>68.599999999999994</v>
      </c>
      <c r="AD102" s="11" t="s">
        <v>190</v>
      </c>
      <c r="AE102" s="7" t="s">
        <v>190</v>
      </c>
      <c r="AF102" s="7" t="s">
        <v>190</v>
      </c>
      <c r="AG102" s="11" t="s">
        <v>190</v>
      </c>
      <c r="AH102" s="25">
        <v>1578</v>
      </c>
      <c r="AI102" s="26">
        <v>25.91</v>
      </c>
      <c r="AJ102" s="25">
        <v>1578</v>
      </c>
      <c r="AK102" s="26">
        <v>22.899000000000001</v>
      </c>
      <c r="AL102" s="25">
        <v>5591</v>
      </c>
      <c r="AM102" s="26">
        <v>89.893000000000001</v>
      </c>
      <c r="AN102" s="25">
        <v>3609</v>
      </c>
      <c r="AO102" s="26">
        <v>67.188000000000002</v>
      </c>
      <c r="AP102" s="25">
        <v>1012</v>
      </c>
      <c r="AQ102" s="26">
        <v>46.8</v>
      </c>
      <c r="AR102" s="25">
        <v>11877</v>
      </c>
      <c r="AS102" s="26">
        <v>872.95299999999997</v>
      </c>
      <c r="AT102" s="25">
        <v>209168</v>
      </c>
      <c r="AU102" s="26">
        <v>194.279</v>
      </c>
      <c r="AV102" s="25">
        <v>26787</v>
      </c>
      <c r="AW102" s="25">
        <v>45.43</v>
      </c>
      <c r="AX102" s="28">
        <v>10940</v>
      </c>
      <c r="AY102" s="28">
        <v>27.414999999999999</v>
      </c>
      <c r="AZ102" s="28">
        <v>1870</v>
      </c>
      <c r="BA102" s="37">
        <v>2.5</v>
      </c>
      <c r="BB102" s="9" t="s">
        <v>168</v>
      </c>
      <c r="BC102" s="10"/>
      <c r="BD102" s="10"/>
    </row>
    <row r="103" spans="1:56">
      <c r="A103" s="5" t="s">
        <v>169</v>
      </c>
      <c r="B103" s="36">
        <v>118</v>
      </c>
      <c r="C103" s="25">
        <v>20.010000000000002</v>
      </c>
      <c r="D103" s="25">
        <v>115</v>
      </c>
      <c r="E103" s="25">
        <v>15.88</v>
      </c>
      <c r="F103" s="25">
        <v>56</v>
      </c>
      <c r="G103" s="25">
        <v>11.55</v>
      </c>
      <c r="H103" s="25">
        <v>59</v>
      </c>
      <c r="I103" s="25">
        <v>11.75</v>
      </c>
      <c r="J103" s="7" t="s">
        <v>190</v>
      </c>
      <c r="K103" s="7" t="s">
        <v>190</v>
      </c>
      <c r="L103" s="7" t="s">
        <v>190</v>
      </c>
      <c r="M103" s="7" t="s">
        <v>190</v>
      </c>
      <c r="N103" s="25">
        <v>3795</v>
      </c>
      <c r="O103" s="26">
        <v>37.82</v>
      </c>
      <c r="P103" s="25">
        <v>5680</v>
      </c>
      <c r="Q103" s="26">
        <v>54.884999999999998</v>
      </c>
      <c r="R103" s="25">
        <v>6425</v>
      </c>
      <c r="S103" s="31">
        <v>63.87</v>
      </c>
      <c r="T103" s="25">
        <v>10495</v>
      </c>
      <c r="U103" s="25">
        <v>103.48</v>
      </c>
      <c r="V103" s="25">
        <v>36</v>
      </c>
      <c r="W103" s="25">
        <v>0.7</v>
      </c>
      <c r="X103" s="7" t="s">
        <v>190</v>
      </c>
      <c r="Y103" s="7" t="s">
        <v>190</v>
      </c>
      <c r="Z103" s="7" t="s">
        <v>190</v>
      </c>
      <c r="AA103" s="7" t="s">
        <v>190</v>
      </c>
      <c r="AB103" s="6" t="s">
        <v>190</v>
      </c>
      <c r="AC103" s="6" t="s">
        <v>190</v>
      </c>
      <c r="AD103" s="11" t="s">
        <v>190</v>
      </c>
      <c r="AE103" s="7" t="s">
        <v>190</v>
      </c>
      <c r="AF103" s="7" t="s">
        <v>190</v>
      </c>
      <c r="AG103" s="11" t="s">
        <v>190</v>
      </c>
      <c r="AH103" s="25">
        <v>105</v>
      </c>
      <c r="AI103" s="26">
        <v>1.71</v>
      </c>
      <c r="AJ103" s="25">
        <v>165</v>
      </c>
      <c r="AK103" s="26">
        <v>2.68</v>
      </c>
      <c r="AL103" s="25">
        <v>95</v>
      </c>
      <c r="AM103" s="26">
        <v>1.44</v>
      </c>
      <c r="AN103" s="25">
        <v>325</v>
      </c>
      <c r="AO103" s="26">
        <v>5.0599999999999996</v>
      </c>
      <c r="AP103" s="25">
        <v>249</v>
      </c>
      <c r="AQ103" s="26">
        <v>23.774999999999999</v>
      </c>
      <c r="AR103" s="25">
        <v>251</v>
      </c>
      <c r="AS103" s="26">
        <v>22.405000000000001</v>
      </c>
      <c r="AT103" s="25">
        <v>2941</v>
      </c>
      <c r="AU103" s="26">
        <v>4.2699999999999996</v>
      </c>
      <c r="AV103" s="25">
        <v>100</v>
      </c>
      <c r="AW103" s="25">
        <v>0.14499999999999999</v>
      </c>
      <c r="AX103" s="28">
        <v>4412</v>
      </c>
      <c r="AY103" s="28">
        <v>6.3049999999999997</v>
      </c>
      <c r="AZ103" s="28">
        <v>940</v>
      </c>
      <c r="BA103" s="37">
        <v>1.1200000000000001</v>
      </c>
      <c r="BB103" s="9" t="s">
        <v>170</v>
      </c>
      <c r="BC103" s="10"/>
      <c r="BD103" s="10"/>
    </row>
    <row r="104" spans="1:56">
      <c r="A104" s="82" t="s">
        <v>171</v>
      </c>
      <c r="B104" s="71">
        <f t="shared" ref="B104:K104" si="31">SUM(B106:B109)</f>
        <v>701</v>
      </c>
      <c r="C104" s="51">
        <f t="shared" si="31"/>
        <v>68.22999999999999</v>
      </c>
      <c r="D104" s="51">
        <f t="shared" si="31"/>
        <v>762</v>
      </c>
      <c r="E104" s="51">
        <f t="shared" si="31"/>
        <v>151.19999999999999</v>
      </c>
      <c r="F104" s="51">
        <f t="shared" si="31"/>
        <v>108</v>
      </c>
      <c r="G104" s="51">
        <f t="shared" si="31"/>
        <v>25.22</v>
      </c>
      <c r="H104" s="51">
        <f t="shared" si="31"/>
        <v>822</v>
      </c>
      <c r="I104" s="51">
        <f t="shared" si="31"/>
        <v>180.09</v>
      </c>
      <c r="J104" s="51">
        <f t="shared" si="31"/>
        <v>0</v>
      </c>
      <c r="K104" s="51">
        <f t="shared" si="31"/>
        <v>0</v>
      </c>
      <c r="L104" s="51">
        <f t="shared" ref="L104:Y104" si="32">SUM(L106:L109)</f>
        <v>0</v>
      </c>
      <c r="M104" s="51">
        <f t="shared" si="32"/>
        <v>0</v>
      </c>
      <c r="N104" s="51">
        <f t="shared" si="32"/>
        <v>318579</v>
      </c>
      <c r="O104" s="53">
        <f t="shared" si="32"/>
        <v>3069.1010000000001</v>
      </c>
      <c r="P104" s="51">
        <f t="shared" si="32"/>
        <v>856069</v>
      </c>
      <c r="Q104" s="53">
        <f t="shared" si="32"/>
        <v>8066.32</v>
      </c>
      <c r="R104" s="51">
        <f t="shared" si="32"/>
        <v>191328</v>
      </c>
      <c r="S104" s="53">
        <f t="shared" si="32"/>
        <v>1823.1019999999999</v>
      </c>
      <c r="T104" s="51">
        <f t="shared" si="32"/>
        <v>302165</v>
      </c>
      <c r="U104" s="51">
        <f t="shared" si="32"/>
        <v>2851.7200000000003</v>
      </c>
      <c r="V104" s="51">
        <f t="shared" si="32"/>
        <v>26051</v>
      </c>
      <c r="W104" s="51">
        <f t="shared" si="32"/>
        <v>473.17600000000004</v>
      </c>
      <c r="X104" s="51">
        <f t="shared" si="32"/>
        <v>28471</v>
      </c>
      <c r="Y104" s="51">
        <f t="shared" si="32"/>
        <v>509.20300000000003</v>
      </c>
      <c r="Z104" s="51">
        <f>SUM(Z106:Z109)</f>
        <v>59</v>
      </c>
      <c r="AA104" s="51">
        <f>SUM(AA106:AA109)</f>
        <v>8.74</v>
      </c>
      <c r="AB104" s="51">
        <f>SUM(AB106:AB109)</f>
        <v>44</v>
      </c>
      <c r="AC104" s="51">
        <f>SUM(AC106:AC109)</f>
        <v>13.2</v>
      </c>
      <c r="AD104" s="53">
        <f t="shared" ref="AD104:BA104" si="33">SUM(AD106:AD109)</f>
        <v>0</v>
      </c>
      <c r="AE104" s="51">
        <f t="shared" si="33"/>
        <v>0</v>
      </c>
      <c r="AF104" s="51">
        <f t="shared" si="33"/>
        <v>0</v>
      </c>
      <c r="AG104" s="53">
        <f t="shared" si="33"/>
        <v>0</v>
      </c>
      <c r="AH104" s="51">
        <f t="shared" si="33"/>
        <v>68176</v>
      </c>
      <c r="AI104" s="53">
        <f t="shared" si="33"/>
        <v>1240.45</v>
      </c>
      <c r="AJ104" s="51">
        <f t="shared" si="33"/>
        <v>97905</v>
      </c>
      <c r="AK104" s="53">
        <f t="shared" si="33"/>
        <v>1735.4690000000001</v>
      </c>
      <c r="AL104" s="51">
        <f t="shared" si="33"/>
        <v>47156</v>
      </c>
      <c r="AM104" s="53">
        <f t="shared" si="33"/>
        <v>848.42399999999998</v>
      </c>
      <c r="AN104" s="51">
        <f t="shared" si="33"/>
        <v>55962</v>
      </c>
      <c r="AO104" s="53">
        <f t="shared" si="33"/>
        <v>1001.8620000000001</v>
      </c>
      <c r="AP104" s="51">
        <f t="shared" si="33"/>
        <v>65811</v>
      </c>
      <c r="AQ104" s="53">
        <f t="shared" si="33"/>
        <v>5264.9830000000002</v>
      </c>
      <c r="AR104" s="51">
        <f t="shared" si="33"/>
        <v>21198</v>
      </c>
      <c r="AS104" s="53">
        <f t="shared" si="33"/>
        <v>1110.316</v>
      </c>
      <c r="AT104" s="51">
        <f t="shared" si="33"/>
        <v>984306</v>
      </c>
      <c r="AU104" s="53">
        <f t="shared" si="33"/>
        <v>2060.058</v>
      </c>
      <c r="AV104" s="51">
        <f t="shared" si="33"/>
        <v>351665</v>
      </c>
      <c r="AW104" s="51">
        <f t="shared" si="33"/>
        <v>756.76099999999997</v>
      </c>
      <c r="AX104" s="51">
        <f t="shared" si="33"/>
        <v>1194803</v>
      </c>
      <c r="AY104" s="51">
        <f t="shared" si="33"/>
        <v>2078.1120000000001</v>
      </c>
      <c r="AZ104" s="51">
        <f t="shared" si="33"/>
        <v>273959</v>
      </c>
      <c r="BA104" s="52">
        <f t="shared" si="33"/>
        <v>423.51600000000002</v>
      </c>
      <c r="BB104" s="87" t="s">
        <v>172</v>
      </c>
      <c r="BC104" s="87"/>
      <c r="BD104" s="87"/>
    </row>
    <row r="105" spans="1:56">
      <c r="A105" s="82"/>
      <c r="B105" s="7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3"/>
      <c r="P105" s="51"/>
      <c r="Q105" s="53"/>
      <c r="R105" s="51"/>
      <c r="S105" s="53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3"/>
      <c r="AE105" s="51"/>
      <c r="AF105" s="51"/>
      <c r="AG105" s="53"/>
      <c r="AH105" s="51"/>
      <c r="AI105" s="53"/>
      <c r="AJ105" s="51"/>
      <c r="AK105" s="53"/>
      <c r="AL105" s="51"/>
      <c r="AM105" s="53"/>
      <c r="AN105" s="51"/>
      <c r="AO105" s="53"/>
      <c r="AP105" s="51"/>
      <c r="AQ105" s="53"/>
      <c r="AR105" s="51"/>
      <c r="AS105" s="53"/>
      <c r="AT105" s="51"/>
      <c r="AU105" s="53"/>
      <c r="AV105" s="51"/>
      <c r="AW105" s="51"/>
      <c r="AX105" s="51"/>
      <c r="AY105" s="51"/>
      <c r="AZ105" s="51"/>
      <c r="BA105" s="52"/>
      <c r="BB105" s="87"/>
      <c r="BC105" s="87"/>
      <c r="BD105" s="87"/>
    </row>
    <row r="106" spans="1:56">
      <c r="A106" s="5" t="s">
        <v>173</v>
      </c>
      <c r="B106" s="36">
        <v>372</v>
      </c>
      <c r="C106" s="25">
        <v>28.7</v>
      </c>
      <c r="D106" s="25">
        <v>427</v>
      </c>
      <c r="E106" s="25">
        <v>81</v>
      </c>
      <c r="F106" s="25">
        <v>38</v>
      </c>
      <c r="G106" s="25">
        <v>6.7</v>
      </c>
      <c r="H106" s="25">
        <v>487</v>
      </c>
      <c r="I106" s="25">
        <v>83.9</v>
      </c>
      <c r="J106" s="7" t="s">
        <v>190</v>
      </c>
      <c r="K106" s="7" t="s">
        <v>190</v>
      </c>
      <c r="L106" s="7" t="s">
        <v>190</v>
      </c>
      <c r="M106" s="7" t="s">
        <v>190</v>
      </c>
      <c r="N106" s="25">
        <v>121039</v>
      </c>
      <c r="O106" s="26">
        <v>1225.1400000000001</v>
      </c>
      <c r="P106" s="25">
        <v>244831</v>
      </c>
      <c r="Q106" s="26">
        <v>2505.1</v>
      </c>
      <c r="R106" s="27">
        <v>78277</v>
      </c>
      <c r="S106" s="31">
        <v>769.26199999999994</v>
      </c>
      <c r="T106" s="25">
        <v>94781</v>
      </c>
      <c r="U106" s="25">
        <v>913.38</v>
      </c>
      <c r="V106" s="25">
        <v>7537</v>
      </c>
      <c r="W106" s="25">
        <v>136.864</v>
      </c>
      <c r="X106" s="25">
        <v>10102</v>
      </c>
      <c r="Y106" s="25">
        <v>171.87700000000001</v>
      </c>
      <c r="Z106" s="25">
        <v>59</v>
      </c>
      <c r="AA106" s="25">
        <v>8.74</v>
      </c>
      <c r="AB106" s="25">
        <v>26</v>
      </c>
      <c r="AC106" s="25">
        <v>7.5</v>
      </c>
      <c r="AD106" s="11" t="s">
        <v>190</v>
      </c>
      <c r="AE106" s="7" t="s">
        <v>190</v>
      </c>
      <c r="AF106" s="7" t="s">
        <v>190</v>
      </c>
      <c r="AG106" s="11" t="s">
        <v>190</v>
      </c>
      <c r="AH106" s="25">
        <v>30904</v>
      </c>
      <c r="AI106" s="26">
        <v>618.05700000000002</v>
      </c>
      <c r="AJ106" s="25">
        <v>26759</v>
      </c>
      <c r="AK106" s="26">
        <v>514.16700000000003</v>
      </c>
      <c r="AL106" s="25">
        <v>21162</v>
      </c>
      <c r="AM106" s="26">
        <v>439.09300000000002</v>
      </c>
      <c r="AN106" s="25">
        <v>11503</v>
      </c>
      <c r="AO106" s="26">
        <v>244.72900000000001</v>
      </c>
      <c r="AP106" s="25">
        <v>6680</v>
      </c>
      <c r="AQ106" s="26">
        <v>371.83300000000003</v>
      </c>
      <c r="AR106" s="25">
        <v>9490</v>
      </c>
      <c r="AS106" s="26">
        <v>494.39699999999999</v>
      </c>
      <c r="AT106" s="25">
        <v>373759</v>
      </c>
      <c r="AU106" s="26">
        <v>787.22400000000005</v>
      </c>
      <c r="AV106" s="25">
        <v>132678</v>
      </c>
      <c r="AW106" s="25">
        <v>267.74599999999998</v>
      </c>
      <c r="AX106" s="28">
        <v>534488</v>
      </c>
      <c r="AY106" s="28">
        <v>991.99900000000002</v>
      </c>
      <c r="AZ106" s="28">
        <v>75398</v>
      </c>
      <c r="BA106" s="37">
        <v>128.84899999999999</v>
      </c>
      <c r="BB106" s="9" t="s">
        <v>174</v>
      </c>
      <c r="BC106" s="10"/>
      <c r="BD106" s="10"/>
    </row>
    <row r="107" spans="1:56">
      <c r="A107" s="5" t="s">
        <v>175</v>
      </c>
      <c r="B107" s="36">
        <v>322</v>
      </c>
      <c r="C107" s="25">
        <v>38.21</v>
      </c>
      <c r="D107" s="25">
        <v>185</v>
      </c>
      <c r="E107" s="25">
        <v>36.700000000000003</v>
      </c>
      <c r="F107" s="25">
        <v>16</v>
      </c>
      <c r="G107" s="25">
        <v>3.27</v>
      </c>
      <c r="H107" s="25">
        <v>24</v>
      </c>
      <c r="I107" s="25">
        <v>6</v>
      </c>
      <c r="J107" s="7" t="s">
        <v>190</v>
      </c>
      <c r="K107" s="7" t="s">
        <v>190</v>
      </c>
      <c r="L107" s="7" t="s">
        <v>190</v>
      </c>
      <c r="M107" s="7" t="s">
        <v>190</v>
      </c>
      <c r="N107" s="25">
        <v>24259</v>
      </c>
      <c r="O107" s="26">
        <v>209.83600000000001</v>
      </c>
      <c r="P107" s="25">
        <v>73424</v>
      </c>
      <c r="Q107" s="26">
        <v>666.34299999999996</v>
      </c>
      <c r="R107" s="27">
        <v>16735</v>
      </c>
      <c r="S107" s="31">
        <v>145.28700000000001</v>
      </c>
      <c r="T107" s="25">
        <v>45541</v>
      </c>
      <c r="U107" s="25">
        <v>428.83</v>
      </c>
      <c r="V107" s="25">
        <v>3331</v>
      </c>
      <c r="W107" s="25">
        <v>63.4</v>
      </c>
      <c r="X107" s="25">
        <v>6439</v>
      </c>
      <c r="Y107" s="25">
        <v>117.98</v>
      </c>
      <c r="Z107" s="7" t="s">
        <v>190</v>
      </c>
      <c r="AA107" s="7" t="s">
        <v>190</v>
      </c>
      <c r="AB107" s="7" t="s">
        <v>190</v>
      </c>
      <c r="AC107" s="7" t="s">
        <v>190</v>
      </c>
      <c r="AD107" s="11" t="s">
        <v>190</v>
      </c>
      <c r="AE107" s="7" t="s">
        <v>190</v>
      </c>
      <c r="AF107" s="7" t="s">
        <v>190</v>
      </c>
      <c r="AG107" s="11" t="s">
        <v>190</v>
      </c>
      <c r="AH107" s="25">
        <v>5575</v>
      </c>
      <c r="AI107" s="26">
        <v>77.888000000000005</v>
      </c>
      <c r="AJ107" s="25">
        <v>9183</v>
      </c>
      <c r="AK107" s="26">
        <v>147.36500000000001</v>
      </c>
      <c r="AL107" s="25">
        <v>7274</v>
      </c>
      <c r="AM107" s="26">
        <v>107.39</v>
      </c>
      <c r="AN107" s="25">
        <v>5902</v>
      </c>
      <c r="AO107" s="26">
        <v>100.714</v>
      </c>
      <c r="AP107" s="25">
        <v>4300</v>
      </c>
      <c r="AQ107" s="26">
        <v>189.39500000000001</v>
      </c>
      <c r="AR107" s="25">
        <v>4927</v>
      </c>
      <c r="AS107" s="26">
        <v>215.38</v>
      </c>
      <c r="AT107" s="25">
        <v>145733</v>
      </c>
      <c r="AU107" s="26">
        <v>336.98500000000001</v>
      </c>
      <c r="AV107" s="25">
        <v>33325</v>
      </c>
      <c r="AW107" s="25">
        <v>67.965000000000003</v>
      </c>
      <c r="AX107" s="28">
        <v>158282</v>
      </c>
      <c r="AY107" s="28">
        <v>278.084</v>
      </c>
      <c r="AZ107" s="28">
        <v>37722</v>
      </c>
      <c r="BA107" s="37">
        <v>55.115000000000002</v>
      </c>
      <c r="BB107" s="9" t="s">
        <v>176</v>
      </c>
      <c r="BC107" s="10"/>
      <c r="BD107" s="10"/>
    </row>
    <row r="108" spans="1:56">
      <c r="A108" s="5" t="s">
        <v>177</v>
      </c>
      <c r="B108" s="36">
        <v>2</v>
      </c>
      <c r="C108" s="25">
        <v>0.55000000000000004</v>
      </c>
      <c r="D108" s="25">
        <v>84</v>
      </c>
      <c r="E108" s="25">
        <v>20</v>
      </c>
      <c r="F108" s="25">
        <v>5</v>
      </c>
      <c r="G108" s="25">
        <v>1</v>
      </c>
      <c r="H108" s="25">
        <v>258</v>
      </c>
      <c r="I108" s="25">
        <v>73.650000000000006</v>
      </c>
      <c r="J108" s="7" t="s">
        <v>190</v>
      </c>
      <c r="K108" s="7" t="s">
        <v>190</v>
      </c>
      <c r="L108" s="7" t="s">
        <v>190</v>
      </c>
      <c r="M108" s="7" t="s">
        <v>190</v>
      </c>
      <c r="N108" s="25">
        <v>80038</v>
      </c>
      <c r="O108" s="26">
        <v>758.86400000000003</v>
      </c>
      <c r="P108" s="25">
        <v>353937</v>
      </c>
      <c r="Q108" s="26">
        <v>3216.3989999999999</v>
      </c>
      <c r="R108" s="27">
        <v>50656</v>
      </c>
      <c r="S108" s="31">
        <v>481.73200000000003</v>
      </c>
      <c r="T108" s="25">
        <v>90861</v>
      </c>
      <c r="U108" s="25">
        <v>864.20100000000002</v>
      </c>
      <c r="V108" s="25">
        <v>11208</v>
      </c>
      <c r="W108" s="25">
        <v>198.149</v>
      </c>
      <c r="X108" s="25">
        <v>9054</v>
      </c>
      <c r="Y108" s="25">
        <v>164.41399999999999</v>
      </c>
      <c r="Z108" s="6" t="s">
        <v>190</v>
      </c>
      <c r="AA108" s="6" t="s">
        <v>190</v>
      </c>
      <c r="AB108" s="25">
        <v>18</v>
      </c>
      <c r="AC108" s="25">
        <v>5.7</v>
      </c>
      <c r="AD108" s="11" t="s">
        <v>190</v>
      </c>
      <c r="AE108" s="7" t="s">
        <v>190</v>
      </c>
      <c r="AF108" s="7" t="s">
        <v>190</v>
      </c>
      <c r="AG108" s="11" t="s">
        <v>190</v>
      </c>
      <c r="AH108" s="25">
        <v>13947</v>
      </c>
      <c r="AI108" s="26">
        <v>261.86700000000002</v>
      </c>
      <c r="AJ108" s="25">
        <v>31229</v>
      </c>
      <c r="AK108" s="26">
        <v>578.24900000000002</v>
      </c>
      <c r="AL108" s="25">
        <v>7694</v>
      </c>
      <c r="AM108" s="26">
        <v>142.96899999999999</v>
      </c>
      <c r="AN108" s="25">
        <v>17598</v>
      </c>
      <c r="AO108" s="26">
        <v>330.04599999999999</v>
      </c>
      <c r="AP108" s="25">
        <v>49600</v>
      </c>
      <c r="AQ108" s="26">
        <v>4443.3280000000004</v>
      </c>
      <c r="AR108" s="25">
        <v>4195</v>
      </c>
      <c r="AS108" s="26">
        <v>250.124</v>
      </c>
      <c r="AT108" s="25">
        <v>101757</v>
      </c>
      <c r="AU108" s="26">
        <v>228.251</v>
      </c>
      <c r="AV108" s="25">
        <v>160435</v>
      </c>
      <c r="AW108" s="25">
        <v>375.54300000000001</v>
      </c>
      <c r="AX108" s="28">
        <v>247321</v>
      </c>
      <c r="AY108" s="28">
        <v>401.40100000000001</v>
      </c>
      <c r="AZ108" s="28">
        <v>126533</v>
      </c>
      <c r="BA108" s="37">
        <v>181.25200000000001</v>
      </c>
      <c r="BB108" s="9" t="s">
        <v>178</v>
      </c>
      <c r="BC108" s="10"/>
      <c r="BD108" s="10"/>
    </row>
    <row r="109" spans="1:56" ht="10.8" thickBot="1">
      <c r="A109" s="13" t="s">
        <v>179</v>
      </c>
      <c r="B109" s="44">
        <v>5</v>
      </c>
      <c r="C109" s="45">
        <v>0.77</v>
      </c>
      <c r="D109" s="45">
        <v>66</v>
      </c>
      <c r="E109" s="45">
        <v>13.5</v>
      </c>
      <c r="F109" s="45">
        <v>49</v>
      </c>
      <c r="G109" s="45">
        <v>14.25</v>
      </c>
      <c r="H109" s="45">
        <v>53</v>
      </c>
      <c r="I109" s="45">
        <v>16.54</v>
      </c>
      <c r="J109" s="14" t="s">
        <v>190</v>
      </c>
      <c r="K109" s="14" t="s">
        <v>190</v>
      </c>
      <c r="L109" s="14" t="s">
        <v>190</v>
      </c>
      <c r="M109" s="14" t="s">
        <v>190</v>
      </c>
      <c r="N109" s="45">
        <v>93243</v>
      </c>
      <c r="O109" s="46">
        <v>875.26099999999997</v>
      </c>
      <c r="P109" s="45">
        <v>183877</v>
      </c>
      <c r="Q109" s="46">
        <v>1678.4780000000001</v>
      </c>
      <c r="R109" s="47">
        <v>45660</v>
      </c>
      <c r="S109" s="48">
        <v>426.82100000000003</v>
      </c>
      <c r="T109" s="45">
        <v>70982</v>
      </c>
      <c r="U109" s="45">
        <v>645.30899999999997</v>
      </c>
      <c r="V109" s="45">
        <v>3975</v>
      </c>
      <c r="W109" s="45">
        <v>74.763000000000005</v>
      </c>
      <c r="X109" s="45">
        <v>2876</v>
      </c>
      <c r="Y109" s="45">
        <v>54.932000000000002</v>
      </c>
      <c r="Z109" s="14" t="s">
        <v>190</v>
      </c>
      <c r="AA109" s="14" t="s">
        <v>190</v>
      </c>
      <c r="AB109" s="14" t="s">
        <v>190</v>
      </c>
      <c r="AC109" s="14" t="s">
        <v>190</v>
      </c>
      <c r="AD109" s="24" t="s">
        <v>190</v>
      </c>
      <c r="AE109" s="14" t="s">
        <v>190</v>
      </c>
      <c r="AF109" s="14" t="s">
        <v>190</v>
      </c>
      <c r="AG109" s="24" t="s">
        <v>190</v>
      </c>
      <c r="AH109" s="45">
        <v>17750</v>
      </c>
      <c r="AI109" s="46">
        <v>282.63799999999998</v>
      </c>
      <c r="AJ109" s="45">
        <v>30734</v>
      </c>
      <c r="AK109" s="46">
        <v>495.68799999999999</v>
      </c>
      <c r="AL109" s="45">
        <v>11026</v>
      </c>
      <c r="AM109" s="46">
        <v>158.97200000000001</v>
      </c>
      <c r="AN109" s="45">
        <v>20959</v>
      </c>
      <c r="AO109" s="46">
        <v>326.37299999999999</v>
      </c>
      <c r="AP109" s="45">
        <v>5231</v>
      </c>
      <c r="AQ109" s="46">
        <v>260.42700000000002</v>
      </c>
      <c r="AR109" s="45">
        <v>2586</v>
      </c>
      <c r="AS109" s="46">
        <v>150.41499999999999</v>
      </c>
      <c r="AT109" s="45">
        <v>363057</v>
      </c>
      <c r="AU109" s="46">
        <v>707.59799999999996</v>
      </c>
      <c r="AV109" s="45">
        <v>25227</v>
      </c>
      <c r="AW109" s="45">
        <v>45.506999999999998</v>
      </c>
      <c r="AX109" s="49">
        <v>254712</v>
      </c>
      <c r="AY109" s="49">
        <v>406.62799999999999</v>
      </c>
      <c r="AZ109" s="49">
        <v>34306</v>
      </c>
      <c r="BA109" s="50">
        <v>58.3</v>
      </c>
      <c r="BB109" s="15" t="s">
        <v>180</v>
      </c>
      <c r="BC109" s="16"/>
      <c r="BD109" s="16"/>
    </row>
  </sheetData>
  <mergeCells count="745">
    <mergeCell ref="A104:A105"/>
    <mergeCell ref="BB104:BD105"/>
    <mergeCell ref="A65:A66"/>
    <mergeCell ref="BB65:BD66"/>
    <mergeCell ref="A72:A73"/>
    <mergeCell ref="BB72:BD73"/>
    <mergeCell ref="A82:A83"/>
    <mergeCell ref="BB82:BD83"/>
    <mergeCell ref="A53:A54"/>
    <mergeCell ref="BB53:BD54"/>
    <mergeCell ref="A60:A61"/>
    <mergeCell ref="BB60:BD61"/>
    <mergeCell ref="K46:K47"/>
    <mergeCell ref="L46:L47"/>
    <mergeCell ref="M46:M47"/>
    <mergeCell ref="N46:N47"/>
    <mergeCell ref="A89:A90"/>
    <mergeCell ref="BB89:BD90"/>
    <mergeCell ref="BB33:BD34"/>
    <mergeCell ref="A39:A40"/>
    <mergeCell ref="BB39:BD40"/>
    <mergeCell ref="B39:B40"/>
    <mergeCell ref="C39:C40"/>
    <mergeCell ref="D39:D40"/>
    <mergeCell ref="E39:E40"/>
    <mergeCell ref="A46:A47"/>
    <mergeCell ref="BB46:BD47"/>
    <mergeCell ref="BB9:BD10"/>
    <mergeCell ref="A11:A12"/>
    <mergeCell ref="BB11:BD12"/>
    <mergeCell ref="BB5:BD8"/>
    <mergeCell ref="B6:C7"/>
    <mergeCell ref="D6:E7"/>
    <mergeCell ref="F6:G7"/>
    <mergeCell ref="A19:A20"/>
    <mergeCell ref="BB19:BD20"/>
    <mergeCell ref="H39:H40"/>
    <mergeCell ref="I39:I40"/>
    <mergeCell ref="J39:J40"/>
    <mergeCell ref="K39:K40"/>
    <mergeCell ref="A2:L2"/>
    <mergeCell ref="M2:Y2"/>
    <mergeCell ref="A5:A8"/>
    <mergeCell ref="B5:E5"/>
    <mergeCell ref="F5:I5"/>
    <mergeCell ref="J5:M5"/>
    <mergeCell ref="N5:Q5"/>
    <mergeCell ref="R5:U5"/>
    <mergeCell ref="V5:Y5"/>
    <mergeCell ref="T6:U7"/>
    <mergeCell ref="H6:I7"/>
    <mergeCell ref="J6:K7"/>
    <mergeCell ref="L6:M7"/>
    <mergeCell ref="N6:O7"/>
    <mergeCell ref="P6:Q7"/>
    <mergeCell ref="R6:S7"/>
    <mergeCell ref="V6:W7"/>
    <mergeCell ref="X6:Y7"/>
    <mergeCell ref="A9:A10"/>
    <mergeCell ref="A33:A34"/>
    <mergeCell ref="X39:X40"/>
    <mergeCell ref="Y39:Y40"/>
    <mergeCell ref="D33:D34"/>
    <mergeCell ref="B33:B34"/>
    <mergeCell ref="C33:C34"/>
    <mergeCell ref="E33:E34"/>
    <mergeCell ref="F33:F34"/>
    <mergeCell ref="G33:G34"/>
    <mergeCell ref="H33:H34"/>
    <mergeCell ref="I33:I34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F39:F40"/>
    <mergeCell ref="G39:G40"/>
    <mergeCell ref="Y33:Y34"/>
    <mergeCell ref="E19:E20"/>
    <mergeCell ref="B19:B20"/>
    <mergeCell ref="C19:C20"/>
    <mergeCell ref="D19:D20"/>
    <mergeCell ref="F19:F20"/>
    <mergeCell ref="G19:G20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H19:H20"/>
    <mergeCell ref="I19:I20"/>
    <mergeCell ref="J19:J20"/>
    <mergeCell ref="K19:K20"/>
    <mergeCell ref="L19:L20"/>
    <mergeCell ref="M19:M20"/>
    <mergeCell ref="V33:V34"/>
    <mergeCell ref="W33:W34"/>
    <mergeCell ref="X33:X34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M11:M12"/>
    <mergeCell ref="N11:N12"/>
    <mergeCell ref="H11:H12"/>
    <mergeCell ref="B11:B12"/>
    <mergeCell ref="C11:C12"/>
    <mergeCell ref="D11:D12"/>
    <mergeCell ref="E11:E12"/>
    <mergeCell ref="F11:F12"/>
    <mergeCell ref="G11:G12"/>
    <mergeCell ref="D9:D10"/>
    <mergeCell ref="E9:E10"/>
    <mergeCell ref="F9:F10"/>
    <mergeCell ref="G9:G10"/>
    <mergeCell ref="U11:U12"/>
    <mergeCell ref="V11:V12"/>
    <mergeCell ref="W11:W12"/>
    <mergeCell ref="X11:X12"/>
    <mergeCell ref="Y11:Y12"/>
    <mergeCell ref="Q9:Q10"/>
    <mergeCell ref="U9:U10"/>
    <mergeCell ref="V9:V10"/>
    <mergeCell ref="W9:W10"/>
    <mergeCell ref="X9:X10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Y9:Y10"/>
    <mergeCell ref="G46:G47"/>
    <mergeCell ref="B46:B47"/>
    <mergeCell ref="C46:C47"/>
    <mergeCell ref="D46:D47"/>
    <mergeCell ref="E46:E47"/>
    <mergeCell ref="F46:F47"/>
    <mergeCell ref="H46:H47"/>
    <mergeCell ref="I46:I47"/>
    <mergeCell ref="J46:J47"/>
    <mergeCell ref="N9:N10"/>
    <mergeCell ref="O9:O10"/>
    <mergeCell ref="P9:P10"/>
    <mergeCell ref="R9:R10"/>
    <mergeCell ref="S9:S10"/>
    <mergeCell ref="T9:T10"/>
    <mergeCell ref="H9:H10"/>
    <mergeCell ref="I9:I10"/>
    <mergeCell ref="J9:J10"/>
    <mergeCell ref="K9:K10"/>
    <mergeCell ref="L9:L10"/>
    <mergeCell ref="M9:M10"/>
    <mergeCell ref="B9:B10"/>
    <mergeCell ref="C9:C10"/>
    <mergeCell ref="D53:D54"/>
    <mergeCell ref="E53:E54"/>
    <mergeCell ref="F53:F54"/>
    <mergeCell ref="G53:G54"/>
    <mergeCell ref="U46:U47"/>
    <mergeCell ref="V46:V47"/>
    <mergeCell ref="W46:W47"/>
    <mergeCell ref="X46:X47"/>
    <mergeCell ref="Y46:Y47"/>
    <mergeCell ref="I53:I54"/>
    <mergeCell ref="O53:O54"/>
    <mergeCell ref="P53:P54"/>
    <mergeCell ref="Q53:Q54"/>
    <mergeCell ref="R53:R54"/>
    <mergeCell ref="O46:O47"/>
    <mergeCell ref="P46:P47"/>
    <mergeCell ref="Q46:Q47"/>
    <mergeCell ref="R46:R47"/>
    <mergeCell ref="S46:S47"/>
    <mergeCell ref="T46:T47"/>
    <mergeCell ref="Y53:Y54"/>
    <mergeCell ref="G60:G61"/>
    <mergeCell ref="B60:B61"/>
    <mergeCell ref="C60:C61"/>
    <mergeCell ref="D60:D61"/>
    <mergeCell ref="E60:E61"/>
    <mergeCell ref="F60:F61"/>
    <mergeCell ref="H60:H61"/>
    <mergeCell ref="I60:I61"/>
    <mergeCell ref="J60:J61"/>
    <mergeCell ref="S53:S54"/>
    <mergeCell ref="T53:T54"/>
    <mergeCell ref="U53:U54"/>
    <mergeCell ref="V53:V54"/>
    <mergeCell ref="W53:W54"/>
    <mergeCell ref="X53:X54"/>
    <mergeCell ref="H53:H54"/>
    <mergeCell ref="J53:J54"/>
    <mergeCell ref="K53:K54"/>
    <mergeCell ref="L53:L54"/>
    <mergeCell ref="M53:M54"/>
    <mergeCell ref="N53:N54"/>
    <mergeCell ref="B53:B54"/>
    <mergeCell ref="C53:C54"/>
    <mergeCell ref="M65:M66"/>
    <mergeCell ref="N65:N66"/>
    <mergeCell ref="W60:W61"/>
    <mergeCell ref="X60:X61"/>
    <mergeCell ref="Y60:Y61"/>
    <mergeCell ref="F65:F66"/>
    <mergeCell ref="B65:B66"/>
    <mergeCell ref="C65:C66"/>
    <mergeCell ref="D65:D66"/>
    <mergeCell ref="E65:E66"/>
    <mergeCell ref="G65:G66"/>
    <mergeCell ref="H65:H66"/>
    <mergeCell ref="Q60:Q61"/>
    <mergeCell ref="R60:R61"/>
    <mergeCell ref="S60:S61"/>
    <mergeCell ref="T60:T61"/>
    <mergeCell ref="U60:U61"/>
    <mergeCell ref="V60:V61"/>
    <mergeCell ref="K60:K61"/>
    <mergeCell ref="L60:L61"/>
    <mergeCell ref="M60:M61"/>
    <mergeCell ref="N60:N61"/>
    <mergeCell ref="O60:O61"/>
    <mergeCell ref="P60:P61"/>
    <mergeCell ref="D72:D73"/>
    <mergeCell ref="E72:E73"/>
    <mergeCell ref="F72:F73"/>
    <mergeCell ref="G72:G73"/>
    <mergeCell ref="U65:U66"/>
    <mergeCell ref="V65:V66"/>
    <mergeCell ref="W65:W66"/>
    <mergeCell ref="X65:X66"/>
    <mergeCell ref="Y65:Y66"/>
    <mergeCell ref="M72:M73"/>
    <mergeCell ref="O72:O73"/>
    <mergeCell ref="P72:P73"/>
    <mergeCell ref="Q72:Q73"/>
    <mergeCell ref="R72:R73"/>
    <mergeCell ref="O65:O66"/>
    <mergeCell ref="P65:P66"/>
    <mergeCell ref="Q65:Q66"/>
    <mergeCell ref="R65:R66"/>
    <mergeCell ref="S65:S66"/>
    <mergeCell ref="T65:T66"/>
    <mergeCell ref="I65:I66"/>
    <mergeCell ref="J65:J66"/>
    <mergeCell ref="K65:K66"/>
    <mergeCell ref="L65:L66"/>
    <mergeCell ref="Y72:Y73"/>
    <mergeCell ref="H82:H83"/>
    <mergeCell ref="B82:B83"/>
    <mergeCell ref="C82:C83"/>
    <mergeCell ref="D82:D83"/>
    <mergeCell ref="E82:E83"/>
    <mergeCell ref="F82:F83"/>
    <mergeCell ref="G82:G83"/>
    <mergeCell ref="I82:I83"/>
    <mergeCell ref="J82:J83"/>
    <mergeCell ref="S72:S73"/>
    <mergeCell ref="T72:T73"/>
    <mergeCell ref="U72:U73"/>
    <mergeCell ref="V72:V73"/>
    <mergeCell ref="W72:W73"/>
    <mergeCell ref="X72:X73"/>
    <mergeCell ref="H72:H73"/>
    <mergeCell ref="I72:I73"/>
    <mergeCell ref="J72:J73"/>
    <mergeCell ref="K72:K73"/>
    <mergeCell ref="L72:L73"/>
    <mergeCell ref="N72:N73"/>
    <mergeCell ref="B72:B73"/>
    <mergeCell ref="C72:C73"/>
    <mergeCell ref="W82:W83"/>
    <mergeCell ref="X82:X83"/>
    <mergeCell ref="Y82:Y83"/>
    <mergeCell ref="F89:F90"/>
    <mergeCell ref="B89:B90"/>
    <mergeCell ref="C89:C90"/>
    <mergeCell ref="D89:D90"/>
    <mergeCell ref="E89:E90"/>
    <mergeCell ref="G89:G90"/>
    <mergeCell ref="H89:H90"/>
    <mergeCell ref="Q82:Q83"/>
    <mergeCell ref="R82:R83"/>
    <mergeCell ref="S82:S83"/>
    <mergeCell ref="T82:T83"/>
    <mergeCell ref="U82:U83"/>
    <mergeCell ref="V82:V83"/>
    <mergeCell ref="K82:K83"/>
    <mergeCell ref="L82:L83"/>
    <mergeCell ref="M82:M83"/>
    <mergeCell ref="N82:N83"/>
    <mergeCell ref="O82:O83"/>
    <mergeCell ref="P82:P83"/>
    <mergeCell ref="X89:X90"/>
    <mergeCell ref="Y89:Y90"/>
    <mergeCell ref="F104:F105"/>
    <mergeCell ref="I104:I105"/>
    <mergeCell ref="J104:J105"/>
    <mergeCell ref="K104:K105"/>
    <mergeCell ref="L104:L105"/>
    <mergeCell ref="O89:O90"/>
    <mergeCell ref="P89:P90"/>
    <mergeCell ref="Q89:Q90"/>
    <mergeCell ref="R89:R90"/>
    <mergeCell ref="S89:S90"/>
    <mergeCell ref="T89:T90"/>
    <mergeCell ref="I89:I90"/>
    <mergeCell ref="J89:J90"/>
    <mergeCell ref="K89:K90"/>
    <mergeCell ref="L89:L90"/>
    <mergeCell ref="M89:M90"/>
    <mergeCell ref="N89:N90"/>
    <mergeCell ref="B104:B105"/>
    <mergeCell ref="C104:C105"/>
    <mergeCell ref="D104:D105"/>
    <mergeCell ref="E104:E105"/>
    <mergeCell ref="G104:G105"/>
    <mergeCell ref="H104:H105"/>
    <mergeCell ref="U89:U90"/>
    <mergeCell ref="V89:V90"/>
    <mergeCell ref="W89:W90"/>
    <mergeCell ref="Y104:Y105"/>
    <mergeCell ref="S104:S105"/>
    <mergeCell ref="T104:T105"/>
    <mergeCell ref="U104:U105"/>
    <mergeCell ref="V104:V105"/>
    <mergeCell ref="W104:W105"/>
    <mergeCell ref="X104:X105"/>
    <mergeCell ref="M104:M105"/>
    <mergeCell ref="N104:N105"/>
    <mergeCell ref="O104:O105"/>
    <mergeCell ref="P104:P105"/>
    <mergeCell ref="Q104:Q105"/>
    <mergeCell ref="R104:R105"/>
    <mergeCell ref="AX5:BA5"/>
    <mergeCell ref="Z6:AA7"/>
    <mergeCell ref="AB6:AC7"/>
    <mergeCell ref="AD6:AE7"/>
    <mergeCell ref="AF6:AG7"/>
    <mergeCell ref="AH6:AI7"/>
    <mergeCell ref="AJ6:AK7"/>
    <mergeCell ref="AL6:AM7"/>
    <mergeCell ref="AN6:AO7"/>
    <mergeCell ref="AP6:AQ7"/>
    <mergeCell ref="Z5:AC5"/>
    <mergeCell ref="AD5:AG5"/>
    <mergeCell ref="AH5:AK5"/>
    <mergeCell ref="AL5:AO5"/>
    <mergeCell ref="AP5:AS5"/>
    <mergeCell ref="AT5:AW5"/>
    <mergeCell ref="AR6:AS7"/>
    <mergeCell ref="AT6:AU7"/>
    <mergeCell ref="AV6:AW7"/>
    <mergeCell ref="AX6:AY7"/>
    <mergeCell ref="AZ6:BA7"/>
    <mergeCell ref="Z9:Z10"/>
    <mergeCell ref="AA9:AA10"/>
    <mergeCell ref="AB9:AB10"/>
    <mergeCell ref="AC9:AC10"/>
    <mergeCell ref="AD9:AD10"/>
    <mergeCell ref="Z11:Z12"/>
    <mergeCell ref="AA11:AA12"/>
    <mergeCell ref="AB11:AB12"/>
    <mergeCell ref="AC11:AC12"/>
    <mergeCell ref="AD11:AD12"/>
    <mergeCell ref="AQ9:AQ10"/>
    <mergeCell ref="AR9:AR10"/>
    <mergeCell ref="AS9:AS10"/>
    <mergeCell ref="AT9:AT10"/>
    <mergeCell ref="AK9:AK10"/>
    <mergeCell ref="AL9:AL10"/>
    <mergeCell ref="AM9:AM10"/>
    <mergeCell ref="AN9:AN10"/>
    <mergeCell ref="AO9:AO10"/>
    <mergeCell ref="AP9:AP10"/>
    <mergeCell ref="AE9:AE10"/>
    <mergeCell ref="AF9:AF10"/>
    <mergeCell ref="AG9:AG10"/>
    <mergeCell ref="AH9:AH10"/>
    <mergeCell ref="AI9:AI10"/>
    <mergeCell ref="AJ9:AJ10"/>
    <mergeCell ref="AG11:AG12"/>
    <mergeCell ref="AH11:AH12"/>
    <mergeCell ref="AI11:AI12"/>
    <mergeCell ref="AJ11:AJ12"/>
    <mergeCell ref="AW9:AW10"/>
    <mergeCell ref="AX9:AX10"/>
    <mergeCell ref="AY9:AY10"/>
    <mergeCell ref="AZ9:AZ10"/>
    <mergeCell ref="BA9:BA10"/>
    <mergeCell ref="AU9:AU10"/>
    <mergeCell ref="AV9:AV10"/>
    <mergeCell ref="AW11:AW12"/>
    <mergeCell ref="AX11:AX12"/>
    <mergeCell ref="AY11:AY12"/>
    <mergeCell ref="AZ11:AZ12"/>
    <mergeCell ref="BA11:BA12"/>
    <mergeCell ref="Z19:Z20"/>
    <mergeCell ref="AA19:AA20"/>
    <mergeCell ref="AB19:AB20"/>
    <mergeCell ref="AC19:AC20"/>
    <mergeCell ref="AD19:AD20"/>
    <mergeCell ref="AQ11:AQ12"/>
    <mergeCell ref="AR11:AR12"/>
    <mergeCell ref="AS11:AS12"/>
    <mergeCell ref="AT11:AT12"/>
    <mergeCell ref="AU11:AU12"/>
    <mergeCell ref="AV11:AV12"/>
    <mergeCell ref="AK11:AK12"/>
    <mergeCell ref="AL11:AL12"/>
    <mergeCell ref="AM11:AM12"/>
    <mergeCell ref="AN11:AN12"/>
    <mergeCell ref="AO11:AO12"/>
    <mergeCell ref="AP11:AP12"/>
    <mergeCell ref="AE11:AE12"/>
    <mergeCell ref="AF11:AF12"/>
    <mergeCell ref="Z33:Z34"/>
    <mergeCell ref="AA33:AA34"/>
    <mergeCell ref="AB33:AB34"/>
    <mergeCell ref="AC33:AC34"/>
    <mergeCell ref="AD33:AD34"/>
    <mergeCell ref="AQ19:AQ20"/>
    <mergeCell ref="AR19:AR20"/>
    <mergeCell ref="AS19:AS20"/>
    <mergeCell ref="AT19:AT20"/>
    <mergeCell ref="AK19:AK20"/>
    <mergeCell ref="AL19:AL20"/>
    <mergeCell ref="AM19:AM20"/>
    <mergeCell ref="AN19:AN20"/>
    <mergeCell ref="AO19:AO20"/>
    <mergeCell ref="AP19:AP20"/>
    <mergeCell ref="AE19:AE20"/>
    <mergeCell ref="AF19:AF20"/>
    <mergeCell ref="AG19:AG20"/>
    <mergeCell ref="AH19:AH20"/>
    <mergeCell ref="AI19:AI20"/>
    <mergeCell ref="AJ19:AJ20"/>
    <mergeCell ref="AG33:AG34"/>
    <mergeCell ref="AH33:AH34"/>
    <mergeCell ref="AI33:AI34"/>
    <mergeCell ref="AJ33:AJ34"/>
    <mergeCell ref="AW19:AW20"/>
    <mergeCell ref="AX19:AX20"/>
    <mergeCell ref="AY19:AY20"/>
    <mergeCell ref="AZ19:AZ20"/>
    <mergeCell ref="BA19:BA20"/>
    <mergeCell ref="AU19:AU20"/>
    <mergeCell ref="AV19:AV20"/>
    <mergeCell ref="AW33:AW34"/>
    <mergeCell ref="AX33:AX34"/>
    <mergeCell ref="AY33:AY34"/>
    <mergeCell ref="AZ33:AZ34"/>
    <mergeCell ref="BA33:BA34"/>
    <mergeCell ref="Z39:Z40"/>
    <mergeCell ref="AA39:AA40"/>
    <mergeCell ref="AB39:AB40"/>
    <mergeCell ref="AC39:AC40"/>
    <mergeCell ref="AD39:AD40"/>
    <mergeCell ref="AQ33:AQ34"/>
    <mergeCell ref="AR33:AR34"/>
    <mergeCell ref="AS33:AS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Z46:Z47"/>
    <mergeCell ref="AA46:AA47"/>
    <mergeCell ref="AB46:AB47"/>
    <mergeCell ref="AC46:AC47"/>
    <mergeCell ref="AD46:AD47"/>
    <mergeCell ref="AQ39:AQ40"/>
    <mergeCell ref="AR39:AR40"/>
    <mergeCell ref="AS39:AS40"/>
    <mergeCell ref="AT39:AT40"/>
    <mergeCell ref="AK39:AK40"/>
    <mergeCell ref="AL39:AL40"/>
    <mergeCell ref="AM39:AM40"/>
    <mergeCell ref="AN39:AN40"/>
    <mergeCell ref="AO39:AO40"/>
    <mergeCell ref="AP39:AP40"/>
    <mergeCell ref="AE39:AE40"/>
    <mergeCell ref="AF39:AF40"/>
    <mergeCell ref="AG39:AG40"/>
    <mergeCell ref="AH39:AH40"/>
    <mergeCell ref="AI39:AI40"/>
    <mergeCell ref="AJ39:AJ40"/>
    <mergeCell ref="AG46:AG47"/>
    <mergeCell ref="AH46:AH47"/>
    <mergeCell ref="AI46:AI47"/>
    <mergeCell ref="AJ46:AJ47"/>
    <mergeCell ref="AW39:AW40"/>
    <mergeCell ref="AX39:AX40"/>
    <mergeCell ref="AY39:AY40"/>
    <mergeCell ref="AZ39:AZ40"/>
    <mergeCell ref="BA39:BA40"/>
    <mergeCell ref="AU39:AU40"/>
    <mergeCell ref="AV39:AV40"/>
    <mergeCell ref="AW46:AW47"/>
    <mergeCell ref="AX46:AX47"/>
    <mergeCell ref="AY46:AY47"/>
    <mergeCell ref="AZ46:AZ47"/>
    <mergeCell ref="BA46:BA47"/>
    <mergeCell ref="Z53:Z54"/>
    <mergeCell ref="AA53:AA54"/>
    <mergeCell ref="AB53:AB54"/>
    <mergeCell ref="AC53:AC54"/>
    <mergeCell ref="AD53:AD54"/>
    <mergeCell ref="AQ46:AQ47"/>
    <mergeCell ref="AR46:AR47"/>
    <mergeCell ref="AS46:AS47"/>
    <mergeCell ref="AT46:AT47"/>
    <mergeCell ref="AU46:AU47"/>
    <mergeCell ref="AV46:AV47"/>
    <mergeCell ref="AK46:AK47"/>
    <mergeCell ref="AL46:AL47"/>
    <mergeCell ref="AM46:AM47"/>
    <mergeCell ref="AN46:AN47"/>
    <mergeCell ref="AO46:AO47"/>
    <mergeCell ref="AP46:AP47"/>
    <mergeCell ref="AE46:AE47"/>
    <mergeCell ref="AF46:AF47"/>
    <mergeCell ref="Z60:Z61"/>
    <mergeCell ref="AA60:AA61"/>
    <mergeCell ref="AB60:AB61"/>
    <mergeCell ref="AC60:AC61"/>
    <mergeCell ref="AD60:AD61"/>
    <mergeCell ref="AQ53:AQ54"/>
    <mergeCell ref="AR53:AR54"/>
    <mergeCell ref="AS53:AS54"/>
    <mergeCell ref="AT53:AT54"/>
    <mergeCell ref="AK53:AK54"/>
    <mergeCell ref="AL53:AL54"/>
    <mergeCell ref="AM53:AM54"/>
    <mergeCell ref="AN53:AN54"/>
    <mergeCell ref="AO53:AO54"/>
    <mergeCell ref="AP53:AP54"/>
    <mergeCell ref="AE53:AE54"/>
    <mergeCell ref="AF53:AF54"/>
    <mergeCell ref="AG53:AG54"/>
    <mergeCell ref="AH53:AH54"/>
    <mergeCell ref="AI53:AI54"/>
    <mergeCell ref="AJ53:AJ54"/>
    <mergeCell ref="AG60:AG61"/>
    <mergeCell ref="AH60:AH61"/>
    <mergeCell ref="AI60:AI61"/>
    <mergeCell ref="AJ60:AJ61"/>
    <mergeCell ref="AW53:AW54"/>
    <mergeCell ref="AX53:AX54"/>
    <mergeCell ref="AY53:AY54"/>
    <mergeCell ref="AZ53:AZ54"/>
    <mergeCell ref="BA53:BA54"/>
    <mergeCell ref="AU53:AU54"/>
    <mergeCell ref="AV53:AV54"/>
    <mergeCell ref="AW60:AW61"/>
    <mergeCell ref="AX60:AX61"/>
    <mergeCell ref="AY60:AY61"/>
    <mergeCell ref="AZ60:AZ61"/>
    <mergeCell ref="BA60:BA61"/>
    <mergeCell ref="Z65:Z66"/>
    <mergeCell ref="AA65:AA66"/>
    <mergeCell ref="AB65:AB66"/>
    <mergeCell ref="AC65:AC66"/>
    <mergeCell ref="AD65:AD66"/>
    <mergeCell ref="AQ60:AQ61"/>
    <mergeCell ref="AR60:AR61"/>
    <mergeCell ref="AS60:AS61"/>
    <mergeCell ref="AT60:AT61"/>
    <mergeCell ref="AU60:AU61"/>
    <mergeCell ref="AV60:AV61"/>
    <mergeCell ref="AK60:AK61"/>
    <mergeCell ref="AL60:AL61"/>
    <mergeCell ref="AM60:AM61"/>
    <mergeCell ref="AN60:AN61"/>
    <mergeCell ref="AO60:AO61"/>
    <mergeCell ref="AP60:AP61"/>
    <mergeCell ref="AE60:AE61"/>
    <mergeCell ref="AF60:AF61"/>
    <mergeCell ref="Z72:Z73"/>
    <mergeCell ref="AA72:AA73"/>
    <mergeCell ref="AB72:AB73"/>
    <mergeCell ref="AC72:AC73"/>
    <mergeCell ref="AD72:AD73"/>
    <mergeCell ref="AQ65:AQ66"/>
    <mergeCell ref="AR65:AR66"/>
    <mergeCell ref="AS65:AS66"/>
    <mergeCell ref="AT65:AT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AG72:AG73"/>
    <mergeCell ref="AH72:AH73"/>
    <mergeCell ref="AI72:AI73"/>
    <mergeCell ref="AJ72:AJ73"/>
    <mergeCell ref="AW65:AW66"/>
    <mergeCell ref="AX65:AX66"/>
    <mergeCell ref="AY65:AY66"/>
    <mergeCell ref="AZ65:AZ66"/>
    <mergeCell ref="BA65:BA66"/>
    <mergeCell ref="AU65:AU66"/>
    <mergeCell ref="AV65:AV66"/>
    <mergeCell ref="AW72:AW73"/>
    <mergeCell ref="AX72:AX73"/>
    <mergeCell ref="AY72:AY73"/>
    <mergeCell ref="AZ72:AZ73"/>
    <mergeCell ref="BA72:BA73"/>
    <mergeCell ref="Z82:Z83"/>
    <mergeCell ref="AA82:AA83"/>
    <mergeCell ref="AB82:AB83"/>
    <mergeCell ref="AC82:AC83"/>
    <mergeCell ref="AD82:AD83"/>
    <mergeCell ref="AQ72:AQ73"/>
    <mergeCell ref="AR72:AR73"/>
    <mergeCell ref="AS72:AS73"/>
    <mergeCell ref="AT72:AT73"/>
    <mergeCell ref="AU72:AU73"/>
    <mergeCell ref="AV72:AV73"/>
    <mergeCell ref="AK72:AK73"/>
    <mergeCell ref="AL72:AL73"/>
    <mergeCell ref="AM72:AM73"/>
    <mergeCell ref="AN72:AN73"/>
    <mergeCell ref="AO72:AO73"/>
    <mergeCell ref="AP72:AP73"/>
    <mergeCell ref="AE72:AE73"/>
    <mergeCell ref="AF72:AF73"/>
    <mergeCell ref="Z89:Z90"/>
    <mergeCell ref="AA89:AA90"/>
    <mergeCell ref="AB89:AB90"/>
    <mergeCell ref="AC89:AC90"/>
    <mergeCell ref="AD89:AD90"/>
    <mergeCell ref="AQ82:AQ83"/>
    <mergeCell ref="AR82:AR83"/>
    <mergeCell ref="AS82:AS83"/>
    <mergeCell ref="AT82:AT83"/>
    <mergeCell ref="AK82:AK83"/>
    <mergeCell ref="AL82:AL83"/>
    <mergeCell ref="AM82:AM83"/>
    <mergeCell ref="AN82:AN83"/>
    <mergeCell ref="AO82:AO83"/>
    <mergeCell ref="AP82:AP83"/>
    <mergeCell ref="AE82:AE83"/>
    <mergeCell ref="AF82:AF83"/>
    <mergeCell ref="AG82:AG83"/>
    <mergeCell ref="AH82:AH83"/>
    <mergeCell ref="AI82:AI83"/>
    <mergeCell ref="AJ82:AJ83"/>
    <mergeCell ref="AG89:AG90"/>
    <mergeCell ref="AH89:AH90"/>
    <mergeCell ref="AI89:AI90"/>
    <mergeCell ref="AJ89:AJ90"/>
    <mergeCell ref="AW82:AW83"/>
    <mergeCell ref="AX82:AX83"/>
    <mergeCell ref="AY82:AY83"/>
    <mergeCell ref="AZ82:AZ83"/>
    <mergeCell ref="BA82:BA83"/>
    <mergeCell ref="AU82:AU83"/>
    <mergeCell ref="AV82:AV83"/>
    <mergeCell ref="AW89:AW90"/>
    <mergeCell ref="AX89:AX90"/>
    <mergeCell ref="AY89:AY90"/>
    <mergeCell ref="AZ89:AZ90"/>
    <mergeCell ref="BA89:BA90"/>
    <mergeCell ref="Z104:Z105"/>
    <mergeCell ref="AA104:AA105"/>
    <mergeCell ref="AB104:AB105"/>
    <mergeCell ref="AC104:AC105"/>
    <mergeCell ref="AD104:AD105"/>
    <mergeCell ref="AQ89:AQ90"/>
    <mergeCell ref="AR89:AR90"/>
    <mergeCell ref="AS89:AS90"/>
    <mergeCell ref="AT89:AT90"/>
    <mergeCell ref="AU89:AU90"/>
    <mergeCell ref="AV89:AV90"/>
    <mergeCell ref="AK89:AK90"/>
    <mergeCell ref="AL89:AL90"/>
    <mergeCell ref="AM89:AM90"/>
    <mergeCell ref="AN89:AN90"/>
    <mergeCell ref="AO89:AO90"/>
    <mergeCell ref="AP89:AP90"/>
    <mergeCell ref="AE89:AE90"/>
    <mergeCell ref="AF89:AF90"/>
    <mergeCell ref="AK104:AK105"/>
    <mergeCell ref="AL104:AL105"/>
    <mergeCell ref="AM104:AM105"/>
    <mergeCell ref="AN104:AN105"/>
    <mergeCell ref="AO104:AO105"/>
    <mergeCell ref="AP104:AP105"/>
    <mergeCell ref="AE104:AE105"/>
    <mergeCell ref="AF104:AF105"/>
    <mergeCell ref="AG104:AG105"/>
    <mergeCell ref="AH104:AH105"/>
    <mergeCell ref="AI104:AI105"/>
    <mergeCell ref="AJ104:AJ105"/>
    <mergeCell ref="AW104:AW105"/>
    <mergeCell ref="AX104:AX105"/>
    <mergeCell ref="AY104:AY105"/>
    <mergeCell ref="AZ104:AZ105"/>
    <mergeCell ref="BA104:BA105"/>
    <mergeCell ref="AQ104:AQ105"/>
    <mergeCell ref="AR104:AR105"/>
    <mergeCell ref="AS104:AS105"/>
    <mergeCell ref="AT104:AT105"/>
    <mergeCell ref="AU104:AU105"/>
    <mergeCell ref="AV104:AV10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2015-05-22T07:33:21Z</dcterms:created>
  <dcterms:modified xsi:type="dcterms:W3CDTF">2017-01-20T15:13:09Z</dcterms:modified>
</cp:coreProperties>
</file>