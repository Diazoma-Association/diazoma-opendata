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3. 2013 ΑΝΑΛΥΤΙΚΟΙ ΠΙΝΑΚΕΣ\"/>
    </mc:Choice>
  </mc:AlternateContent>
  <xr:revisionPtr revIDLastSave="0" documentId="13_ncr:1_{575F0A20-E574-4B5C-8E41-9256A1777D17}" xr6:coauthVersionLast="45" xr6:coauthVersionMax="45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" i="1" l="1"/>
  <c r="E104" i="1" l="1"/>
  <c r="D82" i="1"/>
  <c r="E72" i="1"/>
  <c r="E65" i="1"/>
  <c r="E60" i="1"/>
  <c r="D46" i="1"/>
  <c r="D39" i="1"/>
  <c r="D33" i="1"/>
  <c r="E19" i="1"/>
  <c r="E11" i="1"/>
  <c r="C28" i="1"/>
  <c r="C104" i="1"/>
  <c r="D104" i="1"/>
  <c r="F104" i="1"/>
  <c r="G104" i="1"/>
  <c r="B104" i="1"/>
  <c r="C89" i="1"/>
  <c r="D89" i="1"/>
  <c r="E89" i="1"/>
  <c r="F89" i="1"/>
  <c r="G89" i="1"/>
  <c r="B89" i="1"/>
  <c r="C82" i="1"/>
  <c r="E82" i="1"/>
  <c r="F82" i="1"/>
  <c r="G82" i="1"/>
  <c r="B82" i="1"/>
  <c r="C72" i="1"/>
  <c r="D72" i="1"/>
  <c r="F72" i="1"/>
  <c r="G72" i="1"/>
  <c r="B72" i="1"/>
  <c r="C65" i="1"/>
  <c r="D65" i="1"/>
  <c r="F65" i="1"/>
  <c r="G65" i="1"/>
  <c r="B65" i="1"/>
  <c r="C60" i="1"/>
  <c r="D60" i="1"/>
  <c r="F60" i="1"/>
  <c r="G60" i="1"/>
  <c r="B60" i="1"/>
  <c r="C53" i="1"/>
  <c r="D53" i="1"/>
  <c r="E53" i="1"/>
  <c r="F53" i="1"/>
  <c r="G53" i="1"/>
  <c r="B53" i="1"/>
  <c r="C46" i="1"/>
  <c r="E46" i="1"/>
  <c r="F46" i="1"/>
  <c r="G46" i="1"/>
  <c r="B46" i="1"/>
  <c r="C39" i="1"/>
  <c r="E39" i="1"/>
  <c r="F39" i="1"/>
  <c r="G39" i="1"/>
  <c r="B39" i="1"/>
  <c r="C33" i="1"/>
  <c r="E33" i="1"/>
  <c r="F33" i="1"/>
  <c r="G33" i="1"/>
  <c r="B33" i="1"/>
  <c r="D28" i="1"/>
  <c r="E28" i="1"/>
  <c r="F28" i="1"/>
  <c r="G28" i="1"/>
  <c r="B28" i="1"/>
  <c r="C19" i="1"/>
  <c r="D19" i="1"/>
  <c r="F19" i="1"/>
  <c r="G19" i="1"/>
  <c r="B19" i="1"/>
  <c r="C11" i="1"/>
  <c r="C9" i="1" s="1"/>
  <c r="D11" i="1"/>
  <c r="F11" i="1"/>
  <c r="G11" i="1"/>
  <c r="B11" i="1"/>
  <c r="B9" i="1" s="1"/>
  <c r="D9" i="1" l="1"/>
  <c r="G9" i="1"/>
  <c r="E9" i="1"/>
</calcChain>
</file>

<file path=xl/sharedStrings.xml><?xml version="1.0" encoding="utf-8"?>
<sst xmlns="http://schemas.openxmlformats.org/spreadsheetml/2006/main" count="296" uniqueCount="192">
  <si>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</si>
  <si>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</si>
  <si>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</si>
  <si>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</si>
  <si>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</si>
  <si>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</si>
  <si>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</si>
  <si>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</si>
  <si>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</si>
  <si>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</si>
  <si>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</si>
  <si>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</si>
  <si>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</si>
  <si>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</si>
  <si>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</si>
  <si>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</si>
  <si>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</si>
  <si>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</si>
  <si>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</si>
  <si>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</si>
  <si>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</si>
  <si>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</si>
  <si>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</si>
  <si>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</si>
  <si>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</si>
  <si>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</si>
  <si>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</si>
  <si>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</si>
  <si>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</si>
  <si>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</si>
  <si>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</si>
  <si>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</si>
  <si>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</si>
  <si>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</si>
  <si>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</si>
  <si>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</si>
  <si>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</si>
  <si>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</si>
  <si>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</si>
  <si>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</si>
  <si>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</si>
  <si>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</si>
  <si>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</si>
  <si>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</si>
  <si>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</si>
  <si>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</si>
  <si>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</si>
  <si>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</si>
  <si>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</si>
  <si>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</si>
  <si>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</si>
  <si>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</si>
  <si>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</si>
  <si>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</si>
  <si>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</si>
  <si>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</si>
  <si>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</si>
  <si>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</si>
  <si>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</si>
  <si>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</si>
  <si>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</si>
  <si>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</si>
  <si>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</si>
  <si>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</si>
  <si>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</si>
  <si>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</si>
  <si>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</si>
  <si>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</si>
  <si>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</si>
  <si>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</si>
  <si>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</si>
  <si>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</si>
  <si>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</si>
  <si>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</si>
  <si>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</si>
  <si>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</si>
  <si>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</si>
  <si>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</si>
  <si>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</si>
  <si>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</si>
  <si>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</si>
  <si>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</si>
  <si>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</si>
  <si>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</si>
  <si>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</si>
  <si>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</si>
  <si>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</si>
  <si>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</si>
  <si>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</si>
  <si>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</si>
  <si>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</si>
  <si>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</si>
  <si>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</si>
  <si>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</si>
  <si>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</si>
  <si>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</si>
  <si>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</si>
  <si>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</si>
  <si>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</si>
  <si>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</si>
  <si>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</si>
  <si>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</si>
  <si>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</si>
  <si>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</si>
  <si>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</si>
  <si>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</si>
  <si>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</si>
  <si>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</si>
  <si>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</si>
  <si>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</si>
  <si>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</si>
  <si>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</si>
  <si>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</si>
  <si>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</si>
  <si>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</si>
  <si>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</si>
  <si>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</si>
  <si>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</si>
  <si>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</si>
  <si>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</si>
  <si>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</si>
  <si>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</si>
  <si>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</si>
  <si>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</si>
  <si>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</si>
  <si>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</si>
  <si>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</si>
  <si>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</si>
  <si>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</si>
  <si>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</si>
  <si>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</si>
  <si>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</si>
  <si>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</si>
  <si>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</si>
  <si>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</si>
  <si>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</si>
  <si>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</si>
  <si>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</si>
  <si>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</si>
  <si>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</si>
  <si>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</si>
  <si>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</si>
  <si>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</si>
  <si>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</si>
  <si>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</si>
  <si>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</si>
  <si>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</si>
  <si>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</si>
  <si>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</si>
  <si>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</si>
  <si>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</si>
  <si>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</si>
  <si>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</si>
  <si>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</si>
  <si>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</si>
  <si>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</si>
  <si>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</si>
  <si>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</si>
  <si>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</si>
  <si>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</si>
  <si>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</si>
  <si>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</si>
  <si>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</si>
  <si>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</si>
  <si>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</si>
  <si>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</si>
  <si>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</si>
  <si>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</si>
  <si>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</si>
  <si>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</si>
  <si>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</si>
  <si>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</si>
  <si>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</si>
  <si>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</si>
  <si>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</si>
  <si>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</si>
  <si>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8. Δευτερογενή κτηνοτροφικά προϊόντα - Selected livestock by-products</t>
  </si>
  <si>
    <t>In tons</t>
  </si>
  <si>
    <t>Σε τόννους</t>
  </si>
  <si>
    <t>Τυρί - Cheese</t>
  </si>
  <si>
    <t>Βούτυρο - Butter</t>
  </si>
  <si>
    <t>μαλακό soft</t>
  </si>
  <si>
    <t>σκληρό hard</t>
  </si>
  <si>
    <t>νωπό fresh</t>
  </si>
  <si>
    <t>λιωμένο melted</t>
  </si>
  <si>
    <t>Μυζήθρα Myzithra</t>
  </si>
  <si>
    <t>Κρέμα Crème</t>
  </si>
  <si>
    <t>Περιφέρεια Δυτικής Μακεδονίας</t>
  </si>
  <si>
    <t>Region of Western Macedonia</t>
  </si>
  <si>
    <t>Πίνακας 8. Παραγωγή μερικών δευτερογενών προϊόντων, κατά Περιφέρεια και Περιφερειακή Ενότητα: 2013</t>
  </si>
  <si>
    <t>Table 8. Production of selected livestock by-products, by Region and Regional Unity: 2013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</si>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</sst>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/>
    <xf numFmtId="0" fontId="2" fillId="0" borderId="0" xfId="0" applyFont="1"/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/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20" xfId="0" applyNumberFormat="1" applyFont="1" applyFill="1" applyBorder="1" applyAlignment="1" applyProtection="1">
      <alignment horizontal="center" vertical="center" wrapText="1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22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49" fontId="1" fillId="0" borderId="13" xfId="0" applyNumberFormat="1" applyFont="1" applyFill="1" applyBorder="1" applyAlignment="1" applyProtection="1">
      <alignment horizontal="left" vertical="center" wrapText="1" indent="1"/>
    </xf>
    <xf numFmtId="3" fontId="4" fillId="0" borderId="23" xfId="0" applyNumberFormat="1" applyFont="1" applyBorder="1" applyAlignment="1">
      <alignment horizontal="right" vertical="center"/>
    </xf>
    <xf numFmtId="3" fontId="4" fillId="0" borderId="10" xfId="0" applyNumberFormat="1" applyFont="1" applyBorder="1" applyAlignment="1">
      <alignment horizontal="right" vertical="center"/>
    </xf>
    <xf numFmtId="3" fontId="4" fillId="0" borderId="24" xfId="0" applyNumberFormat="1" applyFont="1" applyBorder="1" applyAlignment="1">
      <alignment horizontal="right" vertical="center"/>
    </xf>
    <xf numFmtId="0" fontId="1" fillId="0" borderId="13" xfId="0" applyNumberFormat="1" applyFont="1" applyFill="1" applyBorder="1" applyAlignment="1" applyProtection="1">
      <alignment horizontal="left" vertical="center" wrapText="1"/>
    </xf>
    <xf numFmtId="0" fontId="2" fillId="0" borderId="0" xfId="0" applyFont="1" applyBorder="1"/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3" fontId="4" fillId="0" borderId="3" xfId="0" applyNumberFormat="1" applyFont="1" applyBorder="1" applyAlignment="1">
      <alignment horizontal="right" vertical="center"/>
    </xf>
    <xf numFmtId="3" fontId="4" fillId="0" borderId="11" xfId="0" applyNumberFormat="1" applyFont="1" applyBorder="1" applyAlignment="1">
      <alignment horizontal="right" vertical="center"/>
    </xf>
    <xf numFmtId="3" fontId="4" fillId="0" borderId="22" xfId="0" applyNumberFormat="1" applyFont="1" applyBorder="1" applyAlignment="1">
      <alignment horizontal="right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wrapText="1" indent="2"/>
    </xf>
    <xf numFmtId="3" fontId="0" fillId="0" borderId="15" xfId="0" applyNumberFormat="1" applyFont="1" applyBorder="1" applyAlignment="1">
      <alignment horizontal="right" vertical="top" wrapText="1"/>
    </xf>
    <xf numFmtId="3" fontId="0" fillId="0" borderId="0" xfId="0" applyNumberFormat="1" applyFont="1" applyBorder="1" applyAlignment="1">
      <alignment horizontal="right" vertical="top" wrapText="1"/>
    </xf>
    <xf numFmtId="3" fontId="0" fillId="0" borderId="2" xfId="0" applyNumberFormat="1" applyFont="1" applyBorder="1" applyAlignment="1">
      <alignment horizontal="right" vertical="top" wrapText="1"/>
    </xf>
    <xf numFmtId="3" fontId="0" fillId="0" borderId="22" xfId="0" applyNumberFormat="1" applyFont="1" applyBorder="1" applyAlignment="1">
      <alignment horizontal="right" vertical="top" wrapText="1"/>
    </xf>
    <xf numFmtId="0" fontId="2" fillId="0" borderId="0" xfId="0" applyFont="1" applyBorder="1" applyAlignment="1">
      <alignment horizontal="left" indent="2"/>
    </xf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 wrapText="1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11" xfId="0" applyNumberFormat="1" applyFont="1" applyFill="1" applyBorder="1" applyAlignment="1" applyProtection="1">
      <alignment horizontal="right" vertical="center"/>
    </xf>
    <xf numFmtId="3" fontId="1" fillId="0" borderId="22" xfId="0" applyNumberFormat="1" applyFont="1" applyFill="1" applyBorder="1" applyAlignment="1" applyProtection="1">
      <alignment horizontal="righ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 applyProtection="1">
      <alignment horizontal="left" vertical="center" wrapText="1" indent="2"/>
      <protection locked="0"/>
    </xf>
    <xf numFmtId="3" fontId="3" fillId="0" borderId="3" xfId="0" quotePrefix="1" applyNumberFormat="1" applyFont="1" applyFill="1" applyBorder="1" applyAlignment="1" applyProtection="1">
      <alignment horizontal="right"/>
    </xf>
    <xf numFmtId="3" fontId="3" fillId="0" borderId="2" xfId="0" quotePrefix="1" applyNumberFormat="1" applyFont="1" applyFill="1" applyBorder="1" applyAlignment="1" applyProtection="1">
      <alignment horizontal="right"/>
    </xf>
    <xf numFmtId="3" fontId="3" fillId="0" borderId="0" xfId="0" quotePrefix="1" applyNumberFormat="1" applyFont="1" applyFill="1" applyBorder="1" applyAlignment="1" applyProtection="1">
      <alignment horizontal="right"/>
    </xf>
    <xf numFmtId="3" fontId="3" fillId="0" borderId="4" xfId="0" quotePrefix="1" applyNumberFormat="1" applyFont="1" applyFill="1" applyBorder="1" applyAlignment="1" applyProtection="1">
      <alignment horizontal="right"/>
    </xf>
    <xf numFmtId="3" fontId="3" fillId="0" borderId="3" xfId="0" applyNumberFormat="1" applyFont="1" applyFill="1" applyBorder="1" applyAlignment="1" applyProtection="1">
      <alignment horizontal="right"/>
    </xf>
    <xf numFmtId="3" fontId="3" fillId="0" borderId="2" xfId="0" applyNumberFormat="1" applyFont="1" applyFill="1" applyBorder="1" applyAlignment="1" applyProtection="1">
      <alignment horizontal="right"/>
    </xf>
    <xf numFmtId="3" fontId="3" fillId="0" borderId="0" xfId="0" applyNumberFormat="1" applyFont="1" applyFill="1" applyBorder="1" applyAlignment="1" applyProtection="1">
      <alignment horizontal="right"/>
    </xf>
    <xf numFmtId="3" fontId="3" fillId="0" borderId="4" xfId="0" applyNumberFormat="1" applyFont="1" applyFill="1" applyBorder="1" applyAlignment="1" applyProtection="1">
      <alignment horizontal="right"/>
    </xf>
    <xf numFmtId="49" fontId="3" fillId="0" borderId="1" xfId="0" applyNumberFormat="1" applyFont="1" applyFill="1" applyBorder="1" applyAlignment="1" applyProtection="1">
      <alignment horizontal="left" wrapText="1" indent="2"/>
    </xf>
    <xf numFmtId="3" fontId="0" fillId="0" borderId="25" xfId="0" applyNumberFormat="1" applyFont="1" applyBorder="1" applyAlignment="1">
      <alignment horizontal="right" vertical="top" wrapText="1"/>
    </xf>
    <xf numFmtId="3" fontId="0" fillId="0" borderId="1" xfId="0" applyNumberFormat="1" applyFont="1" applyBorder="1" applyAlignment="1">
      <alignment horizontal="right" vertical="top" wrapText="1"/>
    </xf>
    <xf numFmtId="3" fontId="0" fillId="0" borderId="5" xfId="0" applyNumberFormat="1" applyFont="1" applyBorder="1" applyAlignment="1">
      <alignment horizontal="right" vertical="top" wrapText="1"/>
    </xf>
    <xf numFmtId="3" fontId="0" fillId="0" borderId="26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indent="2"/>
    </xf>
    <xf numFmtId="0" fontId="2" fillId="0" borderId="1" xfId="0" applyFont="1" applyBorder="1" applyAlignment="1">
      <alignment horizontal="left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"/>
  <sheetViews>
    <sheetView showGridLines="0" tabSelected="1" zoomScaleNormal="100" workbookViewId="0">
      <selection activeCell="L22" sqref="L22"/>
    </sheetView>
  </sheetViews>
  <sheetFormatPr defaultRowHeight="15.05" x14ac:dyDescent="0.3"/>
  <cols>
    <col min="1" max="1" width="35.109375" style="3" customWidth="1"/>
    <col min="2" max="2" width="7.88671875" style="3" customWidth="1"/>
    <col min="3" max="3" width="7.44140625" style="3" customWidth="1"/>
    <col min="4" max="4" width="7.109375" style="3" customWidth="1"/>
    <col min="5" max="5" width="8.33203125" style="3" customWidth="1"/>
    <col min="6" max="7" width="8.88671875" style="3"/>
    <col min="8" max="8" width="11.5546875" style="3" customWidth="1"/>
    <col min="9" max="9" width="8.21875" style="3" customWidth="1"/>
    <col min="10" max="10" width="9.44140625" style="3" customWidth="1"/>
    <col min="11" max="16384" width="8.88671875" style="3"/>
  </cols>
  <sheetData>
    <row r="1" spans="1:13" x14ac:dyDescent="0.3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spans="1:13" x14ac:dyDescent="0.3">
      <c r="A2" s="4" t="s">
        <v>189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</row>
    <row r="3" spans="1:13" x14ac:dyDescent="0.3">
      <c r="A3" s="4" t="s">
        <v>190</v>
      </c>
      <c r="B3" s="4"/>
      <c r="C3" s="4"/>
      <c r="D3" s="4"/>
      <c r="E3" s="4"/>
      <c r="F3" s="4"/>
      <c r="G3" s="4"/>
      <c r="H3" s="4"/>
      <c r="I3" s="4"/>
      <c r="J3" s="4"/>
      <c r="K3" s="5"/>
      <c r="L3" s="5"/>
      <c r="M3" s="5"/>
    </row>
    <row r="4" spans="1:13" ht="15.65" thickBot="1" x14ac:dyDescent="0.35">
      <c r="A4" s="6" t="s">
        <v>178</v>
      </c>
      <c r="B4" s="7"/>
      <c r="C4" s="7"/>
      <c r="D4" s="7"/>
      <c r="E4" s="7"/>
      <c r="F4" s="7"/>
      <c r="G4" s="7"/>
      <c r="H4" s="8"/>
      <c r="I4" s="9" t="s">
        <v>177</v>
      </c>
      <c r="J4" s="9"/>
      <c r="K4" s="10"/>
      <c r="L4" s="10"/>
      <c r="M4" s="10"/>
    </row>
    <row r="5" spans="1:13" x14ac:dyDescent="0.3">
      <c r="A5" s="11" t="s">
        <v>0</v>
      </c>
      <c r="B5" s="12" t="s">
        <v>179</v>
      </c>
      <c r="C5" s="13"/>
      <c r="D5" s="14" t="s">
        <v>180</v>
      </c>
      <c r="E5" s="15"/>
      <c r="F5" s="16" t="s">
        <v>185</v>
      </c>
      <c r="G5" s="17" t="s">
        <v>186</v>
      </c>
      <c r="H5" s="11" t="s">
        <v>1</v>
      </c>
      <c r="I5" s="11"/>
      <c r="J5" s="11"/>
    </row>
    <row r="6" spans="1:13" x14ac:dyDescent="0.3">
      <c r="A6" s="4"/>
      <c r="B6" s="18"/>
      <c r="C6" s="19"/>
      <c r="D6" s="20"/>
      <c r="E6" s="21"/>
      <c r="F6" s="22"/>
      <c r="G6" s="23"/>
      <c r="H6" s="4"/>
      <c r="I6" s="4"/>
      <c r="J6" s="4"/>
    </row>
    <row r="7" spans="1:13" x14ac:dyDescent="0.3">
      <c r="A7" s="4"/>
      <c r="B7" s="24" t="s">
        <v>181</v>
      </c>
      <c r="C7" s="25" t="s">
        <v>182</v>
      </c>
      <c r="D7" s="25" t="s">
        <v>183</v>
      </c>
      <c r="E7" s="26" t="s">
        <v>184</v>
      </c>
      <c r="F7" s="22"/>
      <c r="G7" s="23"/>
      <c r="H7" s="4"/>
      <c r="I7" s="4"/>
      <c r="J7" s="4"/>
    </row>
    <row r="8" spans="1:13" x14ac:dyDescent="0.3">
      <c r="A8" s="27"/>
      <c r="B8" s="28"/>
      <c r="C8" s="22"/>
      <c r="D8" s="22"/>
      <c r="E8" s="29"/>
      <c r="F8" s="22"/>
      <c r="G8" s="23"/>
      <c r="H8" s="27"/>
      <c r="I8" s="27"/>
      <c r="J8" s="27"/>
    </row>
    <row r="9" spans="1:13" x14ac:dyDescent="0.3">
      <c r="A9" s="30" t="s">
        <v>2</v>
      </c>
      <c r="B9" s="31">
        <f>SUM(B11,B19,B28,B33,B39,B46,B53,B60,B65,B72,B82,B89,B104)</f>
        <v>114978.94999999998</v>
      </c>
      <c r="C9" s="32">
        <f t="shared" ref="C9:G9" si="0">SUM(C11,C19,C28,C33,C39,C46,C53,C60,C65,C72,C82,C89,C104)</f>
        <v>37576.957999999999</v>
      </c>
      <c r="D9" s="32">
        <f t="shared" si="0"/>
        <v>1429.441</v>
      </c>
      <c r="E9" s="32">
        <f t="shared" si="0"/>
        <v>516.10300000000007</v>
      </c>
      <c r="F9" s="32">
        <f>SUM(F11,F19,F28,F33,F39,F46,F53,F60,F65,F72,F82,F89,F104)</f>
        <v>16270.157999999999</v>
      </c>
      <c r="G9" s="33">
        <f t="shared" si="0"/>
        <v>3939.5670000000005</v>
      </c>
      <c r="H9" s="34" t="s">
        <v>3</v>
      </c>
      <c r="I9" s="34"/>
      <c r="J9" s="34"/>
      <c r="K9" s="35"/>
    </row>
    <row r="10" spans="1:13" x14ac:dyDescent="0.3">
      <c r="A10" s="36"/>
      <c r="B10" s="37"/>
      <c r="C10" s="38"/>
      <c r="D10" s="38"/>
      <c r="E10" s="38"/>
      <c r="F10" s="38"/>
      <c r="G10" s="39"/>
      <c r="H10" s="40"/>
      <c r="I10" s="40"/>
      <c r="J10" s="40"/>
      <c r="K10" s="35"/>
    </row>
    <row r="11" spans="1:13" x14ac:dyDescent="0.3">
      <c r="A11" s="41" t="s">
        <v>4</v>
      </c>
      <c r="B11" s="37">
        <f>SUM(B13:B18)</f>
        <v>6491.7480000000005</v>
      </c>
      <c r="C11" s="38">
        <f t="shared" ref="C11:G11" si="1">SUM(C13:C18)</f>
        <v>155.48000000000002</v>
      </c>
      <c r="D11" s="38">
        <f t="shared" si="1"/>
        <v>135.197</v>
      </c>
      <c r="E11" s="38">
        <f>SUM(E13:E18)</f>
        <v>4.83</v>
      </c>
      <c r="F11" s="38">
        <f t="shared" si="1"/>
        <v>287.11</v>
      </c>
      <c r="G11" s="39">
        <f t="shared" si="1"/>
        <v>260.60000000000002</v>
      </c>
      <c r="H11" s="40" t="s">
        <v>5</v>
      </c>
      <c r="I11" s="40"/>
      <c r="J11" s="40"/>
      <c r="K11" s="35"/>
    </row>
    <row r="12" spans="1:13" x14ac:dyDescent="0.3">
      <c r="A12" s="41"/>
      <c r="B12" s="37"/>
      <c r="C12" s="38"/>
      <c r="D12" s="38"/>
      <c r="E12" s="38"/>
      <c r="F12" s="38"/>
      <c r="G12" s="39"/>
      <c r="H12" s="40"/>
      <c r="I12" s="40"/>
      <c r="J12" s="40"/>
      <c r="K12" s="35"/>
    </row>
    <row r="13" spans="1:13" x14ac:dyDescent="0.3">
      <c r="A13" s="42" t="s">
        <v>6</v>
      </c>
      <c r="B13" s="43">
        <v>869.755</v>
      </c>
      <c r="C13" s="44">
        <v>57.53</v>
      </c>
      <c r="D13" s="45">
        <v>31.361999999999998</v>
      </c>
      <c r="E13" s="44">
        <v>4.5</v>
      </c>
      <c r="F13" s="45">
        <v>126.16500000000001</v>
      </c>
      <c r="G13" s="46">
        <v>10.4</v>
      </c>
      <c r="H13" s="47" t="s">
        <v>7</v>
      </c>
      <c r="I13" s="48"/>
      <c r="J13" s="48"/>
      <c r="K13" s="35"/>
    </row>
    <row r="14" spans="1:13" x14ac:dyDescent="0.3">
      <c r="A14" s="42" t="s">
        <v>8</v>
      </c>
      <c r="B14" s="43">
        <v>3103.9</v>
      </c>
      <c r="C14" s="44">
        <v>19.5</v>
      </c>
      <c r="D14" s="45">
        <v>50.02</v>
      </c>
      <c r="E14" s="44">
        <v>0.33</v>
      </c>
      <c r="F14" s="45">
        <v>64.53</v>
      </c>
      <c r="G14" s="46">
        <v>151</v>
      </c>
      <c r="H14" s="47" t="s">
        <v>9</v>
      </c>
      <c r="I14" s="48"/>
      <c r="J14" s="48"/>
      <c r="K14" s="35"/>
    </row>
    <row r="15" spans="1:13" x14ac:dyDescent="0.3">
      <c r="A15" s="42" t="s">
        <v>10</v>
      </c>
      <c r="B15" s="43">
        <v>1058.9929999999999</v>
      </c>
      <c r="C15" s="44" t="s">
        <v>191</v>
      </c>
      <c r="D15" s="45">
        <v>2.92</v>
      </c>
      <c r="E15" s="44" t="s">
        <v>191</v>
      </c>
      <c r="F15" s="45">
        <v>17.875</v>
      </c>
      <c r="G15" s="46" t="s">
        <v>191</v>
      </c>
      <c r="H15" s="47" t="s">
        <v>11</v>
      </c>
      <c r="I15" s="48"/>
      <c r="J15" s="48"/>
      <c r="K15" s="35"/>
    </row>
    <row r="16" spans="1:13" x14ac:dyDescent="0.3">
      <c r="A16" s="42" t="s">
        <v>12</v>
      </c>
      <c r="B16" s="43">
        <v>217.05</v>
      </c>
      <c r="C16" s="44" t="s">
        <v>191</v>
      </c>
      <c r="D16" s="45" t="s">
        <v>191</v>
      </c>
      <c r="E16" s="44" t="s">
        <v>191</v>
      </c>
      <c r="F16" s="45" t="s">
        <v>191</v>
      </c>
      <c r="G16" s="46" t="s">
        <v>191</v>
      </c>
      <c r="H16" s="47" t="s">
        <v>13</v>
      </c>
      <c r="I16" s="48"/>
      <c r="J16" s="48"/>
      <c r="K16" s="35"/>
    </row>
    <row r="17" spans="1:11" x14ac:dyDescent="0.3">
      <c r="A17" s="42" t="s">
        <v>14</v>
      </c>
      <c r="B17" s="43">
        <v>1078.8699999999999</v>
      </c>
      <c r="C17" s="44">
        <v>28.45</v>
      </c>
      <c r="D17" s="45">
        <v>5.8</v>
      </c>
      <c r="E17" s="44" t="s">
        <v>191</v>
      </c>
      <c r="F17" s="45">
        <v>61.24</v>
      </c>
      <c r="G17" s="46">
        <v>39.200000000000003</v>
      </c>
      <c r="H17" s="47" t="s">
        <v>15</v>
      </c>
      <c r="I17" s="48"/>
      <c r="J17" s="48"/>
      <c r="K17" s="35"/>
    </row>
    <row r="18" spans="1:11" x14ac:dyDescent="0.3">
      <c r="A18" s="42" t="s">
        <v>16</v>
      </c>
      <c r="B18" s="43">
        <v>163.18</v>
      </c>
      <c r="C18" s="44">
        <v>50</v>
      </c>
      <c r="D18" s="45">
        <v>45.094999999999999</v>
      </c>
      <c r="E18" s="44" t="s">
        <v>191</v>
      </c>
      <c r="F18" s="45">
        <v>17.3</v>
      </c>
      <c r="G18" s="46">
        <v>60</v>
      </c>
      <c r="H18" s="47" t="s">
        <v>17</v>
      </c>
      <c r="I18" s="48"/>
      <c r="J18" s="48"/>
      <c r="K18" s="35"/>
    </row>
    <row r="19" spans="1:11" x14ac:dyDescent="0.3">
      <c r="A19" s="41" t="s">
        <v>18</v>
      </c>
      <c r="B19" s="37">
        <f>SUM(B21:B27)</f>
        <v>13404.797999999999</v>
      </c>
      <c r="C19" s="38">
        <f t="shared" ref="C19:G19" si="2">SUM(C21:C27)</f>
        <v>1877.06</v>
      </c>
      <c r="D19" s="38">
        <f t="shared" si="2"/>
        <v>49.527999999999999</v>
      </c>
      <c r="E19" s="38">
        <f>SUM(E21:E27)</f>
        <v>28.56</v>
      </c>
      <c r="F19" s="38">
        <f t="shared" si="2"/>
        <v>1302.471</v>
      </c>
      <c r="G19" s="39">
        <f t="shared" si="2"/>
        <v>1697.8700000000001</v>
      </c>
      <c r="H19" s="49" t="s">
        <v>19</v>
      </c>
      <c r="I19" s="49"/>
      <c r="J19" s="49"/>
      <c r="K19" s="35"/>
    </row>
    <row r="20" spans="1:11" x14ac:dyDescent="0.3">
      <c r="A20" s="41"/>
      <c r="B20" s="37"/>
      <c r="C20" s="38"/>
      <c r="D20" s="38"/>
      <c r="E20" s="38"/>
      <c r="F20" s="38"/>
      <c r="G20" s="39"/>
      <c r="H20" s="49"/>
      <c r="I20" s="49"/>
      <c r="J20" s="49"/>
      <c r="K20" s="35"/>
    </row>
    <row r="21" spans="1:11" x14ac:dyDescent="0.3">
      <c r="A21" s="42" t="s">
        <v>20</v>
      </c>
      <c r="B21" s="43">
        <v>6760.7979999999998</v>
      </c>
      <c r="C21" s="44">
        <v>1069.0450000000001</v>
      </c>
      <c r="D21" s="45" t="s">
        <v>191</v>
      </c>
      <c r="E21" s="44" t="s">
        <v>191</v>
      </c>
      <c r="F21" s="45">
        <v>866.17700000000002</v>
      </c>
      <c r="G21" s="46">
        <v>1573.97</v>
      </c>
      <c r="H21" s="47" t="s">
        <v>21</v>
      </c>
      <c r="I21" s="48"/>
      <c r="J21" s="48"/>
      <c r="K21" s="35"/>
    </row>
    <row r="22" spans="1:11" x14ac:dyDescent="0.3">
      <c r="A22" s="42" t="s">
        <v>22</v>
      </c>
      <c r="B22" s="43">
        <v>203.76</v>
      </c>
      <c r="C22" s="44">
        <v>61.12</v>
      </c>
      <c r="D22" s="45">
        <v>3.6619999999999999</v>
      </c>
      <c r="E22" s="44">
        <v>0.18</v>
      </c>
      <c r="F22" s="45">
        <v>2.5499999999999998</v>
      </c>
      <c r="G22" s="46">
        <v>4.7</v>
      </c>
      <c r="H22" s="47" t="s">
        <v>23</v>
      </c>
      <c r="I22" s="48"/>
      <c r="J22" s="48"/>
      <c r="K22" s="35"/>
    </row>
    <row r="23" spans="1:11" x14ac:dyDescent="0.3">
      <c r="A23" s="42" t="s">
        <v>24</v>
      </c>
      <c r="B23" s="43">
        <v>492.64499999999998</v>
      </c>
      <c r="C23" s="44">
        <v>219.35</v>
      </c>
      <c r="D23" s="45">
        <v>3.7850000000000001</v>
      </c>
      <c r="E23" s="44" t="s">
        <v>191</v>
      </c>
      <c r="F23" s="45">
        <v>66.25</v>
      </c>
      <c r="G23" s="46">
        <v>0.5</v>
      </c>
      <c r="H23" s="47" t="s">
        <v>25</v>
      </c>
      <c r="I23" s="48"/>
      <c r="J23" s="48"/>
      <c r="K23" s="35"/>
    </row>
    <row r="24" spans="1:11" x14ac:dyDescent="0.3">
      <c r="A24" s="42" t="s">
        <v>26</v>
      </c>
      <c r="B24" s="43">
        <v>917.89</v>
      </c>
      <c r="C24" s="44">
        <v>76.66</v>
      </c>
      <c r="D24" s="45">
        <v>0.42</v>
      </c>
      <c r="E24" s="44" t="s">
        <v>191</v>
      </c>
      <c r="F24" s="45">
        <v>68.09</v>
      </c>
      <c r="G24" s="46">
        <v>15.2</v>
      </c>
      <c r="H24" s="47" t="s">
        <v>27</v>
      </c>
      <c r="I24" s="48"/>
      <c r="J24" s="48"/>
      <c r="K24" s="35"/>
    </row>
    <row r="25" spans="1:11" x14ac:dyDescent="0.3">
      <c r="A25" s="42" t="s">
        <v>28</v>
      </c>
      <c r="B25" s="43">
        <v>2974.1149999999998</v>
      </c>
      <c r="C25" s="44">
        <v>435.66500000000002</v>
      </c>
      <c r="D25" s="45">
        <v>34.021000000000001</v>
      </c>
      <c r="E25" s="44">
        <v>27</v>
      </c>
      <c r="F25" s="45">
        <v>284.07400000000001</v>
      </c>
      <c r="G25" s="46">
        <v>101.5</v>
      </c>
      <c r="H25" s="47" t="s">
        <v>29</v>
      </c>
      <c r="I25" s="48"/>
      <c r="J25" s="48"/>
      <c r="K25" s="35"/>
    </row>
    <row r="26" spans="1:11" x14ac:dyDescent="0.3">
      <c r="A26" s="42" t="s">
        <v>30</v>
      </c>
      <c r="B26" s="43">
        <v>510.38</v>
      </c>
      <c r="C26" s="44">
        <v>0.26</v>
      </c>
      <c r="D26" s="45">
        <v>3.82</v>
      </c>
      <c r="E26" s="44">
        <v>1.38</v>
      </c>
      <c r="F26" s="45">
        <v>2.2999999999999998</v>
      </c>
      <c r="G26" s="46" t="s">
        <v>191</v>
      </c>
      <c r="H26" s="47" t="s">
        <v>31</v>
      </c>
      <c r="I26" s="48"/>
      <c r="J26" s="48"/>
      <c r="K26" s="35"/>
    </row>
    <row r="27" spans="1:11" x14ac:dyDescent="0.3">
      <c r="A27" s="42" t="s">
        <v>32</v>
      </c>
      <c r="B27" s="43">
        <v>1545.21</v>
      </c>
      <c r="C27" s="44">
        <v>14.96</v>
      </c>
      <c r="D27" s="45">
        <v>3.82</v>
      </c>
      <c r="E27" s="44" t="s">
        <v>191</v>
      </c>
      <c r="F27" s="45">
        <v>13.03</v>
      </c>
      <c r="G27" s="46">
        <v>2</v>
      </c>
      <c r="H27" s="47" t="s">
        <v>33</v>
      </c>
      <c r="I27" s="48"/>
      <c r="J27" s="48"/>
      <c r="K27" s="35"/>
    </row>
    <row r="28" spans="1:11" x14ac:dyDescent="0.3">
      <c r="A28" s="50" t="s">
        <v>187</v>
      </c>
      <c r="B28" s="51">
        <f>SUM(B29:B32)</f>
        <v>2252.9470000000001</v>
      </c>
      <c r="C28" s="52">
        <f>SUM(C29:C32)</f>
        <v>315.99099999999999</v>
      </c>
      <c r="D28" s="52">
        <f t="shared" ref="C28:G28" si="3">SUM(D29:D32)</f>
        <v>22.445</v>
      </c>
      <c r="E28" s="52">
        <f t="shared" si="3"/>
        <v>2.0950000000000002</v>
      </c>
      <c r="F28" s="52">
        <f t="shared" si="3"/>
        <v>59.061</v>
      </c>
      <c r="G28" s="53">
        <f t="shared" si="3"/>
        <v>17.335000000000001</v>
      </c>
      <c r="H28" s="54" t="s">
        <v>188</v>
      </c>
      <c r="I28" s="48"/>
      <c r="J28" s="48"/>
      <c r="K28" s="35"/>
    </row>
    <row r="29" spans="1:11" x14ac:dyDescent="0.3">
      <c r="A29" s="42" t="s">
        <v>34</v>
      </c>
      <c r="B29" s="43">
        <v>1179.009</v>
      </c>
      <c r="C29" s="44">
        <v>192.351</v>
      </c>
      <c r="D29" s="45">
        <v>7.8</v>
      </c>
      <c r="E29" s="44">
        <v>7.0000000000000007E-2</v>
      </c>
      <c r="F29" s="45">
        <v>38.835000000000001</v>
      </c>
      <c r="G29" s="46">
        <v>4.4349999999999996</v>
      </c>
      <c r="H29" s="47" t="s">
        <v>35</v>
      </c>
      <c r="I29" s="48"/>
      <c r="J29" s="48"/>
      <c r="K29" s="35"/>
    </row>
    <row r="30" spans="1:11" x14ac:dyDescent="0.3">
      <c r="A30" s="42" t="s">
        <v>36</v>
      </c>
      <c r="B30" s="43">
        <v>486.58499999999998</v>
      </c>
      <c r="C30" s="44">
        <v>85.2</v>
      </c>
      <c r="D30" s="45">
        <v>6.11</v>
      </c>
      <c r="E30" s="44">
        <v>1.95</v>
      </c>
      <c r="F30" s="45">
        <v>4.83</v>
      </c>
      <c r="G30" s="46">
        <v>8.8800000000000008</v>
      </c>
      <c r="H30" s="47" t="s">
        <v>37</v>
      </c>
      <c r="I30" s="48"/>
      <c r="J30" s="48"/>
      <c r="K30" s="35"/>
    </row>
    <row r="31" spans="1:11" x14ac:dyDescent="0.3">
      <c r="A31" s="42" t="s">
        <v>38</v>
      </c>
      <c r="B31" s="43">
        <v>465.47300000000001</v>
      </c>
      <c r="C31" s="44">
        <v>33.74</v>
      </c>
      <c r="D31" s="45">
        <v>8.0850000000000009</v>
      </c>
      <c r="E31" s="44">
        <v>7.4999999999999997E-2</v>
      </c>
      <c r="F31" s="45">
        <v>13.545999999999999</v>
      </c>
      <c r="G31" s="46">
        <v>4.0199999999999996</v>
      </c>
      <c r="H31" s="47" t="s">
        <v>39</v>
      </c>
      <c r="I31" s="48"/>
      <c r="J31" s="48"/>
      <c r="K31" s="35"/>
    </row>
    <row r="32" spans="1:11" x14ac:dyDescent="0.3">
      <c r="A32" s="42" t="s">
        <v>40</v>
      </c>
      <c r="B32" s="43">
        <v>121.88</v>
      </c>
      <c r="C32" s="44">
        <v>4.7</v>
      </c>
      <c r="D32" s="45">
        <v>0.45</v>
      </c>
      <c r="E32" s="44" t="s">
        <v>191</v>
      </c>
      <c r="F32" s="45">
        <v>1.85</v>
      </c>
      <c r="G32" s="46" t="s">
        <v>191</v>
      </c>
      <c r="H32" s="47" t="s">
        <v>41</v>
      </c>
      <c r="I32" s="48"/>
      <c r="J32" s="48"/>
      <c r="K32" s="35"/>
    </row>
    <row r="33" spans="1:11" x14ac:dyDescent="0.3">
      <c r="A33" s="41" t="s">
        <v>42</v>
      </c>
      <c r="B33" s="37">
        <f>SUM(B35:B38)</f>
        <v>17042.02</v>
      </c>
      <c r="C33" s="38">
        <f t="shared" ref="C33:G33" si="4">SUM(C35:C38)</f>
        <v>4364.04</v>
      </c>
      <c r="D33" s="38">
        <f>SUM(D35:D38)</f>
        <v>458.44400000000002</v>
      </c>
      <c r="E33" s="38">
        <f t="shared" si="4"/>
        <v>15.427</v>
      </c>
      <c r="F33" s="38">
        <f t="shared" si="4"/>
        <v>715.43999999999994</v>
      </c>
      <c r="G33" s="39">
        <f t="shared" si="4"/>
        <v>1023.25</v>
      </c>
      <c r="H33" s="55" t="s">
        <v>43</v>
      </c>
      <c r="I33" s="55"/>
      <c r="J33" s="55"/>
      <c r="K33" s="35"/>
    </row>
    <row r="34" spans="1:11" x14ac:dyDescent="0.3">
      <c r="A34" s="41"/>
      <c r="B34" s="37"/>
      <c r="C34" s="38"/>
      <c r="D34" s="38"/>
      <c r="E34" s="38"/>
      <c r="F34" s="38"/>
      <c r="G34" s="39"/>
      <c r="H34" s="55"/>
      <c r="I34" s="55"/>
      <c r="J34" s="55"/>
      <c r="K34" s="35"/>
    </row>
    <row r="35" spans="1:11" x14ac:dyDescent="0.3">
      <c r="A35" s="42" t="s">
        <v>44</v>
      </c>
      <c r="B35" s="43">
        <v>12337.83</v>
      </c>
      <c r="C35" s="44">
        <v>2062.52</v>
      </c>
      <c r="D35" s="45">
        <v>402.548</v>
      </c>
      <c r="E35" s="44">
        <v>2.73</v>
      </c>
      <c r="F35" s="45">
        <v>228.13499999999999</v>
      </c>
      <c r="G35" s="46">
        <v>1006.05</v>
      </c>
      <c r="H35" s="47" t="s">
        <v>45</v>
      </c>
      <c r="I35" s="48"/>
      <c r="J35" s="48"/>
      <c r="K35" s="35"/>
    </row>
    <row r="36" spans="1:11" x14ac:dyDescent="0.3">
      <c r="A36" s="42" t="s">
        <v>46</v>
      </c>
      <c r="B36" s="43">
        <v>3877.91</v>
      </c>
      <c r="C36" s="44">
        <v>1444.6</v>
      </c>
      <c r="D36" s="45">
        <v>32.33</v>
      </c>
      <c r="E36" s="44">
        <v>7.0670000000000002</v>
      </c>
      <c r="F36" s="45">
        <v>412.26</v>
      </c>
      <c r="G36" s="46">
        <v>16</v>
      </c>
      <c r="H36" s="47" t="s">
        <v>47</v>
      </c>
      <c r="I36" s="48"/>
      <c r="J36" s="48"/>
      <c r="K36" s="35"/>
    </row>
    <row r="37" spans="1:11" x14ac:dyDescent="0.3">
      <c r="A37" s="42" t="s">
        <v>48</v>
      </c>
      <c r="B37" s="43">
        <v>575.99</v>
      </c>
      <c r="C37" s="44">
        <v>649.29999999999995</v>
      </c>
      <c r="D37" s="45">
        <v>11.04</v>
      </c>
      <c r="E37" s="44">
        <v>2.11</v>
      </c>
      <c r="F37" s="45">
        <v>53.234999999999999</v>
      </c>
      <c r="G37" s="46">
        <v>1.2</v>
      </c>
      <c r="H37" s="47" t="s">
        <v>49</v>
      </c>
      <c r="I37" s="48"/>
      <c r="J37" s="48"/>
      <c r="K37" s="35"/>
    </row>
    <row r="38" spans="1:11" x14ac:dyDescent="0.3">
      <c r="A38" s="42" t="s">
        <v>50</v>
      </c>
      <c r="B38" s="43">
        <v>250.29</v>
      </c>
      <c r="C38" s="44">
        <v>207.62</v>
      </c>
      <c r="D38" s="45">
        <v>12.526</v>
      </c>
      <c r="E38" s="44">
        <v>3.52</v>
      </c>
      <c r="F38" s="45">
        <v>21.81</v>
      </c>
      <c r="G38" s="46" t="s">
        <v>191</v>
      </c>
      <c r="H38" s="47" t="s">
        <v>51</v>
      </c>
      <c r="I38" s="48"/>
      <c r="J38" s="48"/>
      <c r="K38" s="35"/>
    </row>
    <row r="39" spans="1:11" x14ac:dyDescent="0.3">
      <c r="A39" s="41" t="s">
        <v>52</v>
      </c>
      <c r="B39" s="37">
        <f>SUM(B41:B45)</f>
        <v>34190.053</v>
      </c>
      <c r="C39" s="38">
        <f t="shared" ref="C39:G39" si="5">SUM(C41:C45)</f>
        <v>9781.262999999999</v>
      </c>
      <c r="D39" s="38">
        <f>SUM(D41:D45)</f>
        <v>117.20099999999999</v>
      </c>
      <c r="E39" s="38">
        <f t="shared" si="5"/>
        <v>158.28800000000001</v>
      </c>
      <c r="F39" s="38">
        <f t="shared" si="5"/>
        <v>4147.7049999999999</v>
      </c>
      <c r="G39" s="39">
        <f t="shared" si="5"/>
        <v>486.89500000000004</v>
      </c>
      <c r="H39" s="55" t="s">
        <v>53</v>
      </c>
      <c r="I39" s="55"/>
      <c r="J39" s="55"/>
      <c r="K39" s="35"/>
    </row>
    <row r="40" spans="1:11" x14ac:dyDescent="0.3">
      <c r="A40" s="41"/>
      <c r="B40" s="37"/>
      <c r="C40" s="38"/>
      <c r="D40" s="38"/>
      <c r="E40" s="38"/>
      <c r="F40" s="38"/>
      <c r="G40" s="39"/>
      <c r="H40" s="55"/>
      <c r="I40" s="55"/>
      <c r="J40" s="55"/>
      <c r="K40" s="35"/>
    </row>
    <row r="41" spans="1:11" x14ac:dyDescent="0.3">
      <c r="A41" s="42" t="s">
        <v>54</v>
      </c>
      <c r="B41" s="43">
        <v>3285.9189999999999</v>
      </c>
      <c r="C41" s="44">
        <v>1391.1379999999999</v>
      </c>
      <c r="D41" s="45">
        <v>80.05</v>
      </c>
      <c r="E41" s="44">
        <v>41.8</v>
      </c>
      <c r="F41" s="45">
        <v>229.85499999999999</v>
      </c>
      <c r="G41" s="46">
        <v>41.88</v>
      </c>
      <c r="H41" s="47" t="s">
        <v>55</v>
      </c>
      <c r="I41" s="48"/>
      <c r="J41" s="48"/>
      <c r="K41" s="35"/>
    </row>
    <row r="42" spans="1:11" x14ac:dyDescent="0.3">
      <c r="A42" s="42" t="s">
        <v>56</v>
      </c>
      <c r="B42" s="43">
        <v>639.54</v>
      </c>
      <c r="C42" s="44">
        <v>12.5</v>
      </c>
      <c r="D42" s="45">
        <v>5.5650000000000004</v>
      </c>
      <c r="E42" s="44">
        <v>0.02</v>
      </c>
      <c r="F42" s="45">
        <v>21.167999999999999</v>
      </c>
      <c r="G42" s="46">
        <v>4</v>
      </c>
      <c r="H42" s="47" t="s">
        <v>57</v>
      </c>
      <c r="I42" s="48"/>
      <c r="J42" s="48"/>
      <c r="K42" s="35"/>
    </row>
    <row r="43" spans="1:11" x14ac:dyDescent="0.3">
      <c r="A43" s="42" t="s">
        <v>58</v>
      </c>
      <c r="B43" s="43">
        <v>1310.85</v>
      </c>
      <c r="C43" s="44">
        <v>66.7</v>
      </c>
      <c r="D43" s="45">
        <v>7.5</v>
      </c>
      <c r="E43" s="44" t="s">
        <v>191</v>
      </c>
      <c r="F43" s="45">
        <v>58.15</v>
      </c>
      <c r="G43" s="46">
        <v>54.6</v>
      </c>
      <c r="H43" s="47" t="s">
        <v>59</v>
      </c>
      <c r="I43" s="48"/>
      <c r="J43" s="48"/>
      <c r="K43" s="35"/>
    </row>
    <row r="44" spans="1:11" x14ac:dyDescent="0.3">
      <c r="A44" s="42" t="s">
        <v>60</v>
      </c>
      <c r="B44" s="43">
        <v>97.1</v>
      </c>
      <c r="C44" s="44" t="s">
        <v>191</v>
      </c>
      <c r="D44" s="45" t="s">
        <v>191</v>
      </c>
      <c r="E44" s="44" t="s">
        <v>191</v>
      </c>
      <c r="F44" s="45">
        <v>6.55</v>
      </c>
      <c r="G44" s="46" t="s">
        <v>191</v>
      </c>
      <c r="H44" s="47" t="s">
        <v>61</v>
      </c>
      <c r="I44" s="48"/>
      <c r="J44" s="48"/>
      <c r="K44" s="35"/>
    </row>
    <row r="45" spans="1:11" x14ac:dyDescent="0.3">
      <c r="A45" s="42" t="s">
        <v>62</v>
      </c>
      <c r="B45" s="43">
        <v>28856.644</v>
      </c>
      <c r="C45" s="44">
        <v>8310.9249999999993</v>
      </c>
      <c r="D45" s="45">
        <v>24.085999999999999</v>
      </c>
      <c r="E45" s="44">
        <v>116.468</v>
      </c>
      <c r="F45" s="45">
        <v>3831.982</v>
      </c>
      <c r="G45" s="46">
        <v>386.41500000000002</v>
      </c>
      <c r="H45" s="47" t="s">
        <v>63</v>
      </c>
      <c r="I45" s="48"/>
      <c r="J45" s="48"/>
      <c r="K45" s="35"/>
    </row>
    <row r="46" spans="1:11" x14ac:dyDescent="0.3">
      <c r="A46" s="41" t="s">
        <v>64</v>
      </c>
      <c r="B46" s="37">
        <f>SUM(B48:B52)</f>
        <v>5961.35</v>
      </c>
      <c r="C46" s="38">
        <f t="shared" ref="C46:G46" si="6">SUM(C48:C52)</f>
        <v>687.37499999999989</v>
      </c>
      <c r="D46" s="38">
        <f>SUM(D48:D52)</f>
        <v>37.275000000000006</v>
      </c>
      <c r="E46" s="38">
        <f t="shared" si="6"/>
        <v>5.24</v>
      </c>
      <c r="F46" s="38">
        <f t="shared" si="6"/>
        <v>583.08500000000015</v>
      </c>
      <c r="G46" s="39">
        <f t="shared" si="6"/>
        <v>20.170000000000002</v>
      </c>
      <c r="H46" s="55" t="s">
        <v>65</v>
      </c>
      <c r="I46" s="55"/>
      <c r="J46" s="55"/>
      <c r="K46" s="35"/>
    </row>
    <row r="47" spans="1:11" x14ac:dyDescent="0.3">
      <c r="A47" s="41"/>
      <c r="B47" s="37"/>
      <c r="C47" s="38"/>
      <c r="D47" s="38"/>
      <c r="E47" s="38"/>
      <c r="F47" s="38"/>
      <c r="G47" s="39"/>
      <c r="H47" s="55"/>
      <c r="I47" s="55"/>
      <c r="J47" s="55"/>
      <c r="K47" s="35"/>
    </row>
    <row r="48" spans="1:11" x14ac:dyDescent="0.3">
      <c r="A48" s="42" t="s">
        <v>66</v>
      </c>
      <c r="B48" s="43">
        <v>995.255</v>
      </c>
      <c r="C48" s="44">
        <v>258.185</v>
      </c>
      <c r="D48" s="45">
        <v>15.455</v>
      </c>
      <c r="E48" s="44">
        <v>0.66</v>
      </c>
      <c r="F48" s="45">
        <v>37.979999999999997</v>
      </c>
      <c r="G48" s="46">
        <v>1</v>
      </c>
      <c r="H48" s="47" t="s">
        <v>67</v>
      </c>
      <c r="I48" s="48"/>
      <c r="J48" s="48"/>
      <c r="K48" s="35"/>
    </row>
    <row r="49" spans="1:11" x14ac:dyDescent="0.3">
      <c r="A49" s="42" t="s">
        <v>68</v>
      </c>
      <c r="B49" s="43">
        <v>966.34</v>
      </c>
      <c r="C49" s="44">
        <v>88.26</v>
      </c>
      <c r="D49" s="45">
        <v>1.72</v>
      </c>
      <c r="E49" s="44" t="s">
        <v>191</v>
      </c>
      <c r="F49" s="45">
        <v>32.11</v>
      </c>
      <c r="G49" s="46">
        <v>5.72</v>
      </c>
      <c r="H49" s="47" t="s">
        <v>69</v>
      </c>
      <c r="I49" s="48"/>
      <c r="J49" s="48"/>
      <c r="K49" s="35"/>
    </row>
    <row r="50" spans="1:11" x14ac:dyDescent="0.3">
      <c r="A50" s="42" t="s">
        <v>70</v>
      </c>
      <c r="B50" s="43">
        <v>2989.76</v>
      </c>
      <c r="C50" s="44">
        <v>330.77</v>
      </c>
      <c r="D50" s="45">
        <v>3.4849999999999999</v>
      </c>
      <c r="E50" s="44">
        <v>2.97</v>
      </c>
      <c r="F50" s="45">
        <v>475.35</v>
      </c>
      <c r="G50" s="46">
        <v>2.8</v>
      </c>
      <c r="H50" s="47" t="s">
        <v>71</v>
      </c>
      <c r="I50" s="48"/>
      <c r="J50" s="48"/>
      <c r="K50" s="35"/>
    </row>
    <row r="51" spans="1:11" x14ac:dyDescent="0.3">
      <c r="A51" s="42" t="s">
        <v>72</v>
      </c>
      <c r="B51" s="43">
        <v>218.73500000000001</v>
      </c>
      <c r="C51" s="44">
        <v>6.55</v>
      </c>
      <c r="D51" s="45">
        <v>13.335000000000001</v>
      </c>
      <c r="E51" s="44">
        <v>0.11</v>
      </c>
      <c r="F51" s="45">
        <v>9.3249999999999993</v>
      </c>
      <c r="G51" s="46" t="s">
        <v>191</v>
      </c>
      <c r="H51" s="47" t="s">
        <v>73</v>
      </c>
      <c r="I51" s="48"/>
      <c r="J51" s="48"/>
      <c r="K51" s="35"/>
    </row>
    <row r="52" spans="1:11" x14ac:dyDescent="0.3">
      <c r="A52" s="42" t="s">
        <v>74</v>
      </c>
      <c r="B52" s="43">
        <v>791.26</v>
      </c>
      <c r="C52" s="44">
        <v>3.61</v>
      </c>
      <c r="D52" s="45">
        <v>3.28</v>
      </c>
      <c r="E52" s="44">
        <v>1.5</v>
      </c>
      <c r="F52" s="45">
        <v>28.32</v>
      </c>
      <c r="G52" s="46">
        <v>10.65</v>
      </c>
      <c r="H52" s="47" t="s">
        <v>75</v>
      </c>
      <c r="I52" s="48"/>
      <c r="J52" s="48"/>
      <c r="K52" s="35"/>
    </row>
    <row r="53" spans="1:11" x14ac:dyDescent="0.3">
      <c r="A53" s="41" t="s">
        <v>76</v>
      </c>
      <c r="B53" s="37">
        <f>SUM(B55:B59)</f>
        <v>2930.9910000000004</v>
      </c>
      <c r="C53" s="38">
        <f t="shared" ref="C53:G53" si="7">SUM(C55:C59)</f>
        <v>747.28400000000011</v>
      </c>
      <c r="D53" s="38">
        <f t="shared" si="7"/>
        <v>9.7899999999999991</v>
      </c>
      <c r="E53" s="38">
        <f t="shared" si="7"/>
        <v>1.1399999999999999</v>
      </c>
      <c r="F53" s="38">
        <f t="shared" si="7"/>
        <v>95.271000000000001</v>
      </c>
      <c r="G53" s="39">
        <f t="shared" si="7"/>
        <v>0</v>
      </c>
      <c r="H53" s="55" t="s">
        <v>77</v>
      </c>
      <c r="I53" s="55"/>
      <c r="J53" s="55"/>
      <c r="K53" s="35"/>
    </row>
    <row r="54" spans="1:11" x14ac:dyDescent="0.3">
      <c r="A54" s="41"/>
      <c r="B54" s="37"/>
      <c r="C54" s="38"/>
      <c r="D54" s="38"/>
      <c r="E54" s="38"/>
      <c r="F54" s="38"/>
      <c r="G54" s="39"/>
      <c r="H54" s="55"/>
      <c r="I54" s="55"/>
      <c r="J54" s="55"/>
      <c r="K54" s="35"/>
    </row>
    <row r="55" spans="1:11" x14ac:dyDescent="0.3">
      <c r="A55" s="42" t="s">
        <v>78</v>
      </c>
      <c r="B55" s="43">
        <v>356.96</v>
      </c>
      <c r="C55" s="44">
        <v>0.41499999999999998</v>
      </c>
      <c r="D55" s="45">
        <v>0.18</v>
      </c>
      <c r="E55" s="44" t="s">
        <v>191</v>
      </c>
      <c r="F55" s="45" t="s">
        <v>191</v>
      </c>
      <c r="G55" s="46" t="s">
        <v>191</v>
      </c>
      <c r="H55" s="47" t="s">
        <v>79</v>
      </c>
      <c r="I55" s="48"/>
      <c r="J55" s="48"/>
      <c r="K55" s="35"/>
    </row>
    <row r="56" spans="1:11" x14ac:dyDescent="0.3">
      <c r="A56" s="42" t="s">
        <v>80</v>
      </c>
      <c r="B56" s="43">
        <v>57.390999999999998</v>
      </c>
      <c r="C56" s="44">
        <v>429.80200000000002</v>
      </c>
      <c r="D56" s="45" t="s">
        <v>191</v>
      </c>
      <c r="E56" s="44">
        <v>0.7</v>
      </c>
      <c r="F56" s="45">
        <v>37.951000000000001</v>
      </c>
      <c r="G56" s="46" t="s">
        <v>191</v>
      </c>
      <c r="H56" s="47" t="s">
        <v>81</v>
      </c>
      <c r="I56" s="48"/>
      <c r="J56" s="48"/>
      <c r="K56" s="35"/>
    </row>
    <row r="57" spans="1:11" x14ac:dyDescent="0.3">
      <c r="A57" s="42" t="s">
        <v>82</v>
      </c>
      <c r="B57" s="43">
        <v>96.685000000000002</v>
      </c>
      <c r="C57" s="44">
        <v>64.456999999999994</v>
      </c>
      <c r="D57" s="45" t="s">
        <v>191</v>
      </c>
      <c r="E57" s="44" t="s">
        <v>191</v>
      </c>
      <c r="F57" s="45" t="s">
        <v>191</v>
      </c>
      <c r="G57" s="46" t="s">
        <v>191</v>
      </c>
      <c r="H57" s="47" t="s">
        <v>83</v>
      </c>
      <c r="I57" s="48"/>
      <c r="J57" s="48"/>
      <c r="K57" s="35"/>
    </row>
    <row r="58" spans="1:11" x14ac:dyDescent="0.3">
      <c r="A58" s="42" t="s">
        <v>84</v>
      </c>
      <c r="B58" s="43">
        <v>2162.0300000000002</v>
      </c>
      <c r="C58" s="44">
        <v>252.36</v>
      </c>
      <c r="D58" s="45">
        <v>9.61</v>
      </c>
      <c r="E58" s="44">
        <v>0.44</v>
      </c>
      <c r="F58" s="45">
        <v>57.32</v>
      </c>
      <c r="G58" s="46" t="s">
        <v>191</v>
      </c>
      <c r="H58" s="47" t="s">
        <v>85</v>
      </c>
      <c r="I58" s="48"/>
      <c r="J58" s="48"/>
      <c r="K58" s="35"/>
    </row>
    <row r="59" spans="1:11" x14ac:dyDescent="0.3">
      <c r="A59" s="42" t="s">
        <v>86</v>
      </c>
      <c r="B59" s="43">
        <v>257.92500000000001</v>
      </c>
      <c r="C59" s="44">
        <v>0.25</v>
      </c>
      <c r="D59" s="45" t="s">
        <v>191</v>
      </c>
      <c r="E59" s="44" t="s">
        <v>191</v>
      </c>
      <c r="F59" s="45" t="s">
        <v>191</v>
      </c>
      <c r="G59" s="46" t="s">
        <v>191</v>
      </c>
      <c r="H59" s="47" t="s">
        <v>87</v>
      </c>
      <c r="I59" s="48"/>
      <c r="J59" s="48"/>
      <c r="K59" s="35"/>
    </row>
    <row r="60" spans="1:11" x14ac:dyDescent="0.3">
      <c r="A60" s="41" t="s">
        <v>88</v>
      </c>
      <c r="B60" s="37">
        <f>SUM(B62:B64)</f>
        <v>15035.794</v>
      </c>
      <c r="C60" s="38">
        <f t="shared" ref="C60:G60" si="8">SUM(C62:C64)</f>
        <v>3874.5819999999999</v>
      </c>
      <c r="D60" s="38">
        <f t="shared" si="8"/>
        <v>245.91</v>
      </c>
      <c r="E60" s="38">
        <f>SUM(E62:E64)</f>
        <v>119.75</v>
      </c>
      <c r="F60" s="38">
        <f t="shared" si="8"/>
        <v>1330.2090000000001</v>
      </c>
      <c r="G60" s="39">
        <f t="shared" si="8"/>
        <v>191.84199999999998</v>
      </c>
      <c r="H60" s="49" t="s">
        <v>89</v>
      </c>
      <c r="I60" s="49"/>
      <c r="J60" s="49"/>
      <c r="K60" s="35"/>
    </row>
    <row r="61" spans="1:11" x14ac:dyDescent="0.3">
      <c r="A61" s="41"/>
      <c r="B61" s="37"/>
      <c r="C61" s="38"/>
      <c r="D61" s="38"/>
      <c r="E61" s="38"/>
      <c r="F61" s="38"/>
      <c r="G61" s="39"/>
      <c r="H61" s="49"/>
      <c r="I61" s="49"/>
      <c r="J61" s="49"/>
      <c r="K61" s="35"/>
    </row>
    <row r="62" spans="1:11" x14ac:dyDescent="0.3">
      <c r="A62" s="42" t="s">
        <v>90</v>
      </c>
      <c r="B62" s="43">
        <v>4866.4620000000004</v>
      </c>
      <c r="C62" s="44">
        <v>1231.71</v>
      </c>
      <c r="D62" s="45">
        <v>40.951999999999998</v>
      </c>
      <c r="E62" s="44">
        <v>50.078000000000003</v>
      </c>
      <c r="F62" s="45">
        <v>456.41800000000001</v>
      </c>
      <c r="G62" s="46">
        <v>30.635000000000002</v>
      </c>
      <c r="H62" s="47" t="s">
        <v>91</v>
      </c>
      <c r="I62" s="48"/>
      <c r="J62" s="48"/>
      <c r="K62" s="35"/>
    </row>
    <row r="63" spans="1:11" x14ac:dyDescent="0.3">
      <c r="A63" s="42" t="s">
        <v>92</v>
      </c>
      <c r="B63" s="43">
        <v>5514.61</v>
      </c>
      <c r="C63" s="44">
        <v>2457.1619999999998</v>
      </c>
      <c r="D63" s="45">
        <v>183.46299999999999</v>
      </c>
      <c r="E63" s="44">
        <v>14.72</v>
      </c>
      <c r="F63" s="45">
        <v>559.14</v>
      </c>
      <c r="G63" s="46">
        <v>111.94199999999999</v>
      </c>
      <c r="H63" s="47" t="s">
        <v>93</v>
      </c>
      <c r="I63" s="48"/>
      <c r="J63" s="48"/>
      <c r="K63" s="35"/>
    </row>
    <row r="64" spans="1:11" x14ac:dyDescent="0.3">
      <c r="A64" s="42" t="s">
        <v>94</v>
      </c>
      <c r="B64" s="43">
        <v>4654.7219999999998</v>
      </c>
      <c r="C64" s="44">
        <v>185.71</v>
      </c>
      <c r="D64" s="45">
        <v>21.495000000000001</v>
      </c>
      <c r="E64" s="44">
        <v>54.951999999999998</v>
      </c>
      <c r="F64" s="45">
        <v>314.65100000000001</v>
      </c>
      <c r="G64" s="46">
        <v>49.265000000000001</v>
      </c>
      <c r="H64" s="47" t="s">
        <v>95</v>
      </c>
      <c r="I64" s="48"/>
      <c r="J64" s="48"/>
      <c r="K64" s="35"/>
    </row>
    <row r="65" spans="1:11" x14ac:dyDescent="0.3">
      <c r="A65" s="41" t="s">
        <v>96</v>
      </c>
      <c r="B65" s="37">
        <f>SUM(B67:B71)</f>
        <v>10296.038</v>
      </c>
      <c r="C65" s="38">
        <f t="shared" ref="C65:G65" si="9">SUM(C67:C71)</f>
        <v>1691.877</v>
      </c>
      <c r="D65" s="38">
        <f t="shared" si="9"/>
        <v>100.93900000000001</v>
      </c>
      <c r="E65" s="38">
        <f>SUM(E67:E71)</f>
        <v>45.746000000000009</v>
      </c>
      <c r="F65" s="38">
        <f t="shared" si="9"/>
        <v>1272.3440000000001</v>
      </c>
      <c r="G65" s="39">
        <f t="shared" si="9"/>
        <v>19.984999999999999</v>
      </c>
      <c r="H65" s="55" t="s">
        <v>97</v>
      </c>
      <c r="I65" s="55"/>
      <c r="J65" s="55"/>
      <c r="K65" s="35"/>
    </row>
    <row r="66" spans="1:11" x14ac:dyDescent="0.3">
      <c r="A66" s="41"/>
      <c r="B66" s="37"/>
      <c r="C66" s="38"/>
      <c r="D66" s="38"/>
      <c r="E66" s="38"/>
      <c r="F66" s="38"/>
      <c r="G66" s="39"/>
      <c r="H66" s="55"/>
      <c r="I66" s="55"/>
      <c r="J66" s="55"/>
      <c r="K66" s="35"/>
    </row>
    <row r="67" spans="1:11" x14ac:dyDescent="0.3">
      <c r="A67" s="42" t="s">
        <v>98</v>
      </c>
      <c r="B67" s="43">
        <v>2869.6680000000001</v>
      </c>
      <c r="C67" s="44">
        <v>587.72900000000004</v>
      </c>
      <c r="D67" s="45">
        <v>48.555</v>
      </c>
      <c r="E67" s="44">
        <v>7.4</v>
      </c>
      <c r="F67" s="45">
        <v>479.65600000000001</v>
      </c>
      <c r="G67" s="46">
        <v>13.4</v>
      </c>
      <c r="H67" s="47" t="s">
        <v>99</v>
      </c>
      <c r="I67" s="48"/>
      <c r="J67" s="48"/>
      <c r="K67" s="35"/>
    </row>
    <row r="68" spans="1:11" x14ac:dyDescent="0.3">
      <c r="A68" s="42" t="s">
        <v>100</v>
      </c>
      <c r="B68" s="43">
        <v>1468.4649999999999</v>
      </c>
      <c r="C68" s="44">
        <v>681.25</v>
      </c>
      <c r="D68" s="45">
        <v>23.46</v>
      </c>
      <c r="E68" s="44">
        <v>23.52</v>
      </c>
      <c r="F68" s="45">
        <v>235.48</v>
      </c>
      <c r="G68" s="46">
        <v>5</v>
      </c>
      <c r="H68" s="47" t="s">
        <v>101</v>
      </c>
      <c r="I68" s="48"/>
      <c r="J68" s="48"/>
      <c r="K68" s="35"/>
    </row>
    <row r="69" spans="1:11" x14ac:dyDescent="0.3">
      <c r="A69" s="42" t="s">
        <v>102</v>
      </c>
      <c r="B69" s="43">
        <v>1364.32</v>
      </c>
      <c r="C69" s="44">
        <v>167.02</v>
      </c>
      <c r="D69" s="45">
        <v>12.23</v>
      </c>
      <c r="E69" s="44">
        <v>9.1300000000000008</v>
      </c>
      <c r="F69" s="45">
        <v>63.28</v>
      </c>
      <c r="G69" s="46">
        <v>1.3</v>
      </c>
      <c r="H69" s="47" t="s">
        <v>103</v>
      </c>
      <c r="I69" s="48"/>
      <c r="J69" s="48"/>
      <c r="K69" s="35"/>
    </row>
    <row r="70" spans="1:11" x14ac:dyDescent="0.3">
      <c r="A70" s="42" t="s">
        <v>104</v>
      </c>
      <c r="B70" s="43">
        <v>1779.08</v>
      </c>
      <c r="C70" s="44">
        <v>97.84</v>
      </c>
      <c r="D70" s="45">
        <v>7.452</v>
      </c>
      <c r="E70" s="44">
        <v>3.286</v>
      </c>
      <c r="F70" s="45">
        <v>206.678</v>
      </c>
      <c r="G70" s="46">
        <v>0.28499999999999998</v>
      </c>
      <c r="H70" s="47" t="s">
        <v>105</v>
      </c>
      <c r="I70" s="48"/>
      <c r="J70" s="48"/>
      <c r="K70" s="35"/>
    </row>
    <row r="71" spans="1:11" x14ac:dyDescent="0.3">
      <c r="A71" s="42" t="s">
        <v>106</v>
      </c>
      <c r="B71" s="43">
        <v>2814.5050000000001</v>
      </c>
      <c r="C71" s="44">
        <v>158.03800000000001</v>
      </c>
      <c r="D71" s="45">
        <v>9.2420000000000009</v>
      </c>
      <c r="E71" s="44">
        <v>2.41</v>
      </c>
      <c r="F71" s="45">
        <v>287.25</v>
      </c>
      <c r="G71" s="46" t="s">
        <v>191</v>
      </c>
      <c r="H71" s="47" t="s">
        <v>107</v>
      </c>
      <c r="I71" s="48"/>
      <c r="J71" s="48"/>
      <c r="K71" s="35"/>
    </row>
    <row r="72" spans="1:11" x14ac:dyDescent="0.3">
      <c r="A72" s="41" t="s">
        <v>108</v>
      </c>
      <c r="B72" s="37">
        <f>SUM(B74:B81)</f>
        <v>1291.5900000000001</v>
      </c>
      <c r="C72" s="38">
        <f t="shared" ref="C72:G72" si="10">SUM(C74:C81)</f>
        <v>47.08</v>
      </c>
      <c r="D72" s="38">
        <f t="shared" si="10"/>
        <v>2.8850000000000002</v>
      </c>
      <c r="E72" s="38">
        <f>SUM(E74:E81)</f>
        <v>2.38</v>
      </c>
      <c r="F72" s="38">
        <f t="shared" si="10"/>
        <v>30.274999999999999</v>
      </c>
      <c r="G72" s="39">
        <f t="shared" si="10"/>
        <v>3.02</v>
      </c>
      <c r="H72" s="55" t="s">
        <v>109</v>
      </c>
      <c r="I72" s="55"/>
      <c r="J72" s="55"/>
      <c r="K72" s="35"/>
    </row>
    <row r="73" spans="1:11" x14ac:dyDescent="0.3">
      <c r="A73" s="41"/>
      <c r="B73" s="37"/>
      <c r="C73" s="38"/>
      <c r="D73" s="38"/>
      <c r="E73" s="38"/>
      <c r="F73" s="38"/>
      <c r="G73" s="39"/>
      <c r="H73" s="55"/>
      <c r="I73" s="55"/>
      <c r="J73" s="55"/>
      <c r="K73" s="35"/>
    </row>
    <row r="74" spans="1:11" x14ac:dyDescent="0.3">
      <c r="A74" s="56" t="s">
        <v>110</v>
      </c>
      <c r="B74" s="57" t="s">
        <v>191</v>
      </c>
      <c r="C74" s="58" t="s">
        <v>191</v>
      </c>
      <c r="D74" s="59" t="s">
        <v>191</v>
      </c>
      <c r="E74" s="58" t="s">
        <v>191</v>
      </c>
      <c r="F74" s="58" t="s">
        <v>191</v>
      </c>
      <c r="G74" s="60" t="s">
        <v>191</v>
      </c>
      <c r="H74" s="47" t="s">
        <v>111</v>
      </c>
      <c r="I74" s="48"/>
      <c r="J74" s="48"/>
      <c r="K74" s="35"/>
    </row>
    <row r="75" spans="1:11" x14ac:dyDescent="0.3">
      <c r="A75" s="56" t="s">
        <v>112</v>
      </c>
      <c r="B75" s="43">
        <v>0.5</v>
      </c>
      <c r="C75" s="44" t="s">
        <v>191</v>
      </c>
      <c r="D75" s="45" t="s">
        <v>191</v>
      </c>
      <c r="E75" s="44" t="s">
        <v>191</v>
      </c>
      <c r="F75" s="45">
        <v>0.1</v>
      </c>
      <c r="G75" s="46" t="s">
        <v>191</v>
      </c>
      <c r="H75" s="47" t="s">
        <v>113</v>
      </c>
      <c r="I75" s="48"/>
      <c r="J75" s="48"/>
      <c r="K75" s="35"/>
    </row>
    <row r="76" spans="1:11" x14ac:dyDescent="0.3">
      <c r="A76" s="56" t="s">
        <v>114</v>
      </c>
      <c r="B76" s="57" t="s">
        <v>191</v>
      </c>
      <c r="C76" s="58" t="s">
        <v>191</v>
      </c>
      <c r="D76" s="59" t="s">
        <v>191</v>
      </c>
      <c r="E76" s="58" t="s">
        <v>191</v>
      </c>
      <c r="F76" s="58" t="s">
        <v>191</v>
      </c>
      <c r="G76" s="60" t="s">
        <v>191</v>
      </c>
      <c r="H76" s="47" t="s">
        <v>115</v>
      </c>
      <c r="I76" s="48"/>
      <c r="J76" s="48"/>
      <c r="K76" s="35"/>
    </row>
    <row r="77" spans="1:11" x14ac:dyDescent="0.3">
      <c r="A77" s="56" t="s">
        <v>116</v>
      </c>
      <c r="B77" s="57" t="s">
        <v>191</v>
      </c>
      <c r="C77" s="58" t="s">
        <v>191</v>
      </c>
      <c r="D77" s="59" t="s">
        <v>191</v>
      </c>
      <c r="E77" s="58" t="s">
        <v>191</v>
      </c>
      <c r="F77" s="58" t="s">
        <v>191</v>
      </c>
      <c r="G77" s="60" t="s">
        <v>191</v>
      </c>
      <c r="H77" s="47" t="s">
        <v>117</v>
      </c>
      <c r="I77" s="48"/>
      <c r="J77" s="48"/>
      <c r="K77" s="35"/>
    </row>
    <row r="78" spans="1:11" x14ac:dyDescent="0.3">
      <c r="A78" s="56" t="s">
        <v>118</v>
      </c>
      <c r="B78" s="43">
        <v>503.88</v>
      </c>
      <c r="C78" s="44">
        <v>22.68</v>
      </c>
      <c r="D78" s="45">
        <v>1.53</v>
      </c>
      <c r="E78" s="44" t="s">
        <v>191</v>
      </c>
      <c r="F78" s="45">
        <v>3.6549999999999998</v>
      </c>
      <c r="G78" s="46" t="s">
        <v>191</v>
      </c>
      <c r="H78" s="47" t="s">
        <v>119</v>
      </c>
      <c r="I78" s="48"/>
      <c r="J78" s="48"/>
      <c r="K78" s="35"/>
    </row>
    <row r="79" spans="1:11" x14ac:dyDescent="0.3">
      <c r="A79" s="56" t="s">
        <v>120</v>
      </c>
      <c r="B79" s="43">
        <v>766</v>
      </c>
      <c r="C79" s="44" t="s">
        <v>191</v>
      </c>
      <c r="D79" s="45">
        <v>0.8</v>
      </c>
      <c r="E79" s="44">
        <v>0.02</v>
      </c>
      <c r="F79" s="45">
        <v>22.3</v>
      </c>
      <c r="G79" s="46">
        <v>3</v>
      </c>
      <c r="H79" s="47" t="s">
        <v>121</v>
      </c>
      <c r="I79" s="48"/>
      <c r="J79" s="48"/>
      <c r="K79" s="35"/>
    </row>
    <row r="80" spans="1:11" x14ac:dyDescent="0.3">
      <c r="A80" s="56" t="s">
        <v>122</v>
      </c>
      <c r="B80" s="61" t="s">
        <v>191</v>
      </c>
      <c r="C80" s="62" t="s">
        <v>191</v>
      </c>
      <c r="D80" s="63" t="s">
        <v>191</v>
      </c>
      <c r="E80" s="62" t="s">
        <v>191</v>
      </c>
      <c r="F80" s="62" t="s">
        <v>191</v>
      </c>
      <c r="G80" s="64" t="s">
        <v>191</v>
      </c>
      <c r="H80" s="47" t="s">
        <v>123</v>
      </c>
      <c r="I80" s="48"/>
      <c r="J80" s="48"/>
      <c r="K80" s="35"/>
    </row>
    <row r="81" spans="1:11" x14ac:dyDescent="0.3">
      <c r="A81" s="56" t="s">
        <v>124</v>
      </c>
      <c r="B81" s="43">
        <v>21.21</v>
      </c>
      <c r="C81" s="44">
        <v>24.4</v>
      </c>
      <c r="D81" s="45">
        <v>0.55500000000000005</v>
      </c>
      <c r="E81" s="44">
        <v>2.36</v>
      </c>
      <c r="F81" s="45">
        <v>4.22</v>
      </c>
      <c r="G81" s="46">
        <v>0.02</v>
      </c>
      <c r="H81" s="47" t="s">
        <v>125</v>
      </c>
      <c r="I81" s="48"/>
      <c r="J81" s="48"/>
      <c r="K81" s="35"/>
    </row>
    <row r="82" spans="1:11" x14ac:dyDescent="0.3">
      <c r="A82" s="41" t="s">
        <v>126</v>
      </c>
      <c r="B82" s="37">
        <f>SUM(B84:B88)</f>
        <v>2698.3469999999998</v>
      </c>
      <c r="C82" s="38">
        <f t="shared" ref="C82:G82" si="11">SUM(C84:C88)</f>
        <v>2597.6570000000002</v>
      </c>
      <c r="D82" s="38">
        <f>SUM(D84:D88)</f>
        <v>68.822000000000003</v>
      </c>
      <c r="E82" s="38">
        <f t="shared" si="11"/>
        <v>85</v>
      </c>
      <c r="F82" s="38">
        <f t="shared" si="11"/>
        <v>463.05900000000008</v>
      </c>
      <c r="G82" s="39">
        <f t="shared" si="11"/>
        <v>58.765000000000001</v>
      </c>
      <c r="H82" s="55" t="s">
        <v>127</v>
      </c>
      <c r="I82" s="55"/>
      <c r="J82" s="55"/>
      <c r="K82" s="35"/>
    </row>
    <row r="83" spans="1:11" x14ac:dyDescent="0.3">
      <c r="A83" s="41"/>
      <c r="B83" s="37"/>
      <c r="C83" s="38"/>
      <c r="D83" s="38"/>
      <c r="E83" s="38"/>
      <c r="F83" s="38"/>
      <c r="G83" s="39"/>
      <c r="H83" s="55"/>
      <c r="I83" s="55"/>
      <c r="J83" s="55"/>
      <c r="K83" s="35"/>
    </row>
    <row r="84" spans="1:11" x14ac:dyDescent="0.3">
      <c r="A84" s="42" t="s">
        <v>128</v>
      </c>
      <c r="B84" s="43">
        <v>1953.27</v>
      </c>
      <c r="C84" s="44">
        <v>2069.71</v>
      </c>
      <c r="D84" s="45">
        <v>67.921999999999997</v>
      </c>
      <c r="E84" s="44">
        <v>85</v>
      </c>
      <c r="F84" s="45">
        <v>349.24</v>
      </c>
      <c r="G84" s="46">
        <v>52.865000000000002</v>
      </c>
      <c r="H84" s="47" t="s">
        <v>129</v>
      </c>
      <c r="I84" s="48"/>
      <c r="J84" s="48"/>
      <c r="K84" s="35"/>
    </row>
    <row r="85" spans="1:11" x14ac:dyDescent="0.3">
      <c r="A85" s="42" t="s">
        <v>130</v>
      </c>
      <c r="B85" s="43">
        <v>104.87</v>
      </c>
      <c r="C85" s="44">
        <v>0.6</v>
      </c>
      <c r="D85" s="45" t="s">
        <v>191</v>
      </c>
      <c r="E85" s="44" t="s">
        <v>191</v>
      </c>
      <c r="F85" s="45">
        <v>2.1</v>
      </c>
      <c r="G85" s="46" t="s">
        <v>191</v>
      </c>
      <c r="H85" s="47" t="s">
        <v>131</v>
      </c>
      <c r="I85" s="48"/>
      <c r="J85" s="48"/>
      <c r="K85" s="35"/>
    </row>
    <row r="86" spans="1:11" x14ac:dyDescent="0.3">
      <c r="A86" s="42" t="s">
        <v>132</v>
      </c>
      <c r="B86" s="43">
        <v>468.39</v>
      </c>
      <c r="C86" s="44">
        <v>131.03</v>
      </c>
      <c r="D86" s="45">
        <v>0.9</v>
      </c>
      <c r="E86" s="44" t="s">
        <v>191</v>
      </c>
      <c r="F86" s="45">
        <v>15.1</v>
      </c>
      <c r="G86" s="46">
        <v>5.9</v>
      </c>
      <c r="H86" s="47" t="s">
        <v>133</v>
      </c>
      <c r="I86" s="48"/>
      <c r="J86" s="48"/>
      <c r="K86" s="35"/>
    </row>
    <row r="87" spans="1:11" x14ac:dyDescent="0.3">
      <c r="A87" s="42" t="s">
        <v>134</v>
      </c>
      <c r="B87" s="43">
        <v>171.81700000000001</v>
      </c>
      <c r="C87" s="44">
        <v>33.851999999999997</v>
      </c>
      <c r="D87" s="45" t="s">
        <v>191</v>
      </c>
      <c r="E87" s="44" t="s">
        <v>191</v>
      </c>
      <c r="F87" s="45">
        <v>18.564</v>
      </c>
      <c r="G87" s="46" t="s">
        <v>191</v>
      </c>
      <c r="H87" s="47" t="s">
        <v>135</v>
      </c>
      <c r="I87" s="48"/>
      <c r="J87" s="48"/>
      <c r="K87" s="35"/>
    </row>
    <row r="88" spans="1:11" x14ac:dyDescent="0.3">
      <c r="A88" s="42" t="s">
        <v>136</v>
      </c>
      <c r="B88" s="43" t="s">
        <v>191</v>
      </c>
      <c r="C88" s="44">
        <v>362.46499999999997</v>
      </c>
      <c r="D88" s="45" t="s">
        <v>191</v>
      </c>
      <c r="E88" s="44" t="s">
        <v>191</v>
      </c>
      <c r="F88" s="45">
        <v>78.055000000000007</v>
      </c>
      <c r="G88" s="46" t="s">
        <v>191</v>
      </c>
      <c r="H88" s="47" t="s">
        <v>137</v>
      </c>
      <c r="I88" s="48"/>
      <c r="J88" s="48"/>
      <c r="K88" s="35"/>
    </row>
    <row r="89" spans="1:11" x14ac:dyDescent="0.3">
      <c r="A89" s="41" t="s">
        <v>138</v>
      </c>
      <c r="B89" s="37">
        <f>SUM(B91:B103)</f>
        <v>998.65599999999995</v>
      </c>
      <c r="C89" s="38">
        <f t="shared" ref="C89:G89" si="12">SUM(C91:C103)</f>
        <v>3199.866</v>
      </c>
      <c r="D89" s="38">
        <f t="shared" si="12"/>
        <v>64.35799999999999</v>
      </c>
      <c r="E89" s="38">
        <f t="shared" si="12"/>
        <v>12.635</v>
      </c>
      <c r="F89" s="38">
        <f t="shared" si="12"/>
        <v>1072.5</v>
      </c>
      <c r="G89" s="39">
        <f t="shared" si="12"/>
        <v>112.819</v>
      </c>
      <c r="H89" s="55" t="s">
        <v>139</v>
      </c>
      <c r="I89" s="55"/>
      <c r="J89" s="55"/>
      <c r="K89" s="35"/>
    </row>
    <row r="90" spans="1:11" x14ac:dyDescent="0.3">
      <c r="A90" s="41"/>
      <c r="B90" s="37"/>
      <c r="C90" s="38"/>
      <c r="D90" s="38"/>
      <c r="E90" s="38"/>
      <c r="F90" s="38"/>
      <c r="G90" s="39"/>
      <c r="H90" s="55"/>
      <c r="I90" s="55"/>
      <c r="J90" s="55"/>
      <c r="K90" s="35"/>
    </row>
    <row r="91" spans="1:11" x14ac:dyDescent="0.3">
      <c r="A91" s="42" t="s">
        <v>140</v>
      </c>
      <c r="B91" s="43">
        <v>14.141999999999999</v>
      </c>
      <c r="C91" s="44">
        <v>24.818999999999999</v>
      </c>
      <c r="D91" s="45" t="s">
        <v>191</v>
      </c>
      <c r="E91" s="44" t="s">
        <v>191</v>
      </c>
      <c r="F91" s="45">
        <v>0.9</v>
      </c>
      <c r="G91" s="46">
        <v>2.11</v>
      </c>
      <c r="H91" s="47" t="s">
        <v>141</v>
      </c>
      <c r="I91" s="48"/>
      <c r="J91" s="48"/>
      <c r="K91" s="35"/>
    </row>
    <row r="92" spans="1:11" x14ac:dyDescent="0.3">
      <c r="A92" s="42" t="s">
        <v>142</v>
      </c>
      <c r="B92" s="43">
        <v>343.66</v>
      </c>
      <c r="C92" s="44">
        <v>200.08099999999999</v>
      </c>
      <c r="D92" s="45">
        <v>48.725000000000001</v>
      </c>
      <c r="E92" s="44">
        <v>5.2350000000000003</v>
      </c>
      <c r="F92" s="45">
        <v>6.8380000000000001</v>
      </c>
      <c r="G92" s="46" t="s">
        <v>191</v>
      </c>
      <c r="H92" s="47" t="s">
        <v>143</v>
      </c>
      <c r="I92" s="48"/>
      <c r="J92" s="48"/>
      <c r="K92" s="35"/>
    </row>
    <row r="93" spans="1:11" x14ac:dyDescent="0.3">
      <c r="A93" s="42" t="s">
        <v>144</v>
      </c>
      <c r="B93" s="43">
        <v>15.54</v>
      </c>
      <c r="C93" s="44">
        <v>88.74</v>
      </c>
      <c r="D93" s="45" t="s">
        <v>191</v>
      </c>
      <c r="E93" s="44" t="s">
        <v>191</v>
      </c>
      <c r="F93" s="45">
        <v>21.2</v>
      </c>
      <c r="G93" s="46" t="s">
        <v>191</v>
      </c>
      <c r="H93" s="47" t="s">
        <v>145</v>
      </c>
      <c r="I93" s="48"/>
      <c r="J93" s="48"/>
      <c r="K93" s="35"/>
    </row>
    <row r="94" spans="1:11" x14ac:dyDescent="0.3">
      <c r="A94" s="42" t="s">
        <v>146</v>
      </c>
      <c r="B94" s="43">
        <v>20</v>
      </c>
      <c r="C94" s="44">
        <v>136.4</v>
      </c>
      <c r="D94" s="45" t="s">
        <v>191</v>
      </c>
      <c r="E94" s="44">
        <v>4</v>
      </c>
      <c r="F94" s="45">
        <v>65</v>
      </c>
      <c r="G94" s="46" t="s">
        <v>191</v>
      </c>
      <c r="H94" s="47" t="s">
        <v>147</v>
      </c>
      <c r="I94" s="48"/>
      <c r="J94" s="48"/>
      <c r="K94" s="35"/>
    </row>
    <row r="95" spans="1:11" x14ac:dyDescent="0.3">
      <c r="A95" s="42" t="s">
        <v>148</v>
      </c>
      <c r="B95" s="43">
        <v>2</v>
      </c>
      <c r="C95" s="44">
        <v>1</v>
      </c>
      <c r="D95" s="45">
        <v>0.3</v>
      </c>
      <c r="E95" s="44">
        <v>0.1</v>
      </c>
      <c r="F95" s="45">
        <v>0.5</v>
      </c>
      <c r="G95" s="46">
        <v>0.05</v>
      </c>
      <c r="H95" s="47" t="s">
        <v>149</v>
      </c>
      <c r="I95" s="48"/>
      <c r="J95" s="48"/>
      <c r="K95" s="35"/>
    </row>
    <row r="96" spans="1:11" x14ac:dyDescent="0.3">
      <c r="A96" s="42" t="s">
        <v>150</v>
      </c>
      <c r="B96" s="43">
        <v>103.1</v>
      </c>
      <c r="C96" s="44">
        <v>23.945</v>
      </c>
      <c r="D96" s="45">
        <v>0.8</v>
      </c>
      <c r="E96" s="44" t="s">
        <v>191</v>
      </c>
      <c r="F96" s="45">
        <v>1.3</v>
      </c>
      <c r="G96" s="46" t="s">
        <v>191</v>
      </c>
      <c r="H96" s="47" t="s">
        <v>151</v>
      </c>
      <c r="I96" s="48"/>
      <c r="J96" s="48"/>
      <c r="K96" s="35"/>
    </row>
    <row r="97" spans="1:11" x14ac:dyDescent="0.3">
      <c r="A97" s="42" t="s">
        <v>152</v>
      </c>
      <c r="B97" s="43">
        <v>195.92</v>
      </c>
      <c r="C97" s="44">
        <v>10</v>
      </c>
      <c r="D97" s="45">
        <v>1.51</v>
      </c>
      <c r="E97" s="44">
        <v>2</v>
      </c>
      <c r="F97" s="45">
        <v>50.2</v>
      </c>
      <c r="G97" s="46" t="s">
        <v>191</v>
      </c>
      <c r="H97" s="47" t="s">
        <v>153</v>
      </c>
      <c r="I97" s="48"/>
      <c r="J97" s="48"/>
      <c r="K97" s="35"/>
    </row>
    <row r="98" spans="1:11" x14ac:dyDescent="0.3">
      <c r="A98" s="42" t="s">
        <v>154</v>
      </c>
      <c r="B98" s="43">
        <v>55.6</v>
      </c>
      <c r="C98" s="44">
        <v>97.65</v>
      </c>
      <c r="D98" s="45" t="s">
        <v>191</v>
      </c>
      <c r="E98" s="44" t="s">
        <v>191</v>
      </c>
      <c r="F98" s="45">
        <v>61.024999999999999</v>
      </c>
      <c r="G98" s="46" t="s">
        <v>191</v>
      </c>
      <c r="H98" s="47" t="s">
        <v>155</v>
      </c>
      <c r="I98" s="48"/>
      <c r="J98" s="48"/>
      <c r="K98" s="35"/>
    </row>
    <row r="99" spans="1:11" x14ac:dyDescent="0.3">
      <c r="A99" s="42" t="s">
        <v>156</v>
      </c>
      <c r="B99" s="43">
        <v>113</v>
      </c>
      <c r="C99" s="44">
        <v>27.3</v>
      </c>
      <c r="D99" s="45">
        <v>0.1</v>
      </c>
      <c r="E99" s="44" t="s">
        <v>191</v>
      </c>
      <c r="F99" s="45">
        <v>5.5</v>
      </c>
      <c r="G99" s="46" t="s">
        <v>191</v>
      </c>
      <c r="H99" s="47" t="s">
        <v>157</v>
      </c>
      <c r="I99" s="48"/>
      <c r="J99" s="48"/>
      <c r="K99" s="35"/>
    </row>
    <row r="100" spans="1:11" x14ac:dyDescent="0.3">
      <c r="A100" s="42" t="s">
        <v>158</v>
      </c>
      <c r="B100" s="43">
        <v>51.64</v>
      </c>
      <c r="C100" s="44">
        <v>2246.7800000000002</v>
      </c>
      <c r="D100" s="45">
        <v>8.6080000000000005</v>
      </c>
      <c r="E100" s="44" t="s">
        <v>191</v>
      </c>
      <c r="F100" s="45">
        <v>788.14200000000005</v>
      </c>
      <c r="G100" s="46">
        <v>109.459</v>
      </c>
      <c r="H100" s="47" t="s">
        <v>159</v>
      </c>
      <c r="I100" s="48"/>
      <c r="J100" s="48"/>
      <c r="K100" s="35"/>
    </row>
    <row r="101" spans="1:11" x14ac:dyDescent="0.3">
      <c r="A101" s="42" t="s">
        <v>160</v>
      </c>
      <c r="B101" s="43">
        <v>32.918999999999997</v>
      </c>
      <c r="C101" s="44">
        <v>147.20599999999999</v>
      </c>
      <c r="D101" s="45">
        <v>0.97</v>
      </c>
      <c r="E101" s="44" t="s">
        <v>191</v>
      </c>
      <c r="F101" s="45">
        <v>37.99</v>
      </c>
      <c r="G101" s="46" t="s">
        <v>191</v>
      </c>
      <c r="H101" s="47" t="s">
        <v>161</v>
      </c>
      <c r="I101" s="48"/>
      <c r="J101" s="48"/>
      <c r="K101" s="35"/>
    </row>
    <row r="102" spans="1:11" x14ac:dyDescent="0.3">
      <c r="A102" s="42" t="s">
        <v>162</v>
      </c>
      <c r="B102" s="43">
        <v>39.295000000000002</v>
      </c>
      <c r="C102" s="44">
        <v>41.555</v>
      </c>
      <c r="D102" s="45" t="s">
        <v>191</v>
      </c>
      <c r="E102" s="44" t="s">
        <v>191</v>
      </c>
      <c r="F102" s="45">
        <v>25.875</v>
      </c>
      <c r="G102" s="46" t="s">
        <v>191</v>
      </c>
      <c r="H102" s="47" t="s">
        <v>163</v>
      </c>
      <c r="I102" s="48"/>
      <c r="J102" s="48"/>
      <c r="K102" s="35"/>
    </row>
    <row r="103" spans="1:11" x14ac:dyDescent="0.3">
      <c r="A103" s="42" t="s">
        <v>164</v>
      </c>
      <c r="B103" s="43">
        <v>11.84</v>
      </c>
      <c r="C103" s="44">
        <v>154.38999999999999</v>
      </c>
      <c r="D103" s="45">
        <v>3.3450000000000002</v>
      </c>
      <c r="E103" s="44">
        <v>1.3</v>
      </c>
      <c r="F103" s="45">
        <v>8.0299999999999994</v>
      </c>
      <c r="G103" s="46">
        <v>1.2</v>
      </c>
      <c r="H103" s="47" t="s">
        <v>165</v>
      </c>
      <c r="I103" s="48"/>
      <c r="J103" s="48"/>
      <c r="K103" s="35"/>
    </row>
    <row r="104" spans="1:11" x14ac:dyDescent="0.3">
      <c r="A104" s="41" t="s">
        <v>166</v>
      </c>
      <c r="B104" s="37">
        <f>SUM(B106:B109)</f>
        <v>2384.6179999999999</v>
      </c>
      <c r="C104" s="38">
        <f t="shared" ref="C104:G104" si="13">SUM(C106:C109)</f>
        <v>8237.4030000000002</v>
      </c>
      <c r="D104" s="38">
        <f t="shared" si="13"/>
        <v>116.64699999999999</v>
      </c>
      <c r="E104" s="38">
        <f>SUM(E106:E109)</f>
        <v>35.012</v>
      </c>
      <c r="F104" s="38">
        <f t="shared" si="13"/>
        <v>4911.6279999999997</v>
      </c>
      <c r="G104" s="39">
        <f t="shared" si="13"/>
        <v>47.016000000000005</v>
      </c>
      <c r="H104" s="55" t="s">
        <v>167</v>
      </c>
      <c r="I104" s="55"/>
      <c r="J104" s="55"/>
      <c r="K104" s="35"/>
    </row>
    <row r="105" spans="1:11" x14ac:dyDescent="0.3">
      <c r="A105" s="41"/>
      <c r="B105" s="37"/>
      <c r="C105" s="38"/>
      <c r="D105" s="38"/>
      <c r="E105" s="38"/>
      <c r="F105" s="38"/>
      <c r="G105" s="39"/>
      <c r="H105" s="55"/>
      <c r="I105" s="55"/>
      <c r="J105" s="55"/>
      <c r="K105" s="35"/>
    </row>
    <row r="106" spans="1:11" x14ac:dyDescent="0.3">
      <c r="A106" s="42" t="s">
        <v>168</v>
      </c>
      <c r="B106" s="43">
        <v>624.04499999999996</v>
      </c>
      <c r="C106" s="44">
        <v>1954.6479999999999</v>
      </c>
      <c r="D106" s="45">
        <v>11.505000000000001</v>
      </c>
      <c r="E106" s="44">
        <v>5.13</v>
      </c>
      <c r="F106" s="45">
        <v>846.68799999999999</v>
      </c>
      <c r="G106" s="46">
        <v>30.72</v>
      </c>
      <c r="H106" s="47" t="s">
        <v>169</v>
      </c>
      <c r="I106" s="48"/>
      <c r="J106" s="48"/>
      <c r="K106" s="35"/>
    </row>
    <row r="107" spans="1:11" x14ac:dyDescent="0.3">
      <c r="A107" s="42" t="s">
        <v>170</v>
      </c>
      <c r="B107" s="43">
        <v>375.49</v>
      </c>
      <c r="C107" s="44">
        <v>744.93</v>
      </c>
      <c r="D107" s="45">
        <v>75.942999999999998</v>
      </c>
      <c r="E107" s="44">
        <v>18.577000000000002</v>
      </c>
      <c r="F107" s="45">
        <v>398.06</v>
      </c>
      <c r="G107" s="46">
        <v>9.2560000000000002</v>
      </c>
      <c r="H107" s="47" t="s">
        <v>171</v>
      </c>
      <c r="I107" s="48"/>
      <c r="J107" s="48"/>
      <c r="K107" s="35"/>
    </row>
    <row r="108" spans="1:11" x14ac:dyDescent="0.3">
      <c r="A108" s="42" t="s">
        <v>172</v>
      </c>
      <c r="B108" s="43">
        <v>876.70299999999997</v>
      </c>
      <c r="C108" s="44">
        <v>3800.72</v>
      </c>
      <c r="D108" s="45">
        <v>15.808999999999999</v>
      </c>
      <c r="E108" s="44">
        <v>2.7050000000000001</v>
      </c>
      <c r="F108" s="45">
        <v>2452.64</v>
      </c>
      <c r="G108" s="46">
        <v>6.59</v>
      </c>
      <c r="H108" s="47" t="s">
        <v>173</v>
      </c>
      <c r="I108" s="48"/>
      <c r="J108" s="48"/>
      <c r="K108" s="35"/>
    </row>
    <row r="109" spans="1:11" ht="15.65" thickBot="1" x14ac:dyDescent="0.35">
      <c r="A109" s="65" t="s">
        <v>174</v>
      </c>
      <c r="B109" s="66">
        <v>508.38</v>
      </c>
      <c r="C109" s="67">
        <v>1737.105</v>
      </c>
      <c r="D109" s="68">
        <v>13.39</v>
      </c>
      <c r="E109" s="67">
        <v>8.6</v>
      </c>
      <c r="F109" s="68">
        <v>1214.24</v>
      </c>
      <c r="G109" s="69">
        <v>0.45</v>
      </c>
      <c r="H109" s="70" t="s">
        <v>175</v>
      </c>
      <c r="I109" s="71"/>
      <c r="J109" s="71"/>
      <c r="K109" s="35"/>
    </row>
  </sheetData>
  <mergeCells count="118">
    <mergeCell ref="G89:G90"/>
    <mergeCell ref="A104:A105"/>
    <mergeCell ref="B104:B105"/>
    <mergeCell ref="C104:C105"/>
    <mergeCell ref="D104:D105"/>
    <mergeCell ref="E104:E105"/>
    <mergeCell ref="G104:G105"/>
    <mergeCell ref="F104:F105"/>
    <mergeCell ref="H104:J105"/>
    <mergeCell ref="H89:J90"/>
    <mergeCell ref="F89:F90"/>
    <mergeCell ref="A82:A83"/>
    <mergeCell ref="B82:B83"/>
    <mergeCell ref="C82:C83"/>
    <mergeCell ref="D82:D83"/>
    <mergeCell ref="E82:E83"/>
    <mergeCell ref="A89:A90"/>
    <mergeCell ref="B89:B90"/>
    <mergeCell ref="C89:C90"/>
    <mergeCell ref="D89:D90"/>
    <mergeCell ref="E89:E90"/>
    <mergeCell ref="F72:F73"/>
    <mergeCell ref="A65:A66"/>
    <mergeCell ref="B65:B66"/>
    <mergeCell ref="C65:C66"/>
    <mergeCell ref="D65:D66"/>
    <mergeCell ref="E65:E66"/>
    <mergeCell ref="G82:G83"/>
    <mergeCell ref="H65:J66"/>
    <mergeCell ref="A72:A73"/>
    <mergeCell ref="B72:B73"/>
    <mergeCell ref="C72:C73"/>
    <mergeCell ref="D72:D73"/>
    <mergeCell ref="E72:E73"/>
    <mergeCell ref="G72:G73"/>
    <mergeCell ref="H72:J73"/>
    <mergeCell ref="F65:F66"/>
    <mergeCell ref="F82:F83"/>
    <mergeCell ref="H82:J83"/>
    <mergeCell ref="F60:F61"/>
    <mergeCell ref="A53:A54"/>
    <mergeCell ref="B53:B54"/>
    <mergeCell ref="C53:C54"/>
    <mergeCell ref="D53:D54"/>
    <mergeCell ref="E53:E54"/>
    <mergeCell ref="G65:G66"/>
    <mergeCell ref="H53:J54"/>
    <mergeCell ref="A60:A61"/>
    <mergeCell ref="B60:B61"/>
    <mergeCell ref="C60:C61"/>
    <mergeCell ref="D60:D61"/>
    <mergeCell ref="E60:E61"/>
    <mergeCell ref="G60:G61"/>
    <mergeCell ref="H60:J61"/>
    <mergeCell ref="F53:F54"/>
    <mergeCell ref="F46:F47"/>
    <mergeCell ref="A39:A40"/>
    <mergeCell ref="B39:B40"/>
    <mergeCell ref="C39:C40"/>
    <mergeCell ref="D39:D40"/>
    <mergeCell ref="E39:E40"/>
    <mergeCell ref="G53:G54"/>
    <mergeCell ref="H39:J40"/>
    <mergeCell ref="A46:A47"/>
    <mergeCell ref="B46:B47"/>
    <mergeCell ref="C46:C47"/>
    <mergeCell ref="D46:D47"/>
    <mergeCell ref="E46:E47"/>
    <mergeCell ref="G46:G47"/>
    <mergeCell ref="H46:J47"/>
    <mergeCell ref="F39:F40"/>
    <mergeCell ref="F33:F34"/>
    <mergeCell ref="A19:A20"/>
    <mergeCell ref="B19:B20"/>
    <mergeCell ref="C19:C20"/>
    <mergeCell ref="D19:D20"/>
    <mergeCell ref="E19:E20"/>
    <mergeCell ref="G39:G40"/>
    <mergeCell ref="H19:J20"/>
    <mergeCell ref="A33:A34"/>
    <mergeCell ref="B33:B34"/>
    <mergeCell ref="C33:C34"/>
    <mergeCell ref="D33:D34"/>
    <mergeCell ref="E33:E34"/>
    <mergeCell ref="G33:G34"/>
    <mergeCell ref="H33:J34"/>
    <mergeCell ref="F19:F20"/>
    <mergeCell ref="G19:G20"/>
    <mergeCell ref="A1:J1"/>
    <mergeCell ref="A2:J2"/>
    <mergeCell ref="A3:J3"/>
    <mergeCell ref="I4:J4"/>
    <mergeCell ref="A5:A8"/>
    <mergeCell ref="H9:J10"/>
    <mergeCell ref="A11:A12"/>
    <mergeCell ref="G9:G10"/>
    <mergeCell ref="A9:A10"/>
    <mergeCell ref="B7:B8"/>
    <mergeCell ref="B5:C6"/>
    <mergeCell ref="D5:E6"/>
    <mergeCell ref="G5:G8"/>
    <mergeCell ref="F5:F8"/>
    <mergeCell ref="F9:F10"/>
    <mergeCell ref="F11:F12"/>
    <mergeCell ref="H5:J8"/>
    <mergeCell ref="C7:C8"/>
    <mergeCell ref="D7:D8"/>
    <mergeCell ref="E7:E8"/>
    <mergeCell ref="B11:B12"/>
    <mergeCell ref="C11:C12"/>
    <mergeCell ref="B9:B10"/>
    <mergeCell ref="C9:C10"/>
    <mergeCell ref="G11:G12"/>
    <mergeCell ref="H11:J12"/>
    <mergeCell ref="D11:D12"/>
    <mergeCell ref="E11:E12"/>
    <mergeCell ref="D9:D10"/>
    <mergeCell ref="E9:E10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2015-05-19T06:41:56Z</cp:lastPrinted>
  <dcterms:created xsi:type="dcterms:W3CDTF">2015-05-19T06:01:39Z</dcterms:created>
  <dcterms:modified xsi:type="dcterms:W3CDTF">2020-12-17T05:59:29Z</dcterms:modified>
</cp:coreProperties>
</file>