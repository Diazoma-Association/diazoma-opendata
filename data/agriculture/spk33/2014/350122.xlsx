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440" yWindow="401" windowWidth="15076" windowHeight="8903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I103" i="1"/>
  <c r="I88"/>
  <c r="I8" s="1"/>
  <c r="C18"/>
  <c r="E18"/>
  <c r="F18"/>
  <c r="F8" s="1"/>
  <c r="G18"/>
  <c r="H18"/>
  <c r="I18"/>
  <c r="J18"/>
  <c r="K18"/>
  <c r="L18"/>
  <c r="M18"/>
  <c r="N18"/>
  <c r="O18"/>
  <c r="P18"/>
  <c r="Q18"/>
  <c r="R18"/>
  <c r="S18"/>
  <c r="T18"/>
  <c r="U18"/>
  <c r="V18"/>
  <c r="W18"/>
  <c r="X18"/>
  <c r="Y18"/>
  <c r="Z18"/>
  <c r="AA18"/>
  <c r="D18"/>
  <c r="G8"/>
  <c r="B8"/>
  <c r="B18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W27"/>
  <c r="X27"/>
  <c r="Y27"/>
  <c r="Z27"/>
  <c r="AA27"/>
  <c r="B27"/>
  <c r="AA103"/>
  <c r="Z103"/>
  <c r="AA88"/>
  <c r="Z88"/>
  <c r="AA81"/>
  <c r="Z81"/>
  <c r="AA71"/>
  <c r="Z71"/>
  <c r="AA64"/>
  <c r="Z64"/>
  <c r="AA59"/>
  <c r="Z59"/>
  <c r="AA52"/>
  <c r="Z52"/>
  <c r="AA45"/>
  <c r="Z45"/>
  <c r="AA38"/>
  <c r="Z38"/>
  <c r="AA32"/>
  <c r="Z32"/>
  <c r="AA10"/>
  <c r="Z10"/>
  <c r="Y103"/>
  <c r="X103"/>
  <c r="Y88"/>
  <c r="X88"/>
  <c r="Y81"/>
  <c r="X81"/>
  <c r="Y71"/>
  <c r="X71"/>
  <c r="Y64"/>
  <c r="X64"/>
  <c r="Y59"/>
  <c r="X59"/>
  <c r="Y52"/>
  <c r="X52"/>
  <c r="Y45"/>
  <c r="X45"/>
  <c r="Y38"/>
  <c r="X38"/>
  <c r="Y32"/>
  <c r="X32"/>
  <c r="Y10"/>
  <c r="X10"/>
  <c r="W103"/>
  <c r="V103"/>
  <c r="W88"/>
  <c r="V88"/>
  <c r="W81"/>
  <c r="V81"/>
  <c r="W71"/>
  <c r="V71"/>
  <c r="W64"/>
  <c r="V64"/>
  <c r="W59"/>
  <c r="V59"/>
  <c r="W52"/>
  <c r="V52"/>
  <c r="W45"/>
  <c r="V45"/>
  <c r="W38"/>
  <c r="V38"/>
  <c r="W32"/>
  <c r="V32"/>
  <c r="W10"/>
  <c r="V10"/>
  <c r="U103"/>
  <c r="T103"/>
  <c r="U88"/>
  <c r="T88"/>
  <c r="U81"/>
  <c r="T81"/>
  <c r="U71"/>
  <c r="T71"/>
  <c r="U64"/>
  <c r="T64"/>
  <c r="U59"/>
  <c r="T59"/>
  <c r="U52"/>
  <c r="T52"/>
  <c r="U45"/>
  <c r="T45"/>
  <c r="U38"/>
  <c r="T38"/>
  <c r="U32"/>
  <c r="T32"/>
  <c r="U10"/>
  <c r="T10"/>
  <c r="S103"/>
  <c r="R103"/>
  <c r="S88"/>
  <c r="R88"/>
  <c r="S81"/>
  <c r="R81"/>
  <c r="S71"/>
  <c r="R71"/>
  <c r="S64"/>
  <c r="R64"/>
  <c r="S59"/>
  <c r="R59"/>
  <c r="S52"/>
  <c r="R52"/>
  <c r="S45"/>
  <c r="R45"/>
  <c r="S38"/>
  <c r="R38"/>
  <c r="S32"/>
  <c r="R32"/>
  <c r="S10"/>
  <c r="R10"/>
  <c r="Q103"/>
  <c r="P103"/>
  <c r="Q88"/>
  <c r="P88"/>
  <c r="Q81"/>
  <c r="P81"/>
  <c r="Q71"/>
  <c r="P71"/>
  <c r="Q64"/>
  <c r="P64"/>
  <c r="Q59"/>
  <c r="P59"/>
  <c r="Q52"/>
  <c r="P52"/>
  <c r="Q45"/>
  <c r="P45"/>
  <c r="Q38"/>
  <c r="P38"/>
  <c r="Q32"/>
  <c r="P32"/>
  <c r="Q10"/>
  <c r="P10"/>
  <c r="O103"/>
  <c r="N103"/>
  <c r="O88"/>
  <c r="N88"/>
  <c r="O81"/>
  <c r="N81"/>
  <c r="O71"/>
  <c r="N71"/>
  <c r="O64"/>
  <c r="N64"/>
  <c r="O59"/>
  <c r="N59"/>
  <c r="O52"/>
  <c r="N52"/>
  <c r="O45"/>
  <c r="N45"/>
  <c r="O38"/>
  <c r="N38"/>
  <c r="O32"/>
  <c r="N32"/>
  <c r="O10"/>
  <c r="N10"/>
  <c r="G103"/>
  <c r="E103"/>
  <c r="F103"/>
  <c r="H103"/>
  <c r="J103"/>
  <c r="K103"/>
  <c r="L103"/>
  <c r="M103"/>
  <c r="B103"/>
  <c r="C103"/>
  <c r="E88"/>
  <c r="F88"/>
  <c r="G88"/>
  <c r="H88"/>
  <c r="J88"/>
  <c r="K88"/>
  <c r="L88"/>
  <c r="M88"/>
  <c r="B88"/>
  <c r="C88"/>
  <c r="F81"/>
  <c r="G81"/>
  <c r="H81"/>
  <c r="I81"/>
  <c r="J81"/>
  <c r="K81"/>
  <c r="L81"/>
  <c r="M81"/>
  <c r="B81"/>
  <c r="C81"/>
  <c r="D81"/>
  <c r="E81"/>
  <c r="H71"/>
  <c r="I71"/>
  <c r="J71"/>
  <c r="K71"/>
  <c r="L71"/>
  <c r="M71"/>
  <c r="B71"/>
  <c r="C71"/>
  <c r="D71"/>
  <c r="E71"/>
  <c r="F71"/>
  <c r="G71"/>
  <c r="E64"/>
  <c r="F64"/>
  <c r="G64"/>
  <c r="H64"/>
  <c r="I64"/>
  <c r="J64"/>
  <c r="K64"/>
  <c r="L64"/>
  <c r="M64"/>
  <c r="B64"/>
  <c r="C64"/>
  <c r="F59"/>
  <c r="G59"/>
  <c r="H59"/>
  <c r="I59"/>
  <c r="J59"/>
  <c r="K59"/>
  <c r="L59"/>
  <c r="M59"/>
  <c r="B59"/>
  <c r="C59"/>
  <c r="D59"/>
  <c r="F52"/>
  <c r="G52"/>
  <c r="H52"/>
  <c r="I52"/>
  <c r="J52"/>
  <c r="K52"/>
  <c r="L52"/>
  <c r="M52"/>
  <c r="B52"/>
  <c r="C52"/>
  <c r="D52"/>
  <c r="E52"/>
  <c r="F45"/>
  <c r="G45"/>
  <c r="H45"/>
  <c r="I45"/>
  <c r="J45"/>
  <c r="K45"/>
  <c r="L45"/>
  <c r="M45"/>
  <c r="B45"/>
  <c r="C45"/>
  <c r="D45"/>
  <c r="F10"/>
  <c r="G10"/>
  <c r="H10"/>
  <c r="I10"/>
  <c r="J10"/>
  <c r="K10"/>
  <c r="L10"/>
  <c r="M10"/>
  <c r="B10"/>
  <c r="C10"/>
  <c r="D10"/>
  <c r="E10"/>
  <c r="D32"/>
  <c r="E32"/>
  <c r="F32"/>
  <c r="G32"/>
  <c r="H32"/>
  <c r="I32"/>
  <c r="J32"/>
  <c r="K32"/>
  <c r="L32"/>
  <c r="M32"/>
  <c r="B32"/>
  <c r="C32"/>
  <c r="D38"/>
  <c r="E38"/>
  <c r="F38"/>
  <c r="G38"/>
  <c r="H38"/>
  <c r="I38"/>
  <c r="J38"/>
  <c r="K38"/>
  <c r="L38"/>
  <c r="M38"/>
  <c r="C38"/>
  <c r="D103"/>
  <c r="D88"/>
  <c r="D64"/>
  <c r="E59"/>
  <c r="E45"/>
  <c r="B38"/>
  <c r="AA8" l="1"/>
  <c r="Y8"/>
  <c r="W8"/>
  <c r="U8"/>
  <c r="S8"/>
  <c r="Q8"/>
  <c r="O8"/>
  <c r="M8"/>
  <c r="K8"/>
  <c r="E8"/>
  <c r="C8"/>
  <c r="Z8"/>
  <c r="X8"/>
  <c r="V8"/>
  <c r="T8"/>
  <c r="R8"/>
  <c r="P8"/>
  <c r="N8"/>
  <c r="L8"/>
  <c r="J8"/>
  <c r="H8"/>
  <c r="D8"/>
</calcChain>
</file>

<file path=xl/sharedStrings.xml><?xml version="1.0" encoding="utf-8"?>
<sst xmlns="http://schemas.openxmlformats.org/spreadsheetml/2006/main" count="721" uniqueCount="200">
  <si>
    <t>Σε τόννους</t>
  </si>
  <si>
    <t>In tons</t>
  </si>
  <si>
    <t xml:space="preserve">Περιφέρειες και Περιφερειακές Ενότητες      </t>
  </si>
  <si>
    <t>Μοσχάρια κάτω του έτους                                    Calves less than 1 year</t>
  </si>
  <si>
    <t>Μοσχάρια 1 -2 ετών                                                 Calves 1 - 2 year</t>
  </si>
  <si>
    <t>Βουβαλίδια                                                          Buffaloes (less than 1 year</t>
  </si>
  <si>
    <t>Αρνιά                                                                Lambs</t>
  </si>
  <si>
    <t>Κατσίκια                                                                  Goat kids</t>
  </si>
  <si>
    <t>Χοιρίδια                                                                 Piglets</t>
  </si>
  <si>
    <t>Regions and Regional Unities (NUTS 2)</t>
  </si>
  <si>
    <t>Αριθμός Κεφαλών Heads</t>
  </si>
  <si>
    <t>Βάρος Weight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</si>
  <si>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</si>
  <si>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</si>
  <si>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</si>
  <si>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</si>
  <si>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</si>
  <si>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</si>
  <si>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</si>
  <si>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</si>
  <si>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</si>
  <si>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</si>
  <si>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</si>
  <si>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</si>
  <si>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</si>
  <si>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</si>
  <si>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</si>
  <si>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</si>
  <si>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</si>
  <si>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</si>
  <si>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</si>
  <si>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</si>
  <si>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</si>
  <si>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</si>
  <si>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</si>
  <si>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</si>
  <si>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</si>
  <si>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</si>
  <si>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</si>
  <si>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</si>
  <si>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</si>
  <si>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</si>
  <si>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</si>
  <si>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</si>
  <si>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</si>
  <si>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</si>
  <si>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</si>
  <si>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</si>
  <si>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</si>
  <si>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</si>
  <si>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</si>
  <si>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</si>
  <si>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</si>
  <si>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</si>
  <si>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</si>
  <si>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</si>
  <si>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</si>
  <si>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</si>
  <si>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</si>
  <si>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</si>
  <si>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</si>
  <si>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</si>
  <si>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</si>
  <si>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</si>
  <si>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</si>
  <si>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</si>
  <si>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</si>
  <si>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</si>
  <si>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</si>
  <si>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</si>
  <si>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</si>
  <si>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</si>
  <si>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</si>
  <si>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</si>
  <si>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</si>
  <si>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</si>
  <si>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</si>
  <si>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</si>
  <si>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</si>
  <si>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</si>
  <si>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</si>
  <si>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</si>
  <si>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</si>
  <si>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</si>
  <si>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</si>
  <si>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</si>
  <si>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</si>
  <si>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</si>
  <si>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</si>
  <si>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</si>
  <si>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</si>
  <si>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</si>
  <si>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</si>
  <si>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</si>
  <si>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</si>
  <si>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</si>
  <si>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</si>
  <si>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</si>
  <si>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</si>
  <si>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</si>
  <si>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</si>
  <si>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</si>
  <si>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</si>
  <si>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</si>
  <si>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</si>
  <si>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</si>
  <si>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</si>
  <si>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</si>
  <si>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</si>
  <si>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</si>
  <si>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</si>
  <si>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</si>
  <si>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</si>
  <si>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</si>
  <si>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</si>
  <si>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</si>
  <si>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</si>
  <si>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</si>
  <si>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</si>
  <si>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</si>
  <si>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</si>
  <si>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</si>
  <si>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</si>
  <si>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</si>
  <si>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</si>
  <si>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</si>
  <si>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</si>
  <si>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</si>
  <si>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</si>
  <si>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</si>
  <si>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</si>
  <si>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</si>
  <si>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</si>
  <si>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</si>
  <si>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</si>
  <si>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</si>
  <si>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</si>
  <si>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</si>
  <si>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</si>
  <si>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</si>
  <si>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</si>
  <si>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</si>
  <si>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</si>
  <si>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</si>
  <si>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</si>
  <si>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</si>
  <si>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</si>
  <si>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</si>
  <si>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</si>
  <si>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</si>
  <si>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</si>
  <si>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</si>
  <si>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</si>
  <si>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</si>
  <si>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</si>
  <si>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</si>
  <si>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</si>
  <si>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</si>
  <si>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</si>
  <si>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</si>
  <si>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</si>
  <si>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</si>
  <si>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</si>
  <si>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</si>
  <si>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</si>
  <si>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</si>
  <si>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</si>
  <si>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</si>
  <si>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</si>
  <si>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</si>
  <si>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</si>
  <si>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</si>
  <si>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</si>
  <si>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</si>
  <si>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</si>
  <si>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</si>
  <si>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</si>
  <si>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</si>
  <si>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</si>
  <si>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</si>
  <si>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</si>
  <si>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</si>
  <si>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</si>
  <si>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</si>
  <si>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</si>
  <si>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</si>
  <si>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—</t>
  </si>
  <si>
    <t>Πίνακας 7b2. Παραγωγή κρέατος (αναλυτικά) κατά είδος σφάγιου, περιφέρεια και περιφερειακή ενότητα: 2014</t>
  </si>
  <si>
    <t>Σφαγέντα ζώα           Slaughtered animals</t>
  </si>
  <si>
    <t>…</t>
  </si>
  <si>
    <t>Δαμάλια και βόδια                                                   Heifers and oxen</t>
  </si>
  <si>
    <t>Σφαγέντα ζώα          Slaughtered animals</t>
  </si>
  <si>
    <t>Βουβάλια και βουβαλοδαμάλια                         Buffaloes (1 year and over)</t>
  </si>
  <si>
    <t>Ζυγούρια και πρόβατα                                             Sheep (1 year and over)</t>
  </si>
  <si>
    <t>Βιτούλια και αίγες                                                     Goats (1 year and over)</t>
  </si>
  <si>
    <t>Χοίροι                                                                        Pigs</t>
  </si>
  <si>
    <t>Πουλερικά                                                              Poultry</t>
  </si>
  <si>
    <t>Κουνέλια                                                               Rabbits</t>
  </si>
  <si>
    <t>Περιφέρεια Δυτικής Μακεδονίας</t>
  </si>
  <si>
    <t>region of Western Makedonia</t>
  </si>
</sst>
</file>

<file path=xl/styles.xml><?xml version="1.0" encoding="utf-8"?>
<styleSheet xmlns="http://schemas.openxmlformats.org/spreadsheetml/2006/main">
  <numFmts count="1">
    <numFmt numFmtId="164" formatCode="#0"/>
  </numFmts>
  <fonts count="17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7"/>
      <name val="Tahoma"/>
      <family val="2"/>
      <charset val="161"/>
    </font>
    <font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name val="Calibri"/>
      <family val="2"/>
      <charset val="161"/>
    </font>
    <font>
      <b/>
      <sz val="8"/>
      <name val="Calibri"/>
      <family val="2"/>
      <charset val="161"/>
    </font>
    <font>
      <b/>
      <sz val="9"/>
      <name val="Arial"/>
      <family val="2"/>
      <charset val="161"/>
    </font>
    <font>
      <sz val="9"/>
      <name val="Calibri"/>
      <family val="2"/>
      <charset val="161"/>
    </font>
    <font>
      <sz val="9"/>
      <name val="Arial"/>
      <family val="2"/>
      <charset val="161"/>
    </font>
    <font>
      <b/>
      <sz val="9"/>
      <name val="Calibri"/>
      <family val="2"/>
      <charset val="161"/>
    </font>
    <font>
      <sz val="7"/>
      <name val="Arial"/>
      <family val="2"/>
      <charset val="161"/>
    </font>
    <font>
      <sz val="9"/>
      <name val="Tahoma"/>
      <family val="2"/>
      <charset val="161"/>
    </font>
    <font>
      <sz val="8"/>
      <name val="Tahoma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4" fillId="0" borderId="0" xfId="0" applyFont="1"/>
    <xf numFmtId="0" fontId="1" fillId="0" borderId="0" xfId="0" applyNumberFormat="1" applyFont="1" applyFill="1" applyBorder="1" applyAlignment="1" applyProtection="1">
      <alignment vertical="center" wrapText="1"/>
    </xf>
    <xf numFmtId="0" fontId="2" fillId="0" borderId="1" xfId="0" applyNumberFormat="1" applyFont="1" applyFill="1" applyBorder="1" applyAlignment="1" applyProtection="1">
      <alignment horizontal="left"/>
    </xf>
    <xf numFmtId="0" fontId="4" fillId="0" borderId="0" xfId="0" applyFont="1" applyAlignment="1">
      <alignment horizontal="right"/>
    </xf>
    <xf numFmtId="49" fontId="2" fillId="0" borderId="0" xfId="0" applyNumberFormat="1" applyFont="1" applyFill="1" applyBorder="1" applyAlignment="1" applyProtection="1">
      <alignment horizontal="left" wrapText="1" indent="2"/>
    </xf>
    <xf numFmtId="3" fontId="2" fillId="0" borderId="2" xfId="0" quotePrefix="1" applyNumberFormat="1" applyFont="1" applyFill="1" applyBorder="1" applyAlignment="1" applyProtection="1">
      <alignment horizontal="right"/>
    </xf>
    <xf numFmtId="0" fontId="4" fillId="0" borderId="0" xfId="0" applyFont="1" applyBorder="1" applyAlignment="1">
      <alignment horizontal="left" indent="2"/>
    </xf>
    <xf numFmtId="0" fontId="4" fillId="0" borderId="0" xfId="0" applyFont="1" applyBorder="1" applyAlignment="1">
      <alignment horizontal="left"/>
    </xf>
    <xf numFmtId="49" fontId="5" fillId="0" borderId="0" xfId="0" applyNumberFormat="1" applyFont="1" applyBorder="1" applyAlignment="1" applyProtection="1">
      <alignment horizontal="left" vertical="center" wrapText="1" indent="2"/>
      <protection locked="0"/>
    </xf>
    <xf numFmtId="49" fontId="2" fillId="0" borderId="1" xfId="0" applyNumberFormat="1" applyFont="1" applyFill="1" applyBorder="1" applyAlignment="1" applyProtection="1">
      <alignment horizontal="left" wrapText="1" indent="2"/>
    </xf>
    <xf numFmtId="0" fontId="4" fillId="0" borderId="1" xfId="0" applyFont="1" applyBorder="1" applyAlignment="1">
      <alignment horizontal="left" indent="2"/>
    </xf>
    <xf numFmtId="0" fontId="4" fillId="0" borderId="1" xfId="0" applyFont="1" applyBorder="1" applyAlignment="1">
      <alignment horizontal="left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3" fontId="2" fillId="0" borderId="2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3" fontId="3" fillId="2" borderId="2" xfId="0" applyNumberFormat="1" applyFont="1" applyFill="1" applyBorder="1" applyAlignment="1">
      <alignment horizontal="right" vertical="top" wrapText="1"/>
    </xf>
    <xf numFmtId="0" fontId="7" fillId="0" borderId="0" xfId="0" applyFont="1"/>
    <xf numFmtId="49" fontId="1" fillId="0" borderId="0" xfId="0" applyNumberFormat="1" applyFont="1" applyFill="1" applyBorder="1" applyAlignment="1" applyProtection="1">
      <alignment horizontal="left" wrapText="1" indent="2"/>
    </xf>
    <xf numFmtId="0" fontId="6" fillId="0" borderId="0" xfId="0" applyFont="1" applyBorder="1" applyAlignment="1">
      <alignment horizontal="left" indent="2"/>
    </xf>
    <xf numFmtId="164" fontId="9" fillId="0" borderId="2" xfId="0" applyNumberFormat="1" applyFont="1" applyBorder="1" applyAlignment="1">
      <alignment horizontal="right" vertical="top" wrapText="1"/>
    </xf>
    <xf numFmtId="164" fontId="11" fillId="0" borderId="2" xfId="0" applyNumberFormat="1" applyFont="1" applyBorder="1" applyAlignment="1">
      <alignment horizontal="right" vertical="top" wrapText="1"/>
    </xf>
    <xf numFmtId="3" fontId="12" fillId="0" borderId="2" xfId="0" quotePrefix="1" applyNumberFormat="1" applyFont="1" applyFill="1" applyBorder="1" applyAlignment="1" applyProtection="1">
      <alignment horizontal="right"/>
    </xf>
    <xf numFmtId="164" fontId="13" fillId="0" borderId="2" xfId="0" applyNumberFormat="1" applyFont="1" applyBorder="1" applyAlignment="1">
      <alignment horizontal="right" vertical="top" wrapText="1"/>
    </xf>
    <xf numFmtId="3" fontId="12" fillId="0" borderId="2" xfId="0" applyNumberFormat="1" applyFont="1" applyFill="1" applyBorder="1" applyAlignment="1" applyProtection="1">
      <alignment horizontal="right"/>
    </xf>
    <xf numFmtId="3" fontId="12" fillId="2" borderId="2" xfId="0" applyNumberFormat="1" applyFont="1" applyFill="1" applyBorder="1" applyAlignment="1">
      <alignment horizontal="right" vertical="top" wrapText="1"/>
    </xf>
    <xf numFmtId="164" fontId="11" fillId="0" borderId="5" xfId="0" applyNumberFormat="1" applyFont="1" applyBorder="1" applyAlignment="1">
      <alignment horizontal="right" vertical="top" wrapText="1"/>
    </xf>
    <xf numFmtId="3" fontId="11" fillId="0" borderId="2" xfId="0" applyNumberFormat="1" applyFont="1" applyBorder="1" applyAlignment="1">
      <alignment horizontal="right" vertical="top" wrapText="1"/>
    </xf>
    <xf numFmtId="3" fontId="13" fillId="0" borderId="2" xfId="0" applyNumberFormat="1" applyFont="1" applyBorder="1" applyAlignment="1">
      <alignment horizontal="right" vertical="top" wrapText="1"/>
    </xf>
    <xf numFmtId="3" fontId="11" fillId="0" borderId="5" xfId="0" applyNumberFormat="1" applyFont="1" applyBorder="1" applyAlignment="1">
      <alignment horizontal="right" vertical="top" wrapText="1"/>
    </xf>
    <xf numFmtId="3" fontId="12" fillId="0" borderId="2" xfId="0" applyNumberFormat="1" applyFont="1" applyBorder="1" applyAlignment="1">
      <alignment horizontal="right" vertical="top" wrapText="1"/>
    </xf>
    <xf numFmtId="3" fontId="12" fillId="2" borderId="5" xfId="0" applyNumberFormat="1" applyFont="1" applyFill="1" applyBorder="1" applyAlignment="1">
      <alignment horizontal="right" vertical="top" wrapText="1"/>
    </xf>
    <xf numFmtId="3" fontId="8" fillId="0" borderId="2" xfId="0" applyNumberFormat="1" applyFont="1" applyBorder="1" applyAlignment="1">
      <alignment horizontal="right" vertical="top" wrapText="1"/>
    </xf>
    <xf numFmtId="3" fontId="8" fillId="0" borderId="5" xfId="0" applyNumberFormat="1" applyFont="1" applyBorder="1" applyAlignment="1">
      <alignment horizontal="right" vertical="top" wrapText="1"/>
    </xf>
    <xf numFmtId="3" fontId="12" fillId="0" borderId="5" xfId="0" quotePrefix="1" applyNumberFormat="1" applyFont="1" applyFill="1" applyBorder="1" applyAlignment="1" applyProtection="1">
      <alignment horizontal="right"/>
    </xf>
    <xf numFmtId="3" fontId="14" fillId="2" borderId="2" xfId="0" applyNumberFormat="1" applyFont="1" applyFill="1" applyBorder="1" applyAlignment="1">
      <alignment horizontal="right" vertical="top" wrapText="1"/>
    </xf>
    <xf numFmtId="3" fontId="12" fillId="0" borderId="5" xfId="0" applyNumberFormat="1" applyFont="1" applyBorder="1" applyAlignment="1">
      <alignment horizontal="right" vertical="top" wrapText="1"/>
    </xf>
    <xf numFmtId="164" fontId="11" fillId="0" borderId="21" xfId="0" applyNumberFormat="1" applyFont="1" applyBorder="1" applyAlignment="1">
      <alignment horizontal="right" vertical="top" wrapText="1"/>
    </xf>
    <xf numFmtId="164" fontId="11" fillId="0" borderId="15" xfId="0" applyNumberFormat="1" applyFont="1" applyBorder="1" applyAlignment="1">
      <alignment horizontal="right" vertical="top" wrapText="1"/>
    </xf>
    <xf numFmtId="3" fontId="11" fillId="0" borderId="23" xfId="0" applyNumberFormat="1" applyFont="1" applyBorder="1" applyAlignment="1">
      <alignment horizontal="right" vertical="top" wrapText="1"/>
    </xf>
    <xf numFmtId="3" fontId="11" fillId="0" borderId="16" xfId="0" applyNumberFormat="1" applyFont="1" applyBorder="1" applyAlignment="1">
      <alignment horizontal="right" vertical="top" wrapText="1"/>
    </xf>
    <xf numFmtId="164" fontId="13" fillId="0" borderId="21" xfId="0" applyNumberFormat="1" applyFont="1" applyBorder="1" applyAlignment="1">
      <alignment horizontal="right" vertical="top" wrapText="1"/>
    </xf>
    <xf numFmtId="3" fontId="12" fillId="2" borderId="21" xfId="0" applyNumberFormat="1" applyFont="1" applyFill="1" applyBorder="1" applyAlignment="1">
      <alignment horizontal="right" vertical="top" wrapText="1"/>
    </xf>
    <xf numFmtId="3" fontId="12" fillId="0" borderId="21" xfId="0" quotePrefix="1" applyNumberFormat="1" applyFont="1" applyFill="1" applyBorder="1" applyAlignment="1" applyProtection="1">
      <alignment horizontal="right"/>
    </xf>
    <xf numFmtId="164" fontId="13" fillId="0" borderId="23" xfId="0" applyNumberFormat="1" applyFont="1" applyBorder="1" applyAlignment="1">
      <alignment horizontal="right" vertical="top" wrapText="1"/>
    </xf>
    <xf numFmtId="3" fontId="12" fillId="2" borderId="23" xfId="0" applyNumberFormat="1" applyFont="1" applyFill="1" applyBorder="1" applyAlignment="1">
      <alignment horizontal="right" vertical="top" wrapText="1"/>
    </xf>
    <xf numFmtId="3" fontId="12" fillId="0" borderId="23" xfId="0" quotePrefix="1" applyNumberFormat="1" applyFont="1" applyFill="1" applyBorder="1" applyAlignment="1" applyProtection="1">
      <alignment horizontal="right"/>
    </xf>
    <xf numFmtId="0" fontId="10" fillId="0" borderId="0" xfId="0" applyNumberFormat="1" applyFont="1" applyFill="1" applyBorder="1" applyAlignment="1" applyProtection="1">
      <alignment vertical="center" wrapText="1"/>
    </xf>
    <xf numFmtId="3" fontId="10" fillId="0" borderId="2" xfId="0" applyNumberFormat="1" applyFont="1" applyBorder="1" applyAlignment="1">
      <alignment horizontal="right" vertical="center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0" borderId="14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 wrapText="1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3" fontId="10" fillId="0" borderId="7" xfId="0" applyNumberFormat="1" applyFont="1" applyBorder="1" applyAlignment="1">
      <alignment horizontal="right" vertical="center"/>
    </xf>
    <xf numFmtId="3" fontId="10" fillId="0" borderId="2" xfId="0" applyNumberFormat="1" applyFont="1" applyBorder="1" applyAlignment="1">
      <alignment vertical="center"/>
    </xf>
    <xf numFmtId="0" fontId="2" fillId="0" borderId="11" xfId="0" applyNumberFormat="1" applyFont="1" applyFill="1" applyBorder="1" applyAlignment="1" applyProtection="1">
      <alignment horizontal="center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22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3" fontId="1" fillId="0" borderId="2" xfId="0" applyNumberFormat="1" applyFont="1" applyBorder="1" applyAlignment="1">
      <alignment horizontal="right" vertical="center"/>
    </xf>
    <xf numFmtId="3" fontId="1" fillId="0" borderId="2" xfId="0" applyNumberFormat="1" applyFont="1" applyBorder="1" applyAlignment="1">
      <alignment vertical="center"/>
    </xf>
    <xf numFmtId="3" fontId="10" fillId="0" borderId="21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center" vertical="center" wrapText="1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3" fontId="1" fillId="0" borderId="7" xfId="0" applyNumberFormat="1" applyFont="1" applyBorder="1" applyAlignment="1">
      <alignment horizontal="right" vertical="center"/>
    </xf>
    <xf numFmtId="3" fontId="10" fillId="0" borderId="23" xfId="0" applyNumberFormat="1" applyFont="1" applyBorder="1" applyAlignment="1">
      <alignment horizontal="right" vertical="center"/>
    </xf>
    <xf numFmtId="49" fontId="1" fillId="0" borderId="18" xfId="0" applyNumberFormat="1" applyFont="1" applyFill="1" applyBorder="1" applyAlignment="1" applyProtection="1">
      <alignment horizontal="left" vertical="center" wrapText="1" indent="1"/>
    </xf>
    <xf numFmtId="49" fontId="1" fillId="0" borderId="0" xfId="0" applyNumberFormat="1" applyFont="1" applyFill="1" applyBorder="1" applyAlignment="1" applyProtection="1">
      <alignment horizontal="left" vertical="center" wrapText="1" inden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3" fontId="12" fillId="0" borderId="2" xfId="0" applyNumberFormat="1" applyFont="1" applyBorder="1" applyAlignment="1">
      <alignment horizontal="right" vertical="center"/>
    </xf>
    <xf numFmtId="3" fontId="10" fillId="0" borderId="13" xfId="0" applyNumberFormat="1" applyFont="1" applyBorder="1" applyAlignment="1">
      <alignment horizontal="right" vertical="center"/>
    </xf>
    <xf numFmtId="3" fontId="10" fillId="0" borderId="14" xfId="0" applyNumberFormat="1" applyFont="1" applyBorder="1" applyAlignment="1">
      <alignment horizontal="right" vertical="center"/>
    </xf>
    <xf numFmtId="3" fontId="15" fillId="2" borderId="2" xfId="0" applyNumberFormat="1" applyFont="1" applyFill="1" applyBorder="1" applyAlignment="1">
      <alignment horizontal="right" vertical="top" wrapText="1"/>
    </xf>
    <xf numFmtId="3" fontId="16" fillId="2" borderId="2" xfId="0" applyNumberFormat="1" applyFont="1" applyFill="1" applyBorder="1" applyAlignment="1">
      <alignment horizontal="right" vertical="top"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18"/>
  <sheetViews>
    <sheetView showGridLines="0" tabSelected="1" zoomScale="90" zoomScaleNormal="90" workbookViewId="0">
      <pane xSplit="1" ySplit="7" topLeftCell="I8" activePane="bottomRight" state="frozen"/>
      <selection pane="topRight" activeCell="B1" sqref="B1"/>
      <selection pane="bottomLeft" activeCell="A8" sqref="A8"/>
      <selection pane="bottomRight" activeCell="AE8" sqref="AE8"/>
    </sheetView>
  </sheetViews>
  <sheetFormatPr defaultRowHeight="10.65"/>
  <cols>
    <col min="1" max="1" width="21.5546875" style="1" customWidth="1"/>
    <col min="2" max="23" width="8.88671875" style="1"/>
    <col min="24" max="24" width="10.21875" style="1" customWidth="1"/>
    <col min="25" max="16384" width="8.88671875" style="1"/>
  </cols>
  <sheetData>
    <row r="1" spans="1:30">
      <c r="A1" s="71" t="s">
        <v>187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16"/>
      <c r="O1" s="16"/>
      <c r="P1" s="16"/>
      <c r="Q1" s="16"/>
      <c r="R1" s="16"/>
      <c r="S1" s="16"/>
      <c r="T1" s="16"/>
    </row>
    <row r="2" spans="1:30" ht="11.3">
      <c r="B2" s="2"/>
      <c r="C2" s="2"/>
      <c r="D2" s="2"/>
      <c r="E2" s="2"/>
      <c r="F2" s="2"/>
      <c r="G2" s="2"/>
      <c r="H2" s="2"/>
      <c r="I2" s="2"/>
      <c r="J2" s="2"/>
      <c r="K2" s="51"/>
      <c r="L2" s="2"/>
      <c r="M2" s="2"/>
    </row>
    <row r="3" spans="1:30" ht="11.3" thickBot="1">
      <c r="A3" s="3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18"/>
      <c r="M3" s="18"/>
      <c r="AD3" s="4" t="s">
        <v>1</v>
      </c>
    </row>
    <row r="4" spans="1:30">
      <c r="A4" s="53" t="s">
        <v>2</v>
      </c>
      <c r="B4" s="82" t="s">
        <v>3</v>
      </c>
      <c r="C4" s="60"/>
      <c r="D4" s="63" t="s">
        <v>4</v>
      </c>
      <c r="E4" s="60"/>
      <c r="F4" s="63" t="s">
        <v>5</v>
      </c>
      <c r="G4" s="60"/>
      <c r="H4" s="63" t="s">
        <v>6</v>
      </c>
      <c r="I4" s="60"/>
      <c r="J4" s="63" t="s">
        <v>7</v>
      </c>
      <c r="K4" s="60"/>
      <c r="L4" s="76" t="s">
        <v>8</v>
      </c>
      <c r="M4" s="77"/>
      <c r="N4" s="53" t="s">
        <v>190</v>
      </c>
      <c r="O4" s="53"/>
      <c r="P4" s="63" t="s">
        <v>192</v>
      </c>
      <c r="Q4" s="60"/>
      <c r="R4" s="63" t="s">
        <v>193</v>
      </c>
      <c r="S4" s="64"/>
      <c r="T4" s="60" t="s">
        <v>194</v>
      </c>
      <c r="U4" s="60"/>
      <c r="V4" s="60" t="s">
        <v>195</v>
      </c>
      <c r="W4" s="60"/>
      <c r="X4" s="60" t="s">
        <v>196</v>
      </c>
      <c r="Y4" s="60"/>
      <c r="Z4" s="53" t="s">
        <v>197</v>
      </c>
      <c r="AA4" s="53"/>
      <c r="AB4" s="53" t="s">
        <v>9</v>
      </c>
      <c r="AC4" s="53"/>
      <c r="AD4" s="53"/>
    </row>
    <row r="5" spans="1:30" ht="10.199999999999999" customHeight="1">
      <c r="A5" s="73"/>
      <c r="B5" s="74" t="s">
        <v>188</v>
      </c>
      <c r="C5" s="61"/>
      <c r="D5" s="74" t="s">
        <v>188</v>
      </c>
      <c r="E5" s="61"/>
      <c r="F5" s="74" t="s">
        <v>188</v>
      </c>
      <c r="G5" s="61"/>
      <c r="H5" s="74" t="s">
        <v>188</v>
      </c>
      <c r="I5" s="61"/>
      <c r="J5" s="74" t="s">
        <v>188</v>
      </c>
      <c r="K5" s="61"/>
      <c r="L5" s="54" t="s">
        <v>188</v>
      </c>
      <c r="M5" s="55"/>
      <c r="N5" s="54" t="s">
        <v>191</v>
      </c>
      <c r="O5" s="55"/>
      <c r="P5" s="61" t="s">
        <v>191</v>
      </c>
      <c r="Q5" s="61"/>
      <c r="R5" s="54" t="s">
        <v>191</v>
      </c>
      <c r="S5" s="55"/>
      <c r="T5" s="54" t="s">
        <v>191</v>
      </c>
      <c r="U5" s="55"/>
      <c r="V5" s="61" t="s">
        <v>191</v>
      </c>
      <c r="W5" s="61"/>
      <c r="X5" s="54" t="s">
        <v>191</v>
      </c>
      <c r="Y5" s="55"/>
      <c r="Z5" s="54" t="s">
        <v>191</v>
      </c>
      <c r="AA5" s="55"/>
      <c r="AB5" s="73"/>
      <c r="AC5" s="73"/>
      <c r="AD5" s="73"/>
    </row>
    <row r="6" spans="1:30" ht="42.6" customHeight="1">
      <c r="A6" s="73"/>
      <c r="B6" s="75"/>
      <c r="C6" s="62"/>
      <c r="D6" s="75"/>
      <c r="E6" s="62"/>
      <c r="F6" s="75"/>
      <c r="G6" s="62"/>
      <c r="H6" s="75"/>
      <c r="I6" s="62"/>
      <c r="J6" s="75"/>
      <c r="K6" s="62"/>
      <c r="L6" s="56"/>
      <c r="M6" s="57"/>
      <c r="N6" s="56"/>
      <c r="O6" s="57"/>
      <c r="P6" s="62"/>
      <c r="Q6" s="62"/>
      <c r="R6" s="56"/>
      <c r="S6" s="57"/>
      <c r="T6" s="56"/>
      <c r="U6" s="57"/>
      <c r="V6" s="62"/>
      <c r="W6" s="62"/>
      <c r="X6" s="56"/>
      <c r="Y6" s="57"/>
      <c r="Z6" s="56"/>
      <c r="AA6" s="57"/>
      <c r="AB6" s="73"/>
      <c r="AC6" s="73"/>
      <c r="AD6" s="73"/>
    </row>
    <row r="7" spans="1:30" s="15" customFormat="1" ht="31.95">
      <c r="A7" s="62"/>
      <c r="B7" s="13" t="s">
        <v>10</v>
      </c>
      <c r="C7" s="14" t="s">
        <v>11</v>
      </c>
      <c r="D7" s="14" t="s">
        <v>10</v>
      </c>
      <c r="E7" s="14" t="s">
        <v>11</v>
      </c>
      <c r="F7" s="14" t="s">
        <v>10</v>
      </c>
      <c r="G7" s="14" t="s">
        <v>11</v>
      </c>
      <c r="H7" s="14" t="s">
        <v>10</v>
      </c>
      <c r="I7" s="14" t="s">
        <v>11</v>
      </c>
      <c r="J7" s="14" t="s">
        <v>10</v>
      </c>
      <c r="K7" s="14" t="s">
        <v>11</v>
      </c>
      <c r="L7" s="14" t="s">
        <v>10</v>
      </c>
      <c r="M7" s="14" t="s">
        <v>11</v>
      </c>
      <c r="N7" s="19" t="s">
        <v>10</v>
      </c>
      <c r="O7" s="14" t="s">
        <v>11</v>
      </c>
      <c r="P7" s="14" t="s">
        <v>10</v>
      </c>
      <c r="Q7" s="14" t="s">
        <v>11</v>
      </c>
      <c r="R7" s="14" t="s">
        <v>10</v>
      </c>
      <c r="S7" s="14" t="s">
        <v>11</v>
      </c>
      <c r="T7" s="14" t="s">
        <v>10</v>
      </c>
      <c r="U7" s="14" t="s">
        <v>11</v>
      </c>
      <c r="V7" s="14" t="s">
        <v>10</v>
      </c>
      <c r="W7" s="14" t="s">
        <v>11</v>
      </c>
      <c r="X7" s="14" t="s">
        <v>10</v>
      </c>
      <c r="Y7" s="14" t="s">
        <v>11</v>
      </c>
      <c r="Z7" s="14" t="s">
        <v>10</v>
      </c>
      <c r="AA7" s="14" t="s">
        <v>11</v>
      </c>
      <c r="AB7" s="62"/>
      <c r="AC7" s="62"/>
      <c r="AD7" s="62"/>
    </row>
    <row r="8" spans="1:30">
      <c r="A8" s="80" t="s">
        <v>12</v>
      </c>
      <c r="B8" s="58">
        <f>SUM(B10,B18,B27,B32,B38,B45,B52,B59,B64,B71,B81,B88,B103)</f>
        <v>52144</v>
      </c>
      <c r="C8" s="58">
        <f t="shared" ref="C8:AA8" si="0">SUM(C10,C18,C27,C32,C38,C45,C52,C59,C64,C71,C81,C88,C103)</f>
        <v>7531.8090000000011</v>
      </c>
      <c r="D8" s="58">
        <f t="shared" si="0"/>
        <v>99794</v>
      </c>
      <c r="E8" s="58">
        <f t="shared" si="0"/>
        <v>25289.920999999995</v>
      </c>
      <c r="F8" s="58">
        <f t="shared" si="0"/>
        <v>4556</v>
      </c>
      <c r="G8" s="58">
        <f t="shared" si="0"/>
        <v>1272.8049999999998</v>
      </c>
      <c r="H8" s="84">
        <f t="shared" si="0"/>
        <v>4595723</v>
      </c>
      <c r="I8" s="58">
        <f t="shared" ref="I8" si="1">SUM(I10,I18,I27,I32,I38,I45,I52,I59,I64,I71,I81,I88,I103)</f>
        <v>45141.256000000001</v>
      </c>
      <c r="J8" s="85">
        <f t="shared" si="0"/>
        <v>2273130</v>
      </c>
      <c r="K8" s="58">
        <f t="shared" si="0"/>
        <v>21255.069000000003</v>
      </c>
      <c r="L8" s="58">
        <f t="shared" si="0"/>
        <v>239804</v>
      </c>
      <c r="M8" s="58">
        <f t="shared" si="0"/>
        <v>4185.8180000000002</v>
      </c>
      <c r="N8" s="78">
        <f t="shared" si="0"/>
        <v>24806</v>
      </c>
      <c r="O8" s="58">
        <f t="shared" si="0"/>
        <v>6919.532000000002</v>
      </c>
      <c r="P8" s="58">
        <f t="shared" si="0"/>
        <v>1343</v>
      </c>
      <c r="Q8" s="58">
        <f t="shared" si="0"/>
        <v>439.25800000000004</v>
      </c>
      <c r="R8" s="58">
        <f t="shared" si="0"/>
        <v>550458</v>
      </c>
      <c r="S8" s="58">
        <f t="shared" si="0"/>
        <v>11507.572</v>
      </c>
      <c r="T8" s="58">
        <f t="shared" si="0"/>
        <v>262778</v>
      </c>
      <c r="U8" s="58">
        <f t="shared" si="0"/>
        <v>5228.0229999999992</v>
      </c>
      <c r="V8" s="58">
        <f t="shared" si="0"/>
        <v>1141095</v>
      </c>
      <c r="W8" s="58">
        <f t="shared" si="0"/>
        <v>72105.444000000003</v>
      </c>
      <c r="X8" s="58">
        <f t="shared" si="0"/>
        <v>131279527</v>
      </c>
      <c r="Y8" s="78">
        <f t="shared" si="0"/>
        <v>247917.93900000001</v>
      </c>
      <c r="Z8" s="58">
        <f t="shared" si="0"/>
        <v>2162420</v>
      </c>
      <c r="AA8" s="58">
        <f t="shared" si="0"/>
        <v>3892.0569999999993</v>
      </c>
      <c r="AB8" s="71" t="s">
        <v>13</v>
      </c>
      <c r="AC8" s="71"/>
      <c r="AD8" s="71"/>
    </row>
    <row r="9" spans="1:30">
      <c r="A9" s="81"/>
      <c r="B9" s="52"/>
      <c r="C9" s="52"/>
      <c r="D9" s="52"/>
      <c r="E9" s="52"/>
      <c r="F9" s="52"/>
      <c r="G9" s="52"/>
      <c r="H9" s="69"/>
      <c r="I9" s="52"/>
      <c r="J9" s="79"/>
      <c r="K9" s="52"/>
      <c r="L9" s="52"/>
      <c r="M9" s="52"/>
      <c r="N9" s="67"/>
      <c r="O9" s="52"/>
      <c r="P9" s="52"/>
      <c r="Q9" s="52"/>
      <c r="R9" s="52"/>
      <c r="S9" s="52"/>
      <c r="T9" s="52"/>
      <c r="U9" s="52"/>
      <c r="V9" s="52"/>
      <c r="W9" s="52"/>
      <c r="X9" s="52"/>
      <c r="Y9" s="67"/>
      <c r="Z9" s="52"/>
      <c r="AA9" s="52"/>
      <c r="AB9" s="71"/>
      <c r="AC9" s="71"/>
      <c r="AD9" s="71"/>
    </row>
    <row r="10" spans="1:30">
      <c r="A10" s="65" t="s">
        <v>14</v>
      </c>
      <c r="B10" s="52">
        <f t="shared" ref="B10:M10" si="2">SUM(B12:B17)</f>
        <v>5352</v>
      </c>
      <c r="C10" s="52">
        <f t="shared" si="2"/>
        <v>967.59500000000003</v>
      </c>
      <c r="D10" s="52">
        <f t="shared" si="2"/>
        <v>11530</v>
      </c>
      <c r="E10" s="52">
        <f t="shared" si="2"/>
        <v>2765.6709999999994</v>
      </c>
      <c r="F10" s="52">
        <f t="shared" si="2"/>
        <v>40</v>
      </c>
      <c r="G10" s="52">
        <f t="shared" si="2"/>
        <v>13</v>
      </c>
      <c r="H10" s="69">
        <f t="shared" si="2"/>
        <v>259248</v>
      </c>
      <c r="I10" s="67">
        <f t="shared" si="2"/>
        <v>2515.4369999999999</v>
      </c>
      <c r="J10" s="79">
        <f t="shared" si="2"/>
        <v>175703</v>
      </c>
      <c r="K10" s="52">
        <f t="shared" si="2"/>
        <v>1514.0989999999997</v>
      </c>
      <c r="L10" s="52">
        <f t="shared" si="2"/>
        <v>4364</v>
      </c>
      <c r="M10" s="52">
        <f t="shared" si="2"/>
        <v>79.032000000000011</v>
      </c>
      <c r="N10" s="67">
        <f t="shared" ref="N10:T10" si="3">SUM(N12:N17)</f>
        <v>3352</v>
      </c>
      <c r="O10" s="52">
        <f t="shared" si="3"/>
        <v>977.90000000000009</v>
      </c>
      <c r="P10" s="52">
        <f t="shared" si="3"/>
        <v>40</v>
      </c>
      <c r="Q10" s="52">
        <f t="shared" si="3"/>
        <v>8</v>
      </c>
      <c r="R10" s="52">
        <f t="shared" si="3"/>
        <v>29446</v>
      </c>
      <c r="S10" s="52">
        <f t="shared" si="3"/>
        <v>584.02700000000004</v>
      </c>
      <c r="T10" s="52">
        <f t="shared" si="3"/>
        <v>25812</v>
      </c>
      <c r="U10" s="52">
        <f t="shared" ref="U10:AA10" si="4">SUM(U12:U17)</f>
        <v>463.517</v>
      </c>
      <c r="V10" s="52">
        <f t="shared" si="4"/>
        <v>81792</v>
      </c>
      <c r="W10" s="52">
        <f t="shared" si="4"/>
        <v>5082.6140000000005</v>
      </c>
      <c r="X10" s="52">
        <f t="shared" si="4"/>
        <v>503385</v>
      </c>
      <c r="Y10" s="67">
        <f t="shared" si="4"/>
        <v>689.78599999999994</v>
      </c>
      <c r="Z10" s="52">
        <f t="shared" si="4"/>
        <v>75374</v>
      </c>
      <c r="AA10" s="52">
        <f t="shared" si="4"/>
        <v>126.1</v>
      </c>
      <c r="AB10" s="72" t="s">
        <v>15</v>
      </c>
      <c r="AC10" s="72"/>
      <c r="AD10" s="72"/>
    </row>
    <row r="11" spans="1:30">
      <c r="A11" s="65"/>
      <c r="B11" s="52"/>
      <c r="C11" s="52"/>
      <c r="D11" s="52"/>
      <c r="E11" s="52"/>
      <c r="F11" s="52"/>
      <c r="G11" s="52"/>
      <c r="H11" s="69"/>
      <c r="I11" s="67"/>
      <c r="J11" s="79"/>
      <c r="K11" s="52"/>
      <c r="L11" s="52"/>
      <c r="M11" s="52"/>
      <c r="N11" s="67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67"/>
      <c r="Z11" s="52"/>
      <c r="AA11" s="52"/>
      <c r="AB11" s="72"/>
      <c r="AC11" s="72"/>
      <c r="AD11" s="72"/>
    </row>
    <row r="12" spans="1:30" ht="11.9">
      <c r="A12" s="5" t="s">
        <v>16</v>
      </c>
      <c r="B12" s="25">
        <v>997</v>
      </c>
      <c r="C12" s="31">
        <v>140.215</v>
      </c>
      <c r="D12" s="31">
        <v>818</v>
      </c>
      <c r="E12" s="31">
        <v>156.499</v>
      </c>
      <c r="F12" s="34">
        <v>40</v>
      </c>
      <c r="G12" s="34">
        <v>13</v>
      </c>
      <c r="H12" s="41">
        <v>18623</v>
      </c>
      <c r="I12" s="36">
        <v>183.36799999999999</v>
      </c>
      <c r="J12" s="43">
        <v>21463</v>
      </c>
      <c r="K12" s="31">
        <v>202.245</v>
      </c>
      <c r="L12" s="31">
        <v>220</v>
      </c>
      <c r="M12" s="31">
        <v>4.3499999999999996</v>
      </c>
      <c r="N12" s="36">
        <v>405</v>
      </c>
      <c r="O12" s="31">
        <v>98.975999999999999</v>
      </c>
      <c r="P12" s="25">
        <v>40</v>
      </c>
      <c r="Q12" s="31">
        <v>8</v>
      </c>
      <c r="R12" s="31">
        <v>2670</v>
      </c>
      <c r="S12" s="31">
        <v>54.052</v>
      </c>
      <c r="T12" s="31">
        <v>1900</v>
      </c>
      <c r="U12" s="31">
        <v>35.493000000000002</v>
      </c>
      <c r="V12" s="31">
        <v>1925</v>
      </c>
      <c r="W12" s="31">
        <v>130.25</v>
      </c>
      <c r="X12" s="31">
        <v>99879</v>
      </c>
      <c r="Y12" s="36">
        <v>142.708</v>
      </c>
      <c r="Z12" s="31">
        <v>59210</v>
      </c>
      <c r="AA12" s="31">
        <v>90.11</v>
      </c>
      <c r="AB12" s="7" t="s">
        <v>17</v>
      </c>
      <c r="AC12" s="8"/>
      <c r="AD12" s="8"/>
    </row>
    <row r="13" spans="1:30" ht="11.9">
      <c r="A13" s="5" t="s">
        <v>18</v>
      </c>
      <c r="B13" s="25">
        <v>1091</v>
      </c>
      <c r="C13" s="31">
        <v>216.4</v>
      </c>
      <c r="D13" s="31">
        <v>4960</v>
      </c>
      <c r="E13" s="31">
        <v>1172.011</v>
      </c>
      <c r="F13" s="26" t="s">
        <v>186</v>
      </c>
      <c r="G13" s="26" t="s">
        <v>186</v>
      </c>
      <c r="H13" s="41">
        <v>57666</v>
      </c>
      <c r="I13" s="36">
        <v>630.08000000000004</v>
      </c>
      <c r="J13" s="43">
        <v>43276</v>
      </c>
      <c r="K13" s="31">
        <v>380.76799999999997</v>
      </c>
      <c r="L13" s="31">
        <v>938</v>
      </c>
      <c r="M13" s="31">
        <v>15.21</v>
      </c>
      <c r="N13" s="36">
        <v>1308</v>
      </c>
      <c r="O13" s="31">
        <v>308.91399999999999</v>
      </c>
      <c r="P13" s="26" t="s">
        <v>186</v>
      </c>
      <c r="Q13" s="26" t="s">
        <v>186</v>
      </c>
      <c r="R13" s="31">
        <v>7093</v>
      </c>
      <c r="S13" s="31">
        <v>153.84399999999999</v>
      </c>
      <c r="T13" s="31">
        <v>4815</v>
      </c>
      <c r="U13" s="31">
        <v>88.629000000000005</v>
      </c>
      <c r="V13" s="31">
        <v>55611</v>
      </c>
      <c r="W13" s="31">
        <v>3294.415</v>
      </c>
      <c r="X13" s="31">
        <v>47878</v>
      </c>
      <c r="Y13" s="36">
        <v>55.734999999999999</v>
      </c>
      <c r="Z13" s="31">
        <v>2210</v>
      </c>
      <c r="AA13" s="31">
        <v>4.3470000000000004</v>
      </c>
      <c r="AB13" s="7" t="s">
        <v>19</v>
      </c>
      <c r="AC13" s="8"/>
      <c r="AD13" s="8"/>
    </row>
    <row r="14" spans="1:30" ht="11.9">
      <c r="A14" s="5" t="s">
        <v>20</v>
      </c>
      <c r="B14" s="25">
        <v>201</v>
      </c>
      <c r="C14" s="31">
        <v>30.15</v>
      </c>
      <c r="D14" s="31">
        <v>2712</v>
      </c>
      <c r="E14" s="31">
        <v>753.93600000000004</v>
      </c>
      <c r="F14" s="26" t="s">
        <v>186</v>
      </c>
      <c r="G14" s="26" t="s">
        <v>186</v>
      </c>
      <c r="H14" s="41">
        <v>29717</v>
      </c>
      <c r="I14" s="36">
        <v>284.92</v>
      </c>
      <c r="J14" s="43">
        <v>18722</v>
      </c>
      <c r="K14" s="31">
        <v>149.46700000000001</v>
      </c>
      <c r="L14" s="31">
        <v>215</v>
      </c>
      <c r="M14" s="31">
        <v>3.9249999999999998</v>
      </c>
      <c r="N14" s="36">
        <v>538</v>
      </c>
      <c r="O14" s="31">
        <v>153.33000000000001</v>
      </c>
      <c r="P14" s="26" t="s">
        <v>186</v>
      </c>
      <c r="Q14" s="26" t="s">
        <v>186</v>
      </c>
      <c r="R14" s="31">
        <v>4327</v>
      </c>
      <c r="S14" s="31">
        <v>86.231999999999999</v>
      </c>
      <c r="T14" s="31">
        <v>8609</v>
      </c>
      <c r="U14" s="31">
        <v>151.06299999999999</v>
      </c>
      <c r="V14" s="31">
        <v>9781</v>
      </c>
      <c r="W14" s="31">
        <v>566.16200000000003</v>
      </c>
      <c r="X14" s="31">
        <v>68777</v>
      </c>
      <c r="Y14" s="36">
        <v>106.212</v>
      </c>
      <c r="Z14" s="31">
        <v>12640</v>
      </c>
      <c r="AA14" s="31">
        <v>29.015000000000001</v>
      </c>
      <c r="AB14" s="7" t="s">
        <v>21</v>
      </c>
      <c r="AC14" s="8"/>
      <c r="AD14" s="8"/>
    </row>
    <row r="15" spans="1:30" ht="11.9">
      <c r="A15" s="5" t="s">
        <v>22</v>
      </c>
      <c r="B15" s="25">
        <v>1</v>
      </c>
      <c r="C15" s="31">
        <v>0.13500000000000001</v>
      </c>
      <c r="D15" s="31">
        <v>5</v>
      </c>
      <c r="E15" s="31">
        <v>0.97</v>
      </c>
      <c r="F15" s="26" t="s">
        <v>186</v>
      </c>
      <c r="G15" s="26" t="s">
        <v>186</v>
      </c>
      <c r="H15" s="41">
        <v>22036</v>
      </c>
      <c r="I15" s="36">
        <v>201.226</v>
      </c>
      <c r="J15" s="43">
        <v>14867</v>
      </c>
      <c r="K15" s="31">
        <v>121.015</v>
      </c>
      <c r="L15" s="31">
        <v>32</v>
      </c>
      <c r="M15" s="31">
        <v>0.64</v>
      </c>
      <c r="N15" s="6" t="s">
        <v>186</v>
      </c>
      <c r="O15" s="26" t="s">
        <v>186</v>
      </c>
      <c r="P15" s="26" t="s">
        <v>186</v>
      </c>
      <c r="Q15" s="26" t="s">
        <v>186</v>
      </c>
      <c r="R15" s="31">
        <v>2936</v>
      </c>
      <c r="S15" s="31">
        <v>51.18</v>
      </c>
      <c r="T15" s="31">
        <v>2309</v>
      </c>
      <c r="U15" s="31">
        <v>39.648000000000003</v>
      </c>
      <c r="V15" s="31">
        <v>7</v>
      </c>
      <c r="W15" s="31">
        <v>0.42499999999999999</v>
      </c>
      <c r="X15" s="31">
        <v>6735</v>
      </c>
      <c r="Y15" s="36">
        <v>11.561</v>
      </c>
      <c r="Z15" s="31">
        <v>64</v>
      </c>
      <c r="AA15" s="31">
        <v>0.128</v>
      </c>
      <c r="AB15" s="7" t="s">
        <v>23</v>
      </c>
      <c r="AC15" s="8"/>
      <c r="AD15" s="8"/>
    </row>
    <row r="16" spans="1:30" ht="11.9">
      <c r="A16" s="5" t="s">
        <v>24</v>
      </c>
      <c r="B16" s="25">
        <v>385</v>
      </c>
      <c r="C16" s="31">
        <v>51.975000000000001</v>
      </c>
      <c r="D16" s="31">
        <v>345</v>
      </c>
      <c r="E16" s="31">
        <v>79.349999999999994</v>
      </c>
      <c r="F16" s="26" t="s">
        <v>186</v>
      </c>
      <c r="G16" s="26" t="s">
        <v>186</v>
      </c>
      <c r="H16" s="41">
        <v>31693</v>
      </c>
      <c r="I16" s="36">
        <v>295.12299999999999</v>
      </c>
      <c r="J16" s="43">
        <v>30288</v>
      </c>
      <c r="K16" s="31">
        <v>272.33999999999997</v>
      </c>
      <c r="L16" s="31">
        <v>1054</v>
      </c>
      <c r="M16" s="31">
        <v>16.806999999999999</v>
      </c>
      <c r="N16" s="6" t="s">
        <v>186</v>
      </c>
      <c r="O16" s="26" t="s">
        <v>186</v>
      </c>
      <c r="P16" s="26" t="s">
        <v>186</v>
      </c>
      <c r="Q16" s="26" t="s">
        <v>186</v>
      </c>
      <c r="R16" s="31">
        <v>3495</v>
      </c>
      <c r="S16" s="31">
        <v>60.219000000000001</v>
      </c>
      <c r="T16" s="31">
        <v>2477</v>
      </c>
      <c r="U16" s="31">
        <v>39.423999999999999</v>
      </c>
      <c r="V16" s="31">
        <v>257</v>
      </c>
      <c r="W16" s="31">
        <v>13.092000000000001</v>
      </c>
      <c r="X16" s="31">
        <v>68726</v>
      </c>
      <c r="Y16" s="36">
        <v>102.961</v>
      </c>
      <c r="Z16" s="26" t="s">
        <v>186</v>
      </c>
      <c r="AA16" s="26" t="s">
        <v>186</v>
      </c>
      <c r="AB16" s="7" t="s">
        <v>25</v>
      </c>
      <c r="AC16" s="8"/>
      <c r="AD16" s="8"/>
    </row>
    <row r="17" spans="1:30" ht="11.9">
      <c r="A17" s="5" t="s">
        <v>26</v>
      </c>
      <c r="B17" s="25">
        <v>2677</v>
      </c>
      <c r="C17" s="31">
        <v>528.72</v>
      </c>
      <c r="D17" s="31">
        <v>2690</v>
      </c>
      <c r="E17" s="31">
        <v>602.90499999999997</v>
      </c>
      <c r="F17" s="26" t="s">
        <v>186</v>
      </c>
      <c r="G17" s="26" t="s">
        <v>186</v>
      </c>
      <c r="H17" s="41">
        <v>99513</v>
      </c>
      <c r="I17" s="36">
        <v>920.72</v>
      </c>
      <c r="J17" s="43">
        <v>47087</v>
      </c>
      <c r="K17" s="31">
        <v>388.26400000000001</v>
      </c>
      <c r="L17" s="31">
        <v>1905</v>
      </c>
      <c r="M17" s="31">
        <v>38.1</v>
      </c>
      <c r="N17" s="36">
        <v>1101</v>
      </c>
      <c r="O17" s="31">
        <v>416.68</v>
      </c>
      <c r="P17" s="26" t="s">
        <v>186</v>
      </c>
      <c r="Q17" s="26" t="s">
        <v>186</v>
      </c>
      <c r="R17" s="31">
        <v>8925</v>
      </c>
      <c r="S17" s="31">
        <v>178.5</v>
      </c>
      <c r="T17" s="31">
        <v>5702</v>
      </c>
      <c r="U17" s="31">
        <v>109.26</v>
      </c>
      <c r="V17" s="31">
        <v>14211</v>
      </c>
      <c r="W17" s="31">
        <v>1078.27</v>
      </c>
      <c r="X17" s="31">
        <v>211390</v>
      </c>
      <c r="Y17" s="36">
        <v>270.60899999999998</v>
      </c>
      <c r="Z17" s="31">
        <v>1250</v>
      </c>
      <c r="AA17" s="31">
        <v>2.5</v>
      </c>
      <c r="AB17" s="7" t="s">
        <v>27</v>
      </c>
      <c r="AC17" s="8"/>
      <c r="AD17" s="8"/>
    </row>
    <row r="18" spans="1:30">
      <c r="A18" s="65" t="s">
        <v>28</v>
      </c>
      <c r="B18" s="52">
        <f>SUM(B20:B26)</f>
        <v>2908</v>
      </c>
      <c r="C18" s="52">
        <f>SUM(C20:C26)</f>
        <v>523.495</v>
      </c>
      <c r="D18" s="52">
        <f>SUM(D20:D26)</f>
        <v>34363</v>
      </c>
      <c r="E18" s="52">
        <f t="shared" ref="E18:AA18" si="5">SUM(E20:E26)</f>
        <v>10016.499</v>
      </c>
      <c r="F18" s="52">
        <f t="shared" si="5"/>
        <v>3558</v>
      </c>
      <c r="G18" s="52">
        <f t="shared" si="5"/>
        <v>993.82799999999997</v>
      </c>
      <c r="H18" s="69">
        <f t="shared" si="5"/>
        <v>513085</v>
      </c>
      <c r="I18" s="67">
        <f t="shared" si="5"/>
        <v>4775.9520000000002</v>
      </c>
      <c r="J18" s="79">
        <f t="shared" si="5"/>
        <v>367410</v>
      </c>
      <c r="K18" s="52">
        <f t="shared" si="5"/>
        <v>3364.3679999999999</v>
      </c>
      <c r="L18" s="52">
        <f t="shared" si="5"/>
        <v>4038</v>
      </c>
      <c r="M18" s="52">
        <f t="shared" si="5"/>
        <v>76.469000000000008</v>
      </c>
      <c r="N18" s="67">
        <f t="shared" si="5"/>
        <v>12293</v>
      </c>
      <c r="O18" s="52">
        <f t="shared" si="5"/>
        <v>3346.6560000000004</v>
      </c>
      <c r="P18" s="52">
        <f t="shared" si="5"/>
        <v>1274</v>
      </c>
      <c r="Q18" s="52">
        <f t="shared" si="5"/>
        <v>420.95800000000003</v>
      </c>
      <c r="R18" s="52">
        <f t="shared" si="5"/>
        <v>38527</v>
      </c>
      <c r="S18" s="52">
        <f t="shared" si="5"/>
        <v>758.88000000000011</v>
      </c>
      <c r="T18" s="52">
        <f t="shared" si="5"/>
        <v>15371</v>
      </c>
      <c r="U18" s="52">
        <f t="shared" si="5"/>
        <v>298.05099999999999</v>
      </c>
      <c r="V18" s="52">
        <f t="shared" si="5"/>
        <v>232050</v>
      </c>
      <c r="W18" s="52">
        <f t="shared" si="5"/>
        <v>14456.414000000001</v>
      </c>
      <c r="X18" s="52">
        <f t="shared" si="5"/>
        <v>20330720</v>
      </c>
      <c r="Y18" s="67">
        <f t="shared" si="5"/>
        <v>31440.960999999999</v>
      </c>
      <c r="Z18" s="52">
        <f t="shared" si="5"/>
        <v>225983</v>
      </c>
      <c r="AA18" s="52">
        <f t="shared" si="5"/>
        <v>450.95</v>
      </c>
      <c r="AB18" s="70" t="s">
        <v>29</v>
      </c>
      <c r="AC18" s="70"/>
      <c r="AD18" s="70"/>
    </row>
    <row r="19" spans="1:30">
      <c r="A19" s="65"/>
      <c r="B19" s="52"/>
      <c r="C19" s="52"/>
      <c r="D19" s="52"/>
      <c r="E19" s="52"/>
      <c r="F19" s="52"/>
      <c r="G19" s="52"/>
      <c r="H19" s="69"/>
      <c r="I19" s="67"/>
      <c r="J19" s="79"/>
      <c r="K19" s="52"/>
      <c r="L19" s="52"/>
      <c r="M19" s="52"/>
      <c r="N19" s="67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67"/>
      <c r="Z19" s="52"/>
      <c r="AA19" s="52"/>
      <c r="AB19" s="70"/>
      <c r="AC19" s="70"/>
      <c r="AD19" s="70"/>
    </row>
    <row r="20" spans="1:30" ht="11.9">
      <c r="A20" s="5" t="s">
        <v>30</v>
      </c>
      <c r="B20" s="25">
        <v>667</v>
      </c>
      <c r="C20" s="31">
        <v>100.014</v>
      </c>
      <c r="D20" s="31">
        <v>10709</v>
      </c>
      <c r="E20" s="31">
        <v>3083.6109999999999</v>
      </c>
      <c r="F20" s="29">
        <v>18</v>
      </c>
      <c r="G20" s="29">
        <v>2.8279999999999998</v>
      </c>
      <c r="H20" s="41">
        <v>121469</v>
      </c>
      <c r="I20" s="36">
        <v>1082.231</v>
      </c>
      <c r="J20" s="43">
        <v>57172</v>
      </c>
      <c r="K20" s="31">
        <v>474.19400000000002</v>
      </c>
      <c r="L20" s="31">
        <v>1166</v>
      </c>
      <c r="M20" s="31">
        <v>22.231999999999999</v>
      </c>
      <c r="N20" s="36">
        <v>5852</v>
      </c>
      <c r="O20" s="31">
        <v>1581.3309999999999</v>
      </c>
      <c r="P20" s="25">
        <v>28</v>
      </c>
      <c r="Q20" s="31">
        <v>6.4779999999999998</v>
      </c>
      <c r="R20" s="31">
        <v>10054</v>
      </c>
      <c r="S20" s="31">
        <v>210.029</v>
      </c>
      <c r="T20" s="31">
        <v>3263</v>
      </c>
      <c r="U20" s="31">
        <v>60.945999999999998</v>
      </c>
      <c r="V20" s="31">
        <v>26955</v>
      </c>
      <c r="W20" s="31">
        <v>1716.6410000000001</v>
      </c>
      <c r="X20" s="31">
        <v>5173356</v>
      </c>
      <c r="Y20" s="36">
        <v>6749.9660000000003</v>
      </c>
      <c r="Z20" s="31">
        <v>440</v>
      </c>
      <c r="AA20" s="31">
        <v>0.70499999999999996</v>
      </c>
      <c r="AB20" s="7" t="s">
        <v>31</v>
      </c>
      <c r="AC20" s="8"/>
      <c r="AD20" s="8"/>
    </row>
    <row r="21" spans="1:30" ht="11.9">
      <c r="A21" s="5" t="s">
        <v>32</v>
      </c>
      <c r="B21" s="25">
        <v>300</v>
      </c>
      <c r="C21" s="31">
        <v>45</v>
      </c>
      <c r="D21" s="31">
        <v>1980</v>
      </c>
      <c r="E21" s="31">
        <v>554.4</v>
      </c>
      <c r="F21" s="29" t="s">
        <v>186</v>
      </c>
      <c r="G21" s="29" t="s">
        <v>186</v>
      </c>
      <c r="H21" s="41">
        <v>5445</v>
      </c>
      <c r="I21" s="36">
        <v>46.64</v>
      </c>
      <c r="J21" s="43">
        <v>5013</v>
      </c>
      <c r="K21" s="31">
        <v>40.542000000000002</v>
      </c>
      <c r="L21" s="31">
        <v>200</v>
      </c>
      <c r="M21" s="31">
        <v>4</v>
      </c>
      <c r="N21" s="36">
        <v>120</v>
      </c>
      <c r="O21" s="31">
        <v>30</v>
      </c>
      <c r="P21" s="26" t="s">
        <v>186</v>
      </c>
      <c r="Q21" s="26" t="s">
        <v>186</v>
      </c>
      <c r="R21" s="31">
        <v>529</v>
      </c>
      <c r="S21" s="31">
        <v>19.175000000000001</v>
      </c>
      <c r="T21" s="31">
        <v>431</v>
      </c>
      <c r="U21" s="31">
        <v>16.399999999999999</v>
      </c>
      <c r="V21" s="31">
        <v>675</v>
      </c>
      <c r="W21" s="31">
        <v>24.82</v>
      </c>
      <c r="X21" s="31">
        <v>2376</v>
      </c>
      <c r="Y21" s="36">
        <v>3.5819999999999999</v>
      </c>
      <c r="Z21" s="31">
        <v>20</v>
      </c>
      <c r="AA21" s="31">
        <v>3.3000000000000002E-2</v>
      </c>
      <c r="AB21" s="7" t="s">
        <v>33</v>
      </c>
      <c r="AC21" s="8"/>
      <c r="AD21" s="8"/>
    </row>
    <row r="22" spans="1:30" ht="11.9">
      <c r="A22" s="5" t="s">
        <v>34</v>
      </c>
      <c r="B22" s="25">
        <v>548</v>
      </c>
      <c r="C22" s="31">
        <v>103.7</v>
      </c>
      <c r="D22" s="31">
        <v>1848</v>
      </c>
      <c r="E22" s="31">
        <v>467.74</v>
      </c>
      <c r="F22" s="29" t="s">
        <v>186</v>
      </c>
      <c r="G22" s="29" t="s">
        <v>186</v>
      </c>
      <c r="H22" s="41">
        <v>45100</v>
      </c>
      <c r="I22" s="36">
        <v>467.37200000000001</v>
      </c>
      <c r="J22" s="43">
        <v>12596</v>
      </c>
      <c r="K22" s="31">
        <v>125.699</v>
      </c>
      <c r="L22" s="26" t="s">
        <v>186</v>
      </c>
      <c r="M22" s="26" t="s">
        <v>186</v>
      </c>
      <c r="N22" s="36">
        <v>893</v>
      </c>
      <c r="O22" s="31">
        <v>265.57</v>
      </c>
      <c r="P22" s="25">
        <v>300</v>
      </c>
      <c r="Q22" s="31">
        <v>55</v>
      </c>
      <c r="R22" s="31">
        <v>3934</v>
      </c>
      <c r="S22" s="31">
        <v>72.102000000000004</v>
      </c>
      <c r="T22" s="31">
        <v>1157</v>
      </c>
      <c r="U22" s="31">
        <v>19.111999999999998</v>
      </c>
      <c r="V22" s="31">
        <v>14029</v>
      </c>
      <c r="W22" s="31">
        <v>777.61</v>
      </c>
      <c r="X22" s="31">
        <v>27655</v>
      </c>
      <c r="Y22" s="36">
        <v>47.027000000000001</v>
      </c>
      <c r="Z22" s="31">
        <v>4973</v>
      </c>
      <c r="AA22" s="31">
        <v>8.9600000000000009</v>
      </c>
      <c r="AB22" s="7" t="s">
        <v>35</v>
      </c>
      <c r="AC22" s="8"/>
      <c r="AD22" s="8"/>
    </row>
    <row r="23" spans="1:30" ht="11.9">
      <c r="A23" s="5" t="s">
        <v>36</v>
      </c>
      <c r="B23" s="25">
        <v>338</v>
      </c>
      <c r="C23" s="31">
        <v>84.98</v>
      </c>
      <c r="D23" s="31">
        <v>8775</v>
      </c>
      <c r="E23" s="31">
        <v>2532.6799999999998</v>
      </c>
      <c r="F23" s="29" t="s">
        <v>186</v>
      </c>
      <c r="G23" s="29" t="s">
        <v>186</v>
      </c>
      <c r="H23" s="41">
        <v>86637</v>
      </c>
      <c r="I23" s="36">
        <v>747.18200000000002</v>
      </c>
      <c r="J23" s="43">
        <v>30316</v>
      </c>
      <c r="K23" s="31">
        <v>245.14699999999999</v>
      </c>
      <c r="L23" s="31">
        <v>1051</v>
      </c>
      <c r="M23" s="31">
        <v>20.492000000000001</v>
      </c>
      <c r="N23" s="36">
        <v>2409</v>
      </c>
      <c r="O23" s="31">
        <v>611.09</v>
      </c>
      <c r="P23" s="26" t="s">
        <v>186</v>
      </c>
      <c r="Q23" s="26" t="s">
        <v>186</v>
      </c>
      <c r="R23" s="31">
        <v>10103</v>
      </c>
      <c r="S23" s="31">
        <v>175.99</v>
      </c>
      <c r="T23" s="31">
        <v>2291</v>
      </c>
      <c r="U23" s="31">
        <v>40.311</v>
      </c>
      <c r="V23" s="31">
        <v>113219</v>
      </c>
      <c r="W23" s="31">
        <v>7501.4880000000003</v>
      </c>
      <c r="X23" s="31">
        <v>466454</v>
      </c>
      <c r="Y23" s="36">
        <v>834.44899999999996</v>
      </c>
      <c r="Z23" s="31">
        <v>39965</v>
      </c>
      <c r="AA23" s="31">
        <v>79.727000000000004</v>
      </c>
      <c r="AB23" s="7" t="s">
        <v>37</v>
      </c>
      <c r="AC23" s="8"/>
      <c r="AD23" s="8"/>
    </row>
    <row r="24" spans="1:30" ht="11.9">
      <c r="A24" s="5" t="s">
        <v>38</v>
      </c>
      <c r="B24" s="26" t="s">
        <v>186</v>
      </c>
      <c r="C24" s="26" t="s">
        <v>186</v>
      </c>
      <c r="D24" s="31">
        <v>891</v>
      </c>
      <c r="E24" s="31">
        <v>222.79300000000001</v>
      </c>
      <c r="F24" s="26" t="s">
        <v>186</v>
      </c>
      <c r="G24" s="26" t="s">
        <v>186</v>
      </c>
      <c r="H24" s="41">
        <v>22232</v>
      </c>
      <c r="I24" s="36">
        <v>185.50200000000001</v>
      </c>
      <c r="J24" s="43">
        <v>4205</v>
      </c>
      <c r="K24" s="31">
        <v>33.93</v>
      </c>
      <c r="L24" s="31">
        <v>45</v>
      </c>
      <c r="M24" s="31">
        <v>0.875</v>
      </c>
      <c r="N24" s="36">
        <v>31</v>
      </c>
      <c r="O24" s="31">
        <v>10.63</v>
      </c>
      <c r="P24" s="26" t="s">
        <v>186</v>
      </c>
      <c r="Q24" s="26" t="s">
        <v>186</v>
      </c>
      <c r="R24" s="31">
        <v>2531</v>
      </c>
      <c r="S24" s="31">
        <v>49.944000000000003</v>
      </c>
      <c r="T24" s="31">
        <v>178</v>
      </c>
      <c r="U24" s="31">
        <v>3.3759999999999999</v>
      </c>
      <c r="V24" s="31">
        <v>53506</v>
      </c>
      <c r="W24" s="31">
        <v>3128.6950000000002</v>
      </c>
      <c r="X24" s="31">
        <v>11865047</v>
      </c>
      <c r="Y24" s="36">
        <v>19377.960999999999</v>
      </c>
      <c r="Z24" s="31">
        <v>1155</v>
      </c>
      <c r="AA24" s="31">
        <v>2.8</v>
      </c>
      <c r="AB24" s="7" t="s">
        <v>39</v>
      </c>
      <c r="AC24" s="8"/>
      <c r="AD24" s="8"/>
    </row>
    <row r="25" spans="1:30" ht="11.9">
      <c r="A25" s="5" t="s">
        <v>40</v>
      </c>
      <c r="B25" s="25">
        <v>270</v>
      </c>
      <c r="C25" s="31">
        <v>37.049999999999997</v>
      </c>
      <c r="D25" s="31">
        <v>9297</v>
      </c>
      <c r="E25" s="31">
        <v>2960.58</v>
      </c>
      <c r="F25" s="26">
        <v>3540</v>
      </c>
      <c r="G25" s="26">
        <v>991</v>
      </c>
      <c r="H25" s="41">
        <v>181015</v>
      </c>
      <c r="I25" s="36">
        <v>1808.0930000000001</v>
      </c>
      <c r="J25" s="43">
        <v>187123</v>
      </c>
      <c r="K25" s="31">
        <v>1869.6990000000001</v>
      </c>
      <c r="L25" s="31">
        <v>1231</v>
      </c>
      <c r="M25" s="31">
        <v>24.62</v>
      </c>
      <c r="N25" s="36">
        <v>2919</v>
      </c>
      <c r="O25" s="31">
        <v>826.13499999999999</v>
      </c>
      <c r="P25" s="25">
        <v>946</v>
      </c>
      <c r="Q25" s="31">
        <v>359.48</v>
      </c>
      <c r="R25" s="31">
        <v>9873</v>
      </c>
      <c r="S25" s="31">
        <v>195.10400000000001</v>
      </c>
      <c r="T25" s="31">
        <v>5065</v>
      </c>
      <c r="U25" s="31">
        <v>102.55200000000001</v>
      </c>
      <c r="V25" s="31">
        <v>11711</v>
      </c>
      <c r="W25" s="31">
        <v>702.66</v>
      </c>
      <c r="X25" s="31">
        <v>2223302</v>
      </c>
      <c r="Y25" s="36">
        <v>3561.6179999999999</v>
      </c>
      <c r="Z25" s="31">
        <v>178340</v>
      </c>
      <c r="AA25" s="31">
        <v>356.65</v>
      </c>
      <c r="AB25" s="7" t="s">
        <v>41</v>
      </c>
      <c r="AC25" s="8"/>
      <c r="AD25" s="8"/>
    </row>
    <row r="26" spans="1:30" ht="11.9">
      <c r="A26" s="5" t="s">
        <v>42</v>
      </c>
      <c r="B26" s="25">
        <v>785</v>
      </c>
      <c r="C26" s="31">
        <v>152.751</v>
      </c>
      <c r="D26" s="31">
        <v>863</v>
      </c>
      <c r="E26" s="31">
        <v>194.69499999999999</v>
      </c>
      <c r="F26" s="26" t="s">
        <v>186</v>
      </c>
      <c r="G26" s="26" t="s">
        <v>186</v>
      </c>
      <c r="H26" s="41">
        <v>51187</v>
      </c>
      <c r="I26" s="36">
        <v>438.93200000000002</v>
      </c>
      <c r="J26" s="43">
        <v>70985</v>
      </c>
      <c r="K26" s="31">
        <v>575.15700000000004</v>
      </c>
      <c r="L26" s="31">
        <v>345</v>
      </c>
      <c r="M26" s="31">
        <v>4.25</v>
      </c>
      <c r="N26" s="36">
        <v>69</v>
      </c>
      <c r="O26" s="31">
        <v>21.9</v>
      </c>
      <c r="P26" s="26" t="s">
        <v>186</v>
      </c>
      <c r="Q26" s="26" t="s">
        <v>186</v>
      </c>
      <c r="R26" s="31">
        <v>1503</v>
      </c>
      <c r="S26" s="31">
        <v>36.536000000000001</v>
      </c>
      <c r="T26" s="31">
        <v>2986</v>
      </c>
      <c r="U26" s="31">
        <v>55.353999999999999</v>
      </c>
      <c r="V26" s="31">
        <v>11955</v>
      </c>
      <c r="W26" s="31">
        <v>604.5</v>
      </c>
      <c r="X26" s="31">
        <v>572530</v>
      </c>
      <c r="Y26" s="36">
        <v>866.35799999999995</v>
      </c>
      <c r="Z26" s="31">
        <v>1090</v>
      </c>
      <c r="AA26" s="31">
        <v>2.0750000000000002</v>
      </c>
      <c r="AB26" s="7" t="s">
        <v>43</v>
      </c>
      <c r="AC26" s="8"/>
      <c r="AD26" s="8"/>
    </row>
    <row r="27" spans="1:30" ht="21.3">
      <c r="A27" s="22" t="s">
        <v>198</v>
      </c>
      <c r="B27" s="27">
        <f>SUM(B28:B31)</f>
        <v>859</v>
      </c>
      <c r="C27" s="27">
        <f t="shared" ref="C27:AA27" si="6">SUM(C28:C31)</f>
        <v>144.91499999999999</v>
      </c>
      <c r="D27" s="32">
        <f t="shared" si="6"/>
        <v>4708</v>
      </c>
      <c r="E27" s="27">
        <f t="shared" si="6"/>
        <v>1244.0329999999999</v>
      </c>
      <c r="F27" s="27">
        <f t="shared" si="6"/>
        <v>0</v>
      </c>
      <c r="G27" s="27">
        <f t="shared" si="6"/>
        <v>0</v>
      </c>
      <c r="H27" s="45">
        <f t="shared" si="6"/>
        <v>146453</v>
      </c>
      <c r="I27" s="24">
        <f t="shared" si="6"/>
        <v>1406.329</v>
      </c>
      <c r="J27" s="48">
        <f t="shared" si="6"/>
        <v>60158</v>
      </c>
      <c r="K27" s="27">
        <f t="shared" si="6"/>
        <v>469.07900000000001</v>
      </c>
      <c r="L27" s="27">
        <f t="shared" si="6"/>
        <v>278</v>
      </c>
      <c r="M27" s="27">
        <f t="shared" si="6"/>
        <v>4.5839999999999996</v>
      </c>
      <c r="N27" s="24">
        <f t="shared" si="6"/>
        <v>972</v>
      </c>
      <c r="O27" s="27">
        <f t="shared" si="6"/>
        <v>310.81099999999998</v>
      </c>
      <c r="P27" s="25">
        <f t="shared" si="6"/>
        <v>0</v>
      </c>
      <c r="Q27" s="25">
        <f t="shared" si="6"/>
        <v>0</v>
      </c>
      <c r="R27" s="25">
        <f t="shared" si="6"/>
        <v>17340</v>
      </c>
      <c r="S27" s="25">
        <f t="shared" si="6"/>
        <v>390.93099999999998</v>
      </c>
      <c r="T27" s="27">
        <f t="shared" si="6"/>
        <v>4160</v>
      </c>
      <c r="U27" s="27">
        <f t="shared" si="6"/>
        <v>96.463000000000008</v>
      </c>
      <c r="V27" s="27">
        <f t="shared" si="6"/>
        <v>44341</v>
      </c>
      <c r="W27" s="27">
        <f t="shared" si="6"/>
        <v>2494.9749999999999</v>
      </c>
      <c r="X27" s="27">
        <f t="shared" si="6"/>
        <v>71930</v>
      </c>
      <c r="Y27" s="24">
        <f t="shared" si="6"/>
        <v>121.108</v>
      </c>
      <c r="Z27" s="27">
        <f t="shared" si="6"/>
        <v>8277</v>
      </c>
      <c r="AA27" s="27">
        <f t="shared" si="6"/>
        <v>15.494000000000002</v>
      </c>
      <c r="AB27" s="23" t="s">
        <v>199</v>
      </c>
      <c r="AC27" s="8"/>
      <c r="AD27" s="8"/>
    </row>
    <row r="28" spans="1:30" ht="11.9">
      <c r="A28" s="5" t="s">
        <v>44</v>
      </c>
      <c r="B28" s="25">
        <v>69</v>
      </c>
      <c r="C28" s="31">
        <v>11.313000000000001</v>
      </c>
      <c r="D28" s="31">
        <v>1562</v>
      </c>
      <c r="E28" s="31">
        <v>386.08199999999999</v>
      </c>
      <c r="F28" s="26" t="s">
        <v>186</v>
      </c>
      <c r="G28" s="26" t="s">
        <v>186</v>
      </c>
      <c r="H28" s="41">
        <v>60451</v>
      </c>
      <c r="I28" s="36">
        <v>592.08199999999999</v>
      </c>
      <c r="J28" s="43">
        <v>18526</v>
      </c>
      <c r="K28" s="31">
        <v>150.26499999999999</v>
      </c>
      <c r="L28" s="31">
        <v>248</v>
      </c>
      <c r="M28" s="31">
        <v>4.0439999999999996</v>
      </c>
      <c r="N28" s="36">
        <v>777</v>
      </c>
      <c r="O28" s="31">
        <v>234.61099999999999</v>
      </c>
      <c r="P28" s="26" t="s">
        <v>186</v>
      </c>
      <c r="Q28" s="26" t="s">
        <v>186</v>
      </c>
      <c r="R28" s="31">
        <v>6779</v>
      </c>
      <c r="S28" s="31">
        <v>147.15299999999999</v>
      </c>
      <c r="T28" s="31">
        <v>1022</v>
      </c>
      <c r="U28" s="31">
        <v>20.504999999999999</v>
      </c>
      <c r="V28" s="31">
        <v>41753</v>
      </c>
      <c r="W28" s="31">
        <v>2299.3609999999999</v>
      </c>
      <c r="X28" s="31">
        <v>30265</v>
      </c>
      <c r="Y28" s="36">
        <v>45.71</v>
      </c>
      <c r="Z28" s="31">
        <v>4392</v>
      </c>
      <c r="AA28" s="31">
        <v>8.7840000000000007</v>
      </c>
      <c r="AB28" s="7" t="s">
        <v>45</v>
      </c>
      <c r="AC28" s="8"/>
      <c r="AD28" s="8"/>
    </row>
    <row r="29" spans="1:30" ht="11.9">
      <c r="A29" s="5" t="s">
        <v>46</v>
      </c>
      <c r="B29" s="25">
        <v>295</v>
      </c>
      <c r="C29" s="31">
        <v>42.552</v>
      </c>
      <c r="D29" s="31">
        <v>1270</v>
      </c>
      <c r="E29" s="31">
        <v>351.69</v>
      </c>
      <c r="F29" s="26" t="s">
        <v>186</v>
      </c>
      <c r="G29" s="26" t="s">
        <v>186</v>
      </c>
      <c r="H29" s="41">
        <v>40422</v>
      </c>
      <c r="I29" s="36">
        <v>363.6</v>
      </c>
      <c r="J29" s="43">
        <v>31286</v>
      </c>
      <c r="K29" s="31">
        <v>225.50399999999999</v>
      </c>
      <c r="L29" s="31">
        <v>22</v>
      </c>
      <c r="M29" s="31">
        <v>0.39600000000000002</v>
      </c>
      <c r="N29" s="36">
        <v>103</v>
      </c>
      <c r="O29" s="31">
        <v>37.56</v>
      </c>
      <c r="P29" s="26" t="s">
        <v>186</v>
      </c>
      <c r="Q29" s="26" t="s">
        <v>186</v>
      </c>
      <c r="R29" s="31">
        <v>7986</v>
      </c>
      <c r="S29" s="31">
        <v>192.46799999999999</v>
      </c>
      <c r="T29" s="31">
        <v>1636</v>
      </c>
      <c r="U29" s="31">
        <v>33.082000000000001</v>
      </c>
      <c r="V29" s="31">
        <v>1802</v>
      </c>
      <c r="W29" s="31">
        <v>122.252</v>
      </c>
      <c r="X29" s="31">
        <v>6245</v>
      </c>
      <c r="Y29" s="36">
        <v>12.8</v>
      </c>
      <c r="Z29" s="31">
        <v>1100</v>
      </c>
      <c r="AA29" s="31">
        <v>2.2000000000000002</v>
      </c>
      <c r="AB29" s="7" t="s">
        <v>47</v>
      </c>
      <c r="AC29" s="8"/>
      <c r="AD29" s="8"/>
    </row>
    <row r="30" spans="1:30" ht="11.9">
      <c r="A30" s="5" t="s">
        <v>48</v>
      </c>
      <c r="B30" s="25">
        <v>420</v>
      </c>
      <c r="C30" s="31">
        <v>79.8</v>
      </c>
      <c r="D30" s="31">
        <v>373</v>
      </c>
      <c r="E30" s="31">
        <v>130.511</v>
      </c>
      <c r="F30" s="26" t="s">
        <v>186</v>
      </c>
      <c r="G30" s="26" t="s">
        <v>186</v>
      </c>
      <c r="H30" s="41">
        <v>40257</v>
      </c>
      <c r="I30" s="36">
        <v>402.74</v>
      </c>
      <c r="J30" s="43">
        <v>9961</v>
      </c>
      <c r="K30" s="31">
        <v>89.844999999999999</v>
      </c>
      <c r="L30" s="28" t="s">
        <v>186</v>
      </c>
      <c r="M30" s="28" t="s">
        <v>186</v>
      </c>
      <c r="N30" s="36">
        <v>92</v>
      </c>
      <c r="O30" s="31">
        <v>38.64</v>
      </c>
      <c r="P30" s="26" t="s">
        <v>186</v>
      </c>
      <c r="Q30" s="26" t="s">
        <v>186</v>
      </c>
      <c r="R30" s="31">
        <v>1669</v>
      </c>
      <c r="S30" s="31">
        <v>33.19</v>
      </c>
      <c r="T30" s="31">
        <v>1440</v>
      </c>
      <c r="U30" s="31">
        <v>41.76</v>
      </c>
      <c r="V30" s="31">
        <v>711</v>
      </c>
      <c r="W30" s="31">
        <v>70.361999999999995</v>
      </c>
      <c r="X30" s="31">
        <v>10790</v>
      </c>
      <c r="Y30" s="36">
        <v>18.257999999999999</v>
      </c>
      <c r="Z30" s="26" t="s">
        <v>186</v>
      </c>
      <c r="AA30" s="26" t="s">
        <v>186</v>
      </c>
      <c r="AB30" s="7" t="s">
        <v>49</v>
      </c>
      <c r="AC30" s="8"/>
      <c r="AD30" s="8"/>
    </row>
    <row r="31" spans="1:30" ht="11.9">
      <c r="A31" s="5" t="s">
        <v>50</v>
      </c>
      <c r="B31" s="25">
        <v>75</v>
      </c>
      <c r="C31" s="31">
        <v>11.25</v>
      </c>
      <c r="D31" s="31">
        <v>1503</v>
      </c>
      <c r="E31" s="31">
        <v>375.75</v>
      </c>
      <c r="F31" s="26" t="s">
        <v>186</v>
      </c>
      <c r="G31" s="26" t="s">
        <v>186</v>
      </c>
      <c r="H31" s="41">
        <v>5323</v>
      </c>
      <c r="I31" s="36">
        <v>47.906999999999996</v>
      </c>
      <c r="J31" s="43">
        <v>385</v>
      </c>
      <c r="K31" s="31">
        <v>3.4649999999999999</v>
      </c>
      <c r="L31" s="31">
        <v>8</v>
      </c>
      <c r="M31" s="31">
        <v>0.14399999999999999</v>
      </c>
      <c r="N31" s="17" t="s">
        <v>186</v>
      </c>
      <c r="O31" s="28" t="s">
        <v>186</v>
      </c>
      <c r="P31" s="28" t="s">
        <v>186</v>
      </c>
      <c r="Q31" s="28" t="s">
        <v>186</v>
      </c>
      <c r="R31" s="31">
        <v>906</v>
      </c>
      <c r="S31" s="31">
        <v>18.12</v>
      </c>
      <c r="T31" s="31">
        <v>62</v>
      </c>
      <c r="U31" s="31">
        <v>1.1160000000000001</v>
      </c>
      <c r="V31" s="31">
        <v>75</v>
      </c>
      <c r="W31" s="31">
        <v>3</v>
      </c>
      <c r="X31" s="31">
        <v>24630</v>
      </c>
      <c r="Y31" s="36">
        <v>44.34</v>
      </c>
      <c r="Z31" s="31">
        <v>2785</v>
      </c>
      <c r="AA31" s="31">
        <v>4.51</v>
      </c>
      <c r="AB31" s="7" t="s">
        <v>51</v>
      </c>
      <c r="AC31" s="8"/>
      <c r="AD31" s="8"/>
    </row>
    <row r="32" spans="1:30">
      <c r="A32" s="65" t="s">
        <v>52</v>
      </c>
      <c r="B32" s="52">
        <f>SUM(B34:B37)</f>
        <v>4673</v>
      </c>
      <c r="C32" s="52">
        <f>SUM(C34:C37)</f>
        <v>402.52600000000001</v>
      </c>
      <c r="D32" s="52">
        <f t="shared" ref="D32:AA32" si="7">SUM(D34:D37)</f>
        <v>4067</v>
      </c>
      <c r="E32" s="52">
        <f t="shared" si="7"/>
        <v>727.79</v>
      </c>
      <c r="F32" s="83">
        <f t="shared" si="7"/>
        <v>5</v>
      </c>
      <c r="G32" s="52">
        <f t="shared" si="7"/>
        <v>1.9</v>
      </c>
      <c r="H32" s="69">
        <f t="shared" si="7"/>
        <v>294396</v>
      </c>
      <c r="I32" s="67">
        <f t="shared" si="7"/>
        <v>2959.7650000000003</v>
      </c>
      <c r="J32" s="79">
        <f t="shared" si="7"/>
        <v>52945</v>
      </c>
      <c r="K32" s="52">
        <f t="shared" si="7"/>
        <v>548.24099999999999</v>
      </c>
      <c r="L32" s="52">
        <f t="shared" si="7"/>
        <v>180</v>
      </c>
      <c r="M32" s="52">
        <f t="shared" si="7"/>
        <v>3.23</v>
      </c>
      <c r="N32" s="67">
        <f t="shared" si="7"/>
        <v>629</v>
      </c>
      <c r="O32" s="52">
        <f t="shared" si="7"/>
        <v>126.37100000000001</v>
      </c>
      <c r="P32" s="52">
        <f t="shared" si="7"/>
        <v>10</v>
      </c>
      <c r="Q32" s="52">
        <f t="shared" si="7"/>
        <v>6</v>
      </c>
      <c r="R32" s="52">
        <f t="shared" si="7"/>
        <v>31332</v>
      </c>
      <c r="S32" s="52">
        <f t="shared" si="7"/>
        <v>746.63699999999994</v>
      </c>
      <c r="T32" s="52">
        <f t="shared" si="7"/>
        <v>4792</v>
      </c>
      <c r="U32" s="52">
        <f t="shared" si="7"/>
        <v>117.09</v>
      </c>
      <c r="V32" s="52">
        <f t="shared" si="7"/>
        <v>105569</v>
      </c>
      <c r="W32" s="52">
        <f t="shared" si="7"/>
        <v>7193.6469999999999</v>
      </c>
      <c r="X32" s="52">
        <f t="shared" si="7"/>
        <v>73988473</v>
      </c>
      <c r="Y32" s="67">
        <f t="shared" si="7"/>
        <v>150240.30100000001</v>
      </c>
      <c r="Z32" s="52">
        <f t="shared" si="7"/>
        <v>61862</v>
      </c>
      <c r="AA32" s="52">
        <f t="shared" si="7"/>
        <v>105.489</v>
      </c>
      <c r="AB32" s="66" t="s">
        <v>53</v>
      </c>
      <c r="AC32" s="66"/>
      <c r="AD32" s="66"/>
    </row>
    <row r="33" spans="1:30">
      <c r="A33" s="65"/>
      <c r="B33" s="52"/>
      <c r="C33" s="52"/>
      <c r="D33" s="52"/>
      <c r="E33" s="52"/>
      <c r="F33" s="83"/>
      <c r="G33" s="52"/>
      <c r="H33" s="69"/>
      <c r="I33" s="67"/>
      <c r="J33" s="79"/>
      <c r="K33" s="52"/>
      <c r="L33" s="52"/>
      <c r="M33" s="52"/>
      <c r="N33" s="67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67"/>
      <c r="Z33" s="52"/>
      <c r="AA33" s="52"/>
      <c r="AB33" s="66"/>
      <c r="AC33" s="66"/>
      <c r="AD33" s="66"/>
    </row>
    <row r="34" spans="1:30" ht="11.9">
      <c r="A34" s="5" t="s">
        <v>54</v>
      </c>
      <c r="B34" s="26" t="s">
        <v>186</v>
      </c>
      <c r="C34" s="26" t="s">
        <v>186</v>
      </c>
      <c r="D34" s="31">
        <v>780</v>
      </c>
      <c r="E34" s="31">
        <v>213</v>
      </c>
      <c r="F34" s="26" t="s">
        <v>186</v>
      </c>
      <c r="G34" s="26" t="s">
        <v>186</v>
      </c>
      <c r="H34" s="41">
        <v>24097</v>
      </c>
      <c r="I34" s="36">
        <v>205.999</v>
      </c>
      <c r="J34" s="43">
        <v>12603</v>
      </c>
      <c r="K34" s="31">
        <v>115.985</v>
      </c>
      <c r="L34" s="28" t="s">
        <v>186</v>
      </c>
      <c r="M34" s="28" t="s">
        <v>186</v>
      </c>
      <c r="N34" s="36">
        <v>65</v>
      </c>
      <c r="O34" s="31">
        <v>20.475000000000001</v>
      </c>
      <c r="P34" s="26" t="s">
        <v>186</v>
      </c>
      <c r="Q34" s="26" t="s">
        <v>186</v>
      </c>
      <c r="R34" s="31">
        <v>5556</v>
      </c>
      <c r="S34" s="31">
        <v>98.081999999999994</v>
      </c>
      <c r="T34" s="31">
        <v>300</v>
      </c>
      <c r="U34" s="31">
        <v>5.9180000000000001</v>
      </c>
      <c r="V34" s="31">
        <v>19945</v>
      </c>
      <c r="W34" s="31">
        <v>1188.585</v>
      </c>
      <c r="X34" s="31">
        <v>61348908</v>
      </c>
      <c r="Y34" s="36">
        <v>129020.671</v>
      </c>
      <c r="Z34" s="31">
        <v>59120</v>
      </c>
      <c r="AA34" s="31">
        <v>100.504</v>
      </c>
      <c r="AB34" s="7" t="s">
        <v>55</v>
      </c>
      <c r="AC34" s="8"/>
      <c r="AD34" s="8"/>
    </row>
    <row r="35" spans="1:30" ht="11.9">
      <c r="A35" s="5" t="s">
        <v>56</v>
      </c>
      <c r="B35" s="25">
        <v>60</v>
      </c>
      <c r="C35" s="31">
        <v>11.776</v>
      </c>
      <c r="D35" s="26" t="s">
        <v>186</v>
      </c>
      <c r="E35" s="26" t="s">
        <v>186</v>
      </c>
      <c r="F35" s="29">
        <v>5</v>
      </c>
      <c r="G35" s="34">
        <v>1.9</v>
      </c>
      <c r="H35" s="41">
        <v>18437</v>
      </c>
      <c r="I35" s="36">
        <v>199.8</v>
      </c>
      <c r="J35" s="43">
        <v>1658</v>
      </c>
      <c r="K35" s="31">
        <v>15.082000000000001</v>
      </c>
      <c r="L35" s="31">
        <v>150</v>
      </c>
      <c r="M35" s="31">
        <v>2.78</v>
      </c>
      <c r="N35" s="6" t="s">
        <v>186</v>
      </c>
      <c r="O35" s="26" t="s">
        <v>186</v>
      </c>
      <c r="P35" s="25">
        <v>10</v>
      </c>
      <c r="Q35" s="31">
        <v>6</v>
      </c>
      <c r="R35" s="31">
        <v>626</v>
      </c>
      <c r="S35" s="31">
        <v>14.676</v>
      </c>
      <c r="T35" s="31">
        <v>88</v>
      </c>
      <c r="U35" s="31">
        <v>2.1909999999999998</v>
      </c>
      <c r="V35" s="31">
        <v>5247</v>
      </c>
      <c r="W35" s="31">
        <v>362.89</v>
      </c>
      <c r="X35" s="31">
        <v>12550235</v>
      </c>
      <c r="Y35" s="36">
        <v>21081.396000000001</v>
      </c>
      <c r="Z35" s="31">
        <v>2242</v>
      </c>
      <c r="AA35" s="31">
        <v>4.0609999999999999</v>
      </c>
      <c r="AB35" s="7" t="s">
        <v>57</v>
      </c>
      <c r="AC35" s="8"/>
      <c r="AD35" s="8"/>
    </row>
    <row r="36" spans="1:30" ht="11.9">
      <c r="A36" s="5" t="s">
        <v>58</v>
      </c>
      <c r="B36" s="25">
        <v>542</v>
      </c>
      <c r="C36" s="31">
        <v>67.75</v>
      </c>
      <c r="D36" s="31">
        <v>728</v>
      </c>
      <c r="E36" s="31">
        <v>178.36</v>
      </c>
      <c r="F36" s="26" t="s">
        <v>186</v>
      </c>
      <c r="G36" s="26" t="s">
        <v>186</v>
      </c>
      <c r="H36" s="41">
        <v>87004</v>
      </c>
      <c r="I36" s="36">
        <v>870.59</v>
      </c>
      <c r="J36" s="43">
        <v>12716</v>
      </c>
      <c r="K36" s="31">
        <v>114.444</v>
      </c>
      <c r="L36" s="31">
        <v>30</v>
      </c>
      <c r="M36" s="31">
        <v>0.45</v>
      </c>
      <c r="N36" s="36">
        <v>10</v>
      </c>
      <c r="O36" s="31">
        <v>2.6</v>
      </c>
      <c r="P36" s="26" t="s">
        <v>186</v>
      </c>
      <c r="Q36" s="26" t="s">
        <v>186</v>
      </c>
      <c r="R36" s="31">
        <v>7608</v>
      </c>
      <c r="S36" s="31">
        <v>198.06</v>
      </c>
      <c r="T36" s="31">
        <v>938</v>
      </c>
      <c r="U36" s="31">
        <v>22.088000000000001</v>
      </c>
      <c r="V36" s="31">
        <v>110</v>
      </c>
      <c r="W36" s="31">
        <v>6.2670000000000003</v>
      </c>
      <c r="X36" s="31">
        <v>24218</v>
      </c>
      <c r="Y36" s="36">
        <v>36.667000000000002</v>
      </c>
      <c r="Z36" s="26" t="s">
        <v>186</v>
      </c>
      <c r="AA36" s="31">
        <v>0</v>
      </c>
      <c r="AB36" s="7" t="s">
        <v>59</v>
      </c>
      <c r="AC36" s="8"/>
      <c r="AD36" s="8"/>
    </row>
    <row r="37" spans="1:30" ht="11.9">
      <c r="A37" s="5" t="s">
        <v>60</v>
      </c>
      <c r="B37" s="25">
        <v>4071</v>
      </c>
      <c r="C37" s="31">
        <v>323</v>
      </c>
      <c r="D37" s="31">
        <v>2559</v>
      </c>
      <c r="E37" s="31">
        <v>336.43</v>
      </c>
      <c r="F37" s="26" t="s">
        <v>186</v>
      </c>
      <c r="G37" s="26" t="s">
        <v>186</v>
      </c>
      <c r="H37" s="41">
        <v>164858</v>
      </c>
      <c r="I37" s="36">
        <v>1683.376</v>
      </c>
      <c r="J37" s="43">
        <v>25968</v>
      </c>
      <c r="K37" s="31">
        <v>302.73</v>
      </c>
      <c r="L37" s="26" t="s">
        <v>186</v>
      </c>
      <c r="M37" s="26" t="s">
        <v>186</v>
      </c>
      <c r="N37" s="36">
        <v>554</v>
      </c>
      <c r="O37" s="31">
        <v>103.29600000000001</v>
      </c>
      <c r="P37" s="26" t="s">
        <v>186</v>
      </c>
      <c r="Q37" s="26" t="s">
        <v>186</v>
      </c>
      <c r="R37" s="31">
        <v>17542</v>
      </c>
      <c r="S37" s="31">
        <v>435.81900000000002</v>
      </c>
      <c r="T37" s="31">
        <v>3466</v>
      </c>
      <c r="U37" s="31">
        <v>86.893000000000001</v>
      </c>
      <c r="V37" s="31">
        <v>80267</v>
      </c>
      <c r="W37" s="31">
        <v>5635.9049999999997</v>
      </c>
      <c r="X37" s="31">
        <v>65112</v>
      </c>
      <c r="Y37" s="36">
        <v>101.56699999999999</v>
      </c>
      <c r="Z37" s="31">
        <v>500</v>
      </c>
      <c r="AA37" s="31">
        <v>0.92400000000000004</v>
      </c>
      <c r="AB37" s="7" t="s">
        <v>61</v>
      </c>
      <c r="AC37" s="8"/>
      <c r="AD37" s="8"/>
    </row>
    <row r="38" spans="1:30">
      <c r="A38" s="65" t="s">
        <v>62</v>
      </c>
      <c r="B38" s="52">
        <f>SUM(B40:B44)</f>
        <v>20335</v>
      </c>
      <c r="C38" s="52">
        <f>SUM(C40:C44)</f>
        <v>2881.8530000000001</v>
      </c>
      <c r="D38" s="52">
        <f t="shared" ref="D38:K38" si="8">SUM(D40:D44)</f>
        <v>20681</v>
      </c>
      <c r="E38" s="52">
        <f t="shared" si="8"/>
        <v>5115.1880000000001</v>
      </c>
      <c r="F38" s="52">
        <f t="shared" si="8"/>
        <v>44</v>
      </c>
      <c r="G38" s="52">
        <f t="shared" si="8"/>
        <v>12.870000000000001</v>
      </c>
      <c r="H38" s="69">
        <f t="shared" si="8"/>
        <v>611081</v>
      </c>
      <c r="I38" s="67">
        <f t="shared" si="8"/>
        <v>6063.0619999999999</v>
      </c>
      <c r="J38" s="79">
        <f t="shared" si="8"/>
        <v>212218</v>
      </c>
      <c r="K38" s="52">
        <f t="shared" si="8"/>
        <v>1865.5630000000001</v>
      </c>
      <c r="L38" s="52">
        <f>SUM(L40:L44)</f>
        <v>73005</v>
      </c>
      <c r="M38" s="52">
        <f>SUM(M40:M44)</f>
        <v>1159.895</v>
      </c>
      <c r="N38" s="67">
        <f t="shared" ref="N38:AA38" si="9">SUM(N40:N44)</f>
        <v>2388</v>
      </c>
      <c r="O38" s="52">
        <f t="shared" si="9"/>
        <v>796.58100000000002</v>
      </c>
      <c r="P38" s="52">
        <f t="shared" si="9"/>
        <v>5</v>
      </c>
      <c r="Q38" s="52">
        <f t="shared" si="9"/>
        <v>1.75</v>
      </c>
      <c r="R38" s="52">
        <f t="shared" si="9"/>
        <v>94702</v>
      </c>
      <c r="S38" s="52">
        <f t="shared" si="9"/>
        <v>2140.1379999999999</v>
      </c>
      <c r="T38" s="52">
        <f t="shared" si="9"/>
        <v>28172</v>
      </c>
      <c r="U38" s="52">
        <f t="shared" si="9"/>
        <v>588.12799999999993</v>
      </c>
      <c r="V38" s="52">
        <f t="shared" si="9"/>
        <v>207411</v>
      </c>
      <c r="W38" s="52">
        <f t="shared" si="9"/>
        <v>13903.364000000001</v>
      </c>
      <c r="X38" s="52">
        <f t="shared" si="9"/>
        <v>844717</v>
      </c>
      <c r="Y38" s="67">
        <f t="shared" si="9"/>
        <v>1677.8330000000001</v>
      </c>
      <c r="Z38" s="52">
        <f t="shared" si="9"/>
        <v>57319</v>
      </c>
      <c r="AA38" s="52">
        <f t="shared" si="9"/>
        <v>110.45299999999999</v>
      </c>
      <c r="AB38" s="66" t="s">
        <v>63</v>
      </c>
      <c r="AC38" s="66"/>
      <c r="AD38" s="66"/>
    </row>
    <row r="39" spans="1:30">
      <c r="A39" s="65"/>
      <c r="B39" s="52"/>
      <c r="C39" s="52"/>
      <c r="D39" s="52"/>
      <c r="E39" s="52"/>
      <c r="F39" s="52"/>
      <c r="G39" s="52"/>
      <c r="H39" s="69"/>
      <c r="I39" s="67"/>
      <c r="J39" s="79"/>
      <c r="K39" s="52"/>
      <c r="L39" s="52"/>
      <c r="M39" s="52"/>
      <c r="N39" s="67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67"/>
      <c r="Z39" s="52"/>
      <c r="AA39" s="52"/>
      <c r="AB39" s="66"/>
      <c r="AC39" s="66"/>
      <c r="AD39" s="66"/>
    </row>
    <row r="40" spans="1:30" ht="11.9">
      <c r="A40" s="5" t="s">
        <v>64</v>
      </c>
      <c r="B40" s="25">
        <v>2571</v>
      </c>
      <c r="C40" s="31">
        <v>509.05</v>
      </c>
      <c r="D40" s="31">
        <v>5613</v>
      </c>
      <c r="E40" s="31">
        <v>1529.6</v>
      </c>
      <c r="F40" s="26" t="s">
        <v>186</v>
      </c>
      <c r="G40" s="26" t="s">
        <v>186</v>
      </c>
      <c r="H40" s="41">
        <v>210894</v>
      </c>
      <c r="I40" s="36">
        <v>1871.001</v>
      </c>
      <c r="J40" s="43">
        <v>56579</v>
      </c>
      <c r="K40" s="31">
        <v>398.322</v>
      </c>
      <c r="L40" s="31">
        <v>556</v>
      </c>
      <c r="M40" s="31">
        <v>10.98</v>
      </c>
      <c r="N40" s="36">
        <v>478</v>
      </c>
      <c r="O40" s="31">
        <v>198.29</v>
      </c>
      <c r="P40" s="26" t="s">
        <v>186</v>
      </c>
      <c r="Q40" s="26" t="s">
        <v>186</v>
      </c>
      <c r="R40" s="31">
        <v>53477</v>
      </c>
      <c r="S40" s="31">
        <v>1170.8679999999999</v>
      </c>
      <c r="T40" s="31">
        <v>8034</v>
      </c>
      <c r="U40" s="31">
        <v>137.86500000000001</v>
      </c>
      <c r="V40" s="31">
        <v>69865</v>
      </c>
      <c r="W40" s="31">
        <v>4226.2330000000002</v>
      </c>
      <c r="X40" s="31">
        <v>268069</v>
      </c>
      <c r="Y40" s="36">
        <v>709.13499999999999</v>
      </c>
      <c r="Z40" s="31">
        <v>7789</v>
      </c>
      <c r="AA40" s="31">
        <v>18.338999999999999</v>
      </c>
      <c r="AB40" s="7" t="s">
        <v>65</v>
      </c>
      <c r="AC40" s="8"/>
      <c r="AD40" s="8"/>
    </row>
    <row r="41" spans="1:30" ht="11.9">
      <c r="A41" s="5" t="s">
        <v>66</v>
      </c>
      <c r="B41" s="25">
        <v>1501</v>
      </c>
      <c r="C41" s="31">
        <v>181.98</v>
      </c>
      <c r="D41" s="31">
        <v>982</v>
      </c>
      <c r="E41" s="31">
        <v>244.18600000000001</v>
      </c>
      <c r="F41" s="29">
        <v>23</v>
      </c>
      <c r="G41" s="34">
        <v>8.25</v>
      </c>
      <c r="H41" s="41">
        <v>139291</v>
      </c>
      <c r="I41" s="36">
        <v>1526.008</v>
      </c>
      <c r="J41" s="43">
        <v>20949</v>
      </c>
      <c r="K41" s="31">
        <v>215.179</v>
      </c>
      <c r="L41" s="31">
        <v>6080</v>
      </c>
      <c r="M41" s="31">
        <v>103.46899999999999</v>
      </c>
      <c r="N41" s="36">
        <v>43</v>
      </c>
      <c r="O41" s="31">
        <v>12.54</v>
      </c>
      <c r="P41" s="26" t="s">
        <v>186</v>
      </c>
      <c r="Q41" s="26" t="s">
        <v>186</v>
      </c>
      <c r="R41" s="31">
        <v>10591</v>
      </c>
      <c r="S41" s="31">
        <v>246.43799999999999</v>
      </c>
      <c r="T41" s="31">
        <v>1542</v>
      </c>
      <c r="U41" s="31">
        <v>35.942999999999998</v>
      </c>
      <c r="V41" s="31">
        <v>11532</v>
      </c>
      <c r="W41" s="31">
        <v>706.08199999999999</v>
      </c>
      <c r="X41" s="31">
        <v>239120</v>
      </c>
      <c r="Y41" s="36">
        <v>341.43099999999998</v>
      </c>
      <c r="Z41" s="31">
        <v>13745</v>
      </c>
      <c r="AA41" s="31">
        <v>21.632999999999999</v>
      </c>
      <c r="AB41" s="7" t="s">
        <v>67</v>
      </c>
      <c r="AC41" s="8"/>
      <c r="AD41" s="8"/>
    </row>
    <row r="42" spans="1:30" ht="11.9">
      <c r="A42" s="5" t="s">
        <v>68</v>
      </c>
      <c r="B42" s="25">
        <v>3949</v>
      </c>
      <c r="C42" s="31">
        <v>540.93299999999999</v>
      </c>
      <c r="D42" s="31">
        <v>4191</v>
      </c>
      <c r="E42" s="31">
        <v>905.20699999999999</v>
      </c>
      <c r="F42" s="26" t="s">
        <v>186</v>
      </c>
      <c r="G42" s="26" t="s">
        <v>186</v>
      </c>
      <c r="H42" s="41">
        <v>68642</v>
      </c>
      <c r="I42" s="36">
        <v>703.46600000000001</v>
      </c>
      <c r="J42" s="43">
        <v>51786</v>
      </c>
      <c r="K42" s="31">
        <v>467.51600000000002</v>
      </c>
      <c r="L42" s="31">
        <v>5343</v>
      </c>
      <c r="M42" s="31">
        <v>84.287999999999997</v>
      </c>
      <c r="N42" s="36">
        <v>425</v>
      </c>
      <c r="O42" s="31">
        <v>134.46100000000001</v>
      </c>
      <c r="P42" s="26" t="s">
        <v>186</v>
      </c>
      <c r="Q42" s="26" t="s">
        <v>186</v>
      </c>
      <c r="R42" s="31">
        <v>8276</v>
      </c>
      <c r="S42" s="31">
        <v>192.41</v>
      </c>
      <c r="T42" s="31">
        <v>7334</v>
      </c>
      <c r="U42" s="31">
        <v>160.358</v>
      </c>
      <c r="V42" s="31">
        <v>18556</v>
      </c>
      <c r="W42" s="31">
        <v>1257.579</v>
      </c>
      <c r="X42" s="31">
        <v>9748</v>
      </c>
      <c r="Y42" s="36">
        <v>14.621</v>
      </c>
      <c r="Z42" s="31">
        <v>150</v>
      </c>
      <c r="AA42" s="31">
        <v>0.3</v>
      </c>
      <c r="AB42" s="7" t="s">
        <v>69</v>
      </c>
      <c r="AC42" s="8"/>
      <c r="AD42" s="8"/>
    </row>
    <row r="43" spans="1:30" ht="11.9">
      <c r="A43" s="5" t="s">
        <v>70</v>
      </c>
      <c r="B43" s="26" t="s">
        <v>186</v>
      </c>
      <c r="C43" s="26" t="s">
        <v>186</v>
      </c>
      <c r="D43" s="26" t="s">
        <v>186</v>
      </c>
      <c r="E43" s="26" t="s">
        <v>186</v>
      </c>
      <c r="F43" s="26" t="s">
        <v>186</v>
      </c>
      <c r="G43" s="26" t="s">
        <v>186</v>
      </c>
      <c r="H43" s="41">
        <v>670</v>
      </c>
      <c r="I43" s="36">
        <v>5.36</v>
      </c>
      <c r="J43" s="43">
        <v>7265</v>
      </c>
      <c r="K43" s="31">
        <v>60.32</v>
      </c>
      <c r="L43" s="26" t="s">
        <v>186</v>
      </c>
      <c r="M43" s="26" t="s">
        <v>186</v>
      </c>
      <c r="N43" s="6" t="s">
        <v>186</v>
      </c>
      <c r="O43" s="26" t="s">
        <v>186</v>
      </c>
      <c r="P43" s="26" t="s">
        <v>186</v>
      </c>
      <c r="Q43" s="26" t="s">
        <v>186</v>
      </c>
      <c r="R43" s="31">
        <v>124</v>
      </c>
      <c r="S43" s="31">
        <v>2.48</v>
      </c>
      <c r="T43" s="31">
        <v>1410</v>
      </c>
      <c r="U43" s="31">
        <v>28.2</v>
      </c>
      <c r="V43" s="26" t="s">
        <v>186</v>
      </c>
      <c r="W43" s="26" t="s">
        <v>186</v>
      </c>
      <c r="X43" s="31">
        <v>800</v>
      </c>
      <c r="Y43" s="36">
        <v>1.18</v>
      </c>
      <c r="Z43" s="26" t="s">
        <v>186</v>
      </c>
      <c r="AA43" s="26" t="s">
        <v>186</v>
      </c>
      <c r="AB43" s="7" t="s">
        <v>71</v>
      </c>
      <c r="AC43" s="8"/>
      <c r="AD43" s="8"/>
    </row>
    <row r="44" spans="1:30" ht="11.9">
      <c r="A44" s="5" t="s">
        <v>72</v>
      </c>
      <c r="B44" s="25">
        <v>12314</v>
      </c>
      <c r="C44" s="31">
        <v>1649.89</v>
      </c>
      <c r="D44" s="31">
        <v>9895</v>
      </c>
      <c r="E44" s="31">
        <v>2436.1950000000002</v>
      </c>
      <c r="F44" s="29">
        <v>21</v>
      </c>
      <c r="G44" s="34">
        <v>4.62</v>
      </c>
      <c r="H44" s="41">
        <v>191584</v>
      </c>
      <c r="I44" s="36">
        <v>1957.2270000000001</v>
      </c>
      <c r="J44" s="43">
        <v>75639</v>
      </c>
      <c r="K44" s="31">
        <v>724.226</v>
      </c>
      <c r="L44" s="31">
        <v>61026</v>
      </c>
      <c r="M44" s="31">
        <v>961.15800000000002</v>
      </c>
      <c r="N44" s="36">
        <v>1442</v>
      </c>
      <c r="O44" s="31">
        <v>451.29</v>
      </c>
      <c r="P44" s="25">
        <v>5</v>
      </c>
      <c r="Q44" s="31">
        <v>1.75</v>
      </c>
      <c r="R44" s="31">
        <v>22234</v>
      </c>
      <c r="S44" s="31">
        <v>527.94200000000001</v>
      </c>
      <c r="T44" s="31">
        <v>9852</v>
      </c>
      <c r="U44" s="31">
        <v>225.762</v>
      </c>
      <c r="V44" s="31">
        <v>107458</v>
      </c>
      <c r="W44" s="31">
        <v>7713.47</v>
      </c>
      <c r="X44" s="31">
        <v>326980</v>
      </c>
      <c r="Y44" s="36">
        <v>611.46600000000001</v>
      </c>
      <c r="Z44" s="31">
        <v>35635</v>
      </c>
      <c r="AA44" s="31">
        <v>70.180999999999997</v>
      </c>
      <c r="AB44" s="7" t="s">
        <v>73</v>
      </c>
      <c r="AC44" s="8"/>
      <c r="AD44" s="8"/>
    </row>
    <row r="45" spans="1:30">
      <c r="A45" s="65" t="s">
        <v>74</v>
      </c>
      <c r="B45" s="52">
        <f t="shared" ref="B45:G45" si="10">SUM(B47:B51)</f>
        <v>4782</v>
      </c>
      <c r="C45" s="52">
        <f t="shared" si="10"/>
        <v>561.58200000000011</v>
      </c>
      <c r="D45" s="52">
        <f t="shared" si="10"/>
        <v>4855</v>
      </c>
      <c r="E45" s="52">
        <f t="shared" si="10"/>
        <v>1031.5120000000002</v>
      </c>
      <c r="F45" s="52">
        <f t="shared" si="10"/>
        <v>129</v>
      </c>
      <c r="G45" s="52">
        <f t="shared" si="10"/>
        <v>28.95</v>
      </c>
      <c r="H45" s="69">
        <f t="shared" ref="H45:AA45" si="11">SUM(H47:H51)</f>
        <v>381337</v>
      </c>
      <c r="I45" s="67">
        <f t="shared" si="11"/>
        <v>4133.1719999999996</v>
      </c>
      <c r="J45" s="79">
        <f t="shared" si="11"/>
        <v>233378</v>
      </c>
      <c r="K45" s="52">
        <f t="shared" si="11"/>
        <v>2339.7560000000003</v>
      </c>
      <c r="L45" s="52">
        <f t="shared" si="11"/>
        <v>35026</v>
      </c>
      <c r="M45" s="52">
        <f t="shared" si="11"/>
        <v>634.13499999999999</v>
      </c>
      <c r="N45" s="67">
        <f t="shared" si="11"/>
        <v>1536</v>
      </c>
      <c r="O45" s="52">
        <f t="shared" si="11"/>
        <v>417.26500000000004</v>
      </c>
      <c r="P45" s="52">
        <f t="shared" si="11"/>
        <v>2</v>
      </c>
      <c r="Q45" s="52">
        <f t="shared" si="11"/>
        <v>0.3</v>
      </c>
      <c r="R45" s="52">
        <f t="shared" si="11"/>
        <v>61517</v>
      </c>
      <c r="S45" s="52">
        <f t="shared" si="11"/>
        <v>1303.473</v>
      </c>
      <c r="T45" s="52">
        <f t="shared" si="11"/>
        <v>39857</v>
      </c>
      <c r="U45" s="52">
        <f t="shared" si="11"/>
        <v>847.59500000000003</v>
      </c>
      <c r="V45" s="52">
        <f t="shared" si="11"/>
        <v>162818</v>
      </c>
      <c r="W45" s="52">
        <f t="shared" si="11"/>
        <v>9949.8940000000002</v>
      </c>
      <c r="X45" s="52">
        <f t="shared" si="11"/>
        <v>29929311</v>
      </c>
      <c r="Y45" s="67">
        <f t="shared" si="11"/>
        <v>55108.985999999997</v>
      </c>
      <c r="Z45" s="52">
        <f t="shared" si="11"/>
        <v>79468</v>
      </c>
      <c r="AA45" s="52">
        <f t="shared" si="11"/>
        <v>141.65200000000002</v>
      </c>
      <c r="AB45" s="66" t="s">
        <v>75</v>
      </c>
      <c r="AC45" s="66"/>
      <c r="AD45" s="66"/>
    </row>
    <row r="46" spans="1:30">
      <c r="A46" s="65"/>
      <c r="B46" s="52"/>
      <c r="C46" s="52"/>
      <c r="D46" s="52"/>
      <c r="E46" s="52"/>
      <c r="F46" s="52"/>
      <c r="G46" s="52"/>
      <c r="H46" s="69"/>
      <c r="I46" s="67"/>
      <c r="J46" s="79"/>
      <c r="K46" s="52"/>
      <c r="L46" s="52"/>
      <c r="M46" s="52"/>
      <c r="N46" s="67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67"/>
      <c r="Z46" s="52"/>
      <c r="AA46" s="52"/>
      <c r="AB46" s="66"/>
      <c r="AC46" s="66"/>
      <c r="AD46" s="66"/>
    </row>
    <row r="47" spans="1:30" ht="11.9">
      <c r="A47" s="5" t="s">
        <v>76</v>
      </c>
      <c r="B47" s="25">
        <v>887</v>
      </c>
      <c r="C47" s="31">
        <v>134.239</v>
      </c>
      <c r="D47" s="31">
        <v>2384</v>
      </c>
      <c r="E47" s="31">
        <v>572.10199999999998</v>
      </c>
      <c r="F47" s="29">
        <v>64</v>
      </c>
      <c r="G47" s="34">
        <v>15.95</v>
      </c>
      <c r="H47" s="41">
        <v>84800</v>
      </c>
      <c r="I47" s="36">
        <v>976.54</v>
      </c>
      <c r="J47" s="43">
        <v>27386</v>
      </c>
      <c r="K47" s="31">
        <v>275.88600000000002</v>
      </c>
      <c r="L47" s="31">
        <v>22507</v>
      </c>
      <c r="M47" s="31">
        <v>386.30500000000001</v>
      </c>
      <c r="N47" s="36">
        <v>683</v>
      </c>
      <c r="O47" s="31">
        <v>198.315</v>
      </c>
      <c r="P47" s="25">
        <v>2</v>
      </c>
      <c r="Q47" s="31">
        <v>0.3</v>
      </c>
      <c r="R47" s="31">
        <v>22598</v>
      </c>
      <c r="S47" s="31">
        <v>502.75299999999999</v>
      </c>
      <c r="T47" s="31">
        <v>10122</v>
      </c>
      <c r="U47" s="31">
        <v>232.89</v>
      </c>
      <c r="V47" s="31">
        <v>9647</v>
      </c>
      <c r="W47" s="31">
        <v>519.65599999999995</v>
      </c>
      <c r="X47" s="31">
        <v>88940</v>
      </c>
      <c r="Y47" s="36">
        <v>162.95699999999999</v>
      </c>
      <c r="Z47" s="31">
        <v>46465</v>
      </c>
      <c r="AA47" s="31">
        <v>88.778000000000006</v>
      </c>
      <c r="AB47" s="7" t="s">
        <v>77</v>
      </c>
      <c r="AC47" s="8"/>
      <c r="AD47" s="8"/>
    </row>
    <row r="48" spans="1:30" ht="11.9">
      <c r="A48" s="5" t="s">
        <v>78</v>
      </c>
      <c r="B48" s="25">
        <v>1525</v>
      </c>
      <c r="C48" s="31">
        <v>177.89</v>
      </c>
      <c r="D48" s="31">
        <v>578</v>
      </c>
      <c r="E48" s="31">
        <v>88.6</v>
      </c>
      <c r="F48" s="26" t="s">
        <v>186</v>
      </c>
      <c r="G48" s="26" t="s">
        <v>186</v>
      </c>
      <c r="H48" s="41">
        <v>82505</v>
      </c>
      <c r="I48" s="36">
        <v>958.83299999999997</v>
      </c>
      <c r="J48" s="43">
        <v>47956</v>
      </c>
      <c r="K48" s="31">
        <v>517.89</v>
      </c>
      <c r="L48" s="31">
        <v>280</v>
      </c>
      <c r="M48" s="31">
        <v>5.6</v>
      </c>
      <c r="N48" s="36">
        <v>325</v>
      </c>
      <c r="O48" s="31">
        <v>96.4</v>
      </c>
      <c r="P48" s="26" t="s">
        <v>186</v>
      </c>
      <c r="Q48" s="26" t="s">
        <v>186</v>
      </c>
      <c r="R48" s="31">
        <v>16697</v>
      </c>
      <c r="S48" s="31">
        <v>348.73599999999999</v>
      </c>
      <c r="T48" s="31">
        <v>11860</v>
      </c>
      <c r="U48" s="31">
        <v>248.18700000000001</v>
      </c>
      <c r="V48" s="31">
        <v>628</v>
      </c>
      <c r="W48" s="31">
        <v>30.87</v>
      </c>
      <c r="X48" s="31">
        <v>5091785</v>
      </c>
      <c r="Y48" s="36">
        <v>7673.8789999999999</v>
      </c>
      <c r="Z48" s="31">
        <v>8060</v>
      </c>
      <c r="AA48" s="31">
        <v>11.175000000000001</v>
      </c>
      <c r="AB48" s="7" t="s">
        <v>79</v>
      </c>
      <c r="AC48" s="8"/>
      <c r="AD48" s="8"/>
    </row>
    <row r="49" spans="1:30" ht="11.9">
      <c r="A49" s="5" t="s">
        <v>80</v>
      </c>
      <c r="B49" s="25">
        <v>533</v>
      </c>
      <c r="C49" s="31">
        <v>107.26300000000001</v>
      </c>
      <c r="D49" s="31">
        <v>772</v>
      </c>
      <c r="E49" s="31">
        <v>186.80500000000001</v>
      </c>
      <c r="F49" s="26" t="s">
        <v>186</v>
      </c>
      <c r="G49" s="26" t="s">
        <v>186</v>
      </c>
      <c r="H49" s="41">
        <v>149093</v>
      </c>
      <c r="I49" s="36">
        <v>1528.44</v>
      </c>
      <c r="J49" s="43">
        <v>106060</v>
      </c>
      <c r="K49" s="31">
        <v>1014.436</v>
      </c>
      <c r="L49" s="31">
        <v>12135</v>
      </c>
      <c r="M49" s="31">
        <v>240.27</v>
      </c>
      <c r="N49" s="36">
        <v>103</v>
      </c>
      <c r="O49" s="31">
        <v>56.67</v>
      </c>
      <c r="P49" s="26" t="s">
        <v>186</v>
      </c>
      <c r="Q49" s="26" t="s">
        <v>186</v>
      </c>
      <c r="R49" s="31">
        <v>10849</v>
      </c>
      <c r="S49" s="31">
        <v>235.09899999999999</v>
      </c>
      <c r="T49" s="31">
        <v>9777</v>
      </c>
      <c r="U49" s="31">
        <v>213.27799999999999</v>
      </c>
      <c r="V49" s="31">
        <v>151105</v>
      </c>
      <c r="W49" s="31">
        <v>9322.1630000000005</v>
      </c>
      <c r="X49" s="31">
        <v>22236198</v>
      </c>
      <c r="Y49" s="36">
        <v>43488.360999999997</v>
      </c>
      <c r="Z49" s="31">
        <v>2610</v>
      </c>
      <c r="AA49" s="31">
        <v>4.9210000000000003</v>
      </c>
      <c r="AB49" s="7" t="s">
        <v>81</v>
      </c>
      <c r="AC49" s="8"/>
      <c r="AD49" s="8"/>
    </row>
    <row r="50" spans="1:30" ht="11.9">
      <c r="A50" s="5" t="s">
        <v>82</v>
      </c>
      <c r="B50" s="25">
        <v>650</v>
      </c>
      <c r="C50" s="31">
        <v>49.55</v>
      </c>
      <c r="D50" s="31">
        <v>281</v>
      </c>
      <c r="E50" s="31">
        <v>47.51</v>
      </c>
      <c r="F50" s="26" t="s">
        <v>186</v>
      </c>
      <c r="G50" s="26" t="s">
        <v>186</v>
      </c>
      <c r="H50" s="41">
        <v>27727</v>
      </c>
      <c r="I50" s="36">
        <v>300.16000000000003</v>
      </c>
      <c r="J50" s="43">
        <v>24375</v>
      </c>
      <c r="K50" s="31">
        <v>247.56800000000001</v>
      </c>
      <c r="L50" s="31">
        <v>84</v>
      </c>
      <c r="M50" s="31">
        <v>1.56</v>
      </c>
      <c r="N50" s="36">
        <v>58</v>
      </c>
      <c r="O50" s="31">
        <v>10.08</v>
      </c>
      <c r="P50" s="26" t="s">
        <v>186</v>
      </c>
      <c r="Q50" s="26" t="s">
        <v>186</v>
      </c>
      <c r="R50" s="31">
        <v>3580</v>
      </c>
      <c r="S50" s="31">
        <v>78.45</v>
      </c>
      <c r="T50" s="31">
        <v>2957</v>
      </c>
      <c r="U50" s="31">
        <v>61.222000000000001</v>
      </c>
      <c r="V50" s="31">
        <v>633</v>
      </c>
      <c r="W50" s="31">
        <v>34.03</v>
      </c>
      <c r="X50" s="31">
        <v>10133</v>
      </c>
      <c r="Y50" s="36">
        <v>21.146999999999998</v>
      </c>
      <c r="Z50" s="31">
        <v>6390</v>
      </c>
      <c r="AA50" s="31">
        <v>10.82</v>
      </c>
      <c r="AB50" s="7" t="s">
        <v>83</v>
      </c>
      <c r="AC50" s="8"/>
      <c r="AD50" s="8"/>
    </row>
    <row r="51" spans="1:30" ht="11.9">
      <c r="A51" s="5" t="s">
        <v>84</v>
      </c>
      <c r="B51" s="25">
        <v>1187</v>
      </c>
      <c r="C51" s="31">
        <v>92.64</v>
      </c>
      <c r="D51" s="31">
        <v>840</v>
      </c>
      <c r="E51" s="31">
        <v>136.495</v>
      </c>
      <c r="F51" s="29">
        <v>65</v>
      </c>
      <c r="G51" s="34">
        <v>13</v>
      </c>
      <c r="H51" s="41">
        <v>37212</v>
      </c>
      <c r="I51" s="36">
        <v>369.19900000000001</v>
      </c>
      <c r="J51" s="43">
        <v>27601</v>
      </c>
      <c r="K51" s="31">
        <v>283.976</v>
      </c>
      <c r="L51" s="31">
        <v>20</v>
      </c>
      <c r="M51" s="31">
        <v>0.4</v>
      </c>
      <c r="N51" s="36">
        <v>367</v>
      </c>
      <c r="O51" s="31">
        <v>55.8</v>
      </c>
      <c r="P51" s="26" t="s">
        <v>186</v>
      </c>
      <c r="Q51" s="26" t="s">
        <v>186</v>
      </c>
      <c r="R51" s="31">
        <v>7793</v>
      </c>
      <c r="S51" s="31">
        <v>138.435</v>
      </c>
      <c r="T51" s="31">
        <v>5141</v>
      </c>
      <c r="U51" s="31">
        <v>92.018000000000001</v>
      </c>
      <c r="V51" s="31">
        <v>805</v>
      </c>
      <c r="W51" s="31">
        <v>43.174999999999997</v>
      </c>
      <c r="X51" s="31">
        <v>2502255</v>
      </c>
      <c r="Y51" s="36">
        <v>3762.6419999999998</v>
      </c>
      <c r="Z51" s="31">
        <v>15943</v>
      </c>
      <c r="AA51" s="31">
        <v>25.957999999999998</v>
      </c>
      <c r="AB51" s="7" t="s">
        <v>85</v>
      </c>
      <c r="AC51" s="8"/>
      <c r="AD51" s="8"/>
    </row>
    <row r="52" spans="1:30">
      <c r="A52" s="65" t="s">
        <v>86</v>
      </c>
      <c r="B52" s="52">
        <f t="shared" ref="B52:AA52" si="12">SUM(B54:B58)</f>
        <v>240</v>
      </c>
      <c r="C52" s="52">
        <f t="shared" si="12"/>
        <v>37.282000000000004</v>
      </c>
      <c r="D52" s="52">
        <f t="shared" si="12"/>
        <v>871</v>
      </c>
      <c r="E52" s="52">
        <f t="shared" si="12"/>
        <v>231.34399999999999</v>
      </c>
      <c r="F52" s="52">
        <f t="shared" si="12"/>
        <v>2</v>
      </c>
      <c r="G52" s="52">
        <f t="shared" si="12"/>
        <v>0.35</v>
      </c>
      <c r="H52" s="69">
        <f t="shared" si="12"/>
        <v>65796</v>
      </c>
      <c r="I52" s="67">
        <f t="shared" si="12"/>
        <v>671.19200000000001</v>
      </c>
      <c r="J52" s="79">
        <f t="shared" si="12"/>
        <v>52306</v>
      </c>
      <c r="K52" s="52">
        <f t="shared" si="12"/>
        <v>559.26099999999997</v>
      </c>
      <c r="L52" s="52">
        <f t="shared" si="12"/>
        <v>2434</v>
      </c>
      <c r="M52" s="52">
        <f t="shared" si="12"/>
        <v>46.236000000000004</v>
      </c>
      <c r="N52" s="67">
        <f t="shared" si="12"/>
        <v>136</v>
      </c>
      <c r="O52" s="52">
        <f t="shared" si="12"/>
        <v>44.165999999999997</v>
      </c>
      <c r="P52" s="52">
        <f t="shared" si="12"/>
        <v>0</v>
      </c>
      <c r="Q52" s="52">
        <f t="shared" si="12"/>
        <v>0</v>
      </c>
      <c r="R52" s="52">
        <f t="shared" si="12"/>
        <v>5285</v>
      </c>
      <c r="S52" s="52">
        <f t="shared" si="12"/>
        <v>116.724</v>
      </c>
      <c r="T52" s="52">
        <f t="shared" si="12"/>
        <v>4754</v>
      </c>
      <c r="U52" s="52">
        <f t="shared" si="12"/>
        <v>100.614</v>
      </c>
      <c r="V52" s="52">
        <f t="shared" si="12"/>
        <v>1314</v>
      </c>
      <c r="W52" s="52">
        <f t="shared" si="12"/>
        <v>49.091000000000001</v>
      </c>
      <c r="X52" s="52">
        <f t="shared" si="12"/>
        <v>102440</v>
      </c>
      <c r="Y52" s="67">
        <f t="shared" si="12"/>
        <v>158.31100000000001</v>
      </c>
      <c r="Z52" s="52">
        <f t="shared" si="12"/>
        <v>34508</v>
      </c>
      <c r="AA52" s="52">
        <f t="shared" si="12"/>
        <v>54.390999999999991</v>
      </c>
      <c r="AB52" s="66" t="s">
        <v>87</v>
      </c>
      <c r="AC52" s="66"/>
      <c r="AD52" s="66"/>
    </row>
    <row r="53" spans="1:30">
      <c r="A53" s="65"/>
      <c r="B53" s="52"/>
      <c r="C53" s="52"/>
      <c r="D53" s="52"/>
      <c r="E53" s="52"/>
      <c r="F53" s="52"/>
      <c r="G53" s="52"/>
      <c r="H53" s="69"/>
      <c r="I53" s="67"/>
      <c r="J53" s="79"/>
      <c r="K53" s="52"/>
      <c r="L53" s="52"/>
      <c r="M53" s="52"/>
      <c r="N53" s="67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67"/>
      <c r="Z53" s="52"/>
      <c r="AA53" s="52"/>
      <c r="AB53" s="66"/>
      <c r="AC53" s="66"/>
      <c r="AD53" s="66"/>
    </row>
    <row r="54" spans="1:30" ht="11.9">
      <c r="A54" s="5" t="s">
        <v>88</v>
      </c>
      <c r="B54" s="28" t="s">
        <v>186</v>
      </c>
      <c r="C54" s="28" t="s">
        <v>186</v>
      </c>
      <c r="D54" s="26" t="s">
        <v>186</v>
      </c>
      <c r="E54" s="26" t="s">
        <v>186</v>
      </c>
      <c r="F54" s="26" t="s">
        <v>186</v>
      </c>
      <c r="G54" s="26" t="s">
        <v>186</v>
      </c>
      <c r="H54" s="41">
        <v>3849</v>
      </c>
      <c r="I54" s="36">
        <v>38.478000000000002</v>
      </c>
      <c r="J54" s="43">
        <v>3042</v>
      </c>
      <c r="K54" s="31">
        <v>27.681999999999999</v>
      </c>
      <c r="L54" s="31">
        <v>420</v>
      </c>
      <c r="M54" s="31">
        <v>8.3000000000000007</v>
      </c>
      <c r="N54" s="36">
        <v>35</v>
      </c>
      <c r="O54" s="31">
        <v>11.55</v>
      </c>
      <c r="P54" s="26" t="s">
        <v>186</v>
      </c>
      <c r="Q54" s="26" t="s">
        <v>186</v>
      </c>
      <c r="R54" s="31">
        <v>1452</v>
      </c>
      <c r="S54" s="31">
        <v>25.414999999999999</v>
      </c>
      <c r="T54" s="31">
        <v>1200</v>
      </c>
      <c r="U54" s="31">
        <v>28.495000000000001</v>
      </c>
      <c r="V54" s="31">
        <v>147</v>
      </c>
      <c r="W54" s="31">
        <v>7.3369999999999997</v>
      </c>
      <c r="X54" s="31">
        <v>58793</v>
      </c>
      <c r="Y54" s="36">
        <v>97.616</v>
      </c>
      <c r="Z54" s="31">
        <v>6156</v>
      </c>
      <c r="AA54" s="31">
        <v>9.8089999999999993</v>
      </c>
      <c r="AB54" s="7" t="s">
        <v>89</v>
      </c>
      <c r="AC54" s="8"/>
      <c r="AD54" s="8"/>
    </row>
    <row r="55" spans="1:30" ht="11.9">
      <c r="A55" s="5" t="s">
        <v>90</v>
      </c>
      <c r="B55" s="25">
        <v>127</v>
      </c>
      <c r="C55" s="31">
        <v>24.882000000000001</v>
      </c>
      <c r="D55" s="31">
        <v>446</v>
      </c>
      <c r="E55" s="31">
        <v>145.07</v>
      </c>
      <c r="F55" s="26" t="s">
        <v>186</v>
      </c>
      <c r="G55" s="26" t="s">
        <v>186</v>
      </c>
      <c r="H55" s="41">
        <v>8308</v>
      </c>
      <c r="I55" s="36">
        <v>97.879000000000005</v>
      </c>
      <c r="J55" s="43">
        <v>9588</v>
      </c>
      <c r="K55" s="31">
        <v>111.822</v>
      </c>
      <c r="L55" s="31">
        <v>1130</v>
      </c>
      <c r="M55" s="31">
        <v>21.887</v>
      </c>
      <c r="N55" s="36">
        <v>52</v>
      </c>
      <c r="O55" s="31">
        <v>18.2</v>
      </c>
      <c r="P55" s="26" t="s">
        <v>186</v>
      </c>
      <c r="Q55" s="26" t="s">
        <v>186</v>
      </c>
      <c r="R55" s="31">
        <v>436</v>
      </c>
      <c r="S55" s="31">
        <v>12.28</v>
      </c>
      <c r="T55" s="31">
        <v>345</v>
      </c>
      <c r="U55" s="31">
        <v>8.3919999999999995</v>
      </c>
      <c r="V55" s="31">
        <v>963</v>
      </c>
      <c r="W55" s="31">
        <v>31.946000000000002</v>
      </c>
      <c r="X55" s="31">
        <v>32657</v>
      </c>
      <c r="Y55" s="36">
        <v>43.706000000000003</v>
      </c>
      <c r="Z55" s="31">
        <v>18617</v>
      </c>
      <c r="AA55" s="31">
        <v>27.113</v>
      </c>
      <c r="AB55" s="7" t="s">
        <v>91</v>
      </c>
      <c r="AC55" s="8"/>
      <c r="AD55" s="8"/>
    </row>
    <row r="56" spans="1:30" ht="11.9">
      <c r="A56" s="5" t="s">
        <v>92</v>
      </c>
      <c r="B56" s="28" t="s">
        <v>186</v>
      </c>
      <c r="C56" s="28" t="s">
        <v>186</v>
      </c>
      <c r="D56" s="26" t="s">
        <v>186</v>
      </c>
      <c r="E56" s="26" t="s">
        <v>186</v>
      </c>
      <c r="F56" s="26" t="s">
        <v>186</v>
      </c>
      <c r="G56" s="26" t="s">
        <v>186</v>
      </c>
      <c r="H56" s="41">
        <v>2587</v>
      </c>
      <c r="I56" s="36">
        <v>27.59</v>
      </c>
      <c r="J56" s="43">
        <v>3863</v>
      </c>
      <c r="K56" s="31">
        <v>33.222000000000001</v>
      </c>
      <c r="L56" s="31">
        <v>100</v>
      </c>
      <c r="M56" s="31">
        <v>1.8</v>
      </c>
      <c r="N56" s="6" t="s">
        <v>186</v>
      </c>
      <c r="O56" s="26" t="s">
        <v>186</v>
      </c>
      <c r="P56" s="26" t="s">
        <v>186</v>
      </c>
      <c r="Q56" s="26" t="s">
        <v>186</v>
      </c>
      <c r="R56" s="31">
        <v>230</v>
      </c>
      <c r="S56" s="31">
        <v>3.68</v>
      </c>
      <c r="T56" s="31">
        <v>565</v>
      </c>
      <c r="U56" s="31">
        <v>8.8000000000000007</v>
      </c>
      <c r="V56" s="26" t="s">
        <v>186</v>
      </c>
      <c r="W56" s="26" t="s">
        <v>186</v>
      </c>
      <c r="X56" s="31">
        <v>675</v>
      </c>
      <c r="Y56" s="36">
        <v>1.089</v>
      </c>
      <c r="Z56" s="31">
        <v>160</v>
      </c>
      <c r="AA56" s="31">
        <v>0.34499999999999997</v>
      </c>
      <c r="AB56" s="7" t="s">
        <v>93</v>
      </c>
      <c r="AC56" s="8"/>
      <c r="AD56" s="8"/>
    </row>
    <row r="57" spans="1:30" ht="11.9">
      <c r="A57" s="5" t="s">
        <v>94</v>
      </c>
      <c r="B57" s="25">
        <v>113</v>
      </c>
      <c r="C57" s="31">
        <v>12.4</v>
      </c>
      <c r="D57" s="31">
        <v>425</v>
      </c>
      <c r="E57" s="31">
        <v>86.274000000000001</v>
      </c>
      <c r="F57" s="29">
        <v>2</v>
      </c>
      <c r="G57" s="34">
        <v>0.35</v>
      </c>
      <c r="H57" s="41">
        <v>51052</v>
      </c>
      <c r="I57" s="36">
        <v>507.245</v>
      </c>
      <c r="J57" s="43">
        <v>35813</v>
      </c>
      <c r="K57" s="31">
        <v>386.53500000000003</v>
      </c>
      <c r="L57" s="31">
        <v>784</v>
      </c>
      <c r="M57" s="31">
        <v>14.249000000000001</v>
      </c>
      <c r="N57" s="36">
        <v>49</v>
      </c>
      <c r="O57" s="31">
        <v>14.416</v>
      </c>
      <c r="P57" s="26" t="s">
        <v>186</v>
      </c>
      <c r="Q57" s="26" t="s">
        <v>186</v>
      </c>
      <c r="R57" s="31">
        <v>3167</v>
      </c>
      <c r="S57" s="31">
        <v>75.349000000000004</v>
      </c>
      <c r="T57" s="31">
        <v>2644</v>
      </c>
      <c r="U57" s="31">
        <v>54.927</v>
      </c>
      <c r="V57" s="31">
        <v>204</v>
      </c>
      <c r="W57" s="31">
        <v>9.8079999999999998</v>
      </c>
      <c r="X57" s="31">
        <v>10315</v>
      </c>
      <c r="Y57" s="36">
        <v>15.9</v>
      </c>
      <c r="Z57" s="31">
        <v>9575</v>
      </c>
      <c r="AA57" s="31">
        <v>17.123999999999999</v>
      </c>
      <c r="AB57" s="7" t="s">
        <v>95</v>
      </c>
      <c r="AC57" s="8"/>
      <c r="AD57" s="8"/>
    </row>
    <row r="58" spans="1:30" ht="11.3">
      <c r="A58" s="5" t="s">
        <v>96</v>
      </c>
      <c r="B58" s="29" t="s">
        <v>189</v>
      </c>
      <c r="C58" s="29" t="s">
        <v>189</v>
      </c>
      <c r="D58" s="29" t="s">
        <v>189</v>
      </c>
      <c r="E58" s="29" t="s">
        <v>189</v>
      </c>
      <c r="F58" s="26" t="s">
        <v>186</v>
      </c>
      <c r="G58" s="26" t="s">
        <v>186</v>
      </c>
      <c r="H58" s="46" t="s">
        <v>189</v>
      </c>
      <c r="I58" s="39" t="s">
        <v>189</v>
      </c>
      <c r="J58" s="49" t="s">
        <v>189</v>
      </c>
      <c r="K58" s="29" t="s">
        <v>189</v>
      </c>
      <c r="L58" s="29" t="s">
        <v>189</v>
      </c>
      <c r="M58" s="29" t="s">
        <v>189</v>
      </c>
      <c r="N58" s="20" t="s">
        <v>189</v>
      </c>
      <c r="O58" s="86" t="s">
        <v>189</v>
      </c>
      <c r="P58" s="26" t="s">
        <v>186</v>
      </c>
      <c r="Q58" s="26" t="s">
        <v>186</v>
      </c>
      <c r="R58" s="28" t="s">
        <v>189</v>
      </c>
      <c r="S58" s="28" t="s">
        <v>189</v>
      </c>
      <c r="T58" s="28" t="s">
        <v>189</v>
      </c>
      <c r="U58" s="28" t="s">
        <v>189</v>
      </c>
      <c r="V58" s="28" t="s">
        <v>189</v>
      </c>
      <c r="W58" s="28" t="s">
        <v>189</v>
      </c>
      <c r="X58" s="28" t="s">
        <v>189</v>
      </c>
      <c r="Y58" s="17" t="s">
        <v>189</v>
      </c>
      <c r="Z58" s="28" t="s">
        <v>189</v>
      </c>
      <c r="AA58" s="28" t="s">
        <v>189</v>
      </c>
      <c r="AB58" s="7" t="s">
        <v>97</v>
      </c>
      <c r="AC58" s="8"/>
      <c r="AD58" s="8"/>
    </row>
    <row r="59" spans="1:30">
      <c r="A59" s="65" t="s">
        <v>98</v>
      </c>
      <c r="B59" s="52">
        <f t="shared" ref="B59:G59" si="13">SUM(B61:B63)</f>
        <v>9002</v>
      </c>
      <c r="C59" s="52">
        <f t="shared" si="13"/>
        <v>1228.4079999999999</v>
      </c>
      <c r="D59" s="52">
        <f t="shared" si="13"/>
        <v>5310</v>
      </c>
      <c r="E59" s="52">
        <f t="shared" si="13"/>
        <v>949.351</v>
      </c>
      <c r="F59" s="52">
        <f t="shared" si="13"/>
        <v>145</v>
      </c>
      <c r="G59" s="52">
        <f t="shared" si="13"/>
        <v>31.1</v>
      </c>
      <c r="H59" s="69">
        <f t="shared" ref="H59:M59" si="14">SUM(H61:H63)</f>
        <v>897002</v>
      </c>
      <c r="I59" s="67">
        <f t="shared" si="14"/>
        <v>8629.8610000000008</v>
      </c>
      <c r="J59" s="79">
        <f t="shared" si="14"/>
        <v>315352</v>
      </c>
      <c r="K59" s="52">
        <f t="shared" si="14"/>
        <v>2872.12</v>
      </c>
      <c r="L59" s="52">
        <f t="shared" si="14"/>
        <v>41381</v>
      </c>
      <c r="M59" s="52">
        <f t="shared" si="14"/>
        <v>727.03899999999999</v>
      </c>
      <c r="N59" s="67">
        <f>SUM(N61:N63)</f>
        <v>1863</v>
      </c>
      <c r="O59" s="52">
        <f>SUM(O61:O63)</f>
        <v>413.31899999999996</v>
      </c>
      <c r="P59" s="52">
        <f>SUM(P61:P63)</f>
        <v>7</v>
      </c>
      <c r="Q59" s="52">
        <f>SUM(Q61:Q63)</f>
        <v>1.5</v>
      </c>
      <c r="R59" s="52">
        <f>SUM(R61:R63)</f>
        <v>103911</v>
      </c>
      <c r="S59" s="52">
        <f t="shared" ref="S59:AA59" si="15">SUM(S61:S63)</f>
        <v>2096.299</v>
      </c>
      <c r="T59" s="52">
        <f t="shared" si="15"/>
        <v>47468</v>
      </c>
      <c r="U59" s="52">
        <f t="shared" si="15"/>
        <v>916.31200000000001</v>
      </c>
      <c r="V59" s="52">
        <f t="shared" si="15"/>
        <v>118019</v>
      </c>
      <c r="W59" s="52">
        <f t="shared" si="15"/>
        <v>7196.3420000000006</v>
      </c>
      <c r="X59" s="52">
        <f t="shared" si="15"/>
        <v>826590</v>
      </c>
      <c r="Y59" s="67">
        <f t="shared" si="15"/>
        <v>1361.0569999999998</v>
      </c>
      <c r="Z59" s="52">
        <f t="shared" si="15"/>
        <v>300058</v>
      </c>
      <c r="AA59" s="52">
        <f t="shared" si="15"/>
        <v>588.99699999999996</v>
      </c>
      <c r="AB59" s="66" t="s">
        <v>99</v>
      </c>
      <c r="AC59" s="66"/>
      <c r="AD59" s="66"/>
    </row>
    <row r="60" spans="1:30">
      <c r="A60" s="65"/>
      <c r="B60" s="52"/>
      <c r="C60" s="52"/>
      <c r="D60" s="52"/>
      <c r="E60" s="52"/>
      <c r="F60" s="52"/>
      <c r="G60" s="52"/>
      <c r="H60" s="69"/>
      <c r="I60" s="67"/>
      <c r="J60" s="79"/>
      <c r="K60" s="52"/>
      <c r="L60" s="52"/>
      <c r="M60" s="52"/>
      <c r="N60" s="67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67"/>
      <c r="Z60" s="52"/>
      <c r="AA60" s="52"/>
      <c r="AB60" s="66"/>
      <c r="AC60" s="66"/>
      <c r="AD60" s="66"/>
    </row>
    <row r="61" spans="1:30" ht="11.9">
      <c r="A61" s="5" t="s">
        <v>100</v>
      </c>
      <c r="B61" s="25">
        <v>1294</v>
      </c>
      <c r="C61" s="31">
        <v>126.39</v>
      </c>
      <c r="D61" s="31">
        <v>348</v>
      </c>
      <c r="E61" s="31">
        <v>75.349999999999994</v>
      </c>
      <c r="F61" s="29">
        <v>10</v>
      </c>
      <c r="G61" s="34">
        <v>3</v>
      </c>
      <c r="H61" s="41">
        <v>298991</v>
      </c>
      <c r="I61" s="36">
        <v>2852.6660000000002</v>
      </c>
      <c r="J61" s="43">
        <v>114483</v>
      </c>
      <c r="K61" s="31">
        <v>1041.547</v>
      </c>
      <c r="L61" s="31">
        <v>41</v>
      </c>
      <c r="M61" s="31">
        <v>0.70699999999999996</v>
      </c>
      <c r="N61" s="36">
        <v>443</v>
      </c>
      <c r="O61" s="31">
        <v>86.47</v>
      </c>
      <c r="P61" s="26" t="s">
        <v>186</v>
      </c>
      <c r="Q61" s="26" t="s">
        <v>186</v>
      </c>
      <c r="R61" s="31">
        <v>28803</v>
      </c>
      <c r="S61" s="31">
        <v>562.49699999999996</v>
      </c>
      <c r="T61" s="31">
        <v>14300</v>
      </c>
      <c r="U61" s="31">
        <v>260.66300000000001</v>
      </c>
      <c r="V61" s="31">
        <v>4663</v>
      </c>
      <c r="W61" s="31">
        <v>266.03199999999998</v>
      </c>
      <c r="X61" s="31">
        <v>102639</v>
      </c>
      <c r="Y61" s="36">
        <v>203.291</v>
      </c>
      <c r="Z61" s="31">
        <v>28144</v>
      </c>
      <c r="AA61" s="31">
        <v>55.418999999999997</v>
      </c>
      <c r="AB61" s="7" t="s">
        <v>101</v>
      </c>
      <c r="AC61" s="8"/>
      <c r="AD61" s="8"/>
    </row>
    <row r="62" spans="1:30" ht="11.9">
      <c r="A62" s="5" t="s">
        <v>102</v>
      </c>
      <c r="B62" s="25">
        <v>4359</v>
      </c>
      <c r="C62" s="31">
        <v>425.36799999999999</v>
      </c>
      <c r="D62" s="31">
        <v>3678</v>
      </c>
      <c r="E62" s="31">
        <v>560.19299999999998</v>
      </c>
      <c r="F62" s="29">
        <v>120</v>
      </c>
      <c r="G62" s="34">
        <v>23.1</v>
      </c>
      <c r="H62" s="41">
        <v>337675</v>
      </c>
      <c r="I62" s="36">
        <v>3126.6309999999999</v>
      </c>
      <c r="J62" s="43">
        <v>144424</v>
      </c>
      <c r="K62" s="31">
        <v>1266.549</v>
      </c>
      <c r="L62" s="31">
        <v>27188</v>
      </c>
      <c r="M62" s="31">
        <v>459.44099999999997</v>
      </c>
      <c r="N62" s="36">
        <v>793</v>
      </c>
      <c r="O62" s="31">
        <v>140.66399999999999</v>
      </c>
      <c r="P62" s="25">
        <v>7</v>
      </c>
      <c r="Q62" s="31">
        <v>1.5</v>
      </c>
      <c r="R62" s="31">
        <v>61745</v>
      </c>
      <c r="S62" s="31">
        <v>1241.2470000000001</v>
      </c>
      <c r="T62" s="31">
        <v>29138</v>
      </c>
      <c r="U62" s="31">
        <v>569.31100000000004</v>
      </c>
      <c r="V62" s="31">
        <v>87231</v>
      </c>
      <c r="W62" s="31">
        <v>5283.02</v>
      </c>
      <c r="X62" s="31">
        <v>482575</v>
      </c>
      <c r="Y62" s="36">
        <v>751.35699999999997</v>
      </c>
      <c r="Z62" s="31">
        <v>162561</v>
      </c>
      <c r="AA62" s="31">
        <v>307.154</v>
      </c>
      <c r="AB62" s="7" t="s">
        <v>103</v>
      </c>
      <c r="AC62" s="8"/>
      <c r="AD62" s="8"/>
    </row>
    <row r="63" spans="1:30" ht="11.9">
      <c r="A63" s="5" t="s">
        <v>104</v>
      </c>
      <c r="B63" s="25">
        <v>3349</v>
      </c>
      <c r="C63" s="31">
        <v>676.65</v>
      </c>
      <c r="D63" s="31">
        <v>1284</v>
      </c>
      <c r="E63" s="31">
        <v>313.80799999999999</v>
      </c>
      <c r="F63" s="29">
        <v>15</v>
      </c>
      <c r="G63" s="34">
        <v>5</v>
      </c>
      <c r="H63" s="41">
        <v>260336</v>
      </c>
      <c r="I63" s="36">
        <v>2650.5639999999999</v>
      </c>
      <c r="J63" s="43">
        <v>56445</v>
      </c>
      <c r="K63" s="31">
        <v>564.024</v>
      </c>
      <c r="L63" s="31">
        <v>14152</v>
      </c>
      <c r="M63" s="31">
        <v>266.89100000000002</v>
      </c>
      <c r="N63" s="36">
        <v>627</v>
      </c>
      <c r="O63" s="31">
        <v>186.185</v>
      </c>
      <c r="P63" s="26" t="s">
        <v>186</v>
      </c>
      <c r="Q63" s="26" t="s">
        <v>186</v>
      </c>
      <c r="R63" s="31">
        <v>13363</v>
      </c>
      <c r="S63" s="31">
        <v>292.55500000000001</v>
      </c>
      <c r="T63" s="31">
        <v>4030</v>
      </c>
      <c r="U63" s="31">
        <v>86.337999999999994</v>
      </c>
      <c r="V63" s="31">
        <v>26125</v>
      </c>
      <c r="W63" s="31">
        <v>1647.29</v>
      </c>
      <c r="X63" s="31">
        <v>241376</v>
      </c>
      <c r="Y63" s="36">
        <v>406.40899999999999</v>
      </c>
      <c r="Z63" s="31">
        <v>109353</v>
      </c>
      <c r="AA63" s="31">
        <v>226.42400000000001</v>
      </c>
      <c r="AB63" s="7" t="s">
        <v>105</v>
      </c>
      <c r="AC63" s="8"/>
      <c r="AD63" s="8"/>
    </row>
    <row r="64" spans="1:30">
      <c r="A64" s="65" t="s">
        <v>106</v>
      </c>
      <c r="B64" s="52">
        <f>SUM(B66:B70)</f>
        <v>2026</v>
      </c>
      <c r="C64" s="52">
        <f>SUM(C66:C70)</f>
        <v>447.83100000000002</v>
      </c>
      <c r="D64" s="52">
        <f>SUM(D66:D70)</f>
        <v>2950</v>
      </c>
      <c r="E64" s="52">
        <f>SUM(E66:E70)</f>
        <v>747.88200000000006</v>
      </c>
      <c r="F64" s="52">
        <f>SUM(F66:F70)</f>
        <v>274</v>
      </c>
      <c r="G64" s="52">
        <f t="shared" ref="G64:M64" si="16">SUM(G66:G70)</f>
        <v>55.27</v>
      </c>
      <c r="H64" s="69">
        <f t="shared" si="16"/>
        <v>301865</v>
      </c>
      <c r="I64" s="67">
        <f t="shared" si="16"/>
        <v>2908.2290000000003</v>
      </c>
      <c r="J64" s="79">
        <f t="shared" si="16"/>
        <v>308645</v>
      </c>
      <c r="K64" s="52">
        <f t="shared" si="16"/>
        <v>3022.605</v>
      </c>
      <c r="L64" s="52">
        <f t="shared" si="16"/>
        <v>11516</v>
      </c>
      <c r="M64" s="52">
        <f t="shared" si="16"/>
        <v>222.25199999999998</v>
      </c>
      <c r="N64" s="67">
        <f>SUM(N66:N70)</f>
        <v>380</v>
      </c>
      <c r="O64" s="52">
        <f>SUM(O66:O70)</f>
        <v>124.44800000000001</v>
      </c>
      <c r="P64" s="52">
        <f>SUM(P66:P70)</f>
        <v>3</v>
      </c>
      <c r="Q64" s="52">
        <f>SUM(Q66:Q70)</f>
        <v>0.75</v>
      </c>
      <c r="R64" s="52">
        <f t="shared" ref="R64:AA64" si="17">SUM(R66:R70)</f>
        <v>32368</v>
      </c>
      <c r="S64" s="52">
        <f t="shared" si="17"/>
        <v>655.1869999999999</v>
      </c>
      <c r="T64" s="52">
        <f t="shared" si="17"/>
        <v>29637</v>
      </c>
      <c r="U64" s="52">
        <f t="shared" si="17"/>
        <v>570.92599999999993</v>
      </c>
      <c r="V64" s="52">
        <f t="shared" si="17"/>
        <v>79589</v>
      </c>
      <c r="W64" s="52">
        <f t="shared" si="17"/>
        <v>4843.9620000000004</v>
      </c>
      <c r="X64" s="52">
        <f t="shared" si="17"/>
        <v>782850</v>
      </c>
      <c r="Y64" s="67">
        <f t="shared" si="17"/>
        <v>1350.1559999999999</v>
      </c>
      <c r="Z64" s="52">
        <f t="shared" si="17"/>
        <v>154522</v>
      </c>
      <c r="AA64" s="52">
        <f t="shared" si="17"/>
        <v>299.33499999999998</v>
      </c>
      <c r="AB64" s="66" t="s">
        <v>107</v>
      </c>
      <c r="AC64" s="66"/>
      <c r="AD64" s="66"/>
    </row>
    <row r="65" spans="1:30">
      <c r="A65" s="65"/>
      <c r="B65" s="52"/>
      <c r="C65" s="52"/>
      <c r="D65" s="52"/>
      <c r="E65" s="52"/>
      <c r="F65" s="52"/>
      <c r="G65" s="52"/>
      <c r="H65" s="69"/>
      <c r="I65" s="67"/>
      <c r="J65" s="79"/>
      <c r="K65" s="52"/>
      <c r="L65" s="52"/>
      <c r="M65" s="52"/>
      <c r="N65" s="67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67"/>
      <c r="Z65" s="52"/>
      <c r="AA65" s="52"/>
      <c r="AB65" s="66"/>
      <c r="AC65" s="66"/>
      <c r="AD65" s="66"/>
    </row>
    <row r="66" spans="1:30" ht="11.9">
      <c r="A66" s="5" t="s">
        <v>108</v>
      </c>
      <c r="B66" s="25">
        <v>72</v>
      </c>
      <c r="C66" s="31">
        <v>81.63</v>
      </c>
      <c r="D66" s="31">
        <v>249</v>
      </c>
      <c r="E66" s="31">
        <v>87.15</v>
      </c>
      <c r="F66" s="26" t="s">
        <v>186</v>
      </c>
      <c r="G66" s="26" t="s">
        <v>186</v>
      </c>
      <c r="H66" s="41">
        <v>27885</v>
      </c>
      <c r="I66" s="36">
        <v>279.02100000000002</v>
      </c>
      <c r="J66" s="43">
        <v>9711</v>
      </c>
      <c r="K66" s="31">
        <v>90.286000000000001</v>
      </c>
      <c r="L66" s="31">
        <v>49</v>
      </c>
      <c r="M66" s="31">
        <v>0.96</v>
      </c>
      <c r="N66" s="36">
        <v>93</v>
      </c>
      <c r="O66" s="31">
        <v>23.004999999999999</v>
      </c>
      <c r="P66" s="26" t="s">
        <v>186</v>
      </c>
      <c r="Q66" s="26" t="s">
        <v>186</v>
      </c>
      <c r="R66" s="31">
        <v>4925</v>
      </c>
      <c r="S66" s="31">
        <v>120.842</v>
      </c>
      <c r="T66" s="31">
        <v>1797</v>
      </c>
      <c r="U66" s="31">
        <v>33.792999999999999</v>
      </c>
      <c r="V66" s="31">
        <v>2238</v>
      </c>
      <c r="W66" s="31">
        <v>130.33000000000001</v>
      </c>
      <c r="X66" s="31">
        <v>114806</v>
      </c>
      <c r="Y66" s="36">
        <v>166.97300000000001</v>
      </c>
      <c r="Z66" s="31">
        <v>6346</v>
      </c>
      <c r="AA66" s="31">
        <v>12.212999999999999</v>
      </c>
      <c r="AB66" s="7" t="s">
        <v>109</v>
      </c>
      <c r="AC66" s="8"/>
      <c r="AD66" s="8"/>
    </row>
    <row r="67" spans="1:30" ht="11.9">
      <c r="A67" s="5" t="s">
        <v>110</v>
      </c>
      <c r="B67" s="25">
        <v>307</v>
      </c>
      <c r="C67" s="31">
        <v>54.37</v>
      </c>
      <c r="D67" s="31">
        <v>23</v>
      </c>
      <c r="E67" s="31">
        <v>6.73</v>
      </c>
      <c r="F67" s="26" t="s">
        <v>186</v>
      </c>
      <c r="G67" s="26" t="s">
        <v>186</v>
      </c>
      <c r="H67" s="41">
        <v>75257</v>
      </c>
      <c r="I67" s="36">
        <v>669.995</v>
      </c>
      <c r="J67" s="43">
        <v>69383</v>
      </c>
      <c r="K67" s="31">
        <v>634.85</v>
      </c>
      <c r="L67" s="31">
        <v>4517</v>
      </c>
      <c r="M67" s="31">
        <v>90.34</v>
      </c>
      <c r="N67" s="36">
        <v>6</v>
      </c>
      <c r="O67" s="31">
        <v>1.25</v>
      </c>
      <c r="P67" s="26" t="s">
        <v>186</v>
      </c>
      <c r="Q67" s="26" t="s">
        <v>186</v>
      </c>
      <c r="R67" s="31">
        <v>7584</v>
      </c>
      <c r="S67" s="31">
        <v>149.62100000000001</v>
      </c>
      <c r="T67" s="31">
        <v>7306</v>
      </c>
      <c r="U67" s="31">
        <v>128.13800000000001</v>
      </c>
      <c r="V67" s="31">
        <v>12273</v>
      </c>
      <c r="W67" s="31">
        <v>913.2</v>
      </c>
      <c r="X67" s="31">
        <v>159130</v>
      </c>
      <c r="Y67" s="36">
        <v>283.95299999999997</v>
      </c>
      <c r="Z67" s="31">
        <v>44535</v>
      </c>
      <c r="AA67" s="31">
        <v>80.685000000000002</v>
      </c>
      <c r="AB67" s="7" t="s">
        <v>111</v>
      </c>
      <c r="AC67" s="8"/>
      <c r="AD67" s="8"/>
    </row>
    <row r="68" spans="1:30" ht="11.9">
      <c r="A68" s="5" t="s">
        <v>112</v>
      </c>
      <c r="B68" s="25">
        <v>32</v>
      </c>
      <c r="C68" s="31">
        <v>7.5380000000000003</v>
      </c>
      <c r="D68" s="31">
        <v>169</v>
      </c>
      <c r="E68" s="31">
        <v>34.799999999999997</v>
      </c>
      <c r="F68" s="26" t="s">
        <v>186</v>
      </c>
      <c r="G68" s="26" t="s">
        <v>186</v>
      </c>
      <c r="H68" s="41">
        <v>59249</v>
      </c>
      <c r="I68" s="36">
        <v>590.30700000000002</v>
      </c>
      <c r="J68" s="43">
        <v>53939</v>
      </c>
      <c r="K68" s="31">
        <v>532.65300000000002</v>
      </c>
      <c r="L68" s="31">
        <v>5668</v>
      </c>
      <c r="M68" s="31">
        <v>107.578</v>
      </c>
      <c r="N68" s="6" t="s">
        <v>186</v>
      </c>
      <c r="O68" s="26" t="s">
        <v>186</v>
      </c>
      <c r="P68" s="26" t="s">
        <v>186</v>
      </c>
      <c r="Q68" s="26" t="s">
        <v>186</v>
      </c>
      <c r="R68" s="31">
        <v>6381</v>
      </c>
      <c r="S68" s="31">
        <v>130.786</v>
      </c>
      <c r="T68" s="31">
        <v>5725</v>
      </c>
      <c r="U68" s="31">
        <v>117.795</v>
      </c>
      <c r="V68" s="31">
        <v>44357</v>
      </c>
      <c r="W68" s="31">
        <v>2686.0329999999999</v>
      </c>
      <c r="X68" s="31">
        <v>235148</v>
      </c>
      <c r="Y68" s="36">
        <v>408.86599999999999</v>
      </c>
      <c r="Z68" s="31">
        <v>58815</v>
      </c>
      <c r="AA68" s="31">
        <v>119.303</v>
      </c>
      <c r="AB68" s="7" t="s">
        <v>113</v>
      </c>
      <c r="AC68" s="8"/>
      <c r="AD68" s="8"/>
    </row>
    <row r="69" spans="1:30" ht="11.9">
      <c r="A69" s="5" t="s">
        <v>114</v>
      </c>
      <c r="B69" s="25">
        <v>1534</v>
      </c>
      <c r="C69" s="31">
        <v>290.11900000000003</v>
      </c>
      <c r="D69" s="31">
        <v>1635</v>
      </c>
      <c r="E69" s="31">
        <v>370.80200000000002</v>
      </c>
      <c r="F69" s="29">
        <v>270</v>
      </c>
      <c r="G69" s="34">
        <v>54</v>
      </c>
      <c r="H69" s="41">
        <v>71518</v>
      </c>
      <c r="I69" s="36">
        <v>684.40599999999995</v>
      </c>
      <c r="J69" s="43">
        <v>135595</v>
      </c>
      <c r="K69" s="31">
        <v>1334.443</v>
      </c>
      <c r="L69" s="31">
        <v>925</v>
      </c>
      <c r="M69" s="31">
        <v>16.440000000000001</v>
      </c>
      <c r="N69" s="36">
        <v>167</v>
      </c>
      <c r="O69" s="31">
        <v>63.851999999999997</v>
      </c>
      <c r="P69" s="25">
        <v>3</v>
      </c>
      <c r="Q69" s="31">
        <v>0.75</v>
      </c>
      <c r="R69" s="31">
        <v>9605</v>
      </c>
      <c r="S69" s="31">
        <v>185.14699999999999</v>
      </c>
      <c r="T69" s="31">
        <v>12900</v>
      </c>
      <c r="U69" s="31">
        <v>254.44399999999999</v>
      </c>
      <c r="V69" s="31">
        <v>16575</v>
      </c>
      <c r="W69" s="31">
        <v>833.20500000000004</v>
      </c>
      <c r="X69" s="31">
        <v>189493</v>
      </c>
      <c r="Y69" s="36">
        <v>361.65199999999999</v>
      </c>
      <c r="Z69" s="31">
        <v>28063</v>
      </c>
      <c r="AA69" s="31">
        <v>54.487000000000002</v>
      </c>
      <c r="AB69" s="7" t="s">
        <v>115</v>
      </c>
      <c r="AC69" s="8"/>
      <c r="AD69" s="8"/>
    </row>
    <row r="70" spans="1:30" ht="11.9">
      <c r="A70" s="5" t="s">
        <v>116</v>
      </c>
      <c r="B70" s="25">
        <v>81</v>
      </c>
      <c r="C70" s="31">
        <v>14.173999999999999</v>
      </c>
      <c r="D70" s="31">
        <v>874</v>
      </c>
      <c r="E70" s="31">
        <v>248.4</v>
      </c>
      <c r="F70" s="29">
        <v>4</v>
      </c>
      <c r="G70" s="34">
        <v>1.27</v>
      </c>
      <c r="H70" s="41">
        <v>67956</v>
      </c>
      <c r="I70" s="36">
        <v>684.5</v>
      </c>
      <c r="J70" s="43">
        <v>40017</v>
      </c>
      <c r="K70" s="31">
        <v>430.37299999999999</v>
      </c>
      <c r="L70" s="31">
        <v>357</v>
      </c>
      <c r="M70" s="31">
        <v>6.9340000000000002</v>
      </c>
      <c r="N70" s="36">
        <v>114</v>
      </c>
      <c r="O70" s="31">
        <v>36.341000000000001</v>
      </c>
      <c r="P70" s="26" t="s">
        <v>186</v>
      </c>
      <c r="Q70" s="26" t="s">
        <v>186</v>
      </c>
      <c r="R70" s="31">
        <v>3873</v>
      </c>
      <c r="S70" s="31">
        <v>68.790999999999997</v>
      </c>
      <c r="T70" s="31">
        <v>1909</v>
      </c>
      <c r="U70" s="31">
        <v>36.756</v>
      </c>
      <c r="V70" s="31">
        <v>4146</v>
      </c>
      <c r="W70" s="31">
        <v>281.19400000000002</v>
      </c>
      <c r="X70" s="31">
        <v>84273</v>
      </c>
      <c r="Y70" s="36">
        <v>128.71199999999999</v>
      </c>
      <c r="Z70" s="31">
        <v>16763</v>
      </c>
      <c r="AA70" s="31">
        <v>32.646999999999998</v>
      </c>
      <c r="AB70" s="7" t="s">
        <v>117</v>
      </c>
      <c r="AC70" s="8"/>
      <c r="AD70" s="8"/>
    </row>
    <row r="71" spans="1:30">
      <c r="A71" s="65" t="s">
        <v>118</v>
      </c>
      <c r="B71" s="52">
        <f t="shared" ref="B71:G71" si="18">SUM(B73:B80)</f>
        <v>300</v>
      </c>
      <c r="C71" s="52">
        <f t="shared" si="18"/>
        <v>45.366999999999997</v>
      </c>
      <c r="D71" s="52">
        <f t="shared" si="18"/>
        <v>1678</v>
      </c>
      <c r="E71" s="52">
        <f t="shared" si="18"/>
        <v>362.44799999999998</v>
      </c>
      <c r="F71" s="52">
        <f t="shared" si="18"/>
        <v>0</v>
      </c>
      <c r="G71" s="52">
        <f t="shared" si="18"/>
        <v>0</v>
      </c>
      <c r="H71" s="69">
        <f t="shared" ref="H71:M71" si="19">SUM(H73:H80)</f>
        <v>30312</v>
      </c>
      <c r="I71" s="67">
        <f t="shared" si="19"/>
        <v>274.98199999999997</v>
      </c>
      <c r="J71" s="79">
        <f t="shared" si="19"/>
        <v>21791</v>
      </c>
      <c r="K71" s="52">
        <f t="shared" si="19"/>
        <v>194.98999999999998</v>
      </c>
      <c r="L71" s="52">
        <f t="shared" si="19"/>
        <v>16055</v>
      </c>
      <c r="M71" s="52">
        <f t="shared" si="19"/>
        <v>305.48599999999999</v>
      </c>
      <c r="N71" s="67">
        <f>SUM(N73:N80)</f>
        <v>100</v>
      </c>
      <c r="O71" s="52">
        <f>SUM(O73:O80)</f>
        <v>30</v>
      </c>
      <c r="P71" s="52">
        <f>SUM(P73:P80)</f>
        <v>0</v>
      </c>
      <c r="Q71" s="52">
        <f>SUM(Q73:Q80)</f>
        <v>0</v>
      </c>
      <c r="R71" s="52">
        <f t="shared" ref="R71:AA71" si="20">SUM(R73:R80)</f>
        <v>12460</v>
      </c>
      <c r="S71" s="52">
        <f t="shared" si="20"/>
        <v>220.36</v>
      </c>
      <c r="T71" s="52">
        <f t="shared" si="20"/>
        <v>6336</v>
      </c>
      <c r="U71" s="52">
        <f t="shared" si="20"/>
        <v>106.33800000000001</v>
      </c>
      <c r="V71" s="52">
        <f t="shared" si="20"/>
        <v>16750</v>
      </c>
      <c r="W71" s="52">
        <f t="shared" si="20"/>
        <v>950.46399999999994</v>
      </c>
      <c r="X71" s="52">
        <f t="shared" si="20"/>
        <v>2255021</v>
      </c>
      <c r="Y71" s="67">
        <f t="shared" si="20"/>
        <v>3135.8130000000001</v>
      </c>
      <c r="Z71" s="52">
        <f t="shared" si="20"/>
        <v>100215</v>
      </c>
      <c r="AA71" s="52">
        <f t="shared" si="20"/>
        <v>152.023</v>
      </c>
      <c r="AB71" s="66" t="s">
        <v>119</v>
      </c>
      <c r="AC71" s="66"/>
      <c r="AD71" s="66"/>
    </row>
    <row r="72" spans="1:30">
      <c r="A72" s="65"/>
      <c r="B72" s="52"/>
      <c r="C72" s="52"/>
      <c r="D72" s="52"/>
      <c r="E72" s="52"/>
      <c r="F72" s="52"/>
      <c r="G72" s="52"/>
      <c r="H72" s="69"/>
      <c r="I72" s="67"/>
      <c r="J72" s="79"/>
      <c r="K72" s="52"/>
      <c r="L72" s="52"/>
      <c r="M72" s="52"/>
      <c r="N72" s="67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67"/>
      <c r="Z72" s="52"/>
      <c r="AA72" s="52"/>
      <c r="AB72" s="66"/>
      <c r="AC72" s="66"/>
      <c r="AD72" s="66"/>
    </row>
    <row r="73" spans="1:30" ht="11.3">
      <c r="A73" s="9" t="s">
        <v>120</v>
      </c>
      <c r="B73" s="26" t="s">
        <v>186</v>
      </c>
      <c r="C73" s="26" t="s">
        <v>186</v>
      </c>
      <c r="D73" s="26" t="s">
        <v>186</v>
      </c>
      <c r="E73" s="26" t="s">
        <v>186</v>
      </c>
      <c r="F73" s="26" t="s">
        <v>186</v>
      </c>
      <c r="G73" s="26" t="s">
        <v>186</v>
      </c>
      <c r="H73" s="47" t="s">
        <v>186</v>
      </c>
      <c r="I73" s="6" t="s">
        <v>186</v>
      </c>
      <c r="J73" s="50" t="s">
        <v>186</v>
      </c>
      <c r="K73" s="26" t="s">
        <v>186</v>
      </c>
      <c r="L73" s="26" t="s">
        <v>186</v>
      </c>
      <c r="M73" s="26" t="s">
        <v>186</v>
      </c>
      <c r="N73" s="6" t="s">
        <v>186</v>
      </c>
      <c r="O73" s="26" t="s">
        <v>186</v>
      </c>
      <c r="P73" s="26" t="s">
        <v>186</v>
      </c>
      <c r="Q73" s="26" t="s">
        <v>186</v>
      </c>
      <c r="R73" s="26" t="s">
        <v>186</v>
      </c>
      <c r="S73" s="26" t="s">
        <v>186</v>
      </c>
      <c r="T73" s="26" t="s">
        <v>186</v>
      </c>
      <c r="U73" s="26" t="s">
        <v>186</v>
      </c>
      <c r="V73" s="26" t="s">
        <v>186</v>
      </c>
      <c r="W73" s="26" t="s">
        <v>186</v>
      </c>
      <c r="X73" s="26" t="s">
        <v>186</v>
      </c>
      <c r="Y73" s="6" t="s">
        <v>186</v>
      </c>
      <c r="Z73" s="26" t="s">
        <v>186</v>
      </c>
      <c r="AA73" s="26" t="s">
        <v>186</v>
      </c>
      <c r="AB73" s="7" t="s">
        <v>121</v>
      </c>
      <c r="AC73" s="8"/>
      <c r="AD73" s="8"/>
    </row>
    <row r="74" spans="1:30" ht="11.3">
      <c r="A74" s="9" t="s">
        <v>122</v>
      </c>
      <c r="B74" s="26" t="s">
        <v>186</v>
      </c>
      <c r="C74" s="26" t="s">
        <v>186</v>
      </c>
      <c r="D74" s="26" t="s">
        <v>186</v>
      </c>
      <c r="E74" s="26" t="s">
        <v>186</v>
      </c>
      <c r="F74" s="26" t="s">
        <v>186</v>
      </c>
      <c r="G74" s="26" t="s">
        <v>186</v>
      </c>
      <c r="H74" s="47" t="s">
        <v>186</v>
      </c>
      <c r="I74" s="6" t="s">
        <v>186</v>
      </c>
      <c r="J74" s="50" t="s">
        <v>186</v>
      </c>
      <c r="K74" s="26" t="s">
        <v>186</v>
      </c>
      <c r="L74" s="26" t="s">
        <v>186</v>
      </c>
      <c r="M74" s="26" t="s">
        <v>186</v>
      </c>
      <c r="N74" s="6" t="s">
        <v>186</v>
      </c>
      <c r="O74" s="26" t="s">
        <v>186</v>
      </c>
      <c r="P74" s="26" t="s">
        <v>186</v>
      </c>
      <c r="Q74" s="26" t="s">
        <v>186</v>
      </c>
      <c r="R74" s="26" t="s">
        <v>186</v>
      </c>
      <c r="S74" s="26" t="s">
        <v>186</v>
      </c>
      <c r="T74" s="26" t="s">
        <v>186</v>
      </c>
      <c r="U74" s="26" t="s">
        <v>186</v>
      </c>
      <c r="V74" s="26" t="s">
        <v>186</v>
      </c>
      <c r="W74" s="26" t="s">
        <v>186</v>
      </c>
      <c r="X74" s="26" t="s">
        <v>186</v>
      </c>
      <c r="Y74" s="6" t="s">
        <v>186</v>
      </c>
      <c r="Z74" s="26" t="s">
        <v>186</v>
      </c>
      <c r="AA74" s="26" t="s">
        <v>186</v>
      </c>
      <c r="AB74" s="7" t="s">
        <v>123</v>
      </c>
      <c r="AC74" s="8"/>
      <c r="AD74" s="8"/>
    </row>
    <row r="75" spans="1:30" ht="11.3">
      <c r="A75" s="9" t="s">
        <v>124</v>
      </c>
      <c r="B75" s="26" t="s">
        <v>186</v>
      </c>
      <c r="C75" s="26" t="s">
        <v>186</v>
      </c>
      <c r="D75" s="26" t="s">
        <v>186</v>
      </c>
      <c r="E75" s="26" t="s">
        <v>186</v>
      </c>
      <c r="F75" s="26" t="s">
        <v>186</v>
      </c>
      <c r="G75" s="26" t="s">
        <v>186</v>
      </c>
      <c r="H75" s="47" t="s">
        <v>186</v>
      </c>
      <c r="I75" s="6" t="s">
        <v>186</v>
      </c>
      <c r="J75" s="50" t="s">
        <v>186</v>
      </c>
      <c r="K75" s="26" t="s">
        <v>186</v>
      </c>
      <c r="L75" s="26" t="s">
        <v>186</v>
      </c>
      <c r="M75" s="26" t="s">
        <v>186</v>
      </c>
      <c r="N75" s="6" t="s">
        <v>186</v>
      </c>
      <c r="O75" s="26" t="s">
        <v>186</v>
      </c>
      <c r="P75" s="26" t="s">
        <v>186</v>
      </c>
      <c r="Q75" s="26" t="s">
        <v>186</v>
      </c>
      <c r="R75" s="26" t="s">
        <v>186</v>
      </c>
      <c r="S75" s="26" t="s">
        <v>186</v>
      </c>
      <c r="T75" s="26" t="s">
        <v>186</v>
      </c>
      <c r="U75" s="26" t="s">
        <v>186</v>
      </c>
      <c r="V75" s="26" t="s">
        <v>186</v>
      </c>
      <c r="W75" s="26" t="s">
        <v>186</v>
      </c>
      <c r="X75" s="26" t="s">
        <v>186</v>
      </c>
      <c r="Y75" s="6" t="s">
        <v>186</v>
      </c>
      <c r="Z75" s="26" t="s">
        <v>186</v>
      </c>
      <c r="AA75" s="26" t="s">
        <v>186</v>
      </c>
      <c r="AB75" s="7" t="s">
        <v>125</v>
      </c>
      <c r="AC75" s="8"/>
      <c r="AD75" s="8"/>
    </row>
    <row r="76" spans="1:30" ht="11.3">
      <c r="A76" s="9" t="s">
        <v>126</v>
      </c>
      <c r="B76" s="26" t="s">
        <v>186</v>
      </c>
      <c r="C76" s="26" t="s">
        <v>186</v>
      </c>
      <c r="D76" s="26" t="s">
        <v>186</v>
      </c>
      <c r="E76" s="26" t="s">
        <v>186</v>
      </c>
      <c r="F76" s="26" t="s">
        <v>186</v>
      </c>
      <c r="G76" s="26" t="s">
        <v>186</v>
      </c>
      <c r="H76" s="47" t="s">
        <v>186</v>
      </c>
      <c r="I76" s="6" t="s">
        <v>186</v>
      </c>
      <c r="J76" s="50" t="s">
        <v>186</v>
      </c>
      <c r="K76" s="26" t="s">
        <v>186</v>
      </c>
      <c r="L76" s="26" t="s">
        <v>186</v>
      </c>
      <c r="M76" s="26" t="s">
        <v>186</v>
      </c>
      <c r="N76" s="6" t="s">
        <v>186</v>
      </c>
      <c r="O76" s="26" t="s">
        <v>186</v>
      </c>
      <c r="P76" s="26" t="s">
        <v>186</v>
      </c>
      <c r="Q76" s="26" t="s">
        <v>186</v>
      </c>
      <c r="R76" s="26" t="s">
        <v>186</v>
      </c>
      <c r="S76" s="26" t="s">
        <v>186</v>
      </c>
      <c r="T76" s="26" t="s">
        <v>186</v>
      </c>
      <c r="U76" s="26" t="s">
        <v>186</v>
      </c>
      <c r="V76" s="26" t="s">
        <v>186</v>
      </c>
      <c r="W76" s="26" t="s">
        <v>186</v>
      </c>
      <c r="X76" s="26" t="s">
        <v>186</v>
      </c>
      <c r="Y76" s="6" t="s">
        <v>186</v>
      </c>
      <c r="Z76" s="26" t="s">
        <v>186</v>
      </c>
      <c r="AA76" s="26" t="s">
        <v>186</v>
      </c>
      <c r="AB76" s="7" t="s">
        <v>127</v>
      </c>
      <c r="AC76" s="8"/>
      <c r="AD76" s="8"/>
    </row>
    <row r="77" spans="1:30" ht="11.9">
      <c r="A77" s="9" t="s">
        <v>128</v>
      </c>
      <c r="B77" s="26" t="s">
        <v>186</v>
      </c>
      <c r="C77" s="26" t="s">
        <v>186</v>
      </c>
      <c r="D77" s="26" t="s">
        <v>186</v>
      </c>
      <c r="E77" s="26" t="s">
        <v>186</v>
      </c>
      <c r="F77" s="26" t="s">
        <v>186</v>
      </c>
      <c r="G77" s="26" t="s">
        <v>186</v>
      </c>
      <c r="H77" s="41">
        <v>13515</v>
      </c>
      <c r="I77" s="36">
        <v>127.569</v>
      </c>
      <c r="J77" s="43">
        <v>2004</v>
      </c>
      <c r="K77" s="31">
        <v>18.277999999999999</v>
      </c>
      <c r="L77" s="31">
        <v>12605</v>
      </c>
      <c r="M77" s="31">
        <v>240.005</v>
      </c>
      <c r="N77" s="6" t="s">
        <v>186</v>
      </c>
      <c r="O77" s="26" t="s">
        <v>186</v>
      </c>
      <c r="P77" s="26" t="s">
        <v>186</v>
      </c>
      <c r="Q77" s="26" t="s">
        <v>186</v>
      </c>
      <c r="R77" s="31">
        <v>1309</v>
      </c>
      <c r="S77" s="31">
        <v>27.977</v>
      </c>
      <c r="T77" s="31">
        <v>478</v>
      </c>
      <c r="U77" s="31">
        <v>9.5389999999999997</v>
      </c>
      <c r="V77" s="31">
        <v>13396</v>
      </c>
      <c r="W77" s="31">
        <v>761.798</v>
      </c>
      <c r="X77" s="31">
        <v>2206580</v>
      </c>
      <c r="Y77" s="36">
        <v>3065.375</v>
      </c>
      <c r="Z77" s="31">
        <v>5215</v>
      </c>
      <c r="AA77" s="31">
        <v>9.5229999999999997</v>
      </c>
      <c r="AB77" s="7" t="s">
        <v>129</v>
      </c>
      <c r="AC77" s="8"/>
      <c r="AD77" s="8"/>
    </row>
    <row r="78" spans="1:30" ht="11.9">
      <c r="A78" s="9" t="s">
        <v>130</v>
      </c>
      <c r="B78" s="25">
        <v>300</v>
      </c>
      <c r="C78" s="31">
        <v>45</v>
      </c>
      <c r="D78" s="31">
        <v>1678</v>
      </c>
      <c r="E78" s="31">
        <v>362.44799999999998</v>
      </c>
      <c r="F78" s="26" t="s">
        <v>186</v>
      </c>
      <c r="G78" s="26" t="s">
        <v>186</v>
      </c>
      <c r="H78" s="41">
        <v>16562</v>
      </c>
      <c r="I78" s="36">
        <v>145.268</v>
      </c>
      <c r="J78" s="43">
        <v>19787</v>
      </c>
      <c r="K78" s="31">
        <v>176.71199999999999</v>
      </c>
      <c r="L78" s="31">
        <v>3450</v>
      </c>
      <c r="M78" s="31">
        <v>65.480999999999995</v>
      </c>
      <c r="N78" s="36">
        <v>100</v>
      </c>
      <c r="O78" s="31">
        <v>30</v>
      </c>
      <c r="P78" s="26" t="s">
        <v>186</v>
      </c>
      <c r="Q78" s="26" t="s">
        <v>186</v>
      </c>
      <c r="R78" s="31">
        <v>11132</v>
      </c>
      <c r="S78" s="31">
        <v>192.066</v>
      </c>
      <c r="T78" s="31">
        <v>5810</v>
      </c>
      <c r="U78" s="31">
        <v>96.007000000000005</v>
      </c>
      <c r="V78" s="31">
        <v>3354</v>
      </c>
      <c r="W78" s="31">
        <v>188.666</v>
      </c>
      <c r="X78" s="31">
        <v>47908</v>
      </c>
      <c r="Y78" s="36">
        <v>69.444999999999993</v>
      </c>
      <c r="Z78" s="31">
        <v>95000</v>
      </c>
      <c r="AA78" s="31">
        <v>142.5</v>
      </c>
      <c r="AB78" s="7" t="s">
        <v>131</v>
      </c>
      <c r="AC78" s="8"/>
      <c r="AD78" s="8"/>
    </row>
    <row r="79" spans="1:30" ht="11.9">
      <c r="A79" s="9" t="s">
        <v>132</v>
      </c>
      <c r="B79" s="26" t="s">
        <v>186</v>
      </c>
      <c r="C79" s="26" t="s">
        <v>186</v>
      </c>
      <c r="D79" s="26" t="s">
        <v>186</v>
      </c>
      <c r="E79" s="26" t="s">
        <v>186</v>
      </c>
      <c r="F79" s="26" t="s">
        <v>186</v>
      </c>
      <c r="G79" s="26" t="s">
        <v>186</v>
      </c>
      <c r="H79" s="41">
        <v>235</v>
      </c>
      <c r="I79" s="36">
        <v>2.145</v>
      </c>
      <c r="J79" s="50" t="s">
        <v>186</v>
      </c>
      <c r="K79" s="26" t="s">
        <v>186</v>
      </c>
      <c r="L79" s="26" t="s">
        <v>186</v>
      </c>
      <c r="M79" s="26" t="s">
        <v>186</v>
      </c>
      <c r="N79" s="6" t="s">
        <v>186</v>
      </c>
      <c r="O79" s="26" t="s">
        <v>186</v>
      </c>
      <c r="P79" s="26" t="s">
        <v>186</v>
      </c>
      <c r="Q79" s="26" t="s">
        <v>186</v>
      </c>
      <c r="R79" s="31">
        <v>19</v>
      </c>
      <c r="S79" s="31">
        <v>0.317</v>
      </c>
      <c r="T79" s="26" t="s">
        <v>186</v>
      </c>
      <c r="U79" s="26" t="s">
        <v>186</v>
      </c>
      <c r="V79" s="26" t="s">
        <v>186</v>
      </c>
      <c r="W79" s="26" t="s">
        <v>186</v>
      </c>
      <c r="X79" s="31">
        <v>533</v>
      </c>
      <c r="Y79" s="87">
        <v>0.99299999999999999</v>
      </c>
      <c r="Z79" s="28" t="s">
        <v>186</v>
      </c>
      <c r="AA79" s="28" t="s">
        <v>186</v>
      </c>
      <c r="AB79" s="7" t="s">
        <v>133</v>
      </c>
      <c r="AC79" s="8"/>
      <c r="AD79" s="8"/>
    </row>
    <row r="80" spans="1:30" ht="11.9">
      <c r="A80" s="9" t="s">
        <v>134</v>
      </c>
      <c r="B80" s="26" t="s">
        <v>186</v>
      </c>
      <c r="C80" s="34">
        <v>0.36699999999999999</v>
      </c>
      <c r="D80" s="26" t="s">
        <v>186</v>
      </c>
      <c r="E80" s="26" t="s">
        <v>186</v>
      </c>
      <c r="F80" s="26" t="s">
        <v>186</v>
      </c>
      <c r="G80" s="26" t="s">
        <v>186</v>
      </c>
      <c r="H80" s="47" t="s">
        <v>186</v>
      </c>
      <c r="I80" s="26" t="s">
        <v>186</v>
      </c>
      <c r="J80" s="50" t="s">
        <v>186</v>
      </c>
      <c r="K80" s="26" t="s">
        <v>186</v>
      </c>
      <c r="L80" s="26" t="s">
        <v>186</v>
      </c>
      <c r="M80" s="26" t="s">
        <v>186</v>
      </c>
      <c r="N80" s="6" t="s">
        <v>186</v>
      </c>
      <c r="O80" s="26" t="s">
        <v>186</v>
      </c>
      <c r="P80" s="26" t="s">
        <v>186</v>
      </c>
      <c r="Q80" s="26" t="s">
        <v>186</v>
      </c>
      <c r="R80" s="26" t="s">
        <v>186</v>
      </c>
      <c r="S80" s="26" t="s">
        <v>186</v>
      </c>
      <c r="T80" s="31">
        <v>48</v>
      </c>
      <c r="U80" s="31">
        <v>0.79200000000000004</v>
      </c>
      <c r="V80" s="26" t="s">
        <v>186</v>
      </c>
      <c r="W80" s="26" t="s">
        <v>186</v>
      </c>
      <c r="X80" s="26" t="s">
        <v>186</v>
      </c>
      <c r="Y80" s="6" t="s">
        <v>186</v>
      </c>
      <c r="Z80" s="26" t="s">
        <v>186</v>
      </c>
      <c r="AA80" s="26" t="s">
        <v>186</v>
      </c>
      <c r="AB80" s="7" t="s">
        <v>135</v>
      </c>
      <c r="AC80" s="8"/>
      <c r="AD80" s="8"/>
    </row>
    <row r="81" spans="1:30">
      <c r="A81" s="65" t="s">
        <v>136</v>
      </c>
      <c r="B81" s="52">
        <f t="shared" ref="B81:M81" si="21">SUM(B83:B87)</f>
        <v>256</v>
      </c>
      <c r="C81" s="52">
        <f t="shared" si="21"/>
        <v>42.300000000000004</v>
      </c>
      <c r="D81" s="52">
        <f t="shared" si="21"/>
        <v>2716</v>
      </c>
      <c r="E81" s="52">
        <f t="shared" si="21"/>
        <v>618.55700000000002</v>
      </c>
      <c r="F81" s="52">
        <f t="shared" si="21"/>
        <v>0</v>
      </c>
      <c r="G81" s="52">
        <f t="shared" si="21"/>
        <v>0</v>
      </c>
      <c r="H81" s="69">
        <f t="shared" si="21"/>
        <v>181799</v>
      </c>
      <c r="I81" s="67">
        <f t="shared" si="21"/>
        <v>1731.124</v>
      </c>
      <c r="J81" s="79">
        <f t="shared" si="21"/>
        <v>83979</v>
      </c>
      <c r="K81" s="52">
        <f t="shared" si="21"/>
        <v>780.50400000000002</v>
      </c>
      <c r="L81" s="52">
        <f t="shared" si="21"/>
        <v>3592</v>
      </c>
      <c r="M81" s="52">
        <f t="shared" si="21"/>
        <v>65.17</v>
      </c>
      <c r="N81" s="68">
        <f>SUM(N83:N87)</f>
        <v>463</v>
      </c>
      <c r="O81" s="59">
        <f>SUM(O83:O87)</f>
        <v>135.86000000000001</v>
      </c>
      <c r="P81" s="59">
        <f>SUM(P83:P87)</f>
        <v>0</v>
      </c>
      <c r="Q81" s="59">
        <f>SUM(Q83:Q87)</f>
        <v>0</v>
      </c>
      <c r="R81" s="59">
        <f t="shared" ref="R81:AA81" si="22">SUM(R83:R87)</f>
        <v>25507</v>
      </c>
      <c r="S81" s="59">
        <f t="shared" si="22"/>
        <v>673</v>
      </c>
      <c r="T81" s="59">
        <f t="shared" si="22"/>
        <v>6585</v>
      </c>
      <c r="U81" s="59">
        <f t="shared" si="22"/>
        <v>127.37100000000001</v>
      </c>
      <c r="V81" s="59">
        <f t="shared" si="22"/>
        <v>10998</v>
      </c>
      <c r="W81" s="59">
        <f t="shared" si="22"/>
        <v>613.62300000000005</v>
      </c>
      <c r="X81" s="59">
        <f t="shared" si="22"/>
        <v>482361</v>
      </c>
      <c r="Y81" s="68">
        <f t="shared" si="22"/>
        <v>648.93700000000001</v>
      </c>
      <c r="Z81" s="59">
        <f t="shared" si="22"/>
        <v>35270</v>
      </c>
      <c r="AA81" s="59">
        <f t="shared" si="22"/>
        <v>58.355000000000004</v>
      </c>
      <c r="AB81" s="66" t="s">
        <v>137</v>
      </c>
      <c r="AC81" s="66"/>
      <c r="AD81" s="66"/>
    </row>
    <row r="82" spans="1:30">
      <c r="A82" s="65"/>
      <c r="B82" s="52"/>
      <c r="C82" s="52"/>
      <c r="D82" s="52"/>
      <c r="E82" s="52"/>
      <c r="F82" s="52"/>
      <c r="G82" s="52"/>
      <c r="H82" s="69"/>
      <c r="I82" s="67"/>
      <c r="J82" s="79"/>
      <c r="K82" s="52"/>
      <c r="L82" s="52"/>
      <c r="M82" s="52"/>
      <c r="N82" s="68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68"/>
      <c r="Z82" s="59"/>
      <c r="AA82" s="59"/>
      <c r="AB82" s="66"/>
      <c r="AC82" s="66"/>
      <c r="AD82" s="66"/>
    </row>
    <row r="83" spans="1:30" ht="11.9">
      <c r="A83" s="5" t="s">
        <v>138</v>
      </c>
      <c r="B83" s="25">
        <v>169</v>
      </c>
      <c r="C83" s="31">
        <v>27.742000000000001</v>
      </c>
      <c r="D83" s="31">
        <v>1781</v>
      </c>
      <c r="E83" s="31">
        <v>381.09199999999998</v>
      </c>
      <c r="F83" s="26" t="s">
        <v>186</v>
      </c>
      <c r="G83" s="26" t="s">
        <v>186</v>
      </c>
      <c r="H83" s="41">
        <v>156205</v>
      </c>
      <c r="I83" s="36">
        <v>1485.0440000000001</v>
      </c>
      <c r="J83" s="43">
        <v>27757</v>
      </c>
      <c r="K83" s="31">
        <v>259.42</v>
      </c>
      <c r="L83" s="31">
        <v>1321</v>
      </c>
      <c r="M83" s="31">
        <v>26.227</v>
      </c>
      <c r="N83" s="36">
        <v>324</v>
      </c>
      <c r="O83" s="31">
        <v>98.55</v>
      </c>
      <c r="P83" s="26" t="s">
        <v>186</v>
      </c>
      <c r="Q83" s="26" t="s">
        <v>186</v>
      </c>
      <c r="R83" s="31">
        <v>23530</v>
      </c>
      <c r="S83" s="31">
        <v>627.69299999999998</v>
      </c>
      <c r="T83" s="31">
        <v>2749</v>
      </c>
      <c r="U83" s="31">
        <v>62.573</v>
      </c>
      <c r="V83" s="31">
        <v>4310</v>
      </c>
      <c r="W83" s="31">
        <v>217.71600000000001</v>
      </c>
      <c r="X83" s="31">
        <v>391040</v>
      </c>
      <c r="Y83" s="36">
        <v>504.19600000000003</v>
      </c>
      <c r="Z83" s="31">
        <v>3290</v>
      </c>
      <c r="AA83" s="31">
        <v>5.77</v>
      </c>
      <c r="AB83" s="7" t="s">
        <v>139</v>
      </c>
      <c r="AC83" s="8"/>
      <c r="AD83" s="8"/>
    </row>
    <row r="84" spans="1:30" ht="11.9">
      <c r="A84" s="5" t="s">
        <v>140</v>
      </c>
      <c r="B84" s="25">
        <v>14</v>
      </c>
      <c r="C84" s="31">
        <v>2.1</v>
      </c>
      <c r="D84" s="31">
        <v>29</v>
      </c>
      <c r="E84" s="31">
        <v>6.03</v>
      </c>
      <c r="F84" s="26" t="s">
        <v>186</v>
      </c>
      <c r="G84" s="26" t="s">
        <v>186</v>
      </c>
      <c r="H84" s="41">
        <v>2894</v>
      </c>
      <c r="I84" s="36">
        <v>28.965</v>
      </c>
      <c r="J84" s="43">
        <v>16907</v>
      </c>
      <c r="K84" s="31">
        <v>150.215</v>
      </c>
      <c r="L84" s="31">
        <v>220</v>
      </c>
      <c r="M84" s="31">
        <v>4.4000000000000004</v>
      </c>
      <c r="N84" s="36">
        <v>19</v>
      </c>
      <c r="O84" s="31">
        <v>4.95</v>
      </c>
      <c r="P84" s="26" t="s">
        <v>186</v>
      </c>
      <c r="Q84" s="26" t="s">
        <v>186</v>
      </c>
      <c r="R84" s="31">
        <v>524</v>
      </c>
      <c r="S84" s="31">
        <v>7.9189999999999996</v>
      </c>
      <c r="T84" s="31">
        <v>2863</v>
      </c>
      <c r="U84" s="31">
        <v>41.567999999999998</v>
      </c>
      <c r="V84" s="31">
        <v>1888</v>
      </c>
      <c r="W84" s="31">
        <v>107.45</v>
      </c>
      <c r="X84" s="31">
        <v>10636</v>
      </c>
      <c r="Y84" s="36">
        <v>17.125</v>
      </c>
      <c r="Z84" s="31">
        <v>16595</v>
      </c>
      <c r="AA84" s="31">
        <v>26.324999999999999</v>
      </c>
      <c r="AB84" s="7" t="s">
        <v>141</v>
      </c>
      <c r="AC84" s="8"/>
      <c r="AD84" s="8"/>
    </row>
    <row r="85" spans="1:30" ht="11.9">
      <c r="A85" s="5" t="s">
        <v>142</v>
      </c>
      <c r="B85" s="25">
        <v>6</v>
      </c>
      <c r="C85" s="31">
        <v>0.9</v>
      </c>
      <c r="D85" s="31">
        <v>310</v>
      </c>
      <c r="E85" s="31">
        <v>72.75</v>
      </c>
      <c r="F85" s="26" t="s">
        <v>186</v>
      </c>
      <c r="G85" s="26" t="s">
        <v>186</v>
      </c>
      <c r="H85" s="41">
        <v>12870</v>
      </c>
      <c r="I85" s="36">
        <v>116.35299999999999</v>
      </c>
      <c r="J85" s="43">
        <v>5733</v>
      </c>
      <c r="K85" s="31">
        <v>50.191000000000003</v>
      </c>
      <c r="L85" s="31">
        <v>82</v>
      </c>
      <c r="M85" s="31">
        <v>1.5329999999999999</v>
      </c>
      <c r="N85" s="36">
        <v>16</v>
      </c>
      <c r="O85" s="31">
        <v>6.4</v>
      </c>
      <c r="P85" s="26" t="s">
        <v>186</v>
      </c>
      <c r="Q85" s="26" t="s">
        <v>186</v>
      </c>
      <c r="R85" s="31">
        <v>846</v>
      </c>
      <c r="S85" s="31">
        <v>19.98</v>
      </c>
      <c r="T85" s="31">
        <v>168</v>
      </c>
      <c r="U85" s="31">
        <v>4.01</v>
      </c>
      <c r="V85" s="31">
        <v>2928</v>
      </c>
      <c r="W85" s="31">
        <v>192.88</v>
      </c>
      <c r="X85" s="31">
        <v>12530</v>
      </c>
      <c r="Y85" s="36">
        <v>20.51</v>
      </c>
      <c r="Z85" s="26" t="s">
        <v>186</v>
      </c>
      <c r="AA85" s="26" t="s">
        <v>186</v>
      </c>
      <c r="AB85" s="7" t="s">
        <v>143</v>
      </c>
      <c r="AC85" s="8"/>
      <c r="AD85" s="8"/>
    </row>
    <row r="86" spans="1:30" ht="11.9">
      <c r="A86" s="5" t="s">
        <v>144</v>
      </c>
      <c r="B86" s="25">
        <v>22</v>
      </c>
      <c r="C86" s="31">
        <v>3.363</v>
      </c>
      <c r="D86" s="31">
        <v>4</v>
      </c>
      <c r="E86" s="31">
        <v>1.2</v>
      </c>
      <c r="F86" s="26" t="s">
        <v>186</v>
      </c>
      <c r="G86" s="26" t="s">
        <v>186</v>
      </c>
      <c r="H86" s="41">
        <v>1804</v>
      </c>
      <c r="I86" s="36">
        <v>18.04</v>
      </c>
      <c r="J86" s="43">
        <v>6546</v>
      </c>
      <c r="K86" s="31">
        <v>61.39</v>
      </c>
      <c r="L86" s="31">
        <v>173</v>
      </c>
      <c r="M86" s="31">
        <v>3.46</v>
      </c>
      <c r="N86" s="6" t="s">
        <v>186</v>
      </c>
      <c r="O86" s="26" t="s">
        <v>186</v>
      </c>
      <c r="P86" s="26" t="s">
        <v>186</v>
      </c>
      <c r="Q86" s="26" t="s">
        <v>186</v>
      </c>
      <c r="R86" s="31">
        <v>64</v>
      </c>
      <c r="S86" s="31">
        <v>1.45</v>
      </c>
      <c r="T86" s="31">
        <v>309</v>
      </c>
      <c r="U86" s="31">
        <v>7.15</v>
      </c>
      <c r="V86" s="31">
        <v>410</v>
      </c>
      <c r="W86" s="31">
        <v>12.4</v>
      </c>
      <c r="X86" s="31">
        <v>3458</v>
      </c>
      <c r="Y86" s="36">
        <v>6.5590000000000002</v>
      </c>
      <c r="Z86" s="31">
        <v>2235</v>
      </c>
      <c r="AA86" s="31">
        <v>3.63</v>
      </c>
      <c r="AB86" s="7" t="s">
        <v>145</v>
      </c>
      <c r="AC86" s="8"/>
      <c r="AD86" s="8"/>
    </row>
    <row r="87" spans="1:30" ht="11.9">
      <c r="A87" s="5" t="s">
        <v>146</v>
      </c>
      <c r="B87" s="25">
        <v>45</v>
      </c>
      <c r="C87" s="31">
        <v>8.1950000000000003</v>
      </c>
      <c r="D87" s="31">
        <v>592</v>
      </c>
      <c r="E87" s="31">
        <v>157.48500000000001</v>
      </c>
      <c r="F87" s="26" t="s">
        <v>186</v>
      </c>
      <c r="G87" s="26" t="s">
        <v>186</v>
      </c>
      <c r="H87" s="41">
        <v>8026</v>
      </c>
      <c r="I87" s="36">
        <v>82.721999999999994</v>
      </c>
      <c r="J87" s="43">
        <v>27036</v>
      </c>
      <c r="K87" s="31">
        <v>259.28800000000001</v>
      </c>
      <c r="L87" s="31">
        <v>1796</v>
      </c>
      <c r="M87" s="31">
        <v>29.55</v>
      </c>
      <c r="N87" s="36">
        <v>104</v>
      </c>
      <c r="O87" s="31">
        <v>25.96</v>
      </c>
      <c r="P87" s="26" t="s">
        <v>186</v>
      </c>
      <c r="Q87" s="26" t="s">
        <v>186</v>
      </c>
      <c r="R87" s="31">
        <v>543</v>
      </c>
      <c r="S87" s="31">
        <v>15.958</v>
      </c>
      <c r="T87" s="31">
        <v>496</v>
      </c>
      <c r="U87" s="31">
        <v>12.07</v>
      </c>
      <c r="V87" s="31">
        <v>1462</v>
      </c>
      <c r="W87" s="31">
        <v>83.177000000000007</v>
      </c>
      <c r="X87" s="31">
        <v>64697</v>
      </c>
      <c r="Y87" s="36">
        <v>100.547</v>
      </c>
      <c r="Z87" s="31">
        <v>13150</v>
      </c>
      <c r="AA87" s="31">
        <v>22.63</v>
      </c>
      <c r="AB87" s="7" t="s">
        <v>147</v>
      </c>
      <c r="AC87" s="8"/>
      <c r="AD87" s="8"/>
    </row>
    <row r="88" spans="1:30">
      <c r="A88" s="65" t="s">
        <v>148</v>
      </c>
      <c r="B88" s="52">
        <f>SUM(B90:B102)</f>
        <v>1246</v>
      </c>
      <c r="C88" s="52">
        <f>SUM(C90:C102)</f>
        <v>221.61900000000003</v>
      </c>
      <c r="D88" s="52">
        <f>SUM(D90:D102)</f>
        <v>4063</v>
      </c>
      <c r="E88" s="52">
        <f>SUM(E90:E102)</f>
        <v>1086.866</v>
      </c>
      <c r="F88" s="52">
        <f>SUM(F90:F102)</f>
        <v>0</v>
      </c>
      <c r="G88" s="52">
        <f t="shared" ref="G88:M88" si="23">SUM(G90:G102)</f>
        <v>0</v>
      </c>
      <c r="H88" s="69">
        <f t="shared" si="23"/>
        <v>148861</v>
      </c>
      <c r="I88" s="52">
        <f>SUM(I90:I102)</f>
        <v>1429.8579999999999</v>
      </c>
      <c r="J88" s="79">
        <f t="shared" si="23"/>
        <v>205880</v>
      </c>
      <c r="K88" s="52">
        <f t="shared" si="23"/>
        <v>1940.0840000000001</v>
      </c>
      <c r="L88" s="52">
        <f t="shared" si="23"/>
        <v>11572</v>
      </c>
      <c r="M88" s="52">
        <f t="shared" si="23"/>
        <v>220.51599999999996</v>
      </c>
      <c r="N88" s="67">
        <f>SUM(N90:N102)</f>
        <v>509</v>
      </c>
      <c r="O88" s="52">
        <f>SUM(O90:O102)</f>
        <v>137.667</v>
      </c>
      <c r="P88" s="52">
        <f>SUM(P90:P102)</f>
        <v>0</v>
      </c>
      <c r="Q88" s="52">
        <f t="shared" ref="Q88:AA88" si="24">SUM(Q90:Q102)</f>
        <v>0</v>
      </c>
      <c r="R88" s="52">
        <f t="shared" si="24"/>
        <v>8040</v>
      </c>
      <c r="S88" s="52">
        <f t="shared" si="24"/>
        <v>140.21299999999999</v>
      </c>
      <c r="T88" s="52">
        <f t="shared" si="24"/>
        <v>12461</v>
      </c>
      <c r="U88" s="52">
        <f t="shared" si="24"/>
        <v>217.16</v>
      </c>
      <c r="V88" s="52">
        <f t="shared" si="24"/>
        <v>14607</v>
      </c>
      <c r="W88" s="52">
        <f t="shared" si="24"/>
        <v>940.66100000000006</v>
      </c>
      <c r="X88" s="52">
        <f t="shared" si="24"/>
        <v>431614</v>
      </c>
      <c r="Y88" s="67">
        <f t="shared" si="24"/>
        <v>614.70299999999997</v>
      </c>
      <c r="Z88" s="52">
        <f t="shared" si="24"/>
        <v>100007</v>
      </c>
      <c r="AA88" s="52">
        <f t="shared" si="24"/>
        <v>173.44999999999996</v>
      </c>
      <c r="AB88" s="66" t="s">
        <v>149</v>
      </c>
      <c r="AC88" s="66"/>
      <c r="AD88" s="66"/>
    </row>
    <row r="89" spans="1:30">
      <c r="A89" s="65"/>
      <c r="B89" s="52"/>
      <c r="C89" s="52"/>
      <c r="D89" s="52"/>
      <c r="E89" s="52"/>
      <c r="F89" s="52"/>
      <c r="G89" s="52"/>
      <c r="H89" s="69"/>
      <c r="I89" s="52"/>
      <c r="J89" s="79"/>
      <c r="K89" s="52"/>
      <c r="L89" s="52"/>
      <c r="M89" s="52"/>
      <c r="N89" s="67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67"/>
      <c r="Z89" s="52"/>
      <c r="AA89" s="52"/>
      <c r="AB89" s="66"/>
      <c r="AC89" s="66"/>
      <c r="AD89" s="66"/>
    </row>
    <row r="90" spans="1:30" ht="11.9">
      <c r="A90" s="5" t="s">
        <v>150</v>
      </c>
      <c r="B90" s="25">
        <v>78</v>
      </c>
      <c r="C90" s="31">
        <v>19.5</v>
      </c>
      <c r="D90" s="31">
        <v>143</v>
      </c>
      <c r="E90" s="31">
        <v>34.75</v>
      </c>
      <c r="F90" s="26" t="s">
        <v>186</v>
      </c>
      <c r="G90" s="26" t="s">
        <v>186</v>
      </c>
      <c r="H90" s="41">
        <v>3380</v>
      </c>
      <c r="I90" s="36">
        <v>33.450000000000003</v>
      </c>
      <c r="J90" s="43">
        <v>2545</v>
      </c>
      <c r="K90" s="31">
        <v>25.59</v>
      </c>
      <c r="L90" s="31">
        <v>70</v>
      </c>
      <c r="M90" s="31">
        <v>1.3</v>
      </c>
      <c r="N90" s="36">
        <v>5</v>
      </c>
      <c r="O90" s="31">
        <v>1.5</v>
      </c>
      <c r="P90" s="26" t="s">
        <v>186</v>
      </c>
      <c r="Q90" s="26" t="s">
        <v>186</v>
      </c>
      <c r="R90" s="31">
        <v>35</v>
      </c>
      <c r="S90" s="31">
        <v>0.7</v>
      </c>
      <c r="T90" s="31">
        <v>5</v>
      </c>
      <c r="U90" s="31">
        <v>8.5000000000000006E-2</v>
      </c>
      <c r="V90" s="31">
        <v>1238</v>
      </c>
      <c r="W90" s="31">
        <v>90.73</v>
      </c>
      <c r="X90" s="31">
        <v>7500</v>
      </c>
      <c r="Y90" s="36">
        <v>13.785</v>
      </c>
      <c r="Z90" s="31">
        <v>8690</v>
      </c>
      <c r="AA90" s="31">
        <v>13.48</v>
      </c>
      <c r="AB90" s="7" t="s">
        <v>151</v>
      </c>
      <c r="AC90" s="8"/>
      <c r="AD90" s="8"/>
    </row>
    <row r="91" spans="1:30" ht="11.9">
      <c r="A91" s="5" t="s">
        <v>152</v>
      </c>
      <c r="B91" s="25">
        <v>51</v>
      </c>
      <c r="C91" s="31">
        <v>11.667999999999999</v>
      </c>
      <c r="D91" s="31">
        <v>295</v>
      </c>
      <c r="E91" s="31">
        <v>77.403000000000006</v>
      </c>
      <c r="F91" s="26" t="s">
        <v>186</v>
      </c>
      <c r="G91" s="26" t="s">
        <v>186</v>
      </c>
      <c r="H91" s="41">
        <v>25266</v>
      </c>
      <c r="I91" s="36">
        <v>235.113</v>
      </c>
      <c r="J91" s="43">
        <v>14694</v>
      </c>
      <c r="K91" s="31">
        <v>132.423</v>
      </c>
      <c r="L91" s="31">
        <v>78</v>
      </c>
      <c r="M91" s="31">
        <v>1.56</v>
      </c>
      <c r="N91" s="36">
        <v>6</v>
      </c>
      <c r="O91" s="31">
        <v>1.5</v>
      </c>
      <c r="P91" s="26" t="s">
        <v>186</v>
      </c>
      <c r="Q91" s="26" t="s">
        <v>186</v>
      </c>
      <c r="R91" s="31">
        <v>210</v>
      </c>
      <c r="S91" s="31">
        <v>6.5</v>
      </c>
      <c r="T91" s="31">
        <v>103</v>
      </c>
      <c r="U91" s="31">
        <v>1.5449999999999999</v>
      </c>
      <c r="V91" s="31">
        <v>1336</v>
      </c>
      <c r="W91" s="31">
        <v>85.275000000000006</v>
      </c>
      <c r="X91" s="31">
        <v>3130</v>
      </c>
      <c r="Y91" s="36">
        <v>6.31</v>
      </c>
      <c r="Z91" s="31">
        <v>4880</v>
      </c>
      <c r="AA91" s="31">
        <v>5.44</v>
      </c>
      <c r="AB91" s="7" t="s">
        <v>153</v>
      </c>
      <c r="AC91" s="8"/>
      <c r="AD91" s="8"/>
    </row>
    <row r="92" spans="1:30" ht="11.9">
      <c r="A92" s="5" t="s">
        <v>154</v>
      </c>
      <c r="B92" s="25">
        <v>29</v>
      </c>
      <c r="C92" s="31">
        <v>4.0549999999999997</v>
      </c>
      <c r="D92" s="26" t="s">
        <v>186</v>
      </c>
      <c r="E92" s="26" t="s">
        <v>186</v>
      </c>
      <c r="F92" s="26" t="s">
        <v>186</v>
      </c>
      <c r="G92" s="26" t="s">
        <v>186</v>
      </c>
      <c r="H92" s="41">
        <v>1645</v>
      </c>
      <c r="I92" s="36">
        <v>16.45</v>
      </c>
      <c r="J92" s="43">
        <v>1635</v>
      </c>
      <c r="K92" s="31">
        <v>15.775</v>
      </c>
      <c r="L92" s="31">
        <v>856</v>
      </c>
      <c r="M92" s="31">
        <v>17.12</v>
      </c>
      <c r="N92" s="6" t="s">
        <v>186</v>
      </c>
      <c r="O92" s="26" t="s">
        <v>186</v>
      </c>
      <c r="P92" s="26" t="s">
        <v>186</v>
      </c>
      <c r="Q92" s="26" t="s">
        <v>186</v>
      </c>
      <c r="R92" s="31">
        <v>85</v>
      </c>
      <c r="S92" s="31">
        <v>1.589</v>
      </c>
      <c r="T92" s="31">
        <v>30</v>
      </c>
      <c r="U92" s="31">
        <v>0.45</v>
      </c>
      <c r="V92" s="31">
        <v>329</v>
      </c>
      <c r="W92" s="31">
        <v>23.864000000000001</v>
      </c>
      <c r="X92" s="31">
        <v>6115</v>
      </c>
      <c r="Y92" s="36">
        <v>9.0250000000000004</v>
      </c>
      <c r="Z92" s="31">
        <v>7550</v>
      </c>
      <c r="AA92" s="31">
        <v>12.074999999999999</v>
      </c>
      <c r="AB92" s="7" t="s">
        <v>155</v>
      </c>
      <c r="AC92" s="8"/>
      <c r="AD92" s="8"/>
    </row>
    <row r="93" spans="1:30" ht="11.9">
      <c r="A93" s="5" t="s">
        <v>156</v>
      </c>
      <c r="B93" s="25">
        <v>20</v>
      </c>
      <c r="C93" s="31">
        <v>1.6</v>
      </c>
      <c r="D93" s="31">
        <v>7</v>
      </c>
      <c r="E93" s="31">
        <v>1.4</v>
      </c>
      <c r="F93" s="26" t="s">
        <v>186</v>
      </c>
      <c r="G93" s="26" t="s">
        <v>186</v>
      </c>
      <c r="H93" s="41">
        <v>4815</v>
      </c>
      <c r="I93" s="36">
        <v>41.42</v>
      </c>
      <c r="J93" s="43">
        <v>14150</v>
      </c>
      <c r="K93" s="31">
        <v>123.505</v>
      </c>
      <c r="L93" s="31">
        <v>387</v>
      </c>
      <c r="M93" s="31">
        <v>7.1390000000000002</v>
      </c>
      <c r="N93" s="36">
        <v>6</v>
      </c>
      <c r="O93" s="31">
        <v>1.44</v>
      </c>
      <c r="P93" s="26" t="s">
        <v>186</v>
      </c>
      <c r="Q93" s="26" t="s">
        <v>186</v>
      </c>
      <c r="R93" s="31">
        <v>205</v>
      </c>
      <c r="S93" s="31">
        <v>3.75</v>
      </c>
      <c r="T93" s="31">
        <v>480</v>
      </c>
      <c r="U93" s="31">
        <v>9.6</v>
      </c>
      <c r="V93" s="31">
        <v>413</v>
      </c>
      <c r="W93" s="31">
        <v>25.707999999999998</v>
      </c>
      <c r="X93" s="31">
        <v>17300</v>
      </c>
      <c r="Y93" s="36">
        <v>32.21</v>
      </c>
      <c r="Z93" s="31">
        <v>15500</v>
      </c>
      <c r="AA93" s="31">
        <v>35.65</v>
      </c>
      <c r="AB93" s="7" t="s">
        <v>157</v>
      </c>
      <c r="AC93" s="8"/>
      <c r="AD93" s="8"/>
    </row>
    <row r="94" spans="1:30" ht="11.9">
      <c r="A94" s="5" t="s">
        <v>158</v>
      </c>
      <c r="B94" s="25">
        <v>1</v>
      </c>
      <c r="C94" s="34">
        <v>6.7000000000000004E-2</v>
      </c>
      <c r="D94" s="26" t="s">
        <v>186</v>
      </c>
      <c r="E94" s="26" t="s">
        <v>186</v>
      </c>
      <c r="F94" s="26" t="s">
        <v>186</v>
      </c>
      <c r="G94" s="26" t="s">
        <v>186</v>
      </c>
      <c r="H94" s="41">
        <v>3825</v>
      </c>
      <c r="I94" s="36">
        <v>35.424999999999997</v>
      </c>
      <c r="J94" s="43">
        <v>4600</v>
      </c>
      <c r="K94" s="31">
        <v>42.847000000000001</v>
      </c>
      <c r="L94" s="31">
        <v>1272</v>
      </c>
      <c r="M94" s="31">
        <v>23.495999999999999</v>
      </c>
      <c r="N94" s="36">
        <v>2</v>
      </c>
      <c r="O94" s="31">
        <v>0.33300000000000002</v>
      </c>
      <c r="P94" s="26" t="s">
        <v>186</v>
      </c>
      <c r="Q94" s="26" t="s">
        <v>186</v>
      </c>
      <c r="R94" s="31">
        <v>305</v>
      </c>
      <c r="S94" s="31">
        <v>5.0910000000000002</v>
      </c>
      <c r="T94" s="31">
        <v>580</v>
      </c>
      <c r="U94" s="31">
        <v>10.329000000000001</v>
      </c>
      <c r="V94" s="31">
        <v>123</v>
      </c>
      <c r="W94" s="31">
        <v>6.6539999999999999</v>
      </c>
      <c r="X94" s="31">
        <v>1727</v>
      </c>
      <c r="Y94" s="36">
        <v>2.7930000000000001</v>
      </c>
      <c r="Z94" s="31">
        <v>1314</v>
      </c>
      <c r="AA94" s="31">
        <v>2.7210000000000001</v>
      </c>
      <c r="AB94" s="7" t="s">
        <v>159</v>
      </c>
      <c r="AC94" s="8"/>
      <c r="AD94" s="8"/>
    </row>
    <row r="95" spans="1:30" ht="11.9">
      <c r="A95" s="5" t="s">
        <v>160</v>
      </c>
      <c r="B95" s="25">
        <v>100</v>
      </c>
      <c r="C95" s="31">
        <v>17.241</v>
      </c>
      <c r="D95" s="31">
        <v>320</v>
      </c>
      <c r="E95" s="31">
        <v>74.5</v>
      </c>
      <c r="F95" s="26" t="s">
        <v>186</v>
      </c>
      <c r="G95" s="26" t="s">
        <v>186</v>
      </c>
      <c r="H95" s="41">
        <v>3206</v>
      </c>
      <c r="I95" s="36">
        <v>32</v>
      </c>
      <c r="J95" s="43">
        <v>1640</v>
      </c>
      <c r="K95" s="31">
        <v>15</v>
      </c>
      <c r="L95" s="31">
        <v>732</v>
      </c>
      <c r="M95" s="31">
        <v>13.176</v>
      </c>
      <c r="N95" s="36">
        <v>11</v>
      </c>
      <c r="O95" s="31">
        <v>3.5</v>
      </c>
      <c r="P95" s="26" t="s">
        <v>186</v>
      </c>
      <c r="Q95" s="26" t="s">
        <v>186</v>
      </c>
      <c r="R95" s="26" t="s">
        <v>186</v>
      </c>
      <c r="S95" s="26" t="s">
        <v>186</v>
      </c>
      <c r="T95" s="26" t="s">
        <v>186</v>
      </c>
      <c r="U95" s="26" t="s">
        <v>186</v>
      </c>
      <c r="V95" s="31">
        <v>184</v>
      </c>
      <c r="W95" s="31">
        <v>10.615</v>
      </c>
      <c r="X95" s="31">
        <v>2045</v>
      </c>
      <c r="Y95" s="36">
        <v>3.968</v>
      </c>
      <c r="Z95" s="31">
        <v>413</v>
      </c>
      <c r="AA95" s="31">
        <v>0.60299999999999998</v>
      </c>
      <c r="AB95" s="7" t="s">
        <v>161</v>
      </c>
      <c r="AC95" s="8"/>
      <c r="AD95" s="8"/>
    </row>
    <row r="96" spans="1:30" ht="11.9">
      <c r="A96" s="5" t="s">
        <v>162</v>
      </c>
      <c r="B96" s="25">
        <v>77</v>
      </c>
      <c r="C96" s="31">
        <v>13.475</v>
      </c>
      <c r="D96" s="31">
        <v>844</v>
      </c>
      <c r="E96" s="31">
        <v>251.20400000000001</v>
      </c>
      <c r="F96" s="26" t="s">
        <v>186</v>
      </c>
      <c r="G96" s="26" t="s">
        <v>186</v>
      </c>
      <c r="H96" s="41">
        <v>10975</v>
      </c>
      <c r="I96" s="36">
        <v>106</v>
      </c>
      <c r="J96" s="43">
        <v>13136</v>
      </c>
      <c r="K96" s="31">
        <v>132.06</v>
      </c>
      <c r="L96" s="31">
        <v>1409</v>
      </c>
      <c r="M96" s="31">
        <v>26.27</v>
      </c>
      <c r="N96" s="36">
        <v>200</v>
      </c>
      <c r="O96" s="31">
        <v>60.345999999999997</v>
      </c>
      <c r="P96" s="26" t="s">
        <v>186</v>
      </c>
      <c r="Q96" s="26" t="s">
        <v>186</v>
      </c>
      <c r="R96" s="31">
        <v>248</v>
      </c>
      <c r="S96" s="31">
        <v>5.7590000000000003</v>
      </c>
      <c r="T96" s="31">
        <v>292</v>
      </c>
      <c r="U96" s="31">
        <v>5.4489999999999998</v>
      </c>
      <c r="V96" s="31">
        <v>2789</v>
      </c>
      <c r="W96" s="31">
        <v>154.23500000000001</v>
      </c>
      <c r="X96" s="31">
        <v>22255</v>
      </c>
      <c r="Y96" s="36">
        <v>30.719000000000001</v>
      </c>
      <c r="Z96" s="31">
        <v>3830</v>
      </c>
      <c r="AA96" s="31">
        <v>4.9459999999999997</v>
      </c>
      <c r="AB96" s="7" t="s">
        <v>163</v>
      </c>
      <c r="AC96" s="8"/>
      <c r="AD96" s="8"/>
    </row>
    <row r="97" spans="1:30" ht="11.9">
      <c r="A97" s="5" t="s">
        <v>164</v>
      </c>
      <c r="B97" s="25">
        <v>44</v>
      </c>
      <c r="C97" s="31">
        <v>8.298</v>
      </c>
      <c r="D97" s="31">
        <v>13</v>
      </c>
      <c r="E97" s="31">
        <v>3.1</v>
      </c>
      <c r="F97" s="26" t="s">
        <v>186</v>
      </c>
      <c r="G97" s="26" t="s">
        <v>186</v>
      </c>
      <c r="H97" s="41">
        <v>5250</v>
      </c>
      <c r="I97" s="36">
        <v>44</v>
      </c>
      <c r="J97" s="43">
        <v>8485</v>
      </c>
      <c r="K97" s="31">
        <v>84.6</v>
      </c>
      <c r="L97" s="31">
        <v>61</v>
      </c>
      <c r="M97" s="31">
        <v>1.0649999999999999</v>
      </c>
      <c r="N97" s="17" t="s">
        <v>186</v>
      </c>
      <c r="O97" s="28" t="s">
        <v>186</v>
      </c>
      <c r="P97" s="26" t="s">
        <v>186</v>
      </c>
      <c r="Q97" s="26" t="s">
        <v>186</v>
      </c>
      <c r="R97" s="31">
        <v>1267</v>
      </c>
      <c r="S97" s="31">
        <v>22</v>
      </c>
      <c r="T97" s="31">
        <v>2055</v>
      </c>
      <c r="U97" s="31">
        <v>33.375</v>
      </c>
      <c r="V97" s="31">
        <v>364</v>
      </c>
      <c r="W97" s="31">
        <v>21.635000000000002</v>
      </c>
      <c r="X97" s="31">
        <v>14950</v>
      </c>
      <c r="Y97" s="36">
        <v>22.905000000000001</v>
      </c>
      <c r="Z97" s="31">
        <v>1730</v>
      </c>
      <c r="AA97" s="31">
        <v>3.0249999999999999</v>
      </c>
      <c r="AB97" s="7" t="s">
        <v>165</v>
      </c>
      <c r="AC97" s="8"/>
      <c r="AD97" s="8"/>
    </row>
    <row r="98" spans="1:30" ht="11.9">
      <c r="A98" s="5" t="s">
        <v>166</v>
      </c>
      <c r="B98" s="25">
        <v>110</v>
      </c>
      <c r="C98" s="31">
        <v>22</v>
      </c>
      <c r="D98" s="31">
        <v>80</v>
      </c>
      <c r="E98" s="31">
        <v>20</v>
      </c>
      <c r="F98" s="26" t="s">
        <v>186</v>
      </c>
      <c r="G98" s="26" t="s">
        <v>186</v>
      </c>
      <c r="H98" s="41">
        <v>2750</v>
      </c>
      <c r="I98" s="36">
        <v>28</v>
      </c>
      <c r="J98" s="43">
        <v>1200</v>
      </c>
      <c r="K98" s="31">
        <v>12</v>
      </c>
      <c r="L98" s="31">
        <v>80</v>
      </c>
      <c r="M98" s="31">
        <v>1.6</v>
      </c>
      <c r="N98" s="6" t="s">
        <v>186</v>
      </c>
      <c r="O98" s="26" t="s">
        <v>186</v>
      </c>
      <c r="P98" s="26" t="s">
        <v>186</v>
      </c>
      <c r="Q98" s="26" t="s">
        <v>186</v>
      </c>
      <c r="R98" s="31">
        <v>850</v>
      </c>
      <c r="S98" s="31">
        <v>12.75</v>
      </c>
      <c r="T98" s="31">
        <v>580</v>
      </c>
      <c r="U98" s="31">
        <v>8.6999999999999993</v>
      </c>
      <c r="V98" s="31">
        <v>1040</v>
      </c>
      <c r="W98" s="31">
        <v>82</v>
      </c>
      <c r="X98" s="31">
        <v>1500</v>
      </c>
      <c r="Y98" s="36">
        <v>2.7</v>
      </c>
      <c r="Z98" s="31">
        <v>1150</v>
      </c>
      <c r="AA98" s="31">
        <v>1.8</v>
      </c>
      <c r="AB98" s="7" t="s">
        <v>167</v>
      </c>
      <c r="AC98" s="8"/>
      <c r="AD98" s="8"/>
    </row>
    <row r="99" spans="1:30" ht="11.9">
      <c r="A99" s="5" t="s">
        <v>168</v>
      </c>
      <c r="B99" s="25">
        <v>498</v>
      </c>
      <c r="C99" s="31">
        <v>87.614999999999995</v>
      </c>
      <c r="D99" s="31">
        <v>1834</v>
      </c>
      <c r="E99" s="31">
        <v>495.34899999999999</v>
      </c>
      <c r="F99" s="26" t="s">
        <v>186</v>
      </c>
      <c r="G99" s="26" t="s">
        <v>186</v>
      </c>
      <c r="H99" s="41">
        <v>75043</v>
      </c>
      <c r="I99" s="36">
        <v>730</v>
      </c>
      <c r="J99" s="43">
        <v>121748</v>
      </c>
      <c r="K99" s="31">
        <v>1139.0450000000001</v>
      </c>
      <c r="L99" s="31">
        <v>2160</v>
      </c>
      <c r="M99" s="31">
        <v>41.003</v>
      </c>
      <c r="N99" s="36">
        <v>224</v>
      </c>
      <c r="O99" s="31">
        <v>57.048000000000002</v>
      </c>
      <c r="P99" s="26" t="s">
        <v>186</v>
      </c>
      <c r="Q99" s="26" t="s">
        <v>186</v>
      </c>
      <c r="R99" s="31">
        <v>4136</v>
      </c>
      <c r="S99" s="31">
        <v>69.236999999999995</v>
      </c>
      <c r="T99" s="31">
        <v>5167</v>
      </c>
      <c r="U99" s="31">
        <v>85.391000000000005</v>
      </c>
      <c r="V99" s="31">
        <v>3537</v>
      </c>
      <c r="W99" s="31">
        <v>252.36</v>
      </c>
      <c r="X99" s="31">
        <v>54297</v>
      </c>
      <c r="Y99" s="36">
        <v>125.083</v>
      </c>
      <c r="Z99" s="31">
        <v>37429</v>
      </c>
      <c r="AA99" s="31">
        <v>60.606999999999999</v>
      </c>
      <c r="AB99" s="7" t="s">
        <v>169</v>
      </c>
      <c r="AC99" s="8"/>
      <c r="AD99" s="8"/>
    </row>
    <row r="100" spans="1:30" ht="11.9">
      <c r="A100" s="5" t="s">
        <v>170</v>
      </c>
      <c r="B100" s="26" t="s">
        <v>186</v>
      </c>
      <c r="C100" s="26" t="s">
        <v>186</v>
      </c>
      <c r="D100" s="31">
        <v>262</v>
      </c>
      <c r="E100" s="31">
        <v>65</v>
      </c>
      <c r="F100" s="26" t="s">
        <v>186</v>
      </c>
      <c r="G100" s="26" t="s">
        <v>186</v>
      </c>
      <c r="H100" s="41">
        <v>850</v>
      </c>
      <c r="I100" s="36">
        <v>10</v>
      </c>
      <c r="J100" s="43">
        <v>963</v>
      </c>
      <c r="K100" s="31">
        <v>11.5</v>
      </c>
      <c r="L100" s="31">
        <v>37</v>
      </c>
      <c r="M100" s="31">
        <v>0.74</v>
      </c>
      <c r="N100" s="36">
        <v>35</v>
      </c>
      <c r="O100" s="31">
        <v>7</v>
      </c>
      <c r="P100" s="26" t="s">
        <v>186</v>
      </c>
      <c r="Q100" s="26" t="s">
        <v>186</v>
      </c>
      <c r="R100" s="26" t="s">
        <v>186</v>
      </c>
      <c r="S100" s="26" t="s">
        <v>186</v>
      </c>
      <c r="T100" s="26" t="s">
        <v>186</v>
      </c>
      <c r="U100" s="26" t="s">
        <v>186</v>
      </c>
      <c r="V100" s="31">
        <v>67</v>
      </c>
      <c r="W100" s="31">
        <v>4</v>
      </c>
      <c r="X100" s="31">
        <v>10000</v>
      </c>
      <c r="Y100" s="36">
        <v>12</v>
      </c>
      <c r="Z100" s="26" t="s">
        <v>186</v>
      </c>
      <c r="AA100" s="26" t="s">
        <v>186</v>
      </c>
      <c r="AB100" s="7" t="s">
        <v>171</v>
      </c>
      <c r="AC100" s="8"/>
      <c r="AD100" s="8"/>
    </row>
    <row r="101" spans="1:30" ht="11.9">
      <c r="A101" s="5" t="s">
        <v>172</v>
      </c>
      <c r="B101" s="25">
        <v>96</v>
      </c>
      <c r="C101" s="31">
        <v>14.8</v>
      </c>
      <c r="D101" s="31">
        <v>133</v>
      </c>
      <c r="E101" s="31">
        <v>32.409999999999997</v>
      </c>
      <c r="F101" s="26" t="s">
        <v>186</v>
      </c>
      <c r="G101" s="26" t="s">
        <v>186</v>
      </c>
      <c r="H101" s="41">
        <v>3871</v>
      </c>
      <c r="I101" s="36">
        <v>38</v>
      </c>
      <c r="J101" s="43">
        <v>10124</v>
      </c>
      <c r="K101" s="31">
        <v>95.539000000000001</v>
      </c>
      <c r="L101" s="31">
        <v>4185</v>
      </c>
      <c r="M101" s="31">
        <v>81.346999999999994</v>
      </c>
      <c r="N101" s="36">
        <v>20</v>
      </c>
      <c r="O101" s="31">
        <v>5</v>
      </c>
      <c r="P101" s="26" t="s">
        <v>186</v>
      </c>
      <c r="Q101" s="26" t="s">
        <v>186</v>
      </c>
      <c r="R101" s="31">
        <v>699</v>
      </c>
      <c r="S101" s="31">
        <v>12.837</v>
      </c>
      <c r="T101" s="31">
        <v>3169</v>
      </c>
      <c r="U101" s="31">
        <v>62.235999999999997</v>
      </c>
      <c r="V101" s="31">
        <v>2577</v>
      </c>
      <c r="W101" s="31">
        <v>141.23500000000001</v>
      </c>
      <c r="X101" s="31">
        <v>287275</v>
      </c>
      <c r="Y101" s="36">
        <v>346.53</v>
      </c>
      <c r="Z101" s="31">
        <v>13946</v>
      </c>
      <c r="AA101" s="31">
        <v>26.498000000000001</v>
      </c>
      <c r="AB101" s="7" t="s">
        <v>173</v>
      </c>
      <c r="AC101" s="8"/>
      <c r="AD101" s="8"/>
    </row>
    <row r="102" spans="1:30" ht="11.9">
      <c r="A102" s="5" t="s">
        <v>174</v>
      </c>
      <c r="B102" s="25">
        <v>142</v>
      </c>
      <c r="C102" s="31">
        <v>21.3</v>
      </c>
      <c r="D102" s="31">
        <v>132</v>
      </c>
      <c r="E102" s="31">
        <v>31.75</v>
      </c>
      <c r="F102" s="26" t="s">
        <v>186</v>
      </c>
      <c r="G102" s="26" t="s">
        <v>186</v>
      </c>
      <c r="H102" s="41">
        <v>7985</v>
      </c>
      <c r="I102" s="36">
        <v>80</v>
      </c>
      <c r="J102" s="43">
        <v>10960</v>
      </c>
      <c r="K102" s="31">
        <v>110.2</v>
      </c>
      <c r="L102" s="31">
        <v>245</v>
      </c>
      <c r="M102" s="31">
        <v>4.7</v>
      </c>
      <c r="N102" s="6" t="s">
        <v>186</v>
      </c>
      <c r="O102" s="26" t="s">
        <v>186</v>
      </c>
      <c r="P102" s="26" t="s">
        <v>186</v>
      </c>
      <c r="Q102" s="26" t="s">
        <v>186</v>
      </c>
      <c r="R102" s="26" t="s">
        <v>186</v>
      </c>
      <c r="S102" s="26" t="s">
        <v>186</v>
      </c>
      <c r="T102" s="26" t="s">
        <v>186</v>
      </c>
      <c r="U102" s="26" t="s">
        <v>186</v>
      </c>
      <c r="V102" s="31">
        <v>610</v>
      </c>
      <c r="W102" s="31">
        <v>42.35</v>
      </c>
      <c r="X102" s="31">
        <v>3520</v>
      </c>
      <c r="Y102" s="36">
        <v>6.6749999999999998</v>
      </c>
      <c r="Z102" s="31">
        <v>3575</v>
      </c>
      <c r="AA102" s="31">
        <v>6.6050000000000004</v>
      </c>
      <c r="AB102" s="7" t="s">
        <v>175</v>
      </c>
      <c r="AC102" s="8"/>
      <c r="AD102" s="8"/>
    </row>
    <row r="103" spans="1:30">
      <c r="A103" s="65" t="s">
        <v>176</v>
      </c>
      <c r="B103" s="52">
        <f t="shared" ref="B103:G103" si="25">SUM(B105:B108)</f>
        <v>165</v>
      </c>
      <c r="C103" s="52">
        <f t="shared" si="25"/>
        <v>27.036000000000001</v>
      </c>
      <c r="D103" s="52">
        <f t="shared" si="25"/>
        <v>2002</v>
      </c>
      <c r="E103" s="52">
        <f t="shared" si="25"/>
        <v>392.78</v>
      </c>
      <c r="F103" s="52">
        <f t="shared" si="25"/>
        <v>359</v>
      </c>
      <c r="G103" s="52">
        <f t="shared" si="25"/>
        <v>135.53700000000001</v>
      </c>
      <c r="H103" s="69">
        <f t="shared" ref="H103:M103" si="26">SUM(H105:H108)</f>
        <v>764488</v>
      </c>
      <c r="I103" s="52">
        <f t="shared" ref="I103" si="27">SUM(I105:I108)</f>
        <v>7642.2930000000006</v>
      </c>
      <c r="J103" s="79">
        <f t="shared" si="26"/>
        <v>183365</v>
      </c>
      <c r="K103" s="52">
        <f t="shared" si="26"/>
        <v>1784.3989999999999</v>
      </c>
      <c r="L103" s="52">
        <f t="shared" si="26"/>
        <v>36363</v>
      </c>
      <c r="M103" s="52">
        <f t="shared" si="26"/>
        <v>641.77400000000011</v>
      </c>
      <c r="N103" s="67">
        <f>SUM(N105:N108)</f>
        <v>185</v>
      </c>
      <c r="O103" s="52">
        <f>SUM(O105:O108)</f>
        <v>58.488</v>
      </c>
      <c r="P103" s="52">
        <f t="shared" ref="P103:AA103" si="28">SUM(P105:P108)</f>
        <v>2</v>
      </c>
      <c r="Q103" s="52">
        <f t="shared" si="28"/>
        <v>0</v>
      </c>
      <c r="R103" s="52">
        <f t="shared" si="28"/>
        <v>90023</v>
      </c>
      <c r="S103" s="52">
        <f t="shared" si="28"/>
        <v>1681.703</v>
      </c>
      <c r="T103" s="52">
        <f t="shared" si="28"/>
        <v>37373</v>
      </c>
      <c r="U103" s="52">
        <f t="shared" si="28"/>
        <v>778.45800000000008</v>
      </c>
      <c r="V103" s="52">
        <f t="shared" si="28"/>
        <v>65837</v>
      </c>
      <c r="W103" s="52">
        <f t="shared" si="28"/>
        <v>4430.393</v>
      </c>
      <c r="X103" s="52">
        <f t="shared" si="28"/>
        <v>730115</v>
      </c>
      <c r="Y103" s="67">
        <f t="shared" si="28"/>
        <v>1369.9870000000001</v>
      </c>
      <c r="Z103" s="52">
        <f t="shared" si="28"/>
        <v>929557</v>
      </c>
      <c r="AA103" s="52">
        <f t="shared" si="28"/>
        <v>1615.3679999999999</v>
      </c>
      <c r="AB103" s="66" t="s">
        <v>177</v>
      </c>
      <c r="AC103" s="66"/>
      <c r="AD103" s="66"/>
    </row>
    <row r="104" spans="1:30">
      <c r="A104" s="65"/>
      <c r="B104" s="52"/>
      <c r="C104" s="52"/>
      <c r="D104" s="52"/>
      <c r="E104" s="52"/>
      <c r="F104" s="52"/>
      <c r="G104" s="52"/>
      <c r="H104" s="69"/>
      <c r="I104" s="52"/>
      <c r="J104" s="79"/>
      <c r="K104" s="52"/>
      <c r="L104" s="52"/>
      <c r="M104" s="52"/>
      <c r="N104" s="67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67"/>
      <c r="Z104" s="52"/>
      <c r="AA104" s="52"/>
      <c r="AB104" s="66"/>
      <c r="AC104" s="66"/>
      <c r="AD104" s="66"/>
    </row>
    <row r="105" spans="1:30" ht="11.9">
      <c r="A105" s="5" t="s">
        <v>178</v>
      </c>
      <c r="B105" s="25">
        <v>123</v>
      </c>
      <c r="C105" s="31">
        <v>18.917000000000002</v>
      </c>
      <c r="D105" s="31">
        <v>1482</v>
      </c>
      <c r="E105" s="31">
        <v>236.11</v>
      </c>
      <c r="F105" s="26" t="s">
        <v>186</v>
      </c>
      <c r="G105" s="26" t="s">
        <v>186</v>
      </c>
      <c r="H105" s="41">
        <v>143381</v>
      </c>
      <c r="I105" s="36">
        <v>1519.3409999999999</v>
      </c>
      <c r="J105" s="43">
        <v>20951</v>
      </c>
      <c r="K105" s="31">
        <v>211.37100000000001</v>
      </c>
      <c r="L105" s="31">
        <v>9487</v>
      </c>
      <c r="M105" s="31">
        <v>183.68899999999999</v>
      </c>
      <c r="N105" s="36">
        <v>89</v>
      </c>
      <c r="O105" s="31">
        <v>22.03</v>
      </c>
      <c r="P105" s="25">
        <v>2</v>
      </c>
      <c r="Q105" s="86">
        <v>0</v>
      </c>
      <c r="R105" s="31">
        <v>18374</v>
      </c>
      <c r="S105" s="31">
        <v>328.928</v>
      </c>
      <c r="T105" s="31">
        <v>3576</v>
      </c>
      <c r="U105" s="31">
        <v>66.236999999999995</v>
      </c>
      <c r="V105" s="31">
        <v>5255</v>
      </c>
      <c r="W105" s="31">
        <v>287.78500000000003</v>
      </c>
      <c r="X105" s="31">
        <v>237723</v>
      </c>
      <c r="Y105" s="36">
        <v>459.32799999999997</v>
      </c>
      <c r="Z105" s="31">
        <v>410997</v>
      </c>
      <c r="AA105" s="31">
        <v>643.94100000000003</v>
      </c>
      <c r="AB105" s="7" t="s">
        <v>179</v>
      </c>
      <c r="AC105" s="8"/>
      <c r="AD105" s="8"/>
    </row>
    <row r="106" spans="1:30" ht="11.9">
      <c r="A106" s="5" t="s">
        <v>180</v>
      </c>
      <c r="B106" s="26" t="s">
        <v>186</v>
      </c>
      <c r="C106" s="26" t="s">
        <v>186</v>
      </c>
      <c r="D106" s="26" t="s">
        <v>186</v>
      </c>
      <c r="E106" s="26" t="s">
        <v>186</v>
      </c>
      <c r="F106" s="26" t="s">
        <v>186</v>
      </c>
      <c r="G106" s="26" t="s">
        <v>186</v>
      </c>
      <c r="H106" s="41">
        <v>24390</v>
      </c>
      <c r="I106" s="36">
        <v>236.10300000000001</v>
      </c>
      <c r="J106" s="43">
        <v>18139</v>
      </c>
      <c r="K106" s="31">
        <v>179.72800000000001</v>
      </c>
      <c r="L106" s="31">
        <v>3781</v>
      </c>
      <c r="M106" s="31">
        <v>66.655000000000001</v>
      </c>
      <c r="N106" s="6" t="s">
        <v>186</v>
      </c>
      <c r="O106" s="26" t="s">
        <v>186</v>
      </c>
      <c r="P106" s="26" t="s">
        <v>186</v>
      </c>
      <c r="Q106" s="26" t="s">
        <v>186</v>
      </c>
      <c r="R106" s="31">
        <v>20065</v>
      </c>
      <c r="S106" s="31">
        <v>459.96600000000001</v>
      </c>
      <c r="T106" s="31">
        <v>17071</v>
      </c>
      <c r="U106" s="31">
        <v>424.22300000000001</v>
      </c>
      <c r="V106" s="31">
        <v>4549</v>
      </c>
      <c r="W106" s="31">
        <v>328.77699999999999</v>
      </c>
      <c r="X106" s="31">
        <v>56130</v>
      </c>
      <c r="Y106" s="36">
        <v>93.509</v>
      </c>
      <c r="Z106" s="31">
        <v>119679</v>
      </c>
      <c r="AA106" s="31">
        <v>219.608</v>
      </c>
      <c r="AB106" s="7" t="s">
        <v>181</v>
      </c>
      <c r="AC106" s="8"/>
      <c r="AD106" s="8"/>
    </row>
    <row r="107" spans="1:30" ht="11.9">
      <c r="A107" s="5" t="s">
        <v>182</v>
      </c>
      <c r="B107" s="25">
        <v>23</v>
      </c>
      <c r="C107" s="31">
        <v>4.718</v>
      </c>
      <c r="D107" s="31">
        <v>175</v>
      </c>
      <c r="E107" s="31">
        <v>51.52</v>
      </c>
      <c r="F107" s="26" t="s">
        <v>186</v>
      </c>
      <c r="G107" s="26" t="s">
        <v>186</v>
      </c>
      <c r="H107" s="41">
        <v>518422</v>
      </c>
      <c r="I107" s="36">
        <v>5079.9319999999998</v>
      </c>
      <c r="J107" s="43">
        <v>114270</v>
      </c>
      <c r="K107" s="31">
        <v>1121.289</v>
      </c>
      <c r="L107" s="31">
        <v>17547</v>
      </c>
      <c r="M107" s="31">
        <v>292.78800000000001</v>
      </c>
      <c r="N107" s="36">
        <v>3</v>
      </c>
      <c r="O107" s="31">
        <v>1.25</v>
      </c>
      <c r="P107" s="26" t="s">
        <v>186</v>
      </c>
      <c r="Q107" s="26" t="s">
        <v>186</v>
      </c>
      <c r="R107" s="31">
        <v>42547</v>
      </c>
      <c r="S107" s="31">
        <v>739.36500000000001</v>
      </c>
      <c r="T107" s="31">
        <v>10830</v>
      </c>
      <c r="U107" s="31">
        <v>194.39400000000001</v>
      </c>
      <c r="V107" s="31">
        <v>43646</v>
      </c>
      <c r="W107" s="31">
        <v>3008.5590000000002</v>
      </c>
      <c r="X107" s="31">
        <v>234105</v>
      </c>
      <c r="Y107" s="36">
        <v>417.83100000000002</v>
      </c>
      <c r="Z107" s="31">
        <v>193166</v>
      </c>
      <c r="AA107" s="31">
        <v>388.58199999999999</v>
      </c>
      <c r="AB107" s="7" t="s">
        <v>183</v>
      </c>
      <c r="AC107" s="8"/>
      <c r="AD107" s="8"/>
    </row>
    <row r="108" spans="1:30" ht="12.55" thickBot="1">
      <c r="A108" s="10" t="s">
        <v>184</v>
      </c>
      <c r="B108" s="30">
        <v>19</v>
      </c>
      <c r="C108" s="33">
        <v>3.4009999999999998</v>
      </c>
      <c r="D108" s="33">
        <v>345</v>
      </c>
      <c r="E108" s="33">
        <v>105.15</v>
      </c>
      <c r="F108" s="35">
        <v>359</v>
      </c>
      <c r="G108" s="40">
        <v>135.53700000000001</v>
      </c>
      <c r="H108" s="42">
        <v>78295</v>
      </c>
      <c r="I108" s="37">
        <v>806.91700000000003</v>
      </c>
      <c r="J108" s="44">
        <v>30005</v>
      </c>
      <c r="K108" s="33">
        <v>272.01100000000002</v>
      </c>
      <c r="L108" s="33">
        <v>5548</v>
      </c>
      <c r="M108" s="33">
        <v>98.641999999999996</v>
      </c>
      <c r="N108" s="37">
        <v>93</v>
      </c>
      <c r="O108" s="33">
        <v>35.207999999999998</v>
      </c>
      <c r="P108" s="38" t="s">
        <v>186</v>
      </c>
      <c r="Q108" s="38" t="s">
        <v>186</v>
      </c>
      <c r="R108" s="33">
        <v>9037</v>
      </c>
      <c r="S108" s="33">
        <v>153.44399999999999</v>
      </c>
      <c r="T108" s="33">
        <v>5896</v>
      </c>
      <c r="U108" s="33">
        <v>93.603999999999999</v>
      </c>
      <c r="V108" s="33">
        <v>12387</v>
      </c>
      <c r="W108" s="33">
        <v>805.27200000000005</v>
      </c>
      <c r="X108" s="33">
        <v>202157</v>
      </c>
      <c r="Y108" s="37">
        <v>399.31900000000002</v>
      </c>
      <c r="Z108" s="33">
        <v>205715</v>
      </c>
      <c r="AA108" s="33">
        <v>363.23700000000002</v>
      </c>
      <c r="AB108" s="11" t="s">
        <v>185</v>
      </c>
      <c r="AC108" s="12"/>
      <c r="AD108" s="12"/>
    </row>
    <row r="109" spans="1:30"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30"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30"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30"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4:27"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4:27"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4:27"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4:27"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4:27"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4:27"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</sheetData>
  <mergeCells count="394">
    <mergeCell ref="B103:B104"/>
    <mergeCell ref="C103:C104"/>
    <mergeCell ref="E103:E104"/>
    <mergeCell ref="M88:M89"/>
    <mergeCell ref="D103:D104"/>
    <mergeCell ref="F103:F104"/>
    <mergeCell ref="G103:G104"/>
    <mergeCell ref="I88:I89"/>
    <mergeCell ref="J88:J89"/>
    <mergeCell ref="K88:K89"/>
    <mergeCell ref="F88:F89"/>
    <mergeCell ref="G88:G89"/>
    <mergeCell ref="H88:H89"/>
    <mergeCell ref="K103:K104"/>
    <mergeCell ref="L103:L104"/>
    <mergeCell ref="M103:M104"/>
    <mergeCell ref="H103:H104"/>
    <mergeCell ref="I103:I104"/>
    <mergeCell ref="J103:J104"/>
    <mergeCell ref="F71:F72"/>
    <mergeCell ref="G71:G72"/>
    <mergeCell ref="H71:H72"/>
    <mergeCell ref="B71:B72"/>
    <mergeCell ref="C71:C72"/>
    <mergeCell ref="D71:D72"/>
    <mergeCell ref="E71:E72"/>
    <mergeCell ref="M81:M82"/>
    <mergeCell ref="D88:D89"/>
    <mergeCell ref="B88:B89"/>
    <mergeCell ref="C88:C89"/>
    <mergeCell ref="E88:E89"/>
    <mergeCell ref="J81:J82"/>
    <mergeCell ref="K81:K82"/>
    <mergeCell ref="L81:L82"/>
    <mergeCell ref="G81:G82"/>
    <mergeCell ref="H81:H82"/>
    <mergeCell ref="I81:I82"/>
    <mergeCell ref="B81:B82"/>
    <mergeCell ref="C81:C82"/>
    <mergeCell ref="D81:D82"/>
    <mergeCell ref="E81:E82"/>
    <mergeCell ref="F81:F82"/>
    <mergeCell ref="L88:L89"/>
    <mergeCell ref="M64:M65"/>
    <mergeCell ref="I71:I72"/>
    <mergeCell ref="J71:J72"/>
    <mergeCell ref="I64:I65"/>
    <mergeCell ref="J64:J65"/>
    <mergeCell ref="K64:K65"/>
    <mergeCell ref="M71:M72"/>
    <mergeCell ref="G64:G65"/>
    <mergeCell ref="H64:H65"/>
    <mergeCell ref="K71:K72"/>
    <mergeCell ref="L71:L72"/>
    <mergeCell ref="D64:D65"/>
    <mergeCell ref="B64:B65"/>
    <mergeCell ref="C64:C65"/>
    <mergeCell ref="E64:E65"/>
    <mergeCell ref="J59:J60"/>
    <mergeCell ref="K59:K60"/>
    <mergeCell ref="L64:L65"/>
    <mergeCell ref="E59:E60"/>
    <mergeCell ref="B59:B60"/>
    <mergeCell ref="C59:C60"/>
    <mergeCell ref="D59:D60"/>
    <mergeCell ref="F59:F60"/>
    <mergeCell ref="F64:F65"/>
    <mergeCell ref="G52:G53"/>
    <mergeCell ref="H52:H53"/>
    <mergeCell ref="L59:L60"/>
    <mergeCell ref="G59:G60"/>
    <mergeCell ref="H59:H60"/>
    <mergeCell ref="I59:I60"/>
    <mergeCell ref="L45:L46"/>
    <mergeCell ref="M45:M46"/>
    <mergeCell ref="I52:I53"/>
    <mergeCell ref="J52:J53"/>
    <mergeCell ref="I45:I46"/>
    <mergeCell ref="J45:J46"/>
    <mergeCell ref="K52:K53"/>
    <mergeCell ref="L52:L53"/>
    <mergeCell ref="M52:M53"/>
    <mergeCell ref="M59:M60"/>
    <mergeCell ref="B8:B9"/>
    <mergeCell ref="C8:C9"/>
    <mergeCell ref="D8:D9"/>
    <mergeCell ref="E8:E9"/>
    <mergeCell ref="B45:B46"/>
    <mergeCell ref="C45:C46"/>
    <mergeCell ref="D45:D46"/>
    <mergeCell ref="F45:F46"/>
    <mergeCell ref="B52:B53"/>
    <mergeCell ref="C52:C53"/>
    <mergeCell ref="D52:D53"/>
    <mergeCell ref="E52:E53"/>
    <mergeCell ref="F52:F53"/>
    <mergeCell ref="B10:B11"/>
    <mergeCell ref="C10:C11"/>
    <mergeCell ref="D10:D11"/>
    <mergeCell ref="E10:E11"/>
    <mergeCell ref="L8:L9"/>
    <mergeCell ref="M8:M9"/>
    <mergeCell ref="I10:I11"/>
    <mergeCell ref="J10:J11"/>
    <mergeCell ref="K10:K11"/>
    <mergeCell ref="F10:F11"/>
    <mergeCell ref="G10:G11"/>
    <mergeCell ref="H10:H11"/>
    <mergeCell ref="H8:H9"/>
    <mergeCell ref="I8:I9"/>
    <mergeCell ref="J8:J9"/>
    <mergeCell ref="K8:K9"/>
    <mergeCell ref="F8:F9"/>
    <mergeCell ref="G8:G9"/>
    <mergeCell ref="L18:L19"/>
    <mergeCell ref="M18:M19"/>
    <mergeCell ref="H18:H19"/>
    <mergeCell ref="I18:I19"/>
    <mergeCell ref="J18:J19"/>
    <mergeCell ref="K18:K19"/>
    <mergeCell ref="F18:F19"/>
    <mergeCell ref="G18:G19"/>
    <mergeCell ref="L10:L11"/>
    <mergeCell ref="M10:M11"/>
    <mergeCell ref="K32:K33"/>
    <mergeCell ref="F32:F33"/>
    <mergeCell ref="G32:G33"/>
    <mergeCell ref="H32:H33"/>
    <mergeCell ref="I32:I33"/>
    <mergeCell ref="B32:B33"/>
    <mergeCell ref="C32:C33"/>
    <mergeCell ref="D32:D33"/>
    <mergeCell ref="E32:E33"/>
    <mergeCell ref="G38:G39"/>
    <mergeCell ref="J38:J39"/>
    <mergeCell ref="K38:K39"/>
    <mergeCell ref="H38:H39"/>
    <mergeCell ref="I38:I39"/>
    <mergeCell ref="A8:A9"/>
    <mergeCell ref="A18:A19"/>
    <mergeCell ref="A1:G1"/>
    <mergeCell ref="H1:M1"/>
    <mergeCell ref="A4:A7"/>
    <mergeCell ref="B4:C4"/>
    <mergeCell ref="D4:E4"/>
    <mergeCell ref="F4:G4"/>
    <mergeCell ref="L5:M6"/>
    <mergeCell ref="F5:G6"/>
    <mergeCell ref="H5:I6"/>
    <mergeCell ref="J5:K6"/>
    <mergeCell ref="L32:L33"/>
    <mergeCell ref="M32:M33"/>
    <mergeCell ref="B18:B19"/>
    <mergeCell ref="C18:C19"/>
    <mergeCell ref="D18:D19"/>
    <mergeCell ref="E18:E19"/>
    <mergeCell ref="J32:J33"/>
    <mergeCell ref="AB8:AD9"/>
    <mergeCell ref="A10:A11"/>
    <mergeCell ref="AB10:AD11"/>
    <mergeCell ref="AB4:AD7"/>
    <mergeCell ref="B5:C6"/>
    <mergeCell ref="D5:E6"/>
    <mergeCell ref="H4:I4"/>
    <mergeCell ref="J4:K4"/>
    <mergeCell ref="L4:M4"/>
    <mergeCell ref="N4:O4"/>
    <mergeCell ref="N5:O6"/>
    <mergeCell ref="N8:N9"/>
    <mergeCell ref="O8:O9"/>
    <mergeCell ref="N10:N11"/>
    <mergeCell ref="O10:O11"/>
    <mergeCell ref="P4:Q4"/>
    <mergeCell ref="P5:Q6"/>
    <mergeCell ref="P8:P9"/>
    <mergeCell ref="Q8:Q9"/>
    <mergeCell ref="P10:P11"/>
    <mergeCell ref="Q10:Q11"/>
    <mergeCell ref="T4:U4"/>
    <mergeCell ref="T5:U6"/>
    <mergeCell ref="T8:T9"/>
    <mergeCell ref="AB18:AD19"/>
    <mergeCell ref="A32:A33"/>
    <mergeCell ref="AB32:AD33"/>
    <mergeCell ref="A38:A39"/>
    <mergeCell ref="AB38:AD39"/>
    <mergeCell ref="B38:B39"/>
    <mergeCell ref="C38:C39"/>
    <mergeCell ref="L38:L39"/>
    <mergeCell ref="M38:M39"/>
    <mergeCell ref="N18:N19"/>
    <mergeCell ref="O18:O19"/>
    <mergeCell ref="N32:N33"/>
    <mergeCell ref="O32:O33"/>
    <mergeCell ref="N38:N39"/>
    <mergeCell ref="O38:O39"/>
    <mergeCell ref="P18:P19"/>
    <mergeCell ref="Q18:Q19"/>
    <mergeCell ref="P32:P33"/>
    <mergeCell ref="Q32:Q33"/>
    <mergeCell ref="P38:P39"/>
    <mergeCell ref="Q38:Q39"/>
    <mergeCell ref="D38:D39"/>
    <mergeCell ref="E38:E39"/>
    <mergeCell ref="F38:F39"/>
    <mergeCell ref="A45:A46"/>
    <mergeCell ref="AB45:AD46"/>
    <mergeCell ref="A52:A53"/>
    <mergeCell ref="AB52:AD53"/>
    <mergeCell ref="A59:A60"/>
    <mergeCell ref="AB59:AD60"/>
    <mergeCell ref="G45:G46"/>
    <mergeCell ref="H45:H46"/>
    <mergeCell ref="K45:K46"/>
    <mergeCell ref="E45:E46"/>
    <mergeCell ref="N45:N46"/>
    <mergeCell ref="O45:O46"/>
    <mergeCell ref="N52:N53"/>
    <mergeCell ref="O52:O53"/>
    <mergeCell ref="N59:N60"/>
    <mergeCell ref="O59:O60"/>
    <mergeCell ref="P45:P46"/>
    <mergeCell ref="Q45:Q46"/>
    <mergeCell ref="P52:P53"/>
    <mergeCell ref="Q52:Q53"/>
    <mergeCell ref="P59:P60"/>
    <mergeCell ref="Q59:Q60"/>
    <mergeCell ref="T45:T46"/>
    <mergeCell ref="U45:U46"/>
    <mergeCell ref="A88:A89"/>
    <mergeCell ref="AB88:AD89"/>
    <mergeCell ref="A103:A104"/>
    <mergeCell ref="AB103:AD104"/>
    <mergeCell ref="A64:A65"/>
    <mergeCell ref="AB64:AD65"/>
    <mergeCell ref="A71:A72"/>
    <mergeCell ref="AB71:AD72"/>
    <mergeCell ref="A81:A82"/>
    <mergeCell ref="AB81:AD82"/>
    <mergeCell ref="N64:N65"/>
    <mergeCell ref="O64:O65"/>
    <mergeCell ref="N71:N72"/>
    <mergeCell ref="O71:O72"/>
    <mergeCell ref="N81:N82"/>
    <mergeCell ref="O81:O82"/>
    <mergeCell ref="N88:N89"/>
    <mergeCell ref="O88:O89"/>
    <mergeCell ref="N103:N104"/>
    <mergeCell ref="O103:O104"/>
    <mergeCell ref="P64:P65"/>
    <mergeCell ref="Q64:Q65"/>
    <mergeCell ref="P71:P72"/>
    <mergeCell ref="Q71:Q72"/>
    <mergeCell ref="P81:P82"/>
    <mergeCell ref="Q81:Q82"/>
    <mergeCell ref="P88:P89"/>
    <mergeCell ref="Q88:Q89"/>
    <mergeCell ref="P103:P104"/>
    <mergeCell ref="Q103:Q104"/>
    <mergeCell ref="R4:S4"/>
    <mergeCell ref="R5:S6"/>
    <mergeCell ref="R8:R9"/>
    <mergeCell ref="S8:S9"/>
    <mergeCell ref="R10:R11"/>
    <mergeCell ref="S10:S11"/>
    <mergeCell ref="R18:R19"/>
    <mergeCell ref="S18:S19"/>
    <mergeCell ref="R32:R33"/>
    <mergeCell ref="S32:S33"/>
    <mergeCell ref="R38:R39"/>
    <mergeCell ref="S38:S39"/>
    <mergeCell ref="R45:R46"/>
    <mergeCell ref="S45:S46"/>
    <mergeCell ref="R52:R53"/>
    <mergeCell ref="S52:S53"/>
    <mergeCell ref="R59:R60"/>
    <mergeCell ref="S59:S60"/>
    <mergeCell ref="R64:R65"/>
    <mergeCell ref="S64:S65"/>
    <mergeCell ref="R71:R72"/>
    <mergeCell ref="S71:S72"/>
    <mergeCell ref="R81:R82"/>
    <mergeCell ref="S81:S82"/>
    <mergeCell ref="R88:R89"/>
    <mergeCell ref="S88:S89"/>
    <mergeCell ref="R103:R104"/>
    <mergeCell ref="S103:S104"/>
    <mergeCell ref="U8:U9"/>
    <mergeCell ref="T10:T11"/>
    <mergeCell ref="U10:U11"/>
    <mergeCell ref="T18:T19"/>
    <mergeCell ref="U18:U19"/>
    <mergeCell ref="T32:T33"/>
    <mergeCell ref="U32:U33"/>
    <mergeCell ref="T38:T39"/>
    <mergeCell ref="U38:U39"/>
    <mergeCell ref="T52:T53"/>
    <mergeCell ref="U52:U53"/>
    <mergeCell ref="T59:T60"/>
    <mergeCell ref="U59:U60"/>
    <mergeCell ref="T64:T65"/>
    <mergeCell ref="U64:U65"/>
    <mergeCell ref="T71:T72"/>
    <mergeCell ref="U71:U72"/>
    <mergeCell ref="T81:T82"/>
    <mergeCell ref="U81:U82"/>
    <mergeCell ref="T88:T89"/>
    <mergeCell ref="U88:U89"/>
    <mergeCell ref="T103:T104"/>
    <mergeCell ref="U103:U104"/>
    <mergeCell ref="V4:W4"/>
    <mergeCell ref="V5:W6"/>
    <mergeCell ref="V8:V9"/>
    <mergeCell ref="W8:W9"/>
    <mergeCell ref="V10:V11"/>
    <mergeCell ref="W10:W11"/>
    <mergeCell ref="V18:V19"/>
    <mergeCell ref="W18:W19"/>
    <mergeCell ref="V32:V33"/>
    <mergeCell ref="W32:W33"/>
    <mergeCell ref="V38:V39"/>
    <mergeCell ref="W38:W39"/>
    <mergeCell ref="V45:V46"/>
    <mergeCell ref="W45:W46"/>
    <mergeCell ref="V52:V53"/>
    <mergeCell ref="W52:W53"/>
    <mergeCell ref="V59:V60"/>
    <mergeCell ref="W59:W60"/>
    <mergeCell ref="V64:V65"/>
    <mergeCell ref="W64:W65"/>
    <mergeCell ref="V71:V72"/>
    <mergeCell ref="W71:W72"/>
    <mergeCell ref="V81:V82"/>
    <mergeCell ref="W81:W82"/>
    <mergeCell ref="V88:V89"/>
    <mergeCell ref="W88:W89"/>
    <mergeCell ref="V103:V104"/>
    <mergeCell ref="W103:W104"/>
    <mergeCell ref="X4:Y4"/>
    <mergeCell ref="X5:Y6"/>
    <mergeCell ref="X8:X9"/>
    <mergeCell ref="Y8:Y9"/>
    <mergeCell ref="X10:X11"/>
    <mergeCell ref="Y10:Y11"/>
    <mergeCell ref="X18:X19"/>
    <mergeCell ref="Y18:Y19"/>
    <mergeCell ref="X32:X33"/>
    <mergeCell ref="Y32:Y33"/>
    <mergeCell ref="X38:X39"/>
    <mergeCell ref="Y38:Y39"/>
    <mergeCell ref="X45:X46"/>
    <mergeCell ref="Y45:Y46"/>
    <mergeCell ref="X52:X53"/>
    <mergeCell ref="Y52:Y53"/>
    <mergeCell ref="Z59:Z60"/>
    <mergeCell ref="AA59:AA60"/>
    <mergeCell ref="Z88:Z89"/>
    <mergeCell ref="AA88:AA89"/>
    <mergeCell ref="Z103:Z104"/>
    <mergeCell ref="AA103:AA104"/>
    <mergeCell ref="X59:X60"/>
    <mergeCell ref="Y59:Y60"/>
    <mergeCell ref="X64:X65"/>
    <mergeCell ref="Y64:Y65"/>
    <mergeCell ref="X71:X72"/>
    <mergeCell ref="Y71:Y72"/>
    <mergeCell ref="X81:X82"/>
    <mergeCell ref="Y81:Y82"/>
    <mergeCell ref="X88:X89"/>
    <mergeCell ref="Y88:Y89"/>
    <mergeCell ref="Z64:Z65"/>
    <mergeCell ref="AA64:AA65"/>
    <mergeCell ref="Z71:Z72"/>
    <mergeCell ref="AA71:AA72"/>
    <mergeCell ref="Z81:Z82"/>
    <mergeCell ref="AA81:AA82"/>
    <mergeCell ref="X103:X104"/>
    <mergeCell ref="Y103:Y104"/>
    <mergeCell ref="Z38:Z39"/>
    <mergeCell ref="AA38:AA39"/>
    <mergeCell ref="Z45:Z46"/>
    <mergeCell ref="AA45:AA46"/>
    <mergeCell ref="Z52:Z53"/>
    <mergeCell ref="AA52:AA53"/>
    <mergeCell ref="Z4:AA4"/>
    <mergeCell ref="Z5:AA6"/>
    <mergeCell ref="Z8:Z9"/>
    <mergeCell ref="AA8:AA9"/>
    <mergeCell ref="Z10:Z11"/>
    <mergeCell ref="AA10:AA11"/>
    <mergeCell ref="Z18:Z19"/>
    <mergeCell ref="AA18:AA19"/>
    <mergeCell ref="Z32:Z33"/>
    <mergeCell ref="AA32:AA3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moniakix</cp:lastModifiedBy>
  <dcterms:created xsi:type="dcterms:W3CDTF">2015-05-22T07:33:21Z</dcterms:created>
  <dcterms:modified xsi:type="dcterms:W3CDTF">2018-12-28T12:44:16Z</dcterms:modified>
</cp:coreProperties>
</file>