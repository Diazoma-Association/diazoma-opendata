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-1365" yWindow="38" windowWidth="14851" windowHeight="7926"/>
  </bookViews>
  <sheets>
    <sheet name="Sheet1" sheetId="1" r:id="rId1"/>
    <sheet name="Sheet2" sheetId="2" r:id="rId2"/>
    <sheet name="Sheet3" sheetId="3" r:id="rId3"/>
  </sheets>
  <calcPr calcId="125725"/>
</workbook>
</file>

<file path=xl/calcChain.xml><?xml version="1.0" encoding="utf-8"?>
<calcChain xmlns="http://schemas.openxmlformats.org/spreadsheetml/2006/main">
  <c r="D19" i="1"/>
  <c r="D11"/>
  <c r="C23"/>
  <c r="C13"/>
  <c r="B13"/>
  <c r="B11" s="1"/>
  <c r="B14"/>
  <c r="B15"/>
  <c r="B16"/>
  <c r="B17"/>
  <c r="B18"/>
  <c r="D104"/>
  <c r="D89"/>
  <c r="D82"/>
  <c r="D72"/>
  <c r="D65"/>
  <c r="D60"/>
  <c r="D53"/>
  <c r="D46"/>
  <c r="D39"/>
  <c r="D33"/>
  <c r="D28"/>
  <c r="D9" s="1"/>
  <c r="C77"/>
  <c r="C109"/>
  <c r="C108"/>
  <c r="C107"/>
  <c r="C106"/>
  <c r="C104" s="1"/>
  <c r="C103"/>
  <c r="C102"/>
  <c r="C101"/>
  <c r="C100"/>
  <c r="C99"/>
  <c r="C98"/>
  <c r="C97"/>
  <c r="C96"/>
  <c r="C95"/>
  <c r="C94"/>
  <c r="C93"/>
  <c r="C92"/>
  <c r="C91"/>
  <c r="C88"/>
  <c r="C87"/>
  <c r="C86"/>
  <c r="C85"/>
  <c r="C84"/>
  <c r="C82" s="1"/>
  <c r="C81"/>
  <c r="C80"/>
  <c r="C79"/>
  <c r="C78"/>
  <c r="C76"/>
  <c r="C75"/>
  <c r="C74"/>
  <c r="C72" s="1"/>
  <c r="C71"/>
  <c r="C70"/>
  <c r="C69"/>
  <c r="C68"/>
  <c r="C67"/>
  <c r="C65" s="1"/>
  <c r="C64"/>
  <c r="C63"/>
  <c r="C62"/>
  <c r="C60" s="1"/>
  <c r="C59"/>
  <c r="C58"/>
  <c r="C57"/>
  <c r="C56"/>
  <c r="C55"/>
  <c r="C53" s="1"/>
  <c r="C52"/>
  <c r="C51"/>
  <c r="C50"/>
  <c r="C49"/>
  <c r="C48"/>
  <c r="C46" s="1"/>
  <c r="C45"/>
  <c r="C44"/>
  <c r="C43"/>
  <c r="C42"/>
  <c r="C41"/>
  <c r="C38"/>
  <c r="C37"/>
  <c r="C36"/>
  <c r="C35"/>
  <c r="C32"/>
  <c r="C31"/>
  <c r="C30"/>
  <c r="C29"/>
  <c r="C28" s="1"/>
  <c r="C27"/>
  <c r="C26"/>
  <c r="C25"/>
  <c r="C24"/>
  <c r="C22"/>
  <c r="C21"/>
  <c r="C14"/>
  <c r="C11" s="1"/>
  <c r="C15"/>
  <c r="C16"/>
  <c r="C17"/>
  <c r="C18"/>
  <c r="E11"/>
  <c r="E28"/>
  <c r="F28"/>
  <c r="G28"/>
  <c r="H28"/>
  <c r="I28"/>
  <c r="J28"/>
  <c r="K28"/>
  <c r="L28"/>
  <c r="F19"/>
  <c r="E19"/>
  <c r="G19"/>
  <c r="H19"/>
  <c r="I19"/>
  <c r="J19"/>
  <c r="K19"/>
  <c r="L19"/>
  <c r="B21"/>
  <c r="B22"/>
  <c r="B23"/>
  <c r="B24"/>
  <c r="B25"/>
  <c r="B26"/>
  <c r="B27"/>
  <c r="B29"/>
  <c r="B28" s="1"/>
  <c r="B30"/>
  <c r="B31"/>
  <c r="B32"/>
  <c r="B35"/>
  <c r="B36"/>
  <c r="B37"/>
  <c r="B38"/>
  <c r="B41"/>
  <c r="B42"/>
  <c r="B43"/>
  <c r="B44"/>
  <c r="B45"/>
  <c r="B48"/>
  <c r="B49"/>
  <c r="B50"/>
  <c r="B51"/>
  <c r="B52"/>
  <c r="B55"/>
  <c r="B56"/>
  <c r="B57"/>
  <c r="B58"/>
  <c r="B59"/>
  <c r="B62"/>
  <c r="B63"/>
  <c r="B64"/>
  <c r="B67"/>
  <c r="B68"/>
  <c r="B69"/>
  <c r="B70"/>
  <c r="B71"/>
  <c r="B74"/>
  <c r="B72" s="1"/>
  <c r="B75"/>
  <c r="B76"/>
  <c r="B77"/>
  <c r="B78"/>
  <c r="B79"/>
  <c r="B80"/>
  <c r="B81"/>
  <c r="B84"/>
  <c r="B85"/>
  <c r="B86"/>
  <c r="B87"/>
  <c r="B88"/>
  <c r="B91"/>
  <c r="B89" s="1"/>
  <c r="B92"/>
  <c r="B93"/>
  <c r="B94"/>
  <c r="B95"/>
  <c r="B96"/>
  <c r="B97"/>
  <c r="B98"/>
  <c r="B99"/>
  <c r="B100"/>
  <c r="B101"/>
  <c r="B102"/>
  <c r="B103"/>
  <c r="B106"/>
  <c r="B104" s="1"/>
  <c r="B107"/>
  <c r="B108"/>
  <c r="B109"/>
  <c r="L104"/>
  <c r="K104"/>
  <c r="J104"/>
  <c r="I104"/>
  <c r="H104"/>
  <c r="G104"/>
  <c r="F104"/>
  <c r="E104"/>
  <c r="L89"/>
  <c r="K89"/>
  <c r="J89"/>
  <c r="I89"/>
  <c r="H89"/>
  <c r="G89"/>
  <c r="F89"/>
  <c r="E89"/>
  <c r="L82"/>
  <c r="K82"/>
  <c r="J82"/>
  <c r="I82"/>
  <c r="H82"/>
  <c r="G82"/>
  <c r="F82"/>
  <c r="E82"/>
  <c r="L72"/>
  <c r="K72"/>
  <c r="J72"/>
  <c r="I72"/>
  <c r="H72"/>
  <c r="G72"/>
  <c r="F72"/>
  <c r="E72"/>
  <c r="L65"/>
  <c r="K65"/>
  <c r="J65"/>
  <c r="I65"/>
  <c r="H65"/>
  <c r="G65"/>
  <c r="F65"/>
  <c r="E65"/>
  <c r="L60"/>
  <c r="K60"/>
  <c r="J60"/>
  <c r="I60"/>
  <c r="H60"/>
  <c r="G60"/>
  <c r="F60"/>
  <c r="E60"/>
  <c r="L53"/>
  <c r="K53"/>
  <c r="J53"/>
  <c r="I53"/>
  <c r="H53"/>
  <c r="G53"/>
  <c r="F53"/>
  <c r="E53"/>
  <c r="L46"/>
  <c r="K46"/>
  <c r="J46"/>
  <c r="I46"/>
  <c r="H46"/>
  <c r="G46"/>
  <c r="F46"/>
  <c r="E46"/>
  <c r="L39"/>
  <c r="K39"/>
  <c r="J39"/>
  <c r="I39"/>
  <c r="H39"/>
  <c r="G39"/>
  <c r="F39"/>
  <c r="E39"/>
  <c r="L33"/>
  <c r="K33"/>
  <c r="J33"/>
  <c r="I33"/>
  <c r="H33"/>
  <c r="G33"/>
  <c r="F33"/>
  <c r="E33"/>
  <c r="L11"/>
  <c r="K11"/>
  <c r="J11"/>
  <c r="I11"/>
  <c r="H11"/>
  <c r="G11"/>
  <c r="F11"/>
  <c r="C89" l="1"/>
  <c r="C39"/>
  <c r="C33"/>
  <c r="B19"/>
  <c r="C19"/>
  <c r="B65"/>
  <c r="B53"/>
  <c r="B39"/>
  <c r="B33"/>
  <c r="B82"/>
  <c r="B60"/>
  <c r="B46"/>
  <c r="H9"/>
  <c r="J9"/>
  <c r="L9"/>
  <c r="G9"/>
  <c r="I9"/>
  <c r="K9"/>
  <c r="F9"/>
  <c r="E9"/>
  <c r="C9" l="1"/>
  <c r="B9"/>
</calcChain>
</file>

<file path=xl/sharedStrings.xml><?xml version="1.0" encoding="utf-8"?>
<sst xmlns="http://schemas.openxmlformats.org/spreadsheetml/2006/main" count="416" uniqueCount="192">
  <si>
    <t xml:space="preserve">Περιφέρειες και Περιφερειακές Ενότητες      </t>
  </si>
  <si>
    <t>Regions and Regional Unities (NUTS 2)</t>
  </si>
  <si>
    <t>Σύνολο Ελλάδας</t>
  </si>
  <si>
    <t>Greece Total</t>
  </si>
  <si>
    <t>Περιφέρεια Ανατολικής Μακεδονίας και Θράκης</t>
  </si>
  <si>
    <t>Region of Eastern Macedonia and Thrace</t>
  </si>
  <si>
    <t xml:space="preserve">  Rodopi</t>
  </si>
  <si>
    <t xml:space="preserve">  Drama</t>
  </si>
  <si>
    <t xml:space="preserve">  Evros</t>
  </si>
  <si>
    <t xml:space="preserve">  Thasos</t>
  </si>
  <si>
    <t xml:space="preserve">  Kavala</t>
  </si>
  <si>
    <t xml:space="preserve">  Xanthi</t>
  </si>
  <si>
    <t>Περιφέρεια Κεντρικής Μακεδονίας</t>
  </si>
  <si>
    <t>Region of Central Macedonia</t>
  </si>
  <si>
    <t xml:space="preserve">  Thessaloniki</t>
  </si>
  <si>
    <t xml:space="preserve">  Imathia</t>
  </si>
  <si>
    <t xml:space="preserve">  Kilkis</t>
  </si>
  <si>
    <t xml:space="preserve">  Pella</t>
  </si>
  <si>
    <t xml:space="preserve">  Pieria</t>
  </si>
  <si>
    <t xml:space="preserve">  Serres</t>
  </si>
  <si>
    <t xml:space="preserve">  Chalkidiki</t>
  </si>
  <si>
    <t xml:space="preserve">  Kozani</t>
  </si>
  <si>
    <t xml:space="preserve">  Grevena</t>
  </si>
  <si>
    <t xml:space="preserve">  Kastoria</t>
  </si>
  <si>
    <t xml:space="preserve">  Florina</t>
  </si>
  <si>
    <t>Περιφέρεια Ηπείρου</t>
  </si>
  <si>
    <t>Region of Epirus</t>
  </si>
  <si>
    <t xml:space="preserve">  Ionnina</t>
  </si>
  <si>
    <t xml:space="preserve">  Arta</t>
  </si>
  <si>
    <t xml:space="preserve">  Thesprotia</t>
  </si>
  <si>
    <t xml:space="preserve">  Preveza</t>
  </si>
  <si>
    <t>Περιφέρεια Θεσσαλίας</t>
  </si>
  <si>
    <t>Region of Thessally</t>
  </si>
  <si>
    <t xml:space="preserve">  Larissa</t>
  </si>
  <si>
    <t xml:space="preserve">  Karditsa</t>
  </si>
  <si>
    <t xml:space="preserve">  Magnesia</t>
  </si>
  <si>
    <t xml:space="preserve">  Sporades Islands</t>
  </si>
  <si>
    <t xml:space="preserve">  Trikala</t>
  </si>
  <si>
    <t>Περιφέρεια Στερεάς Ελλάδας</t>
  </si>
  <si>
    <t>Region of Central Greece</t>
  </si>
  <si>
    <t xml:space="preserve">  Pthiotida</t>
  </si>
  <si>
    <t xml:space="preserve">  Viotia</t>
  </si>
  <si>
    <t xml:space="preserve">  Evia</t>
  </si>
  <si>
    <t xml:space="preserve">  Evritania</t>
  </si>
  <si>
    <t xml:space="preserve">  Fokida</t>
  </si>
  <si>
    <t>Περιφέρεια Ιονίων Νήσων</t>
  </si>
  <si>
    <t>Region of Ionian Islands</t>
  </si>
  <si>
    <t xml:space="preserve">  Corfu</t>
  </si>
  <si>
    <t xml:space="preserve">  Zakynthos</t>
  </si>
  <si>
    <t xml:space="preserve">  Ithaka</t>
  </si>
  <si>
    <t xml:space="preserve">  Kefallonia</t>
  </si>
  <si>
    <t xml:space="preserve">  Lefkada</t>
  </si>
  <si>
    <t>Περιφέρεια Δυτικής Ελλάδας</t>
  </si>
  <si>
    <t>Region of Western Greece</t>
  </si>
  <si>
    <t xml:space="preserve">  Achaia</t>
  </si>
  <si>
    <t xml:space="preserve">  Etolia and Akarnania</t>
  </si>
  <si>
    <t xml:space="preserve">  Ilia</t>
  </si>
  <si>
    <t>Περιφέρεια Πελοποννήσου</t>
  </si>
  <si>
    <t>Region of Peloponnese</t>
  </si>
  <si>
    <t xml:space="preserve">  Arkadia</t>
  </si>
  <si>
    <t xml:space="preserve">  Argolida</t>
  </si>
  <si>
    <t xml:space="preserve">  Korinthia</t>
  </si>
  <si>
    <t xml:space="preserve">  Lakonia</t>
  </si>
  <si>
    <t xml:space="preserve">  Mesinia</t>
  </si>
  <si>
    <t>Περιφέρεια Αττικής</t>
  </si>
  <si>
    <t>Region of Attica</t>
  </si>
  <si>
    <t xml:space="preserve">  Athens Central Section</t>
  </si>
  <si>
    <t xml:space="preserve">  Athens North Section</t>
  </si>
  <si>
    <t xml:space="preserve">  Athens West Section</t>
  </si>
  <si>
    <t xml:space="preserve">  Athens South Section</t>
  </si>
  <si>
    <t xml:space="preserve">  Athens East Section</t>
  </si>
  <si>
    <t xml:space="preserve">  West Attica</t>
  </si>
  <si>
    <t xml:space="preserve">  Pireaus</t>
  </si>
  <si>
    <t xml:space="preserve">  Attica Islands</t>
  </si>
  <si>
    <t>Περιφέρεια Βορείου Αιγαίου</t>
  </si>
  <si>
    <t>Region of Northern Aegean</t>
  </si>
  <si>
    <t xml:space="preserve">  Lesbos</t>
  </si>
  <si>
    <t xml:space="preserve">  Ikaria</t>
  </si>
  <si>
    <t xml:space="preserve">  Limnos</t>
  </si>
  <si>
    <t xml:space="preserve">  Samos</t>
  </si>
  <si>
    <t xml:space="preserve">  Chios</t>
  </si>
  <si>
    <t>Περιφέρεια Νοτίου Αιγαίου</t>
  </si>
  <si>
    <t>Region of Southern Aegean</t>
  </si>
  <si>
    <t xml:space="preserve">  Syros</t>
  </si>
  <si>
    <t xml:space="preserve">  Andros</t>
  </si>
  <si>
    <t xml:space="preserve">  Thira</t>
  </si>
  <si>
    <t xml:space="preserve">  Kalimnos</t>
  </si>
  <si>
    <t xml:space="preserve">  Karpathos</t>
  </si>
  <si>
    <t xml:space="preserve">  Kythnos</t>
  </si>
  <si>
    <t xml:space="preserve">  Kos</t>
  </si>
  <si>
    <t xml:space="preserve">  Milos</t>
  </si>
  <si>
    <t xml:space="preserve">  Mykonos</t>
  </si>
  <si>
    <t xml:space="preserve">  Naxos</t>
  </si>
  <si>
    <t xml:space="preserve">  Paros</t>
  </si>
  <si>
    <t xml:space="preserve">  Rhodes</t>
  </si>
  <si>
    <t xml:space="preserve">  Tinos</t>
  </si>
  <si>
    <t>Περιφέρεια Κρήτης</t>
  </si>
  <si>
    <t>Region of Crete</t>
  </si>
  <si>
    <t xml:space="preserve">  Heraklion</t>
  </si>
  <si>
    <t xml:space="preserve">  Lasithi</t>
  </si>
  <si>
    <t xml:space="preserve">  Rethymno</t>
  </si>
  <si>
    <t xml:space="preserve">  Chania</t>
  </si>
  <si>
    <t>Κεφάλια</t>
  </si>
  <si>
    <t>Heads</t>
  </si>
  <si>
    <t>—</t>
  </si>
  <si>
    <t>Region of Western Macedonia</t>
  </si>
  <si>
    <t>Περιφέρεια Δυτικής Μακεδονίας</t>
  </si>
  <si>
    <t>Σύνολο
Total</t>
  </si>
  <si>
    <t>Άρρενα
Male</t>
  </si>
  <si>
    <t>Θήλεα
Female</t>
  </si>
  <si>
    <t>Βουβάλια
Buffaloes</t>
  </si>
  <si>
    <t>Πίνακας 2. Βόδια, ταύροι, δαμάλια, αγελάδες και βουβάλια (όλων των ηλικιών) στις 31.12.2014, κατά Περιφέρεια και Περιφερειακή Ενότητα</t>
  </si>
  <si>
    <t>Table 2. Oxen, bulls, heifers, cows and buffaloes (all ages) on 31st December 2014, by Region and Regional Unities</t>
  </si>
  <si>
    <t>Βοοειδή (Μοσχάρια, ταύροι, δαμάλια, αγελάδες και βόδια)
Bovine animals (Calves, Oxen, bulls, heifers, cows)</t>
  </si>
  <si>
    <t>Αγελάδες Γαλακτοπαραγωγής
Cows for milk production</t>
  </si>
  <si>
    <t>Βοοειδή αναπαραγωγής
Bovine animals for reproduction</t>
  </si>
  <si>
    <t>Βοοειδή κρεοπαραγωγής
Bovine animals for meat production</t>
  </si>
  <si>
    <t>Βοοειδή μικτής χρήσης
Bovine animals for mixed use</t>
  </si>
  <si>
    <t xml:space="preserve"> Κεντρικού Τομέα Αθηνών</t>
  </si>
  <si>
    <t xml:space="preserve"> Βορείου Τομέα Αθηνών</t>
  </si>
  <si>
    <t xml:space="preserve"> Δυτικού Τομέα Αθηνών</t>
  </si>
  <si>
    <t xml:space="preserve"> Νοτίου Τομέα Αθηνών</t>
  </si>
  <si>
    <t xml:space="preserve"> Ανατολικής Αττικής</t>
  </si>
  <si>
    <t xml:space="preserve"> Δυτικής Αττικής</t>
  </si>
  <si>
    <t xml:space="preserve"> Πειραιώς</t>
  </si>
  <si>
    <t xml:space="preserve"> Νήσων</t>
  </si>
  <si>
    <t xml:space="preserve">  Ροδόπης</t>
  </si>
  <si>
    <t xml:space="preserve">  Δράμας</t>
  </si>
  <si>
    <t xml:space="preserve">  Έβρου</t>
  </si>
  <si>
    <t xml:space="preserve">  Θάσου</t>
  </si>
  <si>
    <t xml:space="preserve">  Καβάλας</t>
  </si>
  <si>
    <t xml:space="preserve">  Ξάνθης</t>
  </si>
  <si>
    <t xml:space="preserve">  Θεσσαλονίκης</t>
  </si>
  <si>
    <t xml:space="preserve">  Ημαθίας</t>
  </si>
  <si>
    <t xml:space="preserve">  Κιλκίς</t>
  </si>
  <si>
    <t xml:space="preserve">  Πέλλας</t>
  </si>
  <si>
    <t xml:space="preserve">  Πιερίας</t>
  </si>
  <si>
    <t xml:space="preserve">  Σερρών</t>
  </si>
  <si>
    <t xml:space="preserve">  Χαλκιδικής</t>
  </si>
  <si>
    <t xml:space="preserve">  Κοζάνης</t>
  </si>
  <si>
    <t xml:space="preserve">  Γρεβενών</t>
  </si>
  <si>
    <t xml:space="preserve">  Καστοριάς</t>
  </si>
  <si>
    <t xml:space="preserve">  Φλώρινας</t>
  </si>
  <si>
    <t xml:space="preserve">  Ιωαννίνων</t>
  </si>
  <si>
    <t xml:space="preserve">  Άρτας</t>
  </si>
  <si>
    <t xml:space="preserve">  Θεσπρωτίας</t>
  </si>
  <si>
    <t xml:space="preserve">  Πρέβεζας</t>
  </si>
  <si>
    <t xml:space="preserve">  Λάρισας</t>
  </si>
  <si>
    <t xml:space="preserve">  Καρδίτσας</t>
  </si>
  <si>
    <t xml:space="preserve">  Μαγνησίας</t>
  </si>
  <si>
    <t xml:space="preserve">  Σποράδων</t>
  </si>
  <si>
    <t xml:space="preserve">  Τρικάλων</t>
  </si>
  <si>
    <t xml:space="preserve">  Φθιώτιδας</t>
  </si>
  <si>
    <t xml:space="preserve">  Βοιωτίας</t>
  </si>
  <si>
    <t xml:space="preserve">  Εύβοιας</t>
  </si>
  <si>
    <t xml:space="preserve">  Ευρυτανίας</t>
  </si>
  <si>
    <t xml:space="preserve">  Φωκίδας</t>
  </si>
  <si>
    <t xml:space="preserve">  Κέρκυρας</t>
  </si>
  <si>
    <t xml:space="preserve">  Ζακύνθου</t>
  </si>
  <si>
    <t xml:space="preserve">  Ιθάκης</t>
  </si>
  <si>
    <t xml:space="preserve">  Κεφαλληνίας</t>
  </si>
  <si>
    <t xml:space="preserve">  Λευκάδας</t>
  </si>
  <si>
    <t xml:space="preserve">  Αχαϊας</t>
  </si>
  <si>
    <t xml:space="preserve">  Αιτωλ/νανίας</t>
  </si>
  <si>
    <t xml:space="preserve">  Ηλείας</t>
  </si>
  <si>
    <t xml:space="preserve">  Αρκαδίας</t>
  </si>
  <si>
    <t xml:space="preserve">  Αργολίδας</t>
  </si>
  <si>
    <t xml:space="preserve">  Κορινθίας</t>
  </si>
  <si>
    <t xml:space="preserve">  Λακωνίας</t>
  </si>
  <si>
    <t xml:space="preserve">  Μεσσηνίας</t>
  </si>
  <si>
    <t xml:space="preserve">  Λέσβου</t>
  </si>
  <si>
    <t xml:space="preserve">  Ικαρίας</t>
  </si>
  <si>
    <t xml:space="preserve">  Λήμνου</t>
  </si>
  <si>
    <t xml:space="preserve">  Σάμου.</t>
  </si>
  <si>
    <t xml:space="preserve">  Χίου</t>
  </si>
  <si>
    <t xml:space="preserve">  Σύρου</t>
  </si>
  <si>
    <t xml:space="preserve">  Άνδρου</t>
  </si>
  <si>
    <t xml:space="preserve">  Θήρας</t>
  </si>
  <si>
    <t xml:space="preserve">  Καλύμνου</t>
  </si>
  <si>
    <t xml:space="preserve">  Καρπάθου</t>
  </si>
  <si>
    <t xml:space="preserve">  Κύθνου</t>
  </si>
  <si>
    <t xml:space="preserve">  Κω</t>
  </si>
  <si>
    <t xml:space="preserve">  Μήλου</t>
  </si>
  <si>
    <t xml:space="preserve">  Μυκόνου.</t>
  </si>
  <si>
    <t xml:space="preserve">  Νάξου</t>
  </si>
  <si>
    <t xml:space="preserve">  Πάρου</t>
  </si>
  <si>
    <t xml:space="preserve">  Ρόδου</t>
  </si>
  <si>
    <t xml:space="preserve">  Τήνου</t>
  </si>
  <si>
    <t xml:space="preserve">  Ηρακλείου</t>
  </si>
  <si>
    <t xml:space="preserve">  Λασιθίου</t>
  </si>
  <si>
    <t xml:space="preserve">  Ρεθύμνης</t>
  </si>
  <si>
    <t xml:space="preserve">  Χανίων</t>
  </si>
</sst>
</file>

<file path=xl/styles.xml><?xml version="1.0" encoding="utf-8"?>
<styleSheet xmlns="http://schemas.openxmlformats.org/spreadsheetml/2006/main">
  <fonts count="15">
    <font>
      <sz val="11"/>
      <color theme="1"/>
      <name val="Calibri"/>
      <family val="2"/>
      <charset val="161"/>
      <scheme val="minor"/>
    </font>
    <font>
      <b/>
      <sz val="8"/>
      <name val="Arial"/>
      <family val="2"/>
      <charset val="161"/>
    </font>
    <font>
      <sz val="8"/>
      <name val="Arial"/>
      <family val="2"/>
      <charset val="161"/>
    </font>
    <font>
      <sz val="8"/>
      <color indexed="8"/>
      <name val="Arial"/>
      <family val="2"/>
      <charset val="161"/>
    </font>
    <font>
      <sz val="8"/>
      <name val="Tahoma"/>
      <family val="2"/>
      <charset val="161"/>
    </font>
    <font>
      <sz val="8"/>
      <color theme="1"/>
      <name val="Arial"/>
      <family val="2"/>
      <charset val="161"/>
    </font>
    <font>
      <sz val="8"/>
      <color rgb="FF000000"/>
      <name val="Arial"/>
      <family val="2"/>
      <charset val="161"/>
    </font>
    <font>
      <b/>
      <sz val="8"/>
      <color theme="1"/>
      <name val="Arial"/>
      <family val="2"/>
      <charset val="161"/>
    </font>
    <font>
      <b/>
      <sz val="10"/>
      <name val="Arial"/>
      <family val="2"/>
      <charset val="161"/>
    </font>
    <font>
      <sz val="10"/>
      <name val="Arial"/>
      <family val="2"/>
      <charset val="161"/>
    </font>
    <font>
      <sz val="10"/>
      <color theme="1"/>
      <name val="Arial"/>
      <family val="2"/>
      <charset val="161"/>
    </font>
    <font>
      <b/>
      <sz val="9"/>
      <name val="Arial"/>
      <family val="2"/>
      <charset val="161"/>
    </font>
    <font>
      <sz val="9"/>
      <name val="Arial"/>
      <family val="2"/>
      <charset val="161"/>
    </font>
    <font>
      <sz val="9"/>
      <name val="Tahoma"/>
      <family val="2"/>
      <charset val="161"/>
    </font>
    <font>
      <sz val="9"/>
      <name val="Calibri"/>
      <family val="2"/>
      <charset val="161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8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93">
    <xf numFmtId="0" fontId="0" fillId="0" borderId="0" xfId="0"/>
    <xf numFmtId="0" fontId="5" fillId="0" borderId="0" xfId="0" applyFont="1"/>
    <xf numFmtId="0" fontId="5" fillId="0" borderId="0" xfId="0" applyFont="1" applyBorder="1" applyAlignment="1">
      <alignment vertical="center"/>
    </xf>
    <xf numFmtId="0" fontId="2" fillId="0" borderId="1" xfId="0" applyNumberFormat="1" applyFont="1" applyFill="1" applyBorder="1" applyAlignment="1" applyProtection="1">
      <alignment horizontal="left"/>
    </xf>
    <xf numFmtId="0" fontId="2" fillId="0" borderId="1" xfId="0" applyNumberFormat="1" applyFont="1" applyFill="1" applyBorder="1" applyAlignment="1" applyProtection="1"/>
    <xf numFmtId="0" fontId="2" fillId="0" borderId="0" xfId="0" applyNumberFormat="1" applyFont="1" applyFill="1" applyBorder="1" applyAlignment="1" applyProtection="1"/>
    <xf numFmtId="0" fontId="5" fillId="0" borderId="0" xfId="0" applyFont="1" applyBorder="1"/>
    <xf numFmtId="0" fontId="2" fillId="0" borderId="2" xfId="0" applyNumberFormat="1" applyFont="1" applyFill="1" applyBorder="1" applyAlignment="1" applyProtection="1">
      <alignment horizontal="center" vertical="center" wrapText="1"/>
    </xf>
    <xf numFmtId="0" fontId="2" fillId="0" borderId="4" xfId="0" applyNumberFormat="1" applyFont="1" applyFill="1" applyBorder="1" applyAlignment="1" applyProtection="1">
      <alignment horizontal="center" vertical="center" wrapText="1"/>
    </xf>
    <xf numFmtId="0" fontId="5" fillId="0" borderId="0" xfId="0" applyFont="1" applyBorder="1" applyAlignment="1">
      <alignment horizontal="left"/>
    </xf>
    <xf numFmtId="0" fontId="5" fillId="0" borderId="1" xfId="0" applyFont="1" applyBorder="1" applyAlignment="1">
      <alignment horizontal="left"/>
    </xf>
    <xf numFmtId="49" fontId="2" fillId="0" borderId="6" xfId="0" applyNumberFormat="1" applyFont="1" applyFill="1" applyBorder="1" applyAlignment="1">
      <alignment vertical="center"/>
    </xf>
    <xf numFmtId="49" fontId="2" fillId="0" borderId="0" xfId="0" applyNumberFormat="1" applyFont="1" applyFill="1" applyBorder="1" applyAlignment="1">
      <alignment vertical="center"/>
    </xf>
    <xf numFmtId="0" fontId="5" fillId="0" borderId="0" xfId="0" applyFont="1" applyAlignment="1">
      <alignment horizontal="right" vertical="center"/>
    </xf>
    <xf numFmtId="49" fontId="2" fillId="0" borderId="0" xfId="0" applyNumberFormat="1" applyFont="1" applyFill="1" applyBorder="1" applyAlignment="1"/>
    <xf numFmtId="49" fontId="2" fillId="0" borderId="0" xfId="0" applyNumberFormat="1" applyFont="1" applyFill="1" applyBorder="1" applyAlignment="1">
      <alignment wrapText="1"/>
    </xf>
    <xf numFmtId="0" fontId="2" fillId="0" borderId="0" xfId="0" applyNumberFormat="1" applyFont="1" applyFill="1" applyBorder="1" applyAlignment="1" applyProtection="1">
      <alignment horizontal="left" indent="2"/>
    </xf>
    <xf numFmtId="0" fontId="2" fillId="0" borderId="0" xfId="0" applyFont="1" applyFill="1" applyBorder="1" applyAlignment="1" applyProtection="1">
      <alignment horizontal="left" indent="2"/>
    </xf>
    <xf numFmtId="0" fontId="3" fillId="0" borderId="0" xfId="0" applyFont="1" applyBorder="1" applyAlignment="1">
      <alignment horizontal="center"/>
    </xf>
    <xf numFmtId="49" fontId="1" fillId="0" borderId="0" xfId="0" applyNumberFormat="1" applyFont="1" applyFill="1" applyBorder="1" applyAlignment="1" applyProtection="1">
      <alignment horizontal="left" indent="2"/>
    </xf>
    <xf numFmtId="49" fontId="5" fillId="0" borderId="0" xfId="0" applyNumberFormat="1" applyFont="1" applyBorder="1"/>
    <xf numFmtId="0" fontId="4" fillId="0" borderId="0" xfId="0" applyNumberFormat="1" applyFont="1" applyFill="1" applyBorder="1" applyAlignment="1" applyProtection="1"/>
    <xf numFmtId="49" fontId="5" fillId="0" borderId="0" xfId="0" applyNumberFormat="1" applyFont="1"/>
    <xf numFmtId="49" fontId="1" fillId="0" borderId="0" xfId="0" applyNumberFormat="1" applyFont="1" applyFill="1" applyBorder="1" applyAlignment="1" applyProtection="1">
      <alignment vertical="center" wrapText="1"/>
    </xf>
    <xf numFmtId="0" fontId="7" fillId="0" borderId="0" xfId="0" applyFont="1" applyBorder="1" applyAlignment="1">
      <alignment vertical="center"/>
    </xf>
    <xf numFmtId="0" fontId="7" fillId="0" borderId="0" xfId="0" applyFont="1" applyBorder="1" applyAlignment="1">
      <alignment horizontal="right" vertical="center"/>
    </xf>
    <xf numFmtId="0" fontId="2" fillId="0" borderId="7" xfId="0" applyNumberFormat="1" applyFont="1" applyFill="1" applyBorder="1" applyAlignment="1" applyProtection="1">
      <alignment horizontal="center" vertical="center" wrapText="1"/>
    </xf>
    <xf numFmtId="0" fontId="2" fillId="0" borderId="3" xfId="0" applyNumberFormat="1" applyFont="1" applyFill="1" applyBorder="1" applyAlignment="1" applyProtection="1">
      <alignment horizontal="center" vertical="center" wrapText="1"/>
    </xf>
    <xf numFmtId="0" fontId="2" fillId="0" borderId="0" xfId="0" applyNumberFormat="1" applyFont="1" applyFill="1" applyBorder="1" applyAlignment="1" applyProtection="1">
      <alignment horizontal="center" vertical="center" wrapText="1"/>
    </xf>
    <xf numFmtId="0" fontId="8" fillId="0" borderId="0" xfId="0" applyNumberFormat="1" applyFont="1" applyFill="1" applyBorder="1" applyAlignment="1" applyProtection="1"/>
    <xf numFmtId="0" fontId="9" fillId="0" borderId="0" xfId="0" applyNumberFormat="1" applyFont="1" applyFill="1" applyBorder="1" applyAlignment="1" applyProtection="1">
      <alignment vertical="center"/>
    </xf>
    <xf numFmtId="0" fontId="10" fillId="0" borderId="0" xfId="0" applyFont="1" applyBorder="1" applyAlignment="1">
      <alignment vertical="center"/>
    </xf>
    <xf numFmtId="0" fontId="10" fillId="0" borderId="0" xfId="0" applyFont="1"/>
    <xf numFmtId="0" fontId="8" fillId="0" borderId="0" xfId="0" applyNumberFormat="1" applyFont="1" applyFill="1" applyBorder="1" applyAlignment="1" applyProtection="1">
      <alignment vertical="center" wrapText="1"/>
    </xf>
    <xf numFmtId="0" fontId="8" fillId="0" borderId="0" xfId="0" applyNumberFormat="1" applyFont="1" applyFill="1" applyBorder="1" applyAlignment="1" applyProtection="1">
      <alignment horizontal="left" vertical="center" wrapText="1"/>
    </xf>
    <xf numFmtId="49" fontId="2" fillId="0" borderId="0" xfId="0" applyNumberFormat="1" applyFont="1" applyFill="1" applyBorder="1" applyAlignment="1" applyProtection="1">
      <alignment horizontal="left" wrapText="1" indent="1"/>
    </xf>
    <xf numFmtId="49" fontId="6" fillId="0" borderId="0" xfId="0" applyNumberFormat="1" applyFont="1" applyBorder="1" applyAlignment="1" applyProtection="1">
      <alignment horizontal="left" vertical="center" wrapText="1" indent="1"/>
      <protection locked="0"/>
    </xf>
    <xf numFmtId="49" fontId="2" fillId="0" borderId="1" xfId="0" applyNumberFormat="1" applyFont="1" applyFill="1" applyBorder="1" applyAlignment="1" applyProtection="1">
      <alignment horizontal="left" wrapText="1" indent="1"/>
    </xf>
    <xf numFmtId="0" fontId="5" fillId="0" borderId="0" xfId="0" applyFont="1" applyBorder="1" applyAlignment="1">
      <alignment horizontal="left" indent="1"/>
    </xf>
    <xf numFmtId="0" fontId="5" fillId="0" borderId="1" xfId="0" applyFont="1" applyBorder="1" applyAlignment="1">
      <alignment horizontal="left" indent="1"/>
    </xf>
    <xf numFmtId="3" fontId="12" fillId="0" borderId="5" xfId="0" applyNumberFormat="1" applyFont="1" applyBorder="1" applyAlignment="1">
      <alignment horizontal="right" vertical="top" wrapText="1"/>
    </xf>
    <xf numFmtId="0" fontId="12" fillId="0" borderId="5" xfId="0" applyFont="1" applyBorder="1" applyAlignment="1">
      <alignment horizontal="right" vertical="top" wrapText="1"/>
    </xf>
    <xf numFmtId="3" fontId="11" fillId="0" borderId="5" xfId="0" quotePrefix="1" applyNumberFormat="1" applyFont="1" applyFill="1" applyBorder="1" applyAlignment="1" applyProtection="1">
      <alignment horizontal="right" vertical="center"/>
    </xf>
    <xf numFmtId="3" fontId="12" fillId="0" borderId="5" xfId="0" quotePrefix="1" applyNumberFormat="1" applyFont="1" applyFill="1" applyBorder="1" applyAlignment="1" applyProtection="1">
      <alignment horizontal="right"/>
    </xf>
    <xf numFmtId="3" fontId="12" fillId="0" borderId="27" xfId="0" applyNumberFormat="1" applyFont="1" applyBorder="1" applyAlignment="1">
      <alignment horizontal="right" vertical="top" wrapText="1"/>
    </xf>
    <xf numFmtId="3" fontId="13" fillId="2" borderId="5" xfId="0" applyNumberFormat="1" applyFont="1" applyFill="1" applyBorder="1" applyAlignment="1">
      <alignment horizontal="right" vertical="top" wrapText="1"/>
    </xf>
    <xf numFmtId="0" fontId="8" fillId="0" borderId="0" xfId="0" applyNumberFormat="1" applyFont="1" applyFill="1" applyBorder="1" applyAlignment="1" applyProtection="1">
      <alignment horizontal="left" vertical="center" wrapText="1"/>
    </xf>
    <xf numFmtId="49" fontId="7" fillId="0" borderId="0" xfId="0" applyNumberFormat="1" applyFont="1" applyBorder="1" applyAlignment="1">
      <alignment horizontal="left" vertical="center" wrapText="1"/>
    </xf>
    <xf numFmtId="49" fontId="7" fillId="0" borderId="0" xfId="0" applyNumberFormat="1" applyFont="1" applyBorder="1" applyAlignment="1">
      <alignment horizontal="left" vertical="center"/>
    </xf>
    <xf numFmtId="0" fontId="7" fillId="0" borderId="0" xfId="0" applyFont="1" applyBorder="1" applyAlignment="1">
      <alignment horizontal="right" vertical="center"/>
    </xf>
    <xf numFmtId="49" fontId="1" fillId="0" borderId="0" xfId="0" applyNumberFormat="1" applyFont="1" applyFill="1" applyBorder="1" applyAlignment="1" applyProtection="1">
      <alignment horizontal="left" vertical="center" wrapText="1"/>
    </xf>
    <xf numFmtId="3" fontId="11" fillId="0" borderId="5" xfId="0" applyNumberFormat="1" applyFont="1" applyFill="1" applyBorder="1" applyAlignment="1" applyProtection="1">
      <alignment horizontal="right" vertical="center"/>
    </xf>
    <xf numFmtId="0" fontId="5" fillId="0" borderId="0" xfId="0" applyFont="1" applyBorder="1" applyAlignment="1">
      <alignment horizontal="left" wrapText="1" indent="1"/>
    </xf>
    <xf numFmtId="0" fontId="2" fillId="0" borderId="0" xfId="0" applyNumberFormat="1" applyFont="1" applyFill="1" applyBorder="1" applyAlignment="1" applyProtection="1">
      <alignment horizontal="center" vertical="center"/>
    </xf>
    <xf numFmtId="3" fontId="11" fillId="0" borderId="5" xfId="0" applyNumberFormat="1" applyFont="1" applyBorder="1" applyAlignment="1">
      <alignment horizontal="right" vertical="center"/>
    </xf>
    <xf numFmtId="0" fontId="2" fillId="0" borderId="20" xfId="0" applyNumberFormat="1" applyFont="1" applyFill="1" applyBorder="1" applyAlignment="1" applyProtection="1">
      <alignment horizontal="center" vertical="center" wrapText="1"/>
    </xf>
    <xf numFmtId="0" fontId="2" fillId="0" borderId="17" xfId="0" applyNumberFormat="1" applyFont="1" applyFill="1" applyBorder="1" applyAlignment="1" applyProtection="1">
      <alignment horizontal="center" vertical="center" wrapText="1"/>
    </xf>
    <xf numFmtId="0" fontId="2" fillId="0" borderId="7" xfId="0" applyNumberFormat="1" applyFont="1" applyFill="1" applyBorder="1" applyAlignment="1" applyProtection="1">
      <alignment horizontal="center" vertical="center" wrapText="1"/>
    </xf>
    <xf numFmtId="49" fontId="1" fillId="0" borderId="18" xfId="0" applyNumberFormat="1" applyFont="1" applyFill="1" applyBorder="1" applyAlignment="1" applyProtection="1">
      <alignment vertical="center" wrapText="1"/>
    </xf>
    <xf numFmtId="49" fontId="1" fillId="0" borderId="0" xfId="0" applyNumberFormat="1" applyFont="1" applyFill="1" applyBorder="1" applyAlignment="1" applyProtection="1">
      <alignment vertical="center" wrapText="1"/>
    </xf>
    <xf numFmtId="3" fontId="11" fillId="0" borderId="19" xfId="0" applyNumberFormat="1" applyFont="1" applyFill="1" applyBorder="1" applyAlignment="1" applyProtection="1">
      <alignment horizontal="right" vertical="center" wrapText="1"/>
    </xf>
    <xf numFmtId="3" fontId="11" fillId="0" borderId="5" xfId="0" applyNumberFormat="1" applyFont="1" applyFill="1" applyBorder="1" applyAlignment="1" applyProtection="1">
      <alignment horizontal="right" vertical="center" wrapText="1"/>
    </xf>
    <xf numFmtId="0" fontId="2" fillId="0" borderId="12" xfId="0" applyNumberFormat="1" applyFont="1" applyFill="1" applyBorder="1" applyAlignment="1" applyProtection="1">
      <alignment horizontal="center" vertical="center" wrapText="1"/>
    </xf>
    <xf numFmtId="0" fontId="2" fillId="0" borderId="13" xfId="0" applyNumberFormat="1" applyFont="1" applyFill="1" applyBorder="1" applyAlignment="1" applyProtection="1">
      <alignment horizontal="center" vertical="center" wrapText="1"/>
    </xf>
    <xf numFmtId="0" fontId="2" fillId="0" borderId="14" xfId="0" applyNumberFormat="1" applyFont="1" applyFill="1" applyBorder="1" applyAlignment="1" applyProtection="1">
      <alignment horizontal="center" vertical="center" wrapText="1"/>
    </xf>
    <xf numFmtId="0" fontId="2" fillId="0" borderId="15" xfId="0" applyNumberFormat="1" applyFont="1" applyFill="1" applyBorder="1" applyAlignment="1" applyProtection="1">
      <alignment horizontal="center" vertical="center" wrapText="1"/>
    </xf>
    <xf numFmtId="0" fontId="2" fillId="0" borderId="16" xfId="0" applyNumberFormat="1" applyFont="1" applyFill="1" applyBorder="1" applyAlignment="1" applyProtection="1">
      <alignment horizontal="center" vertical="center" wrapText="1"/>
    </xf>
    <xf numFmtId="0" fontId="2" fillId="0" borderId="0" xfId="0" applyNumberFormat="1" applyFont="1" applyFill="1" applyBorder="1" applyAlignment="1" applyProtection="1">
      <alignment horizontal="right"/>
    </xf>
    <xf numFmtId="0" fontId="2" fillId="0" borderId="0" xfId="0" applyFont="1" applyFill="1" applyBorder="1" applyAlignment="1" applyProtection="1">
      <alignment horizontal="center" vertical="center" wrapText="1"/>
    </xf>
    <xf numFmtId="0" fontId="2" fillId="0" borderId="0" xfId="0" applyNumberFormat="1" applyFont="1" applyFill="1" applyBorder="1" applyAlignment="1" applyProtection="1">
      <alignment horizontal="center" vertical="center" wrapText="1"/>
    </xf>
    <xf numFmtId="0" fontId="2" fillId="0" borderId="8" xfId="0" applyNumberFormat="1" applyFont="1" applyFill="1" applyBorder="1" applyAlignment="1" applyProtection="1">
      <alignment horizontal="center" vertical="center" wrapText="1"/>
    </xf>
    <xf numFmtId="0" fontId="2" fillId="0" borderId="9" xfId="0" applyNumberFormat="1" applyFont="1" applyFill="1" applyBorder="1" applyAlignment="1" applyProtection="1">
      <alignment horizontal="center" vertical="center" wrapText="1"/>
    </xf>
    <xf numFmtId="0" fontId="2" fillId="0" borderId="10" xfId="0" applyNumberFormat="1" applyFont="1" applyFill="1" applyBorder="1" applyAlignment="1" applyProtection="1">
      <alignment horizontal="center" vertical="center" wrapText="1"/>
    </xf>
    <xf numFmtId="0" fontId="2" fillId="0" borderId="11" xfId="0" applyNumberFormat="1" applyFont="1" applyFill="1" applyBorder="1" applyAlignment="1" applyProtection="1">
      <alignment horizontal="center" vertical="center" wrapText="1"/>
    </xf>
    <xf numFmtId="0" fontId="5" fillId="0" borderId="0" xfId="0" applyFont="1" applyBorder="1" applyAlignment="1">
      <alignment horizontal="center" vertical="center"/>
    </xf>
    <xf numFmtId="0" fontId="7" fillId="0" borderId="0" xfId="0" applyFont="1" applyBorder="1" applyAlignment="1">
      <alignment horizontal="left" vertical="center"/>
    </xf>
    <xf numFmtId="0" fontId="5" fillId="0" borderId="6" xfId="0" applyFont="1" applyBorder="1" applyAlignment="1">
      <alignment horizontal="center" vertical="center"/>
    </xf>
    <xf numFmtId="0" fontId="7" fillId="0" borderId="0" xfId="0" applyFont="1" applyBorder="1" applyAlignment="1">
      <alignment horizontal="left" vertical="center" wrapText="1"/>
    </xf>
    <xf numFmtId="0" fontId="1" fillId="0" borderId="0" xfId="0" applyNumberFormat="1" applyFont="1" applyFill="1" applyBorder="1" applyAlignment="1" applyProtection="1">
      <alignment horizontal="left" vertical="center" wrapText="1"/>
    </xf>
    <xf numFmtId="0" fontId="1" fillId="0" borderId="24" xfId="0" applyNumberFormat="1" applyFont="1" applyFill="1" applyBorder="1" applyAlignment="1" applyProtection="1">
      <alignment horizontal="left" vertical="center" wrapText="1"/>
    </xf>
    <xf numFmtId="0" fontId="1" fillId="0" borderId="6" xfId="0" applyNumberFormat="1" applyFont="1" applyFill="1" applyBorder="1" applyAlignment="1" applyProtection="1">
      <alignment horizontal="left" vertical="center" wrapText="1"/>
    </xf>
    <xf numFmtId="0" fontId="1" fillId="0" borderId="23" xfId="0" applyNumberFormat="1" applyFont="1" applyFill="1" applyBorder="1" applyAlignment="1" applyProtection="1">
      <alignment horizontal="left" vertical="center" wrapText="1"/>
    </xf>
    <xf numFmtId="0" fontId="1" fillId="0" borderId="25" xfId="0" applyNumberFormat="1" applyFont="1" applyFill="1" applyBorder="1" applyAlignment="1" applyProtection="1">
      <alignment horizontal="left" vertical="center" wrapText="1"/>
    </xf>
    <xf numFmtId="0" fontId="1" fillId="0" borderId="26" xfId="0" applyNumberFormat="1" applyFont="1" applyFill="1" applyBorder="1" applyAlignment="1" applyProtection="1">
      <alignment horizontal="left" vertical="center" wrapText="1"/>
    </xf>
    <xf numFmtId="0" fontId="2" fillId="0" borderId="1" xfId="0" applyNumberFormat="1" applyFont="1" applyFill="1" applyBorder="1" applyAlignment="1" applyProtection="1">
      <alignment horizontal="right"/>
    </xf>
    <xf numFmtId="0" fontId="1" fillId="0" borderId="16" xfId="0" applyNumberFormat="1" applyFont="1" applyFill="1" applyBorder="1" applyAlignment="1" applyProtection="1">
      <alignment horizontal="left" vertical="center" wrapText="1"/>
    </xf>
    <xf numFmtId="0" fontId="1" fillId="0" borderId="21" xfId="0" applyNumberFormat="1" applyFont="1" applyFill="1" applyBorder="1" applyAlignment="1" applyProtection="1">
      <alignment horizontal="left" vertical="center" wrapText="1"/>
    </xf>
    <xf numFmtId="0" fontId="1" fillId="0" borderId="22" xfId="0" applyNumberFormat="1" applyFont="1" applyFill="1" applyBorder="1" applyAlignment="1" applyProtection="1">
      <alignment horizontal="left" vertical="center" wrapText="1"/>
    </xf>
    <xf numFmtId="0" fontId="1" fillId="0" borderId="18" xfId="0" applyNumberFormat="1" applyFont="1" applyFill="1" applyBorder="1" applyAlignment="1" applyProtection="1">
      <alignment horizontal="left" vertical="center" wrapText="1"/>
    </xf>
    <xf numFmtId="3" fontId="14" fillId="0" borderId="5" xfId="0" applyNumberFormat="1" applyFont="1" applyBorder="1" applyAlignment="1">
      <alignment horizontal="right" vertical="top" wrapText="1"/>
    </xf>
    <xf numFmtId="0" fontId="12" fillId="0" borderId="27" xfId="0" applyFont="1" applyBorder="1" applyAlignment="1">
      <alignment horizontal="right" vertical="top" wrapText="1"/>
    </xf>
    <xf numFmtId="3" fontId="5" fillId="0" borderId="0" xfId="0" applyNumberFormat="1" applyFont="1"/>
    <xf numFmtId="3" fontId="12" fillId="0" borderId="27" xfId="0" quotePrefix="1" applyNumberFormat="1" applyFont="1" applyFill="1" applyBorder="1" applyAlignment="1" applyProtection="1">
      <alignment horizontal="right"/>
    </xf>
  </cellXfs>
  <cellStyles count="1">
    <cellStyle name="Κανονικό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Θέμα του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2:Q235"/>
  <sheetViews>
    <sheetView showGridLines="0" tabSelected="1" workbookViewId="0">
      <selection activeCell="C9" sqref="C9:C109"/>
    </sheetView>
  </sheetViews>
  <sheetFormatPr defaultRowHeight="10.65"/>
  <cols>
    <col min="1" max="1" width="37.33203125" style="1" customWidth="1"/>
    <col min="2" max="3" width="9.5546875" style="1" customWidth="1"/>
    <col min="4" max="4" width="13.88671875" style="1" bestFit="1" customWidth="1"/>
    <col min="5" max="12" width="12.44140625" style="1" customWidth="1"/>
    <col min="13" max="13" width="11.5546875" style="1" customWidth="1"/>
    <col min="14" max="15" width="10.21875" style="1" customWidth="1"/>
    <col min="16" max="16" width="10.109375" style="1" customWidth="1"/>
    <col min="17" max="16384" width="8.88671875" style="1"/>
  </cols>
  <sheetData>
    <row r="2" spans="1:17" s="32" customFormat="1" ht="13.15">
      <c r="A2" s="29"/>
      <c r="B2" s="46" t="s">
        <v>111</v>
      </c>
      <c r="C2" s="46"/>
      <c r="D2" s="46"/>
      <c r="E2" s="46"/>
      <c r="F2" s="46"/>
      <c r="G2" s="46"/>
      <c r="H2" s="46"/>
      <c r="I2" s="46"/>
      <c r="J2" s="46"/>
      <c r="K2" s="46"/>
      <c r="L2" s="46"/>
      <c r="M2" s="30"/>
      <c r="N2" s="30"/>
      <c r="O2" s="30"/>
      <c r="P2" s="31"/>
    </row>
    <row r="3" spans="1:17" s="32" customFormat="1" ht="13.15">
      <c r="B3" s="46" t="s">
        <v>112</v>
      </c>
      <c r="C3" s="46"/>
      <c r="D3" s="46"/>
      <c r="E3" s="46"/>
      <c r="F3" s="46"/>
      <c r="G3" s="46"/>
      <c r="H3" s="46"/>
      <c r="I3" s="46"/>
      <c r="J3" s="46"/>
      <c r="K3" s="46"/>
      <c r="L3" s="46"/>
      <c r="M3" s="33"/>
      <c r="N3" s="33"/>
      <c r="O3" s="33"/>
      <c r="P3" s="31"/>
    </row>
    <row r="4" spans="1:17" s="32" customFormat="1" ht="13.15">
      <c r="B4" s="34"/>
      <c r="C4" s="34"/>
      <c r="D4" s="34"/>
      <c r="E4" s="34"/>
      <c r="F4" s="34"/>
      <c r="G4" s="34"/>
      <c r="H4" s="34"/>
      <c r="I4" s="34"/>
      <c r="J4" s="34"/>
      <c r="K4" s="34"/>
      <c r="L4" s="34"/>
      <c r="M4" s="33"/>
      <c r="N4" s="33"/>
      <c r="O4" s="33"/>
      <c r="P4" s="31"/>
    </row>
    <row r="5" spans="1:17" ht="11.3" thickBot="1">
      <c r="A5" s="3" t="s">
        <v>102</v>
      </c>
      <c r="B5" s="3"/>
      <c r="C5" s="3"/>
      <c r="D5" s="3"/>
      <c r="E5" s="3"/>
      <c r="F5" s="3"/>
      <c r="G5" s="3"/>
      <c r="H5" s="84"/>
      <c r="I5" s="84"/>
      <c r="J5" s="84"/>
      <c r="K5" s="84"/>
      <c r="L5" s="84"/>
      <c r="M5" s="4"/>
      <c r="N5" s="84" t="s">
        <v>103</v>
      </c>
      <c r="O5" s="84"/>
      <c r="P5" s="5"/>
    </row>
    <row r="6" spans="1:17" ht="29.45" customHeight="1">
      <c r="A6" s="85" t="s">
        <v>0</v>
      </c>
      <c r="B6" s="62" t="s">
        <v>113</v>
      </c>
      <c r="C6" s="63"/>
      <c r="D6" s="63"/>
      <c r="E6" s="63"/>
      <c r="F6" s="63"/>
      <c r="G6" s="63"/>
      <c r="H6" s="63"/>
      <c r="I6" s="63"/>
      <c r="J6" s="64"/>
      <c r="K6" s="65" t="s">
        <v>110</v>
      </c>
      <c r="L6" s="66"/>
      <c r="M6" s="79" t="s">
        <v>1</v>
      </c>
      <c r="N6" s="80"/>
      <c r="O6" s="80"/>
      <c r="P6" s="6"/>
    </row>
    <row r="7" spans="1:17" ht="46.8" customHeight="1">
      <c r="A7" s="86"/>
      <c r="B7" s="55" t="s">
        <v>107</v>
      </c>
      <c r="C7" s="56"/>
      <c r="D7" s="27" t="s">
        <v>114</v>
      </c>
      <c r="E7" s="57" t="s">
        <v>115</v>
      </c>
      <c r="F7" s="56"/>
      <c r="G7" s="57" t="s">
        <v>116</v>
      </c>
      <c r="H7" s="56"/>
      <c r="I7" s="57" t="s">
        <v>117</v>
      </c>
      <c r="J7" s="56"/>
      <c r="K7" s="72" t="s">
        <v>108</v>
      </c>
      <c r="L7" s="70" t="s">
        <v>109</v>
      </c>
      <c r="M7" s="81"/>
      <c r="N7" s="78"/>
      <c r="O7" s="78"/>
      <c r="P7" s="6"/>
    </row>
    <row r="8" spans="1:17" ht="30.7" customHeight="1">
      <c r="A8" s="87"/>
      <c r="B8" s="7" t="s">
        <v>108</v>
      </c>
      <c r="C8" s="26" t="s">
        <v>109</v>
      </c>
      <c r="D8" s="26" t="s">
        <v>109</v>
      </c>
      <c r="E8" s="8" t="s">
        <v>108</v>
      </c>
      <c r="F8" s="27" t="s">
        <v>109</v>
      </c>
      <c r="G8" s="8" t="s">
        <v>108</v>
      </c>
      <c r="H8" s="8" t="s">
        <v>109</v>
      </c>
      <c r="I8" s="27" t="s">
        <v>108</v>
      </c>
      <c r="J8" s="8" t="s">
        <v>109</v>
      </c>
      <c r="K8" s="73"/>
      <c r="L8" s="71"/>
      <c r="M8" s="82"/>
      <c r="N8" s="83"/>
      <c r="O8" s="83"/>
      <c r="P8" s="6"/>
      <c r="Q8" s="91"/>
    </row>
    <row r="9" spans="1:17">
      <c r="A9" s="58" t="s">
        <v>2</v>
      </c>
      <c r="B9" s="60">
        <f>SUM(E9,G9,I9,K9)</f>
        <v>131700</v>
      </c>
      <c r="C9" s="60">
        <f>SUM(C11,C19,C28,C33,C39,C46,C53,C60,C65,C72,C82,C89,C104)</f>
        <v>486170</v>
      </c>
      <c r="D9" s="60">
        <f>SUM(D11,D19,D28,D33,D39,D46,D53,D60,D65,D72,D82,D89,D104)</f>
        <v>150868</v>
      </c>
      <c r="E9" s="60">
        <f t="shared" ref="E9:L9" si="0">SUM(E11,E19,E28,E33,E39,E46,E53,E60,E65,E72,E82,E89,E104)</f>
        <v>10870</v>
      </c>
      <c r="F9" s="60">
        <f t="shared" si="0"/>
        <v>41196</v>
      </c>
      <c r="G9" s="60">
        <f t="shared" si="0"/>
        <v>92862</v>
      </c>
      <c r="H9" s="60">
        <f t="shared" si="0"/>
        <v>212846</v>
      </c>
      <c r="I9" s="60">
        <f t="shared" si="0"/>
        <v>27000</v>
      </c>
      <c r="J9" s="60">
        <f t="shared" si="0"/>
        <v>78219</v>
      </c>
      <c r="K9" s="60">
        <f t="shared" si="0"/>
        <v>968</v>
      </c>
      <c r="L9" s="60">
        <f t="shared" si="0"/>
        <v>3041</v>
      </c>
      <c r="M9" s="88" t="s">
        <v>3</v>
      </c>
      <c r="N9" s="88"/>
      <c r="O9" s="88"/>
      <c r="P9" s="6"/>
      <c r="Q9" s="91"/>
    </row>
    <row r="10" spans="1:17">
      <c r="A10" s="59"/>
      <c r="B10" s="61"/>
      <c r="C10" s="61"/>
      <c r="D10" s="61"/>
      <c r="E10" s="61"/>
      <c r="F10" s="61"/>
      <c r="G10" s="61"/>
      <c r="H10" s="61"/>
      <c r="I10" s="61"/>
      <c r="J10" s="61"/>
      <c r="K10" s="61"/>
      <c r="L10" s="61"/>
      <c r="M10" s="78"/>
      <c r="N10" s="78"/>
      <c r="O10" s="78"/>
      <c r="P10" s="6"/>
    </row>
    <row r="11" spans="1:17">
      <c r="A11" s="59" t="s">
        <v>4</v>
      </c>
      <c r="B11" s="54">
        <f>SUM(B13:B18)</f>
        <v>19827</v>
      </c>
      <c r="C11" s="54">
        <f>SUM(C13:C18)</f>
        <v>87714</v>
      </c>
      <c r="D11" s="54">
        <f>SUM(D13:D18)</f>
        <v>26007</v>
      </c>
      <c r="E11" s="54">
        <f>SUM(E13:E18)</f>
        <v>2274</v>
      </c>
      <c r="F11" s="54">
        <f t="shared" ref="F11:L11" si="1">SUM(F13:F18)</f>
        <v>10308</v>
      </c>
      <c r="G11" s="54">
        <f t="shared" si="1"/>
        <v>16221</v>
      </c>
      <c r="H11" s="54">
        <f t="shared" si="1"/>
        <v>47162</v>
      </c>
      <c r="I11" s="54">
        <f t="shared" si="1"/>
        <v>1302</v>
      </c>
      <c r="J11" s="54">
        <f t="shared" si="1"/>
        <v>4207</v>
      </c>
      <c r="K11" s="54">
        <f t="shared" si="1"/>
        <v>30</v>
      </c>
      <c r="L11" s="54">
        <f t="shared" si="1"/>
        <v>30</v>
      </c>
      <c r="M11" s="78" t="s">
        <v>5</v>
      </c>
      <c r="N11" s="78"/>
      <c r="O11" s="78"/>
      <c r="P11" s="6"/>
    </row>
    <row r="12" spans="1:17">
      <c r="A12" s="59"/>
      <c r="B12" s="54"/>
      <c r="C12" s="54"/>
      <c r="D12" s="54"/>
      <c r="E12" s="54"/>
      <c r="F12" s="54"/>
      <c r="G12" s="54"/>
      <c r="H12" s="54"/>
      <c r="I12" s="54"/>
      <c r="J12" s="54"/>
      <c r="K12" s="54"/>
      <c r="L12" s="54"/>
      <c r="M12" s="78"/>
      <c r="N12" s="78"/>
      <c r="O12" s="78"/>
      <c r="P12" s="6"/>
    </row>
    <row r="13" spans="1:17" ht="11.9">
      <c r="A13" s="35" t="s">
        <v>126</v>
      </c>
      <c r="B13" s="43">
        <f t="shared" ref="B13:B18" si="2">SUM(E13,G13,I13,K13)</f>
        <v>4771</v>
      </c>
      <c r="C13" s="43">
        <f>SUM(D13,F13,H13,J13,L13)</f>
        <v>17527</v>
      </c>
      <c r="D13" s="40">
        <v>3323</v>
      </c>
      <c r="E13" s="40">
        <v>187</v>
      </c>
      <c r="F13" s="40">
        <v>1539</v>
      </c>
      <c r="G13" s="40">
        <v>3924</v>
      </c>
      <c r="H13" s="40">
        <v>11163</v>
      </c>
      <c r="I13" s="40">
        <v>630</v>
      </c>
      <c r="J13" s="40">
        <v>1472</v>
      </c>
      <c r="K13" s="89">
        <v>30</v>
      </c>
      <c r="L13" s="89">
        <v>30</v>
      </c>
      <c r="M13" s="38" t="s">
        <v>6</v>
      </c>
      <c r="N13" s="9"/>
      <c r="O13" s="9"/>
      <c r="P13" s="6"/>
    </row>
    <row r="14" spans="1:17" ht="11.3">
      <c r="A14" s="35" t="s">
        <v>127</v>
      </c>
      <c r="B14" s="43">
        <f t="shared" si="2"/>
        <v>5495</v>
      </c>
      <c r="C14" s="43">
        <f t="shared" ref="C14:C18" si="3">SUM(D14,F14,H14,J14,L14)</f>
        <v>22255</v>
      </c>
      <c r="D14" s="40">
        <v>4108</v>
      </c>
      <c r="E14" s="41" t="s">
        <v>104</v>
      </c>
      <c r="F14" s="41" t="s">
        <v>104</v>
      </c>
      <c r="G14" s="40">
        <v>5468</v>
      </c>
      <c r="H14" s="40">
        <v>18066</v>
      </c>
      <c r="I14" s="40">
        <v>27</v>
      </c>
      <c r="J14" s="40">
        <v>81</v>
      </c>
      <c r="K14" s="41" t="s">
        <v>104</v>
      </c>
      <c r="L14" s="41" t="s">
        <v>104</v>
      </c>
      <c r="M14" s="38" t="s">
        <v>7</v>
      </c>
      <c r="N14" s="9"/>
      <c r="O14" s="9"/>
      <c r="P14" s="6"/>
    </row>
    <row r="15" spans="1:17" ht="11.3">
      <c r="A15" s="35" t="s">
        <v>128</v>
      </c>
      <c r="B15" s="43">
        <f t="shared" si="2"/>
        <v>4055</v>
      </c>
      <c r="C15" s="43">
        <f t="shared" si="3"/>
        <v>13034</v>
      </c>
      <c r="D15" s="40">
        <v>2481</v>
      </c>
      <c r="E15" s="40">
        <v>162</v>
      </c>
      <c r="F15" s="40">
        <v>1148</v>
      </c>
      <c r="G15" s="40">
        <v>3709</v>
      </c>
      <c r="H15" s="40">
        <v>8490</v>
      </c>
      <c r="I15" s="40">
        <v>184</v>
      </c>
      <c r="J15" s="40">
        <v>915</v>
      </c>
      <c r="K15" s="41" t="s">
        <v>104</v>
      </c>
      <c r="L15" s="41" t="s">
        <v>104</v>
      </c>
      <c r="M15" s="38" t="s">
        <v>8</v>
      </c>
      <c r="N15" s="9"/>
      <c r="O15" s="9"/>
      <c r="P15" s="6"/>
    </row>
    <row r="16" spans="1:17" ht="11.3">
      <c r="A16" s="35" t="s">
        <v>129</v>
      </c>
      <c r="B16" s="43">
        <f t="shared" si="2"/>
        <v>4</v>
      </c>
      <c r="C16" s="43">
        <f t="shared" si="3"/>
        <v>7</v>
      </c>
      <c r="D16" s="41" t="s">
        <v>104</v>
      </c>
      <c r="E16" s="41" t="s">
        <v>104</v>
      </c>
      <c r="F16" s="40">
        <v>1</v>
      </c>
      <c r="G16" s="40">
        <v>4</v>
      </c>
      <c r="H16" s="40">
        <v>6</v>
      </c>
      <c r="I16" s="41" t="s">
        <v>104</v>
      </c>
      <c r="J16" s="41" t="s">
        <v>104</v>
      </c>
      <c r="K16" s="41" t="s">
        <v>104</v>
      </c>
      <c r="L16" s="41" t="s">
        <v>104</v>
      </c>
      <c r="M16" s="38" t="s">
        <v>9</v>
      </c>
      <c r="N16" s="9"/>
      <c r="O16" s="9"/>
      <c r="P16" s="6"/>
    </row>
    <row r="17" spans="1:16" ht="11.3">
      <c r="A17" s="35" t="s">
        <v>130</v>
      </c>
      <c r="B17" s="43">
        <f t="shared" si="2"/>
        <v>1395</v>
      </c>
      <c r="C17" s="43">
        <f t="shared" si="3"/>
        <v>6364</v>
      </c>
      <c r="D17" s="40">
        <v>1197</v>
      </c>
      <c r="E17" s="41" t="s">
        <v>104</v>
      </c>
      <c r="F17" s="41" t="s">
        <v>104</v>
      </c>
      <c r="G17" s="40">
        <v>1056</v>
      </c>
      <c r="H17" s="40">
        <v>3455</v>
      </c>
      <c r="I17" s="40">
        <v>339</v>
      </c>
      <c r="J17" s="40">
        <v>1712</v>
      </c>
      <c r="K17" s="41" t="s">
        <v>104</v>
      </c>
      <c r="L17" s="41" t="s">
        <v>104</v>
      </c>
      <c r="M17" s="38" t="s">
        <v>10</v>
      </c>
      <c r="N17" s="9"/>
      <c r="O17" s="9"/>
      <c r="P17" s="6"/>
    </row>
    <row r="18" spans="1:16" ht="11.3">
      <c r="A18" s="35" t="s">
        <v>131</v>
      </c>
      <c r="B18" s="43">
        <f t="shared" si="2"/>
        <v>4107</v>
      </c>
      <c r="C18" s="43">
        <f t="shared" si="3"/>
        <v>28527</v>
      </c>
      <c r="D18" s="40">
        <v>14898</v>
      </c>
      <c r="E18" s="40">
        <v>1925</v>
      </c>
      <c r="F18" s="40">
        <v>7620</v>
      </c>
      <c r="G18" s="40">
        <v>2060</v>
      </c>
      <c r="H18" s="40">
        <v>5982</v>
      </c>
      <c r="I18" s="40">
        <v>122</v>
      </c>
      <c r="J18" s="40">
        <v>27</v>
      </c>
      <c r="K18" s="41" t="s">
        <v>104</v>
      </c>
      <c r="L18" s="41" t="s">
        <v>104</v>
      </c>
      <c r="M18" s="38" t="s">
        <v>11</v>
      </c>
      <c r="N18" s="9"/>
      <c r="O18" s="9"/>
      <c r="P18" s="6"/>
    </row>
    <row r="19" spans="1:16">
      <c r="A19" s="50" t="s">
        <v>12</v>
      </c>
      <c r="B19" s="54">
        <f>SUM(B21:B27)</f>
        <v>42969</v>
      </c>
      <c r="C19" s="54">
        <f>SUM(C21:C27)</f>
        <v>128228</v>
      </c>
      <c r="D19" s="54">
        <f>SUM(D21:D27)</f>
        <v>71478</v>
      </c>
      <c r="E19" s="54">
        <f t="shared" ref="E19:L19" si="4">SUM(E21:E27)</f>
        <v>3487</v>
      </c>
      <c r="F19" s="54">
        <f>SUM(F21:F27)</f>
        <v>9529</v>
      </c>
      <c r="G19" s="54">
        <f t="shared" si="4"/>
        <v>23290</v>
      </c>
      <c r="H19" s="54">
        <f t="shared" si="4"/>
        <v>23902</v>
      </c>
      <c r="I19" s="54">
        <f t="shared" si="4"/>
        <v>15274</v>
      </c>
      <c r="J19" s="54">
        <f t="shared" si="4"/>
        <v>20449</v>
      </c>
      <c r="K19" s="54">
        <f t="shared" si="4"/>
        <v>918</v>
      </c>
      <c r="L19" s="54">
        <f t="shared" si="4"/>
        <v>2870</v>
      </c>
      <c r="M19" s="77" t="s">
        <v>13</v>
      </c>
      <c r="N19" s="77"/>
      <c r="O19" s="77"/>
      <c r="P19" s="6"/>
    </row>
    <row r="20" spans="1:16">
      <c r="A20" s="50"/>
      <c r="B20" s="54"/>
      <c r="C20" s="54"/>
      <c r="D20" s="54"/>
      <c r="E20" s="54"/>
      <c r="F20" s="54"/>
      <c r="G20" s="54"/>
      <c r="H20" s="54"/>
      <c r="I20" s="54"/>
      <c r="J20" s="54"/>
      <c r="K20" s="54"/>
      <c r="L20" s="54"/>
      <c r="M20" s="77"/>
      <c r="N20" s="77"/>
      <c r="O20" s="77"/>
      <c r="P20" s="6"/>
    </row>
    <row r="21" spans="1:16" ht="11.9">
      <c r="A21" s="35" t="s">
        <v>132</v>
      </c>
      <c r="B21" s="43">
        <f t="shared" ref="B21:B32" si="5">SUM(E21,G21,I21,K21)</f>
        <v>6852</v>
      </c>
      <c r="C21" s="43">
        <f t="shared" ref="C21:C27" si="6">SUM(D21,F21,H21,J21,L21)</f>
        <v>47090</v>
      </c>
      <c r="D21" s="40">
        <v>35477</v>
      </c>
      <c r="E21" s="40">
        <v>388</v>
      </c>
      <c r="F21" s="40">
        <v>1707</v>
      </c>
      <c r="G21" s="40">
        <v>6324</v>
      </c>
      <c r="H21" s="40">
        <v>9090</v>
      </c>
      <c r="I21" s="40">
        <v>14</v>
      </c>
      <c r="J21" s="40">
        <v>346</v>
      </c>
      <c r="K21" s="89">
        <v>126</v>
      </c>
      <c r="L21" s="89">
        <v>470</v>
      </c>
      <c r="M21" s="38" t="s">
        <v>14</v>
      </c>
      <c r="N21" s="9"/>
      <c r="O21" s="9"/>
      <c r="P21" s="6"/>
    </row>
    <row r="22" spans="1:16" ht="11.3">
      <c r="A22" s="35" t="s">
        <v>133</v>
      </c>
      <c r="B22" s="43">
        <f t="shared" si="5"/>
        <v>10013</v>
      </c>
      <c r="C22" s="43">
        <f t="shared" si="6"/>
        <v>5806</v>
      </c>
      <c r="D22" s="40">
        <v>3617</v>
      </c>
      <c r="E22" s="40">
        <v>1</v>
      </c>
      <c r="F22" s="41" t="s">
        <v>104</v>
      </c>
      <c r="G22" s="40">
        <v>6244</v>
      </c>
      <c r="H22" s="40">
        <v>1548</v>
      </c>
      <c r="I22" s="40">
        <v>3768</v>
      </c>
      <c r="J22" s="40">
        <v>641</v>
      </c>
      <c r="K22" s="41" t="s">
        <v>104</v>
      </c>
      <c r="L22" s="41" t="s">
        <v>104</v>
      </c>
      <c r="M22" s="38" t="s">
        <v>15</v>
      </c>
      <c r="N22" s="9"/>
      <c r="O22" s="9"/>
      <c r="P22" s="6"/>
    </row>
    <row r="23" spans="1:16" ht="11.9">
      <c r="A23" s="35" t="s">
        <v>134</v>
      </c>
      <c r="B23" s="43">
        <f t="shared" si="5"/>
        <v>5841</v>
      </c>
      <c r="C23" s="43">
        <f>SUM(D23,F23,H23,J23,L23)</f>
        <v>17743</v>
      </c>
      <c r="D23" s="40">
        <v>13454</v>
      </c>
      <c r="E23" s="40">
        <v>1037</v>
      </c>
      <c r="F23" s="40">
        <v>803</v>
      </c>
      <c r="G23" s="40">
        <v>3888</v>
      </c>
      <c r="H23" s="40">
        <v>3261</v>
      </c>
      <c r="I23" s="40">
        <v>904</v>
      </c>
      <c r="J23" s="40">
        <v>225</v>
      </c>
      <c r="K23" s="89">
        <v>12</v>
      </c>
      <c r="L23" s="41" t="s">
        <v>104</v>
      </c>
      <c r="M23" s="38" t="s">
        <v>16</v>
      </c>
      <c r="N23" s="9"/>
      <c r="O23" s="9"/>
      <c r="P23" s="6"/>
    </row>
    <row r="24" spans="1:16" ht="11.3">
      <c r="A24" s="35" t="s">
        <v>135</v>
      </c>
      <c r="B24" s="43">
        <f t="shared" si="5"/>
        <v>5188</v>
      </c>
      <c r="C24" s="43">
        <f t="shared" si="6"/>
        <v>15869</v>
      </c>
      <c r="D24" s="40">
        <v>3950</v>
      </c>
      <c r="E24" s="40">
        <v>257</v>
      </c>
      <c r="F24" s="40">
        <v>2989</v>
      </c>
      <c r="G24" s="40">
        <v>4588</v>
      </c>
      <c r="H24" s="40">
        <v>7396</v>
      </c>
      <c r="I24" s="40">
        <v>343</v>
      </c>
      <c r="J24" s="40">
        <v>1534</v>
      </c>
      <c r="K24" s="41" t="s">
        <v>104</v>
      </c>
      <c r="L24" s="41" t="s">
        <v>104</v>
      </c>
      <c r="M24" s="38" t="s">
        <v>17</v>
      </c>
      <c r="N24" s="9"/>
      <c r="O24" s="9"/>
      <c r="P24" s="6"/>
    </row>
    <row r="25" spans="1:16" ht="11.3">
      <c r="A25" s="35" t="s">
        <v>136</v>
      </c>
      <c r="B25" s="43">
        <f t="shared" si="5"/>
        <v>1638</v>
      </c>
      <c r="C25" s="43">
        <f t="shared" si="6"/>
        <v>2823</v>
      </c>
      <c r="D25" s="40">
        <v>1592</v>
      </c>
      <c r="E25" s="41" t="s">
        <v>104</v>
      </c>
      <c r="F25" s="41" t="s">
        <v>104</v>
      </c>
      <c r="G25" s="40">
        <v>1322</v>
      </c>
      <c r="H25" s="40">
        <v>700</v>
      </c>
      <c r="I25" s="40">
        <v>316</v>
      </c>
      <c r="J25" s="40">
        <v>531</v>
      </c>
      <c r="K25" s="41" t="s">
        <v>104</v>
      </c>
      <c r="L25" s="41" t="s">
        <v>104</v>
      </c>
      <c r="M25" s="38" t="s">
        <v>18</v>
      </c>
      <c r="N25" s="9"/>
      <c r="O25" s="9"/>
      <c r="P25" s="6"/>
    </row>
    <row r="26" spans="1:16" ht="11.9">
      <c r="A26" s="35" t="s">
        <v>137</v>
      </c>
      <c r="B26" s="43">
        <f t="shared" si="5"/>
        <v>12167</v>
      </c>
      <c r="C26" s="43">
        <f t="shared" si="6"/>
        <v>34465</v>
      </c>
      <c r="D26" s="40">
        <v>12082</v>
      </c>
      <c r="E26" s="40">
        <v>1542</v>
      </c>
      <c r="F26" s="40">
        <v>2851</v>
      </c>
      <c r="G26" s="40">
        <v>11</v>
      </c>
      <c r="H26" s="40">
        <v>8</v>
      </c>
      <c r="I26" s="40">
        <v>9834</v>
      </c>
      <c r="J26" s="40">
        <v>17124</v>
      </c>
      <c r="K26" s="89">
        <v>780</v>
      </c>
      <c r="L26" s="89">
        <v>2400</v>
      </c>
      <c r="M26" s="38" t="s">
        <v>19</v>
      </c>
      <c r="N26" s="9"/>
      <c r="O26" s="9"/>
      <c r="P26" s="6"/>
    </row>
    <row r="27" spans="1:16" ht="11.3">
      <c r="A27" s="35" t="s">
        <v>138</v>
      </c>
      <c r="B27" s="43">
        <f t="shared" si="5"/>
        <v>1270</v>
      </c>
      <c r="C27" s="43">
        <f t="shared" si="6"/>
        <v>4432</v>
      </c>
      <c r="D27" s="40">
        <v>1306</v>
      </c>
      <c r="E27" s="40">
        <v>262</v>
      </c>
      <c r="F27" s="40">
        <v>1179</v>
      </c>
      <c r="G27" s="40">
        <v>913</v>
      </c>
      <c r="H27" s="40">
        <v>1899</v>
      </c>
      <c r="I27" s="40">
        <v>95</v>
      </c>
      <c r="J27" s="40">
        <v>48</v>
      </c>
      <c r="K27" s="41" t="s">
        <v>104</v>
      </c>
      <c r="L27" s="41" t="s">
        <v>104</v>
      </c>
      <c r="M27" s="38" t="s">
        <v>20</v>
      </c>
      <c r="N27" s="9"/>
      <c r="O27" s="9"/>
      <c r="P27" s="6"/>
    </row>
    <row r="28" spans="1:16" ht="28.8" customHeight="1">
      <c r="A28" s="23" t="s">
        <v>106</v>
      </c>
      <c r="B28" s="42">
        <f>SUM(B29:B32)</f>
        <v>8989</v>
      </c>
      <c r="C28" s="42">
        <f>SUM(C29:C32)</f>
        <v>29831</v>
      </c>
      <c r="D28" s="42">
        <f t="shared" ref="D28:L28" si="7">SUM(D29:D32)</f>
        <v>8571</v>
      </c>
      <c r="E28" s="42">
        <f t="shared" si="7"/>
        <v>72</v>
      </c>
      <c r="F28" s="42">
        <f t="shared" si="7"/>
        <v>565</v>
      </c>
      <c r="G28" s="42">
        <f t="shared" si="7"/>
        <v>6324</v>
      </c>
      <c r="H28" s="42">
        <f t="shared" si="7"/>
        <v>16462</v>
      </c>
      <c r="I28" s="42">
        <f t="shared" si="7"/>
        <v>2593</v>
      </c>
      <c r="J28" s="42">
        <f t="shared" si="7"/>
        <v>4233</v>
      </c>
      <c r="K28" s="42">
        <f t="shared" si="7"/>
        <v>0</v>
      </c>
      <c r="L28" s="42">
        <f t="shared" si="7"/>
        <v>0</v>
      </c>
      <c r="M28" s="24" t="s">
        <v>105</v>
      </c>
      <c r="N28" s="9"/>
      <c r="O28" s="9"/>
      <c r="P28" s="6"/>
    </row>
    <row r="29" spans="1:16" ht="11.3">
      <c r="A29" s="35" t="s">
        <v>139</v>
      </c>
      <c r="B29" s="43">
        <f t="shared" si="5"/>
        <v>2909</v>
      </c>
      <c r="C29" s="43">
        <f t="shared" ref="C29:C32" si="8">SUM(D29,F29,H29,J29,L29)</f>
        <v>13013</v>
      </c>
      <c r="D29" s="40">
        <v>4379</v>
      </c>
      <c r="E29" s="40">
        <v>62</v>
      </c>
      <c r="F29" s="40">
        <v>564</v>
      </c>
      <c r="G29" s="40">
        <v>2270</v>
      </c>
      <c r="H29" s="40">
        <v>7507</v>
      </c>
      <c r="I29" s="40">
        <v>577</v>
      </c>
      <c r="J29" s="40">
        <v>563</v>
      </c>
      <c r="K29" s="41" t="s">
        <v>104</v>
      </c>
      <c r="L29" s="41" t="s">
        <v>104</v>
      </c>
      <c r="M29" s="38" t="s">
        <v>21</v>
      </c>
      <c r="N29" s="9"/>
      <c r="O29" s="9"/>
      <c r="P29" s="6"/>
    </row>
    <row r="30" spans="1:16" ht="11.3">
      <c r="A30" s="35" t="s">
        <v>140</v>
      </c>
      <c r="B30" s="43">
        <f t="shared" si="5"/>
        <v>2378</v>
      </c>
      <c r="C30" s="43">
        <f t="shared" si="8"/>
        <v>4832</v>
      </c>
      <c r="D30" s="40">
        <v>1232</v>
      </c>
      <c r="E30" s="40">
        <v>10</v>
      </c>
      <c r="F30" s="41" t="s">
        <v>104</v>
      </c>
      <c r="G30" s="40">
        <v>2059</v>
      </c>
      <c r="H30" s="40">
        <v>3569</v>
      </c>
      <c r="I30" s="40">
        <v>309</v>
      </c>
      <c r="J30" s="40">
        <v>31</v>
      </c>
      <c r="K30" s="41" t="s">
        <v>104</v>
      </c>
      <c r="L30" s="41" t="s">
        <v>104</v>
      </c>
      <c r="M30" s="38" t="s">
        <v>22</v>
      </c>
      <c r="N30" s="9"/>
      <c r="O30" s="9"/>
      <c r="P30" s="6"/>
    </row>
    <row r="31" spans="1:16" ht="11.3">
      <c r="A31" s="35" t="s">
        <v>141</v>
      </c>
      <c r="B31" s="43">
        <f t="shared" si="5"/>
        <v>565</v>
      </c>
      <c r="C31" s="43">
        <f t="shared" si="8"/>
        <v>2056</v>
      </c>
      <c r="D31" s="40">
        <v>156</v>
      </c>
      <c r="E31" s="41" t="s">
        <v>104</v>
      </c>
      <c r="F31" s="40">
        <v>1</v>
      </c>
      <c r="G31" s="40">
        <v>557</v>
      </c>
      <c r="H31" s="40">
        <v>1878</v>
      </c>
      <c r="I31" s="40">
        <v>8</v>
      </c>
      <c r="J31" s="40">
        <v>21</v>
      </c>
      <c r="K31" s="41" t="s">
        <v>104</v>
      </c>
      <c r="L31" s="41" t="s">
        <v>104</v>
      </c>
      <c r="M31" s="38" t="s">
        <v>23</v>
      </c>
      <c r="N31" s="9"/>
      <c r="O31" s="9"/>
      <c r="P31" s="6"/>
    </row>
    <row r="32" spans="1:16" ht="11.3">
      <c r="A32" s="35" t="s">
        <v>142</v>
      </c>
      <c r="B32" s="43">
        <f t="shared" si="5"/>
        <v>3137</v>
      </c>
      <c r="C32" s="43">
        <f t="shared" si="8"/>
        <v>9930</v>
      </c>
      <c r="D32" s="40">
        <v>2804</v>
      </c>
      <c r="E32" s="41" t="s">
        <v>104</v>
      </c>
      <c r="F32" s="41" t="s">
        <v>104</v>
      </c>
      <c r="G32" s="40">
        <v>1438</v>
      </c>
      <c r="H32" s="40">
        <v>3508</v>
      </c>
      <c r="I32" s="40">
        <v>1699</v>
      </c>
      <c r="J32" s="40">
        <v>3618</v>
      </c>
      <c r="K32" s="41" t="s">
        <v>104</v>
      </c>
      <c r="L32" s="41" t="s">
        <v>104</v>
      </c>
      <c r="M32" s="38" t="s">
        <v>24</v>
      </c>
      <c r="N32" s="9"/>
      <c r="O32" s="9"/>
      <c r="P32" s="6"/>
    </row>
    <row r="33" spans="1:16">
      <c r="A33" s="50" t="s">
        <v>25</v>
      </c>
      <c r="B33" s="54">
        <f>SUM(B35:B38)</f>
        <v>9334</v>
      </c>
      <c r="C33" s="54">
        <f>SUM(C35:C38)</f>
        <v>50254</v>
      </c>
      <c r="D33" s="51">
        <f>SUM(D35:D38)</f>
        <v>7179</v>
      </c>
      <c r="E33" s="51">
        <f>SUM(E35:E38)</f>
        <v>633</v>
      </c>
      <c r="F33" s="51">
        <f t="shared" ref="F33:L33" si="9">SUM(F35:F38)</f>
        <v>1486</v>
      </c>
      <c r="G33" s="51">
        <f t="shared" si="9"/>
        <v>7751</v>
      </c>
      <c r="H33" s="51">
        <f t="shared" si="9"/>
        <v>37242</v>
      </c>
      <c r="I33" s="51">
        <f t="shared" si="9"/>
        <v>942</v>
      </c>
      <c r="J33" s="51">
        <f t="shared" si="9"/>
        <v>4312</v>
      </c>
      <c r="K33" s="51">
        <f t="shared" si="9"/>
        <v>8</v>
      </c>
      <c r="L33" s="51">
        <f t="shared" si="9"/>
        <v>35</v>
      </c>
      <c r="M33" s="75" t="s">
        <v>26</v>
      </c>
      <c r="N33" s="75"/>
      <c r="O33" s="75"/>
      <c r="P33" s="6"/>
    </row>
    <row r="34" spans="1:16">
      <c r="A34" s="50"/>
      <c r="B34" s="54"/>
      <c r="C34" s="54"/>
      <c r="D34" s="51"/>
      <c r="E34" s="51"/>
      <c r="F34" s="51"/>
      <c r="G34" s="51"/>
      <c r="H34" s="51"/>
      <c r="I34" s="51"/>
      <c r="J34" s="51"/>
      <c r="K34" s="51"/>
      <c r="L34" s="51"/>
      <c r="M34" s="75"/>
      <c r="N34" s="75"/>
      <c r="O34" s="75"/>
      <c r="P34" s="6"/>
    </row>
    <row r="35" spans="1:16" ht="11.3">
      <c r="A35" s="35" t="s">
        <v>143</v>
      </c>
      <c r="B35" s="43">
        <f t="shared" ref="B35:B38" si="10">SUM(E35,G35,I35,K35)</f>
        <v>2708</v>
      </c>
      <c r="C35" s="43">
        <f t="shared" ref="C35:C38" si="11">SUM(D35,F35,H35,J35,L35)</f>
        <v>14934</v>
      </c>
      <c r="D35" s="40">
        <v>2292</v>
      </c>
      <c r="E35" s="40">
        <v>552</v>
      </c>
      <c r="F35" s="40">
        <v>1297</v>
      </c>
      <c r="G35" s="40">
        <v>1561</v>
      </c>
      <c r="H35" s="40">
        <v>7976</v>
      </c>
      <c r="I35" s="40">
        <v>595</v>
      </c>
      <c r="J35" s="40">
        <v>3369</v>
      </c>
      <c r="K35" s="41" t="s">
        <v>104</v>
      </c>
      <c r="L35" s="41" t="s">
        <v>104</v>
      </c>
      <c r="M35" s="38" t="s">
        <v>27</v>
      </c>
      <c r="N35" s="9"/>
      <c r="O35" s="9"/>
      <c r="P35" s="6"/>
    </row>
    <row r="36" spans="1:16" ht="11.9">
      <c r="A36" s="35" t="s">
        <v>144</v>
      </c>
      <c r="B36" s="43">
        <f t="shared" si="10"/>
        <v>533</v>
      </c>
      <c r="C36" s="43">
        <f t="shared" si="11"/>
        <v>4205</v>
      </c>
      <c r="D36" s="40">
        <v>1601</v>
      </c>
      <c r="E36" s="40">
        <v>5</v>
      </c>
      <c r="F36" s="40">
        <v>120</v>
      </c>
      <c r="G36" s="40">
        <v>456</v>
      </c>
      <c r="H36" s="40">
        <v>1892</v>
      </c>
      <c r="I36" s="40">
        <v>64</v>
      </c>
      <c r="J36" s="40">
        <v>557</v>
      </c>
      <c r="K36" s="89">
        <v>8</v>
      </c>
      <c r="L36" s="89">
        <v>35</v>
      </c>
      <c r="M36" s="38" t="s">
        <v>28</v>
      </c>
      <c r="N36" s="9"/>
      <c r="O36" s="9"/>
      <c r="P36" s="6"/>
    </row>
    <row r="37" spans="1:16" ht="11.3">
      <c r="A37" s="35" t="s">
        <v>145</v>
      </c>
      <c r="B37" s="43">
        <f t="shared" si="10"/>
        <v>3956</v>
      </c>
      <c r="C37" s="43">
        <f t="shared" si="11"/>
        <v>20688</v>
      </c>
      <c r="D37" s="40">
        <v>142</v>
      </c>
      <c r="E37" s="41" t="s">
        <v>104</v>
      </c>
      <c r="F37" s="41" t="s">
        <v>104</v>
      </c>
      <c r="G37" s="40">
        <v>3954</v>
      </c>
      <c r="H37" s="40">
        <v>20522</v>
      </c>
      <c r="I37" s="40">
        <v>2</v>
      </c>
      <c r="J37" s="40">
        <v>24</v>
      </c>
      <c r="K37" s="41" t="s">
        <v>104</v>
      </c>
      <c r="L37" s="41" t="s">
        <v>104</v>
      </c>
      <c r="M37" s="38" t="s">
        <v>29</v>
      </c>
      <c r="N37" s="9"/>
      <c r="O37" s="9"/>
      <c r="P37" s="6"/>
    </row>
    <row r="38" spans="1:16" ht="11.3">
      <c r="A38" s="35" t="s">
        <v>146</v>
      </c>
      <c r="B38" s="43">
        <f t="shared" si="10"/>
        <v>2137</v>
      </c>
      <c r="C38" s="43">
        <f t="shared" si="11"/>
        <v>10427</v>
      </c>
      <c r="D38" s="40">
        <v>3144</v>
      </c>
      <c r="E38" s="40">
        <v>76</v>
      </c>
      <c r="F38" s="40">
        <v>69</v>
      </c>
      <c r="G38" s="40">
        <v>1780</v>
      </c>
      <c r="H38" s="40">
        <v>6852</v>
      </c>
      <c r="I38" s="40">
        <v>281</v>
      </c>
      <c r="J38" s="40">
        <v>362</v>
      </c>
      <c r="K38" s="41" t="s">
        <v>104</v>
      </c>
      <c r="L38" s="41" t="s">
        <v>104</v>
      </c>
      <c r="M38" s="38" t="s">
        <v>30</v>
      </c>
      <c r="N38" s="9"/>
      <c r="O38" s="9"/>
      <c r="P38" s="6"/>
    </row>
    <row r="39" spans="1:16">
      <c r="A39" s="50" t="s">
        <v>31</v>
      </c>
      <c r="B39" s="54">
        <f>SUM(B41:B45)</f>
        <v>24802</v>
      </c>
      <c r="C39" s="54">
        <f>SUM(C41:C45)</f>
        <v>101693</v>
      </c>
      <c r="D39" s="51">
        <f t="shared" ref="D39" si="12">SUM(D41:D45)</f>
        <v>21669</v>
      </c>
      <c r="E39" s="51">
        <f t="shared" ref="E39:L39" si="13">SUM(E41:E45)</f>
        <v>727</v>
      </c>
      <c r="F39" s="51">
        <f t="shared" si="13"/>
        <v>4860</v>
      </c>
      <c r="G39" s="51">
        <f t="shared" si="13"/>
        <v>22379</v>
      </c>
      <c r="H39" s="51">
        <f t="shared" si="13"/>
        <v>48028</v>
      </c>
      <c r="I39" s="51">
        <f t="shared" si="13"/>
        <v>1689</v>
      </c>
      <c r="J39" s="51">
        <f t="shared" si="13"/>
        <v>27106</v>
      </c>
      <c r="K39" s="51">
        <f t="shared" si="13"/>
        <v>7</v>
      </c>
      <c r="L39" s="51">
        <f t="shared" si="13"/>
        <v>30</v>
      </c>
      <c r="M39" s="75" t="s">
        <v>32</v>
      </c>
      <c r="N39" s="75"/>
      <c r="O39" s="75"/>
      <c r="P39" s="6"/>
    </row>
    <row r="40" spans="1:16">
      <c r="A40" s="50"/>
      <c r="B40" s="54"/>
      <c r="C40" s="54"/>
      <c r="D40" s="51"/>
      <c r="E40" s="51"/>
      <c r="F40" s="51"/>
      <c r="G40" s="51"/>
      <c r="H40" s="51"/>
      <c r="I40" s="51"/>
      <c r="J40" s="51"/>
      <c r="K40" s="51"/>
      <c r="L40" s="51"/>
      <c r="M40" s="75"/>
      <c r="N40" s="75"/>
      <c r="O40" s="75"/>
      <c r="P40" s="6"/>
    </row>
    <row r="41" spans="1:16" ht="11.3">
      <c r="A41" s="35" t="s">
        <v>147</v>
      </c>
      <c r="B41" s="43">
        <f t="shared" ref="B41:B45" si="14">SUM(E41,G41,I41,K41)</f>
        <v>10199</v>
      </c>
      <c r="C41" s="43">
        <f t="shared" ref="C41:C45" si="15">SUM(D41,F41,H41,J41,L41)</f>
        <v>46904</v>
      </c>
      <c r="D41" s="40">
        <v>15816</v>
      </c>
      <c r="E41" s="40">
        <v>399</v>
      </c>
      <c r="F41" s="40">
        <v>2023</v>
      </c>
      <c r="G41" s="40">
        <v>9396</v>
      </c>
      <c r="H41" s="40">
        <v>25914</v>
      </c>
      <c r="I41" s="40">
        <v>404</v>
      </c>
      <c r="J41" s="40">
        <v>3151</v>
      </c>
      <c r="K41" s="41" t="s">
        <v>104</v>
      </c>
      <c r="L41" s="41" t="s">
        <v>104</v>
      </c>
      <c r="M41" s="38" t="s">
        <v>33</v>
      </c>
      <c r="N41" s="9"/>
      <c r="O41" s="9"/>
      <c r="P41" s="6"/>
    </row>
    <row r="42" spans="1:16" ht="11.3">
      <c r="A42" s="35" t="s">
        <v>148</v>
      </c>
      <c r="B42" s="43">
        <f t="shared" si="14"/>
        <v>2718</v>
      </c>
      <c r="C42" s="43">
        <f t="shared" si="15"/>
        <v>6423</v>
      </c>
      <c r="D42" s="40">
        <v>1402</v>
      </c>
      <c r="E42" s="40">
        <v>179</v>
      </c>
      <c r="F42" s="40">
        <v>828</v>
      </c>
      <c r="G42" s="40">
        <v>2400</v>
      </c>
      <c r="H42" s="40">
        <v>3915</v>
      </c>
      <c r="I42" s="40">
        <v>139</v>
      </c>
      <c r="J42" s="40">
        <v>278</v>
      </c>
      <c r="K42" s="41" t="s">
        <v>104</v>
      </c>
      <c r="L42" s="41" t="s">
        <v>104</v>
      </c>
      <c r="M42" s="38" t="s">
        <v>34</v>
      </c>
      <c r="N42" s="9"/>
      <c r="O42" s="9"/>
      <c r="P42" s="6"/>
    </row>
    <row r="43" spans="1:16" ht="11.3">
      <c r="A43" s="35" t="s">
        <v>149</v>
      </c>
      <c r="B43" s="43">
        <f t="shared" si="14"/>
        <v>2845</v>
      </c>
      <c r="C43" s="43">
        <f t="shared" si="15"/>
        <v>15212</v>
      </c>
      <c r="D43" s="40">
        <v>1469</v>
      </c>
      <c r="E43" s="40">
        <v>23</v>
      </c>
      <c r="F43" s="40">
        <v>1957</v>
      </c>
      <c r="G43" s="40">
        <v>2811</v>
      </c>
      <c r="H43" s="40">
        <v>11375</v>
      </c>
      <c r="I43" s="40">
        <v>11</v>
      </c>
      <c r="J43" s="40">
        <v>411</v>
      </c>
      <c r="K43" s="41" t="s">
        <v>104</v>
      </c>
      <c r="L43" s="41" t="s">
        <v>104</v>
      </c>
      <c r="M43" s="38" t="s">
        <v>35</v>
      </c>
      <c r="N43" s="9"/>
      <c r="O43" s="9"/>
      <c r="P43" s="6"/>
    </row>
    <row r="44" spans="1:16" ht="11.9">
      <c r="A44" s="35" t="s">
        <v>150</v>
      </c>
      <c r="B44" s="43">
        <f t="shared" si="14"/>
        <v>9040</v>
      </c>
      <c r="C44" s="43">
        <f t="shared" si="15"/>
        <v>33154</v>
      </c>
      <c r="D44" s="40">
        <v>2982</v>
      </c>
      <c r="E44" s="40">
        <v>126</v>
      </c>
      <c r="F44" s="40">
        <v>52</v>
      </c>
      <c r="G44" s="40">
        <v>7772</v>
      </c>
      <c r="H44" s="40">
        <v>6824</v>
      </c>
      <c r="I44" s="40">
        <v>1135</v>
      </c>
      <c r="J44" s="40">
        <v>23266</v>
      </c>
      <c r="K44" s="89">
        <v>7</v>
      </c>
      <c r="L44" s="89">
        <v>30</v>
      </c>
      <c r="M44" s="38" t="s">
        <v>36</v>
      </c>
      <c r="N44" s="9"/>
      <c r="O44" s="9"/>
      <c r="P44" s="6"/>
    </row>
    <row r="45" spans="1:16" ht="11.3">
      <c r="A45" s="35" t="s">
        <v>151</v>
      </c>
      <c r="B45" s="43">
        <f t="shared" si="14"/>
        <v>0</v>
      </c>
      <c r="C45" s="43">
        <f t="shared" si="15"/>
        <v>0</v>
      </c>
      <c r="D45" s="43"/>
      <c r="E45" s="45"/>
      <c r="F45" s="45"/>
      <c r="G45" s="45"/>
      <c r="H45" s="45"/>
      <c r="I45" s="45"/>
      <c r="J45" s="45"/>
      <c r="K45" s="45"/>
      <c r="L45" s="45"/>
      <c r="M45" s="38" t="s">
        <v>37</v>
      </c>
      <c r="N45" s="9"/>
      <c r="O45" s="9"/>
      <c r="P45" s="6"/>
    </row>
    <row r="46" spans="1:16">
      <c r="A46" s="50" t="s">
        <v>38</v>
      </c>
      <c r="B46" s="54">
        <f>SUM(B48:B52)</f>
        <v>5756</v>
      </c>
      <c r="C46" s="54">
        <f>SUM(C48:C52)</f>
        <v>23767</v>
      </c>
      <c r="D46" s="51">
        <f t="shared" ref="D46" si="16">SUM(D48:D52)</f>
        <v>3109</v>
      </c>
      <c r="E46" s="51">
        <f t="shared" ref="E46:L46" si="17">SUM(E48:E52)</f>
        <v>411</v>
      </c>
      <c r="F46" s="51">
        <f t="shared" si="17"/>
        <v>1435</v>
      </c>
      <c r="G46" s="51">
        <f t="shared" si="17"/>
        <v>4389</v>
      </c>
      <c r="H46" s="51">
        <f t="shared" si="17"/>
        <v>14291</v>
      </c>
      <c r="I46" s="51">
        <f t="shared" si="17"/>
        <v>951</v>
      </c>
      <c r="J46" s="51">
        <f t="shared" si="17"/>
        <v>4869</v>
      </c>
      <c r="K46" s="51">
        <f t="shared" si="17"/>
        <v>5</v>
      </c>
      <c r="L46" s="51">
        <f t="shared" si="17"/>
        <v>63</v>
      </c>
      <c r="M46" s="75" t="s">
        <v>39</v>
      </c>
      <c r="N46" s="75"/>
      <c r="O46" s="75"/>
      <c r="P46" s="6"/>
    </row>
    <row r="47" spans="1:16">
      <c r="A47" s="50"/>
      <c r="B47" s="54"/>
      <c r="C47" s="54"/>
      <c r="D47" s="51"/>
      <c r="E47" s="51"/>
      <c r="F47" s="51"/>
      <c r="G47" s="51"/>
      <c r="H47" s="51"/>
      <c r="I47" s="51"/>
      <c r="J47" s="51"/>
      <c r="K47" s="51"/>
      <c r="L47" s="51"/>
      <c r="M47" s="75"/>
      <c r="N47" s="75"/>
      <c r="O47" s="75"/>
      <c r="P47" s="6"/>
    </row>
    <row r="48" spans="1:16" ht="11.9">
      <c r="A48" s="35" t="s">
        <v>152</v>
      </c>
      <c r="B48" s="43">
        <f t="shared" ref="B48:B52" si="18">SUM(E48,G48,I48,K48)</f>
        <v>1254</v>
      </c>
      <c r="C48" s="43">
        <f t="shared" ref="C48:C52" si="19">SUM(D48,F48,H48,J48,L48)</f>
        <v>6582</v>
      </c>
      <c r="D48" s="40">
        <v>147</v>
      </c>
      <c r="E48" s="40">
        <v>49</v>
      </c>
      <c r="F48" s="40">
        <v>422</v>
      </c>
      <c r="G48" s="40">
        <v>1026</v>
      </c>
      <c r="H48" s="40">
        <v>5010</v>
      </c>
      <c r="I48" s="40">
        <v>174</v>
      </c>
      <c r="J48" s="40">
        <v>940</v>
      </c>
      <c r="K48" s="89">
        <v>5</v>
      </c>
      <c r="L48" s="89">
        <v>63</v>
      </c>
      <c r="M48" s="38" t="s">
        <v>40</v>
      </c>
      <c r="N48" s="9"/>
      <c r="O48" s="9"/>
      <c r="P48" s="6"/>
    </row>
    <row r="49" spans="1:16" ht="11.3">
      <c r="A49" s="35" t="s">
        <v>153</v>
      </c>
      <c r="B49" s="43">
        <f t="shared" si="18"/>
        <v>1099</v>
      </c>
      <c r="C49" s="43">
        <f t="shared" si="19"/>
        <v>8063</v>
      </c>
      <c r="D49" s="40">
        <v>2760</v>
      </c>
      <c r="E49" s="40">
        <v>115</v>
      </c>
      <c r="F49" s="40">
        <v>286</v>
      </c>
      <c r="G49" s="40">
        <v>374</v>
      </c>
      <c r="H49" s="40">
        <v>1609</v>
      </c>
      <c r="I49" s="40">
        <v>610</v>
      </c>
      <c r="J49" s="40">
        <v>3408</v>
      </c>
      <c r="K49" s="41" t="s">
        <v>104</v>
      </c>
      <c r="L49" s="41" t="s">
        <v>104</v>
      </c>
      <c r="M49" s="38" t="s">
        <v>41</v>
      </c>
      <c r="N49" s="9"/>
      <c r="O49" s="9"/>
      <c r="P49" s="6"/>
    </row>
    <row r="50" spans="1:16" ht="11.3">
      <c r="A50" s="35" t="s">
        <v>154</v>
      </c>
      <c r="B50" s="43">
        <f t="shared" si="18"/>
        <v>1184</v>
      </c>
      <c r="C50" s="43">
        <f t="shared" si="19"/>
        <v>1120</v>
      </c>
      <c r="D50" s="40">
        <v>90</v>
      </c>
      <c r="E50" s="40">
        <v>31</v>
      </c>
      <c r="F50" s="40">
        <v>87</v>
      </c>
      <c r="G50" s="40">
        <v>1041</v>
      </c>
      <c r="H50" s="40">
        <v>599</v>
      </c>
      <c r="I50" s="40">
        <v>112</v>
      </c>
      <c r="J50" s="40">
        <v>344</v>
      </c>
      <c r="K50" s="41" t="s">
        <v>104</v>
      </c>
      <c r="L50" s="41" t="s">
        <v>104</v>
      </c>
      <c r="M50" s="38" t="s">
        <v>42</v>
      </c>
      <c r="N50" s="9"/>
      <c r="O50" s="9"/>
      <c r="P50" s="6"/>
    </row>
    <row r="51" spans="1:16" ht="11.3">
      <c r="A51" s="35" t="s">
        <v>155</v>
      </c>
      <c r="B51" s="43">
        <f t="shared" si="18"/>
        <v>489</v>
      </c>
      <c r="C51" s="43">
        <f t="shared" si="19"/>
        <v>2597</v>
      </c>
      <c r="D51" s="40">
        <v>2</v>
      </c>
      <c r="E51" s="40">
        <v>78</v>
      </c>
      <c r="F51" s="40">
        <v>289</v>
      </c>
      <c r="G51" s="40">
        <v>406</v>
      </c>
      <c r="H51" s="40">
        <v>2293</v>
      </c>
      <c r="I51" s="40">
        <v>5</v>
      </c>
      <c r="J51" s="40">
        <v>13</v>
      </c>
      <c r="K51" s="41" t="s">
        <v>104</v>
      </c>
      <c r="L51" s="41" t="s">
        <v>104</v>
      </c>
      <c r="M51" s="38" t="s">
        <v>43</v>
      </c>
      <c r="N51" s="9"/>
      <c r="O51" s="9"/>
      <c r="P51" s="6"/>
    </row>
    <row r="52" spans="1:16" ht="11.3">
      <c r="A52" s="35" t="s">
        <v>156</v>
      </c>
      <c r="B52" s="43">
        <f t="shared" si="18"/>
        <v>1730</v>
      </c>
      <c r="C52" s="43">
        <f t="shared" si="19"/>
        <v>5405</v>
      </c>
      <c r="D52" s="40">
        <v>110</v>
      </c>
      <c r="E52" s="40">
        <v>138</v>
      </c>
      <c r="F52" s="40">
        <v>351</v>
      </c>
      <c r="G52" s="40">
        <v>1542</v>
      </c>
      <c r="H52" s="40">
        <v>4780</v>
      </c>
      <c r="I52" s="40">
        <v>50</v>
      </c>
      <c r="J52" s="40">
        <v>164</v>
      </c>
      <c r="K52" s="41" t="s">
        <v>104</v>
      </c>
      <c r="L52" s="41" t="s">
        <v>104</v>
      </c>
      <c r="M52" s="38" t="s">
        <v>44</v>
      </c>
      <c r="N52" s="9"/>
      <c r="O52" s="9"/>
      <c r="P52" s="6"/>
    </row>
    <row r="53" spans="1:16">
      <c r="A53" s="50" t="s">
        <v>45</v>
      </c>
      <c r="B53" s="54">
        <f>SUM(B55:B59)</f>
        <v>1242</v>
      </c>
      <c r="C53" s="54">
        <f>SUM(C55:C59)</f>
        <v>2747</v>
      </c>
      <c r="D53" s="51">
        <f t="shared" ref="D53" si="20">SUM(D55:D59)</f>
        <v>205</v>
      </c>
      <c r="E53" s="51">
        <f t="shared" ref="E53:L53" si="21">SUM(E55:E59)</f>
        <v>104</v>
      </c>
      <c r="F53" s="51">
        <f t="shared" si="21"/>
        <v>757</v>
      </c>
      <c r="G53" s="51">
        <f t="shared" si="21"/>
        <v>1061</v>
      </c>
      <c r="H53" s="51">
        <f t="shared" si="21"/>
        <v>1595</v>
      </c>
      <c r="I53" s="51">
        <f t="shared" si="21"/>
        <v>77</v>
      </c>
      <c r="J53" s="51">
        <f t="shared" si="21"/>
        <v>190</v>
      </c>
      <c r="K53" s="51">
        <f t="shared" si="21"/>
        <v>0</v>
      </c>
      <c r="L53" s="51">
        <f t="shared" si="21"/>
        <v>0</v>
      </c>
      <c r="M53" s="75" t="s">
        <v>46</v>
      </c>
      <c r="N53" s="75"/>
      <c r="O53" s="75"/>
      <c r="P53" s="6"/>
    </row>
    <row r="54" spans="1:16">
      <c r="A54" s="50"/>
      <c r="B54" s="54"/>
      <c r="C54" s="54"/>
      <c r="D54" s="51"/>
      <c r="E54" s="51"/>
      <c r="F54" s="51"/>
      <c r="G54" s="51"/>
      <c r="H54" s="51"/>
      <c r="I54" s="51"/>
      <c r="J54" s="51"/>
      <c r="K54" s="51"/>
      <c r="L54" s="51"/>
      <c r="M54" s="75"/>
      <c r="N54" s="75"/>
      <c r="O54" s="75"/>
      <c r="P54" s="6"/>
    </row>
    <row r="55" spans="1:16" ht="11.3">
      <c r="A55" s="35" t="s">
        <v>157</v>
      </c>
      <c r="B55" s="43">
        <f t="shared" ref="B55:B59" si="22">SUM(E55,G55,I55,K55)</f>
        <v>72</v>
      </c>
      <c r="C55" s="43">
        <f t="shared" ref="C55:C59" si="23">SUM(D55,F55,H55,J55,L55)</f>
        <v>613</v>
      </c>
      <c r="D55" s="40">
        <v>74</v>
      </c>
      <c r="E55" s="40">
        <v>40</v>
      </c>
      <c r="F55" s="40">
        <v>427</v>
      </c>
      <c r="G55" s="40">
        <v>13</v>
      </c>
      <c r="H55" s="40">
        <v>45</v>
      </c>
      <c r="I55" s="40">
        <v>19</v>
      </c>
      <c r="J55" s="40">
        <v>67</v>
      </c>
      <c r="K55" s="41" t="s">
        <v>104</v>
      </c>
      <c r="L55" s="41" t="s">
        <v>104</v>
      </c>
      <c r="M55" s="38" t="s">
        <v>47</v>
      </c>
      <c r="N55" s="9"/>
      <c r="O55" s="9"/>
      <c r="P55" s="6"/>
    </row>
    <row r="56" spans="1:16" ht="11.3">
      <c r="A56" s="35" t="s">
        <v>158</v>
      </c>
      <c r="B56" s="43">
        <f t="shared" si="22"/>
        <v>483</v>
      </c>
      <c r="C56" s="43">
        <f t="shared" si="23"/>
        <v>367</v>
      </c>
      <c r="D56" s="40">
        <v>85</v>
      </c>
      <c r="E56" s="40">
        <v>19</v>
      </c>
      <c r="F56" s="40">
        <v>20</v>
      </c>
      <c r="G56" s="40">
        <v>407</v>
      </c>
      <c r="H56" s="40">
        <v>155</v>
      </c>
      <c r="I56" s="40">
        <v>57</v>
      </c>
      <c r="J56" s="40">
        <v>107</v>
      </c>
      <c r="K56" s="41" t="s">
        <v>104</v>
      </c>
      <c r="L56" s="41" t="s">
        <v>104</v>
      </c>
      <c r="M56" s="38" t="s">
        <v>48</v>
      </c>
      <c r="N56" s="9"/>
      <c r="O56" s="9"/>
      <c r="P56" s="6"/>
    </row>
    <row r="57" spans="1:16" ht="11.3">
      <c r="A57" s="35" t="s">
        <v>159</v>
      </c>
      <c r="B57" s="43">
        <f t="shared" si="22"/>
        <v>5</v>
      </c>
      <c r="C57" s="43">
        <f t="shared" si="23"/>
        <v>11</v>
      </c>
      <c r="D57" s="41" t="s">
        <v>104</v>
      </c>
      <c r="E57" s="41" t="s">
        <v>104</v>
      </c>
      <c r="F57" s="41" t="s">
        <v>104</v>
      </c>
      <c r="G57" s="40">
        <v>5</v>
      </c>
      <c r="H57" s="40">
        <v>11</v>
      </c>
      <c r="I57" s="41" t="s">
        <v>104</v>
      </c>
      <c r="J57" s="41" t="s">
        <v>104</v>
      </c>
      <c r="K57" s="41" t="s">
        <v>104</v>
      </c>
      <c r="L57" s="41" t="s">
        <v>104</v>
      </c>
      <c r="M57" s="38" t="s">
        <v>49</v>
      </c>
      <c r="N57" s="9"/>
      <c r="O57" s="9"/>
      <c r="P57" s="6"/>
    </row>
    <row r="58" spans="1:16" ht="11.3">
      <c r="A58" s="35" t="s">
        <v>160</v>
      </c>
      <c r="B58" s="43">
        <f t="shared" si="22"/>
        <v>523</v>
      </c>
      <c r="C58" s="43">
        <f t="shared" si="23"/>
        <v>1318</v>
      </c>
      <c r="D58" s="40">
        <v>46</v>
      </c>
      <c r="E58" s="40">
        <v>45</v>
      </c>
      <c r="F58" s="40">
        <v>310</v>
      </c>
      <c r="G58" s="40">
        <v>477</v>
      </c>
      <c r="H58" s="40">
        <v>946</v>
      </c>
      <c r="I58" s="40">
        <v>1</v>
      </c>
      <c r="J58" s="40">
        <v>16</v>
      </c>
      <c r="K58" s="41" t="s">
        <v>104</v>
      </c>
      <c r="L58" s="41" t="s">
        <v>104</v>
      </c>
      <c r="M58" s="38" t="s">
        <v>50</v>
      </c>
      <c r="N58" s="9"/>
      <c r="O58" s="9"/>
      <c r="P58" s="6"/>
    </row>
    <row r="59" spans="1:16" ht="11.3">
      <c r="A59" s="35" t="s">
        <v>161</v>
      </c>
      <c r="B59" s="43">
        <f t="shared" si="22"/>
        <v>159</v>
      </c>
      <c r="C59" s="43">
        <f t="shared" si="23"/>
        <v>438</v>
      </c>
      <c r="D59" s="41" t="s">
        <v>104</v>
      </c>
      <c r="E59" s="41" t="s">
        <v>104</v>
      </c>
      <c r="F59" s="41" t="s">
        <v>104</v>
      </c>
      <c r="G59" s="40">
        <v>159</v>
      </c>
      <c r="H59" s="40">
        <v>438</v>
      </c>
      <c r="I59" s="41" t="s">
        <v>104</v>
      </c>
      <c r="J59" s="41" t="s">
        <v>104</v>
      </c>
      <c r="K59" s="41" t="s">
        <v>104</v>
      </c>
      <c r="L59" s="41" t="s">
        <v>104</v>
      </c>
      <c r="M59" s="38" t="s">
        <v>51</v>
      </c>
      <c r="N59" s="9"/>
      <c r="O59" s="9"/>
      <c r="P59" s="6"/>
    </row>
    <row r="60" spans="1:16">
      <c r="A60" s="50" t="s">
        <v>52</v>
      </c>
      <c r="B60" s="54">
        <f>SUM(B62:B64)</f>
        <v>7782</v>
      </c>
      <c r="C60" s="54">
        <f>SUM(C62:C64)</f>
        <v>30528</v>
      </c>
      <c r="D60" s="51">
        <f t="shared" ref="D60" si="24">SUM(D62:D64)</f>
        <v>4730</v>
      </c>
      <c r="E60" s="51">
        <f t="shared" ref="E60:L60" si="25">SUM(E62:E64)</f>
        <v>1387</v>
      </c>
      <c r="F60" s="51">
        <f t="shared" si="25"/>
        <v>6825</v>
      </c>
      <c r="G60" s="51">
        <f t="shared" si="25"/>
        <v>4549</v>
      </c>
      <c r="H60" s="51">
        <f t="shared" si="25"/>
        <v>14130</v>
      </c>
      <c r="I60" s="51">
        <f t="shared" si="25"/>
        <v>1846</v>
      </c>
      <c r="J60" s="51">
        <f t="shared" si="25"/>
        <v>4843</v>
      </c>
      <c r="K60" s="51">
        <f t="shared" si="25"/>
        <v>0</v>
      </c>
      <c r="L60" s="51">
        <f t="shared" si="25"/>
        <v>0</v>
      </c>
      <c r="M60" s="75" t="s">
        <v>53</v>
      </c>
      <c r="N60" s="75"/>
      <c r="O60" s="75"/>
      <c r="P60" s="6"/>
    </row>
    <row r="61" spans="1:16">
      <c r="A61" s="50"/>
      <c r="B61" s="54"/>
      <c r="C61" s="54"/>
      <c r="D61" s="51"/>
      <c r="E61" s="51"/>
      <c r="F61" s="51"/>
      <c r="G61" s="51"/>
      <c r="H61" s="51"/>
      <c r="I61" s="51"/>
      <c r="J61" s="51"/>
      <c r="K61" s="51"/>
      <c r="L61" s="51"/>
      <c r="M61" s="75"/>
      <c r="N61" s="75"/>
      <c r="O61" s="75"/>
      <c r="P61" s="6"/>
    </row>
    <row r="62" spans="1:16" ht="11.3">
      <c r="A62" s="35" t="s">
        <v>162</v>
      </c>
      <c r="B62" s="43">
        <f t="shared" ref="B62:B64" si="26">SUM(E62,G62,I62,K62)</f>
        <v>1111</v>
      </c>
      <c r="C62" s="43">
        <f t="shared" ref="C62:C64" si="27">SUM(D62,F62,H62,J62,L62)</f>
        <v>5051</v>
      </c>
      <c r="D62" s="40">
        <v>2128</v>
      </c>
      <c r="E62" s="40">
        <v>84</v>
      </c>
      <c r="F62" s="40">
        <v>205</v>
      </c>
      <c r="G62" s="40">
        <v>724</v>
      </c>
      <c r="H62" s="40">
        <v>1659</v>
      </c>
      <c r="I62" s="40">
        <v>303</v>
      </c>
      <c r="J62" s="40">
        <v>1059</v>
      </c>
      <c r="K62" s="41" t="s">
        <v>104</v>
      </c>
      <c r="L62" s="41" t="s">
        <v>104</v>
      </c>
      <c r="M62" s="38" t="s">
        <v>54</v>
      </c>
      <c r="N62" s="9"/>
      <c r="O62" s="9"/>
      <c r="P62" s="6"/>
    </row>
    <row r="63" spans="1:16" ht="11.3">
      <c r="A63" s="35" t="s">
        <v>163</v>
      </c>
      <c r="B63" s="43">
        <f t="shared" si="26"/>
        <v>5351</v>
      </c>
      <c r="C63" s="43">
        <f t="shared" si="27"/>
        <v>22272</v>
      </c>
      <c r="D63" s="40">
        <v>1195</v>
      </c>
      <c r="E63" s="40">
        <v>1290</v>
      </c>
      <c r="F63" s="40">
        <v>6611</v>
      </c>
      <c r="G63" s="40">
        <v>2799</v>
      </c>
      <c r="H63" s="40">
        <v>11605</v>
      </c>
      <c r="I63" s="40">
        <v>1262</v>
      </c>
      <c r="J63" s="40">
        <v>2861</v>
      </c>
      <c r="K63" s="41" t="s">
        <v>104</v>
      </c>
      <c r="L63" s="41" t="s">
        <v>104</v>
      </c>
      <c r="M63" s="38" t="s">
        <v>55</v>
      </c>
      <c r="N63" s="9"/>
      <c r="O63" s="9"/>
      <c r="P63" s="6"/>
    </row>
    <row r="64" spans="1:16" ht="11.3">
      <c r="A64" s="35" t="s">
        <v>164</v>
      </c>
      <c r="B64" s="43">
        <f t="shared" si="26"/>
        <v>1320</v>
      </c>
      <c r="C64" s="43">
        <f t="shared" si="27"/>
        <v>3205</v>
      </c>
      <c r="D64" s="40">
        <v>1407</v>
      </c>
      <c r="E64" s="40">
        <v>13</v>
      </c>
      <c r="F64" s="40">
        <v>9</v>
      </c>
      <c r="G64" s="40">
        <v>1026</v>
      </c>
      <c r="H64" s="40">
        <v>866</v>
      </c>
      <c r="I64" s="40">
        <v>281</v>
      </c>
      <c r="J64" s="40">
        <v>923</v>
      </c>
      <c r="K64" s="41" t="s">
        <v>104</v>
      </c>
      <c r="L64" s="41" t="s">
        <v>104</v>
      </c>
      <c r="M64" s="38" t="s">
        <v>56</v>
      </c>
      <c r="N64" s="9"/>
      <c r="O64" s="9"/>
      <c r="P64" s="6"/>
    </row>
    <row r="65" spans="1:16">
      <c r="A65" s="50" t="s">
        <v>57</v>
      </c>
      <c r="B65" s="54">
        <f>SUM(B67:B71)</f>
        <v>3699</v>
      </c>
      <c r="C65" s="54">
        <f>SUM(C67:C71)</f>
        <v>9684</v>
      </c>
      <c r="D65" s="51">
        <f t="shared" ref="D65" si="28">SUM(D67:D71)</f>
        <v>913</v>
      </c>
      <c r="E65" s="51">
        <f t="shared" ref="E65:L65" si="29">SUM(E67:E71)</f>
        <v>924</v>
      </c>
      <c r="F65" s="51">
        <f t="shared" si="29"/>
        <v>2271</v>
      </c>
      <c r="G65" s="51">
        <f t="shared" si="29"/>
        <v>1898</v>
      </c>
      <c r="H65" s="51">
        <f t="shared" si="29"/>
        <v>3344</v>
      </c>
      <c r="I65" s="51">
        <f t="shared" si="29"/>
        <v>877</v>
      </c>
      <c r="J65" s="51">
        <f t="shared" si="29"/>
        <v>3156</v>
      </c>
      <c r="K65" s="51">
        <f t="shared" si="29"/>
        <v>0</v>
      </c>
      <c r="L65" s="51">
        <f t="shared" si="29"/>
        <v>0</v>
      </c>
      <c r="M65" s="75" t="s">
        <v>58</v>
      </c>
      <c r="N65" s="75"/>
      <c r="O65" s="75"/>
      <c r="P65" s="6"/>
    </row>
    <row r="66" spans="1:16">
      <c r="A66" s="50"/>
      <c r="B66" s="54"/>
      <c r="C66" s="54"/>
      <c r="D66" s="51"/>
      <c r="E66" s="51"/>
      <c r="F66" s="51"/>
      <c r="G66" s="51"/>
      <c r="H66" s="51"/>
      <c r="I66" s="51"/>
      <c r="J66" s="51"/>
      <c r="K66" s="51"/>
      <c r="L66" s="51"/>
      <c r="M66" s="75"/>
      <c r="N66" s="75"/>
      <c r="O66" s="75"/>
      <c r="P66" s="6"/>
    </row>
    <row r="67" spans="1:16" ht="11.3">
      <c r="A67" s="35" t="s">
        <v>165</v>
      </c>
      <c r="B67" s="43">
        <f t="shared" ref="B67:B71" si="30">SUM(E67,G67,I67,K67)</f>
        <v>322</v>
      </c>
      <c r="C67" s="43">
        <f t="shared" ref="C67:C71" si="31">SUM(D67,F67,H67,J67,L67)</f>
        <v>1321</v>
      </c>
      <c r="D67" s="41" t="s">
        <v>104</v>
      </c>
      <c r="E67" s="40">
        <v>39</v>
      </c>
      <c r="F67" s="40">
        <v>147</v>
      </c>
      <c r="G67" s="40">
        <v>254</v>
      </c>
      <c r="H67" s="40">
        <v>759</v>
      </c>
      <c r="I67" s="40">
        <v>29</v>
      </c>
      <c r="J67" s="40">
        <v>415</v>
      </c>
      <c r="K67" s="41" t="s">
        <v>104</v>
      </c>
      <c r="L67" s="41" t="s">
        <v>104</v>
      </c>
      <c r="M67" s="38" t="s">
        <v>59</v>
      </c>
      <c r="N67" s="9"/>
      <c r="O67" s="9"/>
      <c r="P67" s="6"/>
    </row>
    <row r="68" spans="1:16" ht="11.3">
      <c r="A68" s="35" t="s">
        <v>166</v>
      </c>
      <c r="B68" s="43">
        <f t="shared" si="30"/>
        <v>61</v>
      </c>
      <c r="C68" s="43">
        <f t="shared" si="31"/>
        <v>593</v>
      </c>
      <c r="D68" s="40">
        <v>68</v>
      </c>
      <c r="E68" s="40">
        <v>6</v>
      </c>
      <c r="F68" s="40">
        <v>315</v>
      </c>
      <c r="G68" s="40">
        <v>26</v>
      </c>
      <c r="H68" s="40">
        <v>123</v>
      </c>
      <c r="I68" s="40">
        <v>29</v>
      </c>
      <c r="J68" s="40">
        <v>87</v>
      </c>
      <c r="K68" s="41" t="s">
        <v>104</v>
      </c>
      <c r="L68" s="41" t="s">
        <v>104</v>
      </c>
      <c r="M68" s="38" t="s">
        <v>60</v>
      </c>
      <c r="N68" s="9"/>
      <c r="O68" s="9"/>
      <c r="P68" s="6"/>
    </row>
    <row r="69" spans="1:16" ht="11.3">
      <c r="A69" s="35" t="s">
        <v>167</v>
      </c>
      <c r="B69" s="43">
        <f t="shared" si="30"/>
        <v>314</v>
      </c>
      <c r="C69" s="43">
        <f t="shared" si="31"/>
        <v>370</v>
      </c>
      <c r="D69" s="40">
        <v>68</v>
      </c>
      <c r="E69" s="40">
        <v>21</v>
      </c>
      <c r="F69" s="40">
        <v>119</v>
      </c>
      <c r="G69" s="40">
        <v>43</v>
      </c>
      <c r="H69" s="40">
        <v>13</v>
      </c>
      <c r="I69" s="40">
        <v>250</v>
      </c>
      <c r="J69" s="40">
        <v>170</v>
      </c>
      <c r="K69" s="41" t="s">
        <v>104</v>
      </c>
      <c r="L69" s="41" t="s">
        <v>104</v>
      </c>
      <c r="M69" s="38" t="s">
        <v>61</v>
      </c>
      <c r="N69" s="9"/>
      <c r="O69" s="9"/>
      <c r="P69" s="6"/>
    </row>
    <row r="70" spans="1:16" ht="11.3">
      <c r="A70" s="35" t="s">
        <v>168</v>
      </c>
      <c r="B70" s="43">
        <f t="shared" si="30"/>
        <v>1693</v>
      </c>
      <c r="C70" s="43">
        <f t="shared" si="31"/>
        <v>4703</v>
      </c>
      <c r="D70" s="40">
        <v>696</v>
      </c>
      <c r="E70" s="40">
        <v>707</v>
      </c>
      <c r="F70" s="40">
        <v>1077</v>
      </c>
      <c r="G70" s="40">
        <v>566</v>
      </c>
      <c r="H70" s="40">
        <v>1038</v>
      </c>
      <c r="I70" s="40">
        <v>420</v>
      </c>
      <c r="J70" s="40">
        <v>1892</v>
      </c>
      <c r="K70" s="41" t="s">
        <v>104</v>
      </c>
      <c r="L70" s="41" t="s">
        <v>104</v>
      </c>
      <c r="M70" s="38" t="s">
        <v>62</v>
      </c>
      <c r="N70" s="9"/>
      <c r="O70" s="9"/>
      <c r="P70" s="6"/>
    </row>
    <row r="71" spans="1:16" ht="11.3">
      <c r="A71" s="35" t="s">
        <v>169</v>
      </c>
      <c r="B71" s="43">
        <f t="shared" si="30"/>
        <v>1309</v>
      </c>
      <c r="C71" s="43">
        <f t="shared" si="31"/>
        <v>2697</v>
      </c>
      <c r="D71" s="40">
        <v>81</v>
      </c>
      <c r="E71" s="40">
        <v>151</v>
      </c>
      <c r="F71" s="40">
        <v>613</v>
      </c>
      <c r="G71" s="40">
        <v>1009</v>
      </c>
      <c r="H71" s="40">
        <v>1411</v>
      </c>
      <c r="I71" s="40">
        <v>149</v>
      </c>
      <c r="J71" s="40">
        <v>592</v>
      </c>
      <c r="K71" s="41" t="s">
        <v>104</v>
      </c>
      <c r="L71" s="41" t="s">
        <v>104</v>
      </c>
      <c r="M71" s="38" t="s">
        <v>63</v>
      </c>
      <c r="N71" s="9"/>
      <c r="O71" s="9"/>
      <c r="P71" s="6"/>
    </row>
    <row r="72" spans="1:16">
      <c r="A72" s="50" t="s">
        <v>64</v>
      </c>
      <c r="B72" s="54">
        <f>SUM(B74:B81)</f>
        <v>402</v>
      </c>
      <c r="C72" s="54">
        <f>SUM(C74:C81)</f>
        <v>3147</v>
      </c>
      <c r="D72" s="51">
        <f t="shared" ref="D72" si="32">SUM(D74:D81)</f>
        <v>2318</v>
      </c>
      <c r="E72" s="51">
        <f t="shared" ref="E72:L72" si="33">SUM(E74:E81)</f>
        <v>239</v>
      </c>
      <c r="F72" s="51">
        <f t="shared" si="33"/>
        <v>421</v>
      </c>
      <c r="G72" s="51">
        <f t="shared" si="33"/>
        <v>82</v>
      </c>
      <c r="H72" s="51">
        <f t="shared" si="33"/>
        <v>171</v>
      </c>
      <c r="I72" s="51">
        <f t="shared" si="33"/>
        <v>81</v>
      </c>
      <c r="J72" s="51">
        <f>SUM(J74:J81)</f>
        <v>237</v>
      </c>
      <c r="K72" s="51">
        <f t="shared" si="33"/>
        <v>0</v>
      </c>
      <c r="L72" s="51">
        <f t="shared" si="33"/>
        <v>0</v>
      </c>
      <c r="M72" s="75" t="s">
        <v>65</v>
      </c>
      <c r="N72" s="75"/>
      <c r="O72" s="75"/>
      <c r="P72" s="6"/>
    </row>
    <row r="73" spans="1:16">
      <c r="A73" s="50"/>
      <c r="B73" s="54"/>
      <c r="C73" s="54"/>
      <c r="D73" s="51"/>
      <c r="E73" s="51"/>
      <c r="F73" s="51"/>
      <c r="G73" s="51"/>
      <c r="H73" s="51"/>
      <c r="I73" s="51"/>
      <c r="J73" s="51"/>
      <c r="K73" s="51"/>
      <c r="L73" s="51"/>
      <c r="M73" s="75"/>
      <c r="N73" s="75"/>
      <c r="O73" s="75"/>
      <c r="P73" s="6"/>
    </row>
    <row r="74" spans="1:16" ht="11.3">
      <c r="A74" s="36" t="s">
        <v>118</v>
      </c>
      <c r="B74" s="43">
        <f t="shared" ref="B74:B81" si="34">SUM(E74,G74,I74,K74)</f>
        <v>0</v>
      </c>
      <c r="C74" s="43">
        <f t="shared" ref="C74:C81" si="35">SUM(D74,F74,H74,J74,L74)</f>
        <v>0</v>
      </c>
      <c r="D74" s="40" t="s">
        <v>104</v>
      </c>
      <c r="E74" s="40" t="s">
        <v>104</v>
      </c>
      <c r="F74" s="40" t="s">
        <v>104</v>
      </c>
      <c r="G74" s="40" t="s">
        <v>104</v>
      </c>
      <c r="H74" s="40" t="s">
        <v>104</v>
      </c>
      <c r="I74" s="40" t="s">
        <v>104</v>
      </c>
      <c r="J74" s="40" t="s">
        <v>104</v>
      </c>
      <c r="K74" s="41" t="s">
        <v>104</v>
      </c>
      <c r="L74" s="41" t="s">
        <v>104</v>
      </c>
      <c r="M74" s="38" t="s">
        <v>66</v>
      </c>
      <c r="N74" s="9"/>
      <c r="O74" s="9"/>
      <c r="P74" s="6"/>
    </row>
    <row r="75" spans="1:16" ht="11.3">
      <c r="A75" s="36" t="s">
        <v>119</v>
      </c>
      <c r="B75" s="43">
        <f t="shared" si="34"/>
        <v>2</v>
      </c>
      <c r="C75" s="43">
        <f t="shared" si="35"/>
        <v>1</v>
      </c>
      <c r="D75" s="40">
        <v>1</v>
      </c>
      <c r="E75" s="40">
        <v>2</v>
      </c>
      <c r="F75" s="41" t="s">
        <v>104</v>
      </c>
      <c r="G75" s="41" t="s">
        <v>104</v>
      </c>
      <c r="H75" s="41" t="s">
        <v>104</v>
      </c>
      <c r="I75" s="41" t="s">
        <v>104</v>
      </c>
      <c r="J75" s="41" t="s">
        <v>104</v>
      </c>
      <c r="K75" s="41" t="s">
        <v>104</v>
      </c>
      <c r="L75" s="41" t="s">
        <v>104</v>
      </c>
      <c r="M75" s="38" t="s">
        <v>67</v>
      </c>
      <c r="N75" s="9"/>
      <c r="O75" s="9"/>
      <c r="P75" s="6"/>
    </row>
    <row r="76" spans="1:16" ht="11.3">
      <c r="A76" s="36" t="s">
        <v>120</v>
      </c>
      <c r="B76" s="43">
        <f t="shared" si="34"/>
        <v>0</v>
      </c>
      <c r="C76" s="43">
        <f t="shared" si="35"/>
        <v>0</v>
      </c>
      <c r="D76" s="40" t="s">
        <v>104</v>
      </c>
      <c r="E76" s="40" t="s">
        <v>104</v>
      </c>
      <c r="F76" s="41" t="s">
        <v>104</v>
      </c>
      <c r="G76" s="41" t="s">
        <v>104</v>
      </c>
      <c r="H76" s="41" t="s">
        <v>104</v>
      </c>
      <c r="I76" s="41" t="s">
        <v>104</v>
      </c>
      <c r="J76" s="41" t="s">
        <v>104</v>
      </c>
      <c r="K76" s="41" t="s">
        <v>104</v>
      </c>
      <c r="L76" s="41" t="s">
        <v>104</v>
      </c>
      <c r="M76" s="38" t="s">
        <v>68</v>
      </c>
      <c r="N76" s="9"/>
      <c r="O76" s="9"/>
      <c r="P76" s="6"/>
    </row>
    <row r="77" spans="1:16" ht="11.3">
      <c r="A77" s="36" t="s">
        <v>121</v>
      </c>
      <c r="B77" s="43">
        <f t="shared" si="34"/>
        <v>0</v>
      </c>
      <c r="C77" s="43">
        <f>SUM(D77,F77,H77,J77,L77)</f>
        <v>0</v>
      </c>
      <c r="D77" s="40" t="s">
        <v>104</v>
      </c>
      <c r="E77" s="40" t="s">
        <v>104</v>
      </c>
      <c r="F77" s="41" t="s">
        <v>104</v>
      </c>
      <c r="G77" s="41" t="s">
        <v>104</v>
      </c>
      <c r="H77" s="41" t="s">
        <v>104</v>
      </c>
      <c r="I77" s="41" t="s">
        <v>104</v>
      </c>
      <c r="J77" s="41" t="s">
        <v>104</v>
      </c>
      <c r="K77" s="41" t="s">
        <v>104</v>
      </c>
      <c r="L77" s="41" t="s">
        <v>104</v>
      </c>
      <c r="M77" s="38" t="s">
        <v>69</v>
      </c>
      <c r="N77" s="9"/>
      <c r="O77" s="9"/>
      <c r="P77" s="6"/>
    </row>
    <row r="78" spans="1:16" ht="11.3">
      <c r="A78" s="36" t="s">
        <v>122</v>
      </c>
      <c r="B78" s="43">
        <f t="shared" si="34"/>
        <v>59</v>
      </c>
      <c r="C78" s="43">
        <f t="shared" si="35"/>
        <v>403</v>
      </c>
      <c r="D78" s="40">
        <v>305</v>
      </c>
      <c r="E78" s="40">
        <v>34</v>
      </c>
      <c r="F78" s="40">
        <v>21</v>
      </c>
      <c r="G78" s="40">
        <v>25</v>
      </c>
      <c r="H78" s="40">
        <v>70</v>
      </c>
      <c r="I78" s="41" t="s">
        <v>104</v>
      </c>
      <c r="J78" s="40">
        <v>7</v>
      </c>
      <c r="K78" s="41" t="s">
        <v>104</v>
      </c>
      <c r="L78" s="41" t="s">
        <v>104</v>
      </c>
      <c r="M78" s="38" t="s">
        <v>70</v>
      </c>
      <c r="N78" s="9"/>
      <c r="O78" s="9"/>
      <c r="P78" s="6"/>
    </row>
    <row r="79" spans="1:16" ht="11.3">
      <c r="A79" s="36" t="s">
        <v>123</v>
      </c>
      <c r="B79" s="43">
        <f>SUM(E79,G79,I79,K79)</f>
        <v>281</v>
      </c>
      <c r="C79" s="43">
        <f t="shared" si="35"/>
        <v>2580</v>
      </c>
      <c r="D79" s="40">
        <v>2000</v>
      </c>
      <c r="E79" s="40">
        <v>200</v>
      </c>
      <c r="F79" s="40">
        <v>400</v>
      </c>
      <c r="G79" s="40">
        <v>51</v>
      </c>
      <c r="H79" s="40">
        <v>80</v>
      </c>
      <c r="I79" s="40">
        <v>30</v>
      </c>
      <c r="J79" s="40">
        <v>100</v>
      </c>
      <c r="K79" s="41" t="s">
        <v>104</v>
      </c>
      <c r="L79" s="41" t="s">
        <v>104</v>
      </c>
      <c r="M79" s="38" t="s">
        <v>71</v>
      </c>
      <c r="N79" s="9"/>
      <c r="O79" s="9"/>
      <c r="P79" s="6"/>
    </row>
    <row r="80" spans="1:16" ht="11.3">
      <c r="A80" s="36" t="s">
        <v>124</v>
      </c>
      <c r="B80" s="43">
        <f t="shared" si="34"/>
        <v>0</v>
      </c>
      <c r="C80" s="43">
        <f t="shared" si="35"/>
        <v>0</v>
      </c>
      <c r="D80" s="40" t="s">
        <v>104</v>
      </c>
      <c r="E80" s="40" t="s">
        <v>104</v>
      </c>
      <c r="F80" s="40" t="s">
        <v>104</v>
      </c>
      <c r="G80" s="40" t="s">
        <v>104</v>
      </c>
      <c r="H80" s="40" t="s">
        <v>104</v>
      </c>
      <c r="I80" s="40" t="s">
        <v>104</v>
      </c>
      <c r="J80" s="40" t="s">
        <v>104</v>
      </c>
      <c r="K80" s="41" t="s">
        <v>104</v>
      </c>
      <c r="L80" s="41" t="s">
        <v>104</v>
      </c>
      <c r="M80" s="38" t="s">
        <v>72</v>
      </c>
      <c r="N80" s="9"/>
      <c r="O80" s="9"/>
      <c r="P80" s="6"/>
    </row>
    <row r="81" spans="1:16" ht="11.3">
      <c r="A81" s="36" t="s">
        <v>125</v>
      </c>
      <c r="B81" s="43">
        <f t="shared" si="34"/>
        <v>60</v>
      </c>
      <c r="C81" s="43">
        <f t="shared" si="35"/>
        <v>163</v>
      </c>
      <c r="D81" s="40">
        <v>12</v>
      </c>
      <c r="E81" s="40">
        <v>3</v>
      </c>
      <c r="F81" s="41" t="s">
        <v>104</v>
      </c>
      <c r="G81" s="40">
        <v>6</v>
      </c>
      <c r="H81" s="40">
        <v>21</v>
      </c>
      <c r="I81" s="40">
        <v>51</v>
      </c>
      <c r="J81" s="40">
        <v>130</v>
      </c>
      <c r="K81" s="41" t="s">
        <v>104</v>
      </c>
      <c r="L81" s="41" t="s">
        <v>104</v>
      </c>
      <c r="M81" s="38" t="s">
        <v>73</v>
      </c>
      <c r="N81" s="9"/>
      <c r="O81" s="9"/>
      <c r="P81" s="6"/>
    </row>
    <row r="82" spans="1:16">
      <c r="A82" s="50" t="s">
        <v>74</v>
      </c>
      <c r="B82" s="54">
        <f>SUM(B84:B88)</f>
        <v>2240</v>
      </c>
      <c r="C82" s="54">
        <f>SUM(C84:C88)</f>
        <v>4711</v>
      </c>
      <c r="D82" s="51">
        <f t="shared" ref="D82" si="36">SUM(D84:D88)</f>
        <v>604</v>
      </c>
      <c r="E82" s="51">
        <f t="shared" ref="E82:L82" si="37">SUM(E84:E88)</f>
        <v>223</v>
      </c>
      <c r="F82" s="51">
        <f t="shared" si="37"/>
        <v>264</v>
      </c>
      <c r="G82" s="51">
        <f t="shared" si="37"/>
        <v>1826</v>
      </c>
      <c r="H82" s="51">
        <f t="shared" si="37"/>
        <v>3491</v>
      </c>
      <c r="I82" s="51">
        <f t="shared" si="37"/>
        <v>191</v>
      </c>
      <c r="J82" s="51">
        <f t="shared" si="37"/>
        <v>352</v>
      </c>
      <c r="K82" s="51">
        <f t="shared" si="37"/>
        <v>0</v>
      </c>
      <c r="L82" s="51">
        <f t="shared" si="37"/>
        <v>0</v>
      </c>
      <c r="M82" s="75" t="s">
        <v>75</v>
      </c>
      <c r="N82" s="75"/>
      <c r="O82" s="75"/>
      <c r="P82" s="6"/>
    </row>
    <row r="83" spans="1:16">
      <c r="A83" s="50"/>
      <c r="B83" s="54"/>
      <c r="C83" s="54"/>
      <c r="D83" s="51"/>
      <c r="E83" s="51"/>
      <c r="F83" s="51"/>
      <c r="G83" s="51"/>
      <c r="H83" s="51"/>
      <c r="I83" s="51"/>
      <c r="J83" s="51"/>
      <c r="K83" s="51"/>
      <c r="L83" s="51"/>
      <c r="M83" s="75"/>
      <c r="N83" s="75"/>
      <c r="O83" s="75"/>
      <c r="P83" s="6"/>
    </row>
    <row r="84" spans="1:16" ht="11.3">
      <c r="A84" s="35" t="s">
        <v>170</v>
      </c>
      <c r="B84" s="43">
        <f t="shared" ref="B84:B88" si="38">SUM(E84,G84,I84,K84)</f>
        <v>1468</v>
      </c>
      <c r="C84" s="43">
        <f t="shared" ref="C84:C88" si="39">SUM(D84,F84,H84,J84,L84)</f>
        <v>2632</v>
      </c>
      <c r="D84" s="40">
        <v>6</v>
      </c>
      <c r="E84" s="40">
        <v>101</v>
      </c>
      <c r="F84" s="40">
        <v>92</v>
      </c>
      <c r="G84" s="40">
        <v>1356</v>
      </c>
      <c r="H84" s="40">
        <v>2527</v>
      </c>
      <c r="I84" s="40">
        <v>11</v>
      </c>
      <c r="J84" s="40">
        <v>7</v>
      </c>
      <c r="K84" s="41" t="s">
        <v>104</v>
      </c>
      <c r="L84" s="41" t="s">
        <v>104</v>
      </c>
      <c r="M84" s="38" t="s">
        <v>76</v>
      </c>
      <c r="N84" s="9"/>
      <c r="O84" s="9"/>
      <c r="P84" s="6"/>
    </row>
    <row r="85" spans="1:16" ht="11.3">
      <c r="A85" s="35" t="s">
        <v>171</v>
      </c>
      <c r="B85" s="43">
        <f t="shared" si="38"/>
        <v>117</v>
      </c>
      <c r="C85" s="43">
        <f t="shared" si="39"/>
        <v>253</v>
      </c>
      <c r="D85" s="40">
        <v>1</v>
      </c>
      <c r="E85" s="40">
        <v>1</v>
      </c>
      <c r="F85" s="41" t="s">
        <v>104</v>
      </c>
      <c r="G85" s="40">
        <v>115</v>
      </c>
      <c r="H85" s="40">
        <v>219</v>
      </c>
      <c r="I85" s="40">
        <v>1</v>
      </c>
      <c r="J85" s="40">
        <v>33</v>
      </c>
      <c r="K85" s="41" t="s">
        <v>104</v>
      </c>
      <c r="L85" s="41" t="s">
        <v>104</v>
      </c>
      <c r="M85" s="38" t="s">
        <v>77</v>
      </c>
      <c r="N85" s="9"/>
      <c r="O85" s="9"/>
      <c r="P85" s="6"/>
    </row>
    <row r="86" spans="1:16" ht="11.3">
      <c r="A86" s="35" t="s">
        <v>172</v>
      </c>
      <c r="B86" s="43">
        <f t="shared" si="38"/>
        <v>286</v>
      </c>
      <c r="C86" s="43">
        <f t="shared" si="39"/>
        <v>831</v>
      </c>
      <c r="D86" s="41" t="s">
        <v>104</v>
      </c>
      <c r="E86" s="40">
        <v>54</v>
      </c>
      <c r="F86" s="40">
        <v>122</v>
      </c>
      <c r="G86" s="40">
        <v>225</v>
      </c>
      <c r="H86" s="40">
        <v>681</v>
      </c>
      <c r="I86" s="40">
        <v>7</v>
      </c>
      <c r="J86" s="40">
        <v>28</v>
      </c>
      <c r="K86" s="41" t="s">
        <v>104</v>
      </c>
      <c r="L86" s="41" t="s">
        <v>104</v>
      </c>
      <c r="M86" s="38" t="s">
        <v>78</v>
      </c>
      <c r="N86" s="9"/>
      <c r="O86" s="9"/>
      <c r="P86" s="6"/>
    </row>
    <row r="87" spans="1:16" ht="11.3">
      <c r="A87" s="35" t="s">
        <v>173</v>
      </c>
      <c r="B87" s="43">
        <f t="shared" si="38"/>
        <v>23</v>
      </c>
      <c r="C87" s="43">
        <f t="shared" si="39"/>
        <v>111</v>
      </c>
      <c r="D87" s="40">
        <v>79</v>
      </c>
      <c r="E87" s="40">
        <v>5</v>
      </c>
      <c r="F87" s="41" t="s">
        <v>104</v>
      </c>
      <c r="G87" s="41" t="s">
        <v>104</v>
      </c>
      <c r="H87" s="40">
        <v>5</v>
      </c>
      <c r="I87" s="40">
        <v>18</v>
      </c>
      <c r="J87" s="40">
        <v>27</v>
      </c>
      <c r="K87" s="41" t="s">
        <v>104</v>
      </c>
      <c r="L87" s="41" t="s">
        <v>104</v>
      </c>
      <c r="M87" s="38" t="s">
        <v>79</v>
      </c>
      <c r="N87" s="9"/>
      <c r="O87" s="9"/>
      <c r="P87" s="6"/>
    </row>
    <row r="88" spans="1:16" ht="11.3">
      <c r="A88" s="35" t="s">
        <v>174</v>
      </c>
      <c r="B88" s="43">
        <f t="shared" si="38"/>
        <v>346</v>
      </c>
      <c r="C88" s="43">
        <f t="shared" si="39"/>
        <v>884</v>
      </c>
      <c r="D88" s="40">
        <v>518</v>
      </c>
      <c r="E88" s="40">
        <v>62</v>
      </c>
      <c r="F88" s="40">
        <v>50</v>
      </c>
      <c r="G88" s="40">
        <v>130</v>
      </c>
      <c r="H88" s="40">
        <v>59</v>
      </c>
      <c r="I88" s="40">
        <v>154</v>
      </c>
      <c r="J88" s="40">
        <v>257</v>
      </c>
      <c r="K88" s="41" t="s">
        <v>104</v>
      </c>
      <c r="L88" s="41" t="s">
        <v>104</v>
      </c>
      <c r="M88" s="38" t="s">
        <v>80</v>
      </c>
      <c r="N88" s="9"/>
      <c r="O88" s="9"/>
      <c r="P88" s="6"/>
    </row>
    <row r="89" spans="1:16">
      <c r="A89" s="50" t="s">
        <v>81</v>
      </c>
      <c r="B89" s="54">
        <f>SUM(B91:B103)</f>
        <v>4103</v>
      </c>
      <c r="C89" s="54">
        <f>SUM(C91:C103)</f>
        <v>13098</v>
      </c>
      <c r="D89" s="51">
        <f t="shared" ref="D89" si="40">SUM(D91:D103)</f>
        <v>3987</v>
      </c>
      <c r="E89" s="51">
        <f t="shared" ref="E89:L89" si="41">SUM(E91:E103)</f>
        <v>321</v>
      </c>
      <c r="F89" s="51">
        <f t="shared" si="41"/>
        <v>2351</v>
      </c>
      <c r="G89" s="51">
        <f t="shared" si="41"/>
        <v>2863</v>
      </c>
      <c r="H89" s="51">
        <f t="shared" si="41"/>
        <v>2767</v>
      </c>
      <c r="I89" s="51">
        <f t="shared" si="41"/>
        <v>919</v>
      </c>
      <c r="J89" s="51">
        <f t="shared" si="41"/>
        <v>3980</v>
      </c>
      <c r="K89" s="51">
        <f t="shared" si="41"/>
        <v>0</v>
      </c>
      <c r="L89" s="51">
        <f t="shared" si="41"/>
        <v>13</v>
      </c>
      <c r="M89" s="75" t="s">
        <v>82</v>
      </c>
      <c r="N89" s="75"/>
      <c r="O89" s="75"/>
      <c r="P89" s="6"/>
    </row>
    <row r="90" spans="1:16">
      <c r="A90" s="50"/>
      <c r="B90" s="54"/>
      <c r="C90" s="54"/>
      <c r="D90" s="51"/>
      <c r="E90" s="51"/>
      <c r="F90" s="51"/>
      <c r="G90" s="51"/>
      <c r="H90" s="51"/>
      <c r="I90" s="51"/>
      <c r="J90" s="51"/>
      <c r="K90" s="51"/>
      <c r="L90" s="51"/>
      <c r="M90" s="75"/>
      <c r="N90" s="75"/>
      <c r="O90" s="75"/>
      <c r="P90" s="6"/>
    </row>
    <row r="91" spans="1:16" ht="11.3">
      <c r="A91" s="35" t="s">
        <v>175</v>
      </c>
      <c r="B91" s="43">
        <f t="shared" ref="B91:B103" si="42">SUM(E91,G91,I91,K91)</f>
        <v>63</v>
      </c>
      <c r="C91" s="43">
        <f t="shared" ref="C91:C103" si="43">SUM(D91,F91,H91,J91,L91)</f>
        <v>234</v>
      </c>
      <c r="D91" s="40">
        <v>234</v>
      </c>
      <c r="E91" s="40">
        <v>18</v>
      </c>
      <c r="F91" s="41" t="s">
        <v>104</v>
      </c>
      <c r="G91" s="41" t="s">
        <v>104</v>
      </c>
      <c r="H91" s="41" t="s">
        <v>104</v>
      </c>
      <c r="I91" s="40">
        <v>45</v>
      </c>
      <c r="J91" s="41" t="s">
        <v>104</v>
      </c>
      <c r="K91" s="41" t="s">
        <v>104</v>
      </c>
      <c r="L91" s="41" t="s">
        <v>104</v>
      </c>
      <c r="M91" s="38" t="s">
        <v>83</v>
      </c>
      <c r="N91" s="9"/>
      <c r="O91" s="9"/>
      <c r="P91" s="6"/>
    </row>
    <row r="92" spans="1:16" ht="11.3">
      <c r="A92" s="35" t="s">
        <v>176</v>
      </c>
      <c r="B92" s="43">
        <f t="shared" si="42"/>
        <v>313</v>
      </c>
      <c r="C92" s="43">
        <f t="shared" si="43"/>
        <v>671</v>
      </c>
      <c r="D92" s="40">
        <v>31</v>
      </c>
      <c r="E92" s="41" t="s">
        <v>104</v>
      </c>
      <c r="F92" s="40">
        <v>3</v>
      </c>
      <c r="G92" s="40">
        <v>304</v>
      </c>
      <c r="H92" s="40">
        <v>67</v>
      </c>
      <c r="I92" s="40">
        <v>9</v>
      </c>
      <c r="J92" s="40">
        <v>570</v>
      </c>
      <c r="K92" s="41" t="s">
        <v>104</v>
      </c>
      <c r="L92" s="41" t="s">
        <v>104</v>
      </c>
      <c r="M92" s="38" t="s">
        <v>84</v>
      </c>
      <c r="N92" s="9"/>
      <c r="O92" s="9"/>
      <c r="P92" s="6"/>
    </row>
    <row r="93" spans="1:16" ht="11.3">
      <c r="A93" s="35" t="s">
        <v>177</v>
      </c>
      <c r="B93" s="43">
        <f t="shared" si="42"/>
        <v>109</v>
      </c>
      <c r="C93" s="43">
        <f t="shared" si="43"/>
        <v>235</v>
      </c>
      <c r="D93" s="40">
        <v>15</v>
      </c>
      <c r="E93" s="40">
        <v>20</v>
      </c>
      <c r="F93" s="40">
        <v>40</v>
      </c>
      <c r="G93" s="40">
        <v>20</v>
      </c>
      <c r="H93" s="40">
        <v>45</v>
      </c>
      <c r="I93" s="40">
        <v>69</v>
      </c>
      <c r="J93" s="40">
        <v>135</v>
      </c>
      <c r="K93" s="41" t="s">
        <v>104</v>
      </c>
      <c r="L93" s="41" t="s">
        <v>104</v>
      </c>
      <c r="M93" s="38" t="s">
        <v>85</v>
      </c>
      <c r="N93" s="9"/>
      <c r="O93" s="9"/>
      <c r="P93" s="6"/>
    </row>
    <row r="94" spans="1:16" ht="11.3">
      <c r="A94" s="35" t="s">
        <v>178</v>
      </c>
      <c r="B94" s="43">
        <f t="shared" si="42"/>
        <v>446</v>
      </c>
      <c r="C94" s="43">
        <f t="shared" si="43"/>
        <v>558</v>
      </c>
      <c r="D94" s="40">
        <v>435</v>
      </c>
      <c r="E94" s="40">
        <v>4</v>
      </c>
      <c r="F94" s="40">
        <v>2</v>
      </c>
      <c r="G94" s="40">
        <v>419</v>
      </c>
      <c r="H94" s="40">
        <v>32</v>
      </c>
      <c r="I94" s="40">
        <v>23</v>
      </c>
      <c r="J94" s="40">
        <v>89</v>
      </c>
      <c r="K94" s="41" t="s">
        <v>104</v>
      </c>
      <c r="L94" s="41" t="s">
        <v>104</v>
      </c>
      <c r="M94" s="38" t="s">
        <v>86</v>
      </c>
      <c r="N94" s="9"/>
      <c r="O94" s="9"/>
      <c r="P94" s="6"/>
    </row>
    <row r="95" spans="1:16" ht="11.3">
      <c r="A95" s="35" t="s">
        <v>179</v>
      </c>
      <c r="B95" s="43">
        <f t="shared" si="42"/>
        <v>7</v>
      </c>
      <c r="C95" s="43">
        <f t="shared" si="43"/>
        <v>9</v>
      </c>
      <c r="D95" s="41" t="s">
        <v>104</v>
      </c>
      <c r="E95" s="41" t="s">
        <v>104</v>
      </c>
      <c r="F95" s="41" t="s">
        <v>104</v>
      </c>
      <c r="G95" s="41" t="s">
        <v>104</v>
      </c>
      <c r="H95" s="41" t="s">
        <v>104</v>
      </c>
      <c r="I95" s="40">
        <v>7</v>
      </c>
      <c r="J95" s="40">
        <v>9</v>
      </c>
      <c r="K95" s="41" t="s">
        <v>104</v>
      </c>
      <c r="L95" s="41" t="s">
        <v>104</v>
      </c>
      <c r="M95" s="38" t="s">
        <v>87</v>
      </c>
      <c r="N95" s="9"/>
      <c r="O95" s="9"/>
      <c r="P95" s="6"/>
    </row>
    <row r="96" spans="1:16" ht="11.3">
      <c r="A96" s="35" t="s">
        <v>180</v>
      </c>
      <c r="B96" s="43">
        <f t="shared" si="42"/>
        <v>297</v>
      </c>
      <c r="C96" s="43">
        <f t="shared" si="43"/>
        <v>513</v>
      </c>
      <c r="D96" s="40">
        <v>46</v>
      </c>
      <c r="E96" s="41" t="s">
        <v>104</v>
      </c>
      <c r="F96" s="41" t="s">
        <v>104</v>
      </c>
      <c r="G96" s="40">
        <v>288</v>
      </c>
      <c r="H96" s="40">
        <v>340</v>
      </c>
      <c r="I96" s="40">
        <v>9</v>
      </c>
      <c r="J96" s="40">
        <v>127</v>
      </c>
      <c r="K96" s="41" t="s">
        <v>104</v>
      </c>
      <c r="L96" s="41" t="s">
        <v>104</v>
      </c>
      <c r="M96" s="38" t="s">
        <v>88</v>
      </c>
      <c r="N96" s="9"/>
      <c r="O96" s="9"/>
      <c r="P96" s="6"/>
    </row>
    <row r="97" spans="1:16" ht="11.3">
      <c r="A97" s="35" t="s">
        <v>181</v>
      </c>
      <c r="B97" s="43">
        <f t="shared" si="42"/>
        <v>1419</v>
      </c>
      <c r="C97" s="43">
        <f t="shared" si="43"/>
        <v>2852</v>
      </c>
      <c r="D97" s="40">
        <v>317</v>
      </c>
      <c r="E97" s="40">
        <v>8</v>
      </c>
      <c r="F97" s="40">
        <v>303</v>
      </c>
      <c r="G97" s="40">
        <v>1226</v>
      </c>
      <c r="H97" s="40">
        <v>1680</v>
      </c>
      <c r="I97" s="40">
        <v>185</v>
      </c>
      <c r="J97" s="40">
        <v>552</v>
      </c>
      <c r="K97" s="41" t="s">
        <v>104</v>
      </c>
      <c r="L97" s="41" t="s">
        <v>104</v>
      </c>
      <c r="M97" s="38" t="s">
        <v>89</v>
      </c>
      <c r="N97" s="9"/>
      <c r="O97" s="9"/>
      <c r="P97" s="6"/>
    </row>
    <row r="98" spans="1:16" ht="11.3">
      <c r="A98" s="35" t="s">
        <v>182</v>
      </c>
      <c r="B98" s="43">
        <f t="shared" si="42"/>
        <v>26</v>
      </c>
      <c r="C98" s="43">
        <f t="shared" si="43"/>
        <v>96</v>
      </c>
      <c r="D98" s="40">
        <v>11</v>
      </c>
      <c r="E98" s="40">
        <v>4</v>
      </c>
      <c r="F98" s="40">
        <v>6</v>
      </c>
      <c r="G98" s="40">
        <v>5</v>
      </c>
      <c r="H98" s="40">
        <v>26</v>
      </c>
      <c r="I98" s="40">
        <v>17</v>
      </c>
      <c r="J98" s="40">
        <v>53</v>
      </c>
      <c r="K98" s="41" t="s">
        <v>104</v>
      </c>
      <c r="L98" s="41" t="s">
        <v>104</v>
      </c>
      <c r="M98" s="38" t="s">
        <v>90</v>
      </c>
      <c r="N98" s="9"/>
      <c r="O98" s="9"/>
      <c r="P98" s="6"/>
    </row>
    <row r="99" spans="1:16" ht="11.3">
      <c r="A99" s="35" t="s">
        <v>183</v>
      </c>
      <c r="B99" s="43">
        <f t="shared" si="42"/>
        <v>177</v>
      </c>
      <c r="C99" s="43">
        <f t="shared" si="43"/>
        <v>591</v>
      </c>
      <c r="D99" s="40">
        <v>139</v>
      </c>
      <c r="E99" s="40">
        <v>12</v>
      </c>
      <c r="F99" s="40">
        <v>18</v>
      </c>
      <c r="G99" s="40">
        <v>26</v>
      </c>
      <c r="H99" s="40">
        <v>154</v>
      </c>
      <c r="I99" s="40">
        <v>139</v>
      </c>
      <c r="J99" s="40">
        <v>280</v>
      </c>
      <c r="K99" s="41" t="s">
        <v>104</v>
      </c>
      <c r="L99" s="41" t="s">
        <v>104</v>
      </c>
      <c r="M99" s="38" t="s">
        <v>91</v>
      </c>
      <c r="N99" s="9"/>
      <c r="O99" s="9"/>
      <c r="P99" s="6"/>
    </row>
    <row r="100" spans="1:16" ht="11.3">
      <c r="A100" s="35" t="s">
        <v>184</v>
      </c>
      <c r="B100" s="43">
        <f t="shared" si="42"/>
        <v>452</v>
      </c>
      <c r="C100" s="43">
        <f t="shared" si="43"/>
        <v>4256</v>
      </c>
      <c r="D100" s="40">
        <v>1709</v>
      </c>
      <c r="E100" s="40">
        <v>242</v>
      </c>
      <c r="F100" s="40">
        <v>1807</v>
      </c>
      <c r="G100" s="40">
        <v>190</v>
      </c>
      <c r="H100" s="40">
        <v>240</v>
      </c>
      <c r="I100" s="40">
        <v>20</v>
      </c>
      <c r="J100" s="40">
        <v>500</v>
      </c>
      <c r="K100" s="41" t="s">
        <v>104</v>
      </c>
      <c r="L100" s="41" t="s">
        <v>104</v>
      </c>
      <c r="M100" s="38" t="s">
        <v>92</v>
      </c>
      <c r="N100" s="9"/>
      <c r="O100" s="9"/>
      <c r="P100" s="6"/>
    </row>
    <row r="101" spans="1:16" ht="11.3">
      <c r="A101" s="35" t="s">
        <v>185</v>
      </c>
      <c r="B101" s="43">
        <f t="shared" si="42"/>
        <v>311</v>
      </c>
      <c r="C101" s="43">
        <f t="shared" si="43"/>
        <v>1407</v>
      </c>
      <c r="D101" s="40">
        <v>747</v>
      </c>
      <c r="E101" s="41" t="s">
        <v>104</v>
      </c>
      <c r="F101" s="41" t="s">
        <v>104</v>
      </c>
      <c r="G101" s="41" t="s">
        <v>104</v>
      </c>
      <c r="H101" s="41" t="s">
        <v>104</v>
      </c>
      <c r="I101" s="40">
        <v>311</v>
      </c>
      <c r="J101" s="40">
        <v>660</v>
      </c>
      <c r="K101" s="41" t="s">
        <v>104</v>
      </c>
      <c r="L101" s="41" t="s">
        <v>104</v>
      </c>
      <c r="M101" s="38" t="s">
        <v>93</v>
      </c>
      <c r="N101" s="9"/>
      <c r="O101" s="9"/>
      <c r="P101" s="6"/>
    </row>
    <row r="102" spans="1:16" ht="11.9">
      <c r="A102" s="35" t="s">
        <v>186</v>
      </c>
      <c r="B102" s="43">
        <f t="shared" si="42"/>
        <v>186</v>
      </c>
      <c r="C102" s="43">
        <f t="shared" si="43"/>
        <v>966</v>
      </c>
      <c r="D102" s="40">
        <v>284</v>
      </c>
      <c r="E102" s="40">
        <v>11</v>
      </c>
      <c r="F102" s="40">
        <v>160</v>
      </c>
      <c r="G102" s="40">
        <v>95</v>
      </c>
      <c r="H102" s="40">
        <v>125</v>
      </c>
      <c r="I102" s="40">
        <v>80</v>
      </c>
      <c r="J102" s="40">
        <v>384</v>
      </c>
      <c r="K102" s="41" t="s">
        <v>104</v>
      </c>
      <c r="L102" s="89">
        <v>13</v>
      </c>
      <c r="M102" s="38" t="s">
        <v>94</v>
      </c>
      <c r="N102" s="9"/>
      <c r="O102" s="9"/>
      <c r="P102" s="6"/>
    </row>
    <row r="103" spans="1:16" ht="11.3">
      <c r="A103" s="35" t="s">
        <v>187</v>
      </c>
      <c r="B103" s="43">
        <f t="shared" si="42"/>
        <v>297</v>
      </c>
      <c r="C103" s="43">
        <f t="shared" si="43"/>
        <v>710</v>
      </c>
      <c r="D103" s="40">
        <v>19</v>
      </c>
      <c r="E103" s="40">
        <v>2</v>
      </c>
      <c r="F103" s="40">
        <v>12</v>
      </c>
      <c r="G103" s="40">
        <v>290</v>
      </c>
      <c r="H103" s="40">
        <v>58</v>
      </c>
      <c r="I103" s="40">
        <v>5</v>
      </c>
      <c r="J103" s="40">
        <v>621</v>
      </c>
      <c r="K103" s="41" t="s">
        <v>104</v>
      </c>
      <c r="L103" s="41" t="s">
        <v>104</v>
      </c>
      <c r="M103" s="38" t="s">
        <v>95</v>
      </c>
      <c r="N103" s="9"/>
      <c r="O103" s="9"/>
      <c r="P103" s="6"/>
    </row>
    <row r="104" spans="1:16">
      <c r="A104" s="50" t="s">
        <v>96</v>
      </c>
      <c r="B104" s="54">
        <f>SUM(B106:B109)</f>
        <v>555</v>
      </c>
      <c r="C104" s="54">
        <f>SUM(C106:C109)</f>
        <v>768</v>
      </c>
      <c r="D104" s="51">
        <f t="shared" ref="D104" si="44">SUM(D106:D109)</f>
        <v>98</v>
      </c>
      <c r="E104" s="51">
        <f t="shared" ref="E104:L104" si="45">SUM(E106:E109)</f>
        <v>68</v>
      </c>
      <c r="F104" s="51">
        <f t="shared" si="45"/>
        <v>124</v>
      </c>
      <c r="G104" s="51">
        <f t="shared" si="45"/>
        <v>229</v>
      </c>
      <c r="H104" s="51">
        <f t="shared" si="45"/>
        <v>261</v>
      </c>
      <c r="I104" s="51">
        <f t="shared" si="45"/>
        <v>258</v>
      </c>
      <c r="J104" s="51">
        <f t="shared" si="45"/>
        <v>285</v>
      </c>
      <c r="K104" s="51">
        <f t="shared" si="45"/>
        <v>0</v>
      </c>
      <c r="L104" s="51">
        <f t="shared" si="45"/>
        <v>0</v>
      </c>
      <c r="M104" s="75" t="s">
        <v>97</v>
      </c>
      <c r="N104" s="75"/>
      <c r="O104" s="75"/>
      <c r="P104" s="6"/>
    </row>
    <row r="105" spans="1:16">
      <c r="A105" s="50"/>
      <c r="B105" s="54"/>
      <c r="C105" s="54"/>
      <c r="D105" s="51"/>
      <c r="E105" s="51"/>
      <c r="F105" s="51"/>
      <c r="G105" s="51"/>
      <c r="H105" s="51"/>
      <c r="I105" s="51"/>
      <c r="J105" s="51"/>
      <c r="K105" s="51"/>
      <c r="L105" s="51"/>
      <c r="M105" s="75"/>
      <c r="N105" s="75"/>
      <c r="O105" s="75"/>
      <c r="P105" s="6"/>
    </row>
    <row r="106" spans="1:16" ht="11.3">
      <c r="A106" s="35" t="s">
        <v>188</v>
      </c>
      <c r="B106" s="43">
        <f t="shared" ref="B106:B109" si="46">SUM(E106,G106,I106,K106)</f>
        <v>413</v>
      </c>
      <c r="C106" s="43">
        <f t="shared" ref="C106:C109" si="47">SUM(D106,F106,H106,J106,L106)</f>
        <v>403</v>
      </c>
      <c r="D106" s="40">
        <v>11</v>
      </c>
      <c r="E106" s="40">
        <v>63</v>
      </c>
      <c r="F106" s="40">
        <v>92</v>
      </c>
      <c r="G106" s="40">
        <v>147</v>
      </c>
      <c r="H106" s="40">
        <v>183</v>
      </c>
      <c r="I106" s="40">
        <v>203</v>
      </c>
      <c r="J106" s="40">
        <v>117</v>
      </c>
      <c r="K106" s="41" t="s">
        <v>104</v>
      </c>
      <c r="L106" s="41" t="s">
        <v>104</v>
      </c>
      <c r="M106" s="38" t="s">
        <v>98</v>
      </c>
      <c r="N106" s="9"/>
      <c r="O106" s="9"/>
      <c r="P106" s="6"/>
    </row>
    <row r="107" spans="1:16" ht="11.3">
      <c r="A107" s="35" t="s">
        <v>189</v>
      </c>
      <c r="B107" s="43">
        <f t="shared" si="46"/>
        <v>16</v>
      </c>
      <c r="C107" s="43">
        <f t="shared" si="47"/>
        <v>12</v>
      </c>
      <c r="D107" s="40">
        <v>1</v>
      </c>
      <c r="E107" s="40">
        <v>1</v>
      </c>
      <c r="F107" s="40">
        <v>1</v>
      </c>
      <c r="G107" s="40">
        <v>10</v>
      </c>
      <c r="H107" s="40">
        <v>7</v>
      </c>
      <c r="I107" s="40">
        <v>5</v>
      </c>
      <c r="J107" s="40">
        <v>3</v>
      </c>
      <c r="K107" s="41" t="s">
        <v>104</v>
      </c>
      <c r="L107" s="41" t="s">
        <v>104</v>
      </c>
      <c r="M107" s="38" t="s">
        <v>99</v>
      </c>
      <c r="N107" s="9"/>
      <c r="O107" s="9"/>
      <c r="P107" s="6"/>
    </row>
    <row r="108" spans="1:16" ht="11.3">
      <c r="A108" s="35" t="s">
        <v>190</v>
      </c>
      <c r="B108" s="43">
        <f t="shared" si="46"/>
        <v>53</v>
      </c>
      <c r="C108" s="43">
        <f t="shared" si="47"/>
        <v>149</v>
      </c>
      <c r="D108" s="40">
        <v>62</v>
      </c>
      <c r="E108" s="40">
        <v>3</v>
      </c>
      <c r="F108" s="40">
        <v>30</v>
      </c>
      <c r="G108" s="40">
        <v>50</v>
      </c>
      <c r="H108" s="40">
        <v>56</v>
      </c>
      <c r="I108" s="41" t="s">
        <v>104</v>
      </c>
      <c r="J108" s="40">
        <v>1</v>
      </c>
      <c r="K108" s="41" t="s">
        <v>104</v>
      </c>
      <c r="L108" s="41" t="s">
        <v>104</v>
      </c>
      <c r="M108" s="38" t="s">
        <v>100</v>
      </c>
      <c r="N108" s="9"/>
      <c r="O108" s="9"/>
      <c r="P108" s="6"/>
    </row>
    <row r="109" spans="1:16" ht="11.9" thickBot="1">
      <c r="A109" s="37" t="s">
        <v>191</v>
      </c>
      <c r="B109" s="92">
        <f t="shared" si="46"/>
        <v>73</v>
      </c>
      <c r="C109" s="92">
        <f t="shared" si="47"/>
        <v>204</v>
      </c>
      <c r="D109" s="44">
        <v>24</v>
      </c>
      <c r="E109" s="44">
        <v>1</v>
      </c>
      <c r="F109" s="44">
        <v>1</v>
      </c>
      <c r="G109" s="44">
        <v>22</v>
      </c>
      <c r="H109" s="44">
        <v>15</v>
      </c>
      <c r="I109" s="44">
        <v>50</v>
      </c>
      <c r="J109" s="44">
        <v>164</v>
      </c>
      <c r="K109" s="90" t="s">
        <v>104</v>
      </c>
      <c r="L109" s="90" t="s">
        <v>104</v>
      </c>
      <c r="M109" s="39" t="s">
        <v>101</v>
      </c>
      <c r="N109" s="10"/>
      <c r="O109" s="10"/>
      <c r="P109" s="6"/>
    </row>
    <row r="110" spans="1:16">
      <c r="A110" s="11"/>
      <c r="L110" s="2"/>
      <c r="N110" s="76"/>
      <c r="O110" s="76"/>
    </row>
    <row r="111" spans="1:16">
      <c r="A111" s="12"/>
      <c r="L111" s="13"/>
      <c r="M111" s="12"/>
      <c r="N111" s="12"/>
      <c r="O111" s="12"/>
    </row>
    <row r="112" spans="1:16" ht="10.199999999999999" customHeight="1">
      <c r="A112" s="14"/>
      <c r="B112" s="15"/>
      <c r="C112" s="15"/>
      <c r="D112" s="15"/>
      <c r="E112" s="15"/>
      <c r="F112" s="15"/>
      <c r="M112" s="15"/>
      <c r="N112" s="15"/>
      <c r="O112" s="15"/>
    </row>
    <row r="113" spans="1:15" ht="10.199999999999999" customHeight="1">
      <c r="A113" s="14"/>
      <c r="B113" s="15"/>
      <c r="C113" s="15"/>
      <c r="D113" s="15"/>
      <c r="E113" s="15"/>
      <c r="F113" s="15"/>
      <c r="M113" s="15"/>
      <c r="N113" s="15"/>
      <c r="O113" s="15"/>
    </row>
    <row r="114" spans="1:15" ht="10.199999999999999" customHeight="1">
      <c r="A114" s="52"/>
      <c r="B114" s="52"/>
      <c r="C114" s="52"/>
      <c r="D114" s="52"/>
      <c r="E114" s="52"/>
      <c r="F114" s="52"/>
      <c r="M114" s="52"/>
      <c r="N114" s="52"/>
      <c r="O114" s="52"/>
    </row>
    <row r="115" spans="1:15">
      <c r="A115" s="52"/>
      <c r="B115" s="52"/>
      <c r="C115" s="52"/>
      <c r="D115" s="52"/>
      <c r="E115" s="52"/>
      <c r="F115" s="52"/>
      <c r="M115" s="52"/>
      <c r="N115" s="52"/>
      <c r="O115" s="52"/>
    </row>
    <row r="116" spans="1:15">
      <c r="A116" s="6"/>
    </row>
    <row r="117" spans="1:15">
      <c r="A117" s="6"/>
    </row>
    <row r="118" spans="1:15">
      <c r="A118" s="6"/>
    </row>
    <row r="119" spans="1:15">
      <c r="A119" s="6"/>
    </row>
    <row r="120" spans="1:15">
      <c r="A120" s="6"/>
    </row>
    <row r="121" spans="1:15">
      <c r="A121" s="6"/>
    </row>
    <row r="122" spans="1:15">
      <c r="A122" s="6"/>
    </row>
    <row r="123" spans="1:15">
      <c r="A123" s="6"/>
    </row>
    <row r="124" spans="1:15">
      <c r="A124" s="16"/>
    </row>
    <row r="125" spans="1:15" s="6" customFormat="1">
      <c r="A125" s="53"/>
      <c r="B125" s="53"/>
      <c r="C125" s="53"/>
      <c r="D125" s="53"/>
      <c r="E125" s="53"/>
      <c r="F125" s="53"/>
      <c r="G125" s="53"/>
      <c r="H125" s="74"/>
      <c r="I125" s="74"/>
      <c r="J125" s="74"/>
      <c r="K125" s="74"/>
      <c r="L125" s="74"/>
    </row>
    <row r="126" spans="1:15" s="6" customFormat="1">
      <c r="A126" s="53"/>
      <c r="B126" s="53"/>
      <c r="C126" s="53"/>
      <c r="D126" s="53"/>
      <c r="E126" s="53"/>
      <c r="F126" s="53"/>
      <c r="G126" s="53"/>
      <c r="H126" s="74"/>
      <c r="I126" s="74"/>
      <c r="J126" s="74"/>
      <c r="K126" s="74"/>
      <c r="L126" s="74"/>
    </row>
    <row r="127" spans="1:15" s="6" customFormat="1">
      <c r="A127" s="53"/>
      <c r="B127" s="53"/>
      <c r="C127" s="53"/>
      <c r="D127" s="53"/>
      <c r="E127" s="53"/>
      <c r="F127" s="53"/>
      <c r="G127" s="53"/>
      <c r="H127" s="74"/>
      <c r="I127" s="74"/>
      <c r="J127" s="74"/>
      <c r="K127" s="74"/>
      <c r="L127" s="74"/>
    </row>
    <row r="128" spans="1:15" s="6" customFormat="1">
      <c r="A128" s="17"/>
      <c r="G128" s="67"/>
      <c r="H128" s="67"/>
      <c r="I128" s="67"/>
      <c r="J128" s="67"/>
      <c r="K128" s="67"/>
      <c r="L128" s="67"/>
    </row>
    <row r="129" spans="1:12" s="6" customFormat="1">
      <c r="A129" s="68"/>
      <c r="B129" s="69"/>
      <c r="C129" s="69"/>
      <c r="D129" s="69"/>
      <c r="E129" s="69"/>
      <c r="F129" s="69"/>
      <c r="G129" s="69"/>
      <c r="H129" s="69"/>
      <c r="I129" s="69"/>
      <c r="J129" s="69"/>
      <c r="K129" s="69"/>
      <c r="L129" s="69"/>
    </row>
    <row r="130" spans="1:12" s="6" customFormat="1">
      <c r="A130" s="68"/>
      <c r="B130" s="69"/>
      <c r="C130" s="69"/>
      <c r="D130" s="69"/>
      <c r="E130" s="69"/>
      <c r="F130" s="69"/>
      <c r="G130" s="69"/>
      <c r="H130" s="69"/>
      <c r="I130" s="69"/>
      <c r="J130" s="69"/>
      <c r="K130" s="69"/>
      <c r="L130" s="69"/>
    </row>
    <row r="131" spans="1:12" s="6" customFormat="1">
      <c r="A131" s="68"/>
      <c r="B131" s="69"/>
      <c r="C131" s="69"/>
      <c r="D131" s="28"/>
      <c r="E131" s="69"/>
      <c r="F131" s="69"/>
      <c r="G131" s="69"/>
      <c r="H131" s="69"/>
      <c r="I131" s="69"/>
      <c r="J131" s="69"/>
      <c r="K131" s="69"/>
      <c r="L131" s="69"/>
    </row>
    <row r="132" spans="1:12" s="6" customFormat="1">
      <c r="A132" s="68"/>
      <c r="B132" s="18"/>
      <c r="C132" s="18"/>
      <c r="D132" s="18"/>
      <c r="E132" s="18"/>
      <c r="F132" s="18"/>
      <c r="G132" s="18"/>
      <c r="H132" s="18"/>
      <c r="I132" s="18"/>
      <c r="J132" s="18"/>
      <c r="K132" s="18"/>
      <c r="L132" s="18"/>
    </row>
    <row r="133" spans="1:12" s="6" customFormat="1">
      <c r="A133" s="19"/>
    </row>
    <row r="134" spans="1:12" s="6" customFormat="1">
      <c r="A134" s="20"/>
    </row>
    <row r="135" spans="1:12" s="6" customFormat="1">
      <c r="A135" s="47"/>
      <c r="B135" s="49"/>
      <c r="C135" s="49"/>
      <c r="D135" s="25"/>
      <c r="E135" s="49"/>
      <c r="F135" s="49"/>
      <c r="G135" s="49"/>
      <c r="H135" s="49"/>
      <c r="I135" s="49"/>
      <c r="J135" s="49"/>
      <c r="K135" s="49"/>
      <c r="L135" s="49"/>
    </row>
    <row r="136" spans="1:12" s="6" customFormat="1">
      <c r="A136" s="47"/>
      <c r="B136" s="49"/>
      <c r="C136" s="49"/>
      <c r="D136" s="25"/>
      <c r="E136" s="49"/>
      <c r="F136" s="49"/>
      <c r="G136" s="49"/>
      <c r="H136" s="49"/>
      <c r="I136" s="49"/>
      <c r="J136" s="49"/>
      <c r="K136" s="49"/>
      <c r="L136" s="49"/>
    </row>
    <row r="137" spans="1:12" s="6" customFormat="1">
      <c r="A137" s="47"/>
      <c r="B137" s="49"/>
      <c r="C137" s="49"/>
      <c r="D137" s="25"/>
      <c r="E137" s="49"/>
      <c r="F137" s="49"/>
      <c r="G137" s="49"/>
      <c r="H137" s="49"/>
      <c r="I137" s="49"/>
      <c r="J137" s="49"/>
      <c r="K137" s="49"/>
      <c r="L137" s="49"/>
    </row>
    <row r="138" spans="1:12" s="6" customFormat="1">
      <c r="A138" s="20"/>
      <c r="G138" s="21"/>
      <c r="H138" s="21"/>
    </row>
    <row r="139" spans="1:12" s="6" customFormat="1">
      <c r="A139" s="20"/>
      <c r="G139" s="21"/>
      <c r="H139" s="21"/>
    </row>
    <row r="140" spans="1:12" s="6" customFormat="1">
      <c r="A140" s="20"/>
      <c r="G140" s="21"/>
      <c r="H140" s="21"/>
    </row>
    <row r="141" spans="1:12" s="6" customFormat="1">
      <c r="A141" s="20"/>
      <c r="G141" s="21"/>
      <c r="H141" s="21"/>
    </row>
    <row r="142" spans="1:12" s="6" customFormat="1">
      <c r="A142" s="20"/>
      <c r="G142" s="21"/>
      <c r="H142" s="21"/>
    </row>
    <row r="143" spans="1:12" s="6" customFormat="1">
      <c r="A143" s="20"/>
      <c r="G143" s="21"/>
      <c r="H143" s="21"/>
    </row>
    <row r="144" spans="1:12" s="6" customFormat="1">
      <c r="A144" s="47"/>
    </row>
    <row r="145" spans="1:8" s="6" customFormat="1">
      <c r="A145" s="47"/>
    </row>
    <row r="146" spans="1:8" s="6" customFormat="1">
      <c r="A146" s="20"/>
      <c r="G146" s="21"/>
      <c r="H146" s="21"/>
    </row>
    <row r="147" spans="1:8" s="6" customFormat="1">
      <c r="A147" s="20"/>
      <c r="G147" s="21"/>
      <c r="H147" s="21"/>
    </row>
    <row r="148" spans="1:8" s="6" customFormat="1">
      <c r="A148" s="20"/>
      <c r="G148" s="21"/>
      <c r="H148" s="21"/>
    </row>
    <row r="149" spans="1:8" s="6" customFormat="1">
      <c r="A149" s="20"/>
      <c r="G149" s="21"/>
      <c r="H149" s="21"/>
    </row>
    <row r="150" spans="1:8" s="6" customFormat="1">
      <c r="A150" s="20"/>
      <c r="G150" s="21"/>
      <c r="H150" s="21"/>
    </row>
    <row r="151" spans="1:8" s="6" customFormat="1">
      <c r="A151" s="20"/>
      <c r="G151" s="21"/>
      <c r="H151" s="21"/>
    </row>
    <row r="152" spans="1:8" s="6" customFormat="1">
      <c r="A152" s="20"/>
      <c r="G152" s="21"/>
      <c r="H152" s="21"/>
    </row>
    <row r="153" spans="1:8" s="6" customFormat="1">
      <c r="A153" s="20"/>
      <c r="G153" s="21"/>
      <c r="H153" s="21"/>
    </row>
    <row r="154" spans="1:8" s="6" customFormat="1">
      <c r="A154" s="20"/>
      <c r="G154" s="21"/>
      <c r="H154" s="21"/>
    </row>
    <row r="155" spans="1:8" s="6" customFormat="1">
      <c r="A155" s="20"/>
      <c r="G155" s="21"/>
      <c r="H155" s="21"/>
    </row>
    <row r="156" spans="1:8" s="6" customFormat="1">
      <c r="A156" s="20"/>
      <c r="G156" s="21"/>
      <c r="H156" s="21"/>
    </row>
    <row r="157" spans="1:8" s="6" customFormat="1">
      <c r="A157" s="48"/>
    </row>
    <row r="158" spans="1:8" s="6" customFormat="1">
      <c r="A158" s="48"/>
    </row>
    <row r="159" spans="1:8" s="6" customFormat="1">
      <c r="A159" s="20"/>
      <c r="G159" s="21"/>
      <c r="H159" s="21"/>
    </row>
    <row r="160" spans="1:8" s="6" customFormat="1">
      <c r="A160" s="20"/>
      <c r="G160" s="21"/>
      <c r="H160" s="21"/>
    </row>
    <row r="161" spans="1:8" s="6" customFormat="1">
      <c r="A161" s="20"/>
      <c r="G161" s="21"/>
      <c r="H161" s="21"/>
    </row>
    <row r="162" spans="1:8" s="6" customFormat="1">
      <c r="A162" s="20"/>
      <c r="G162" s="21"/>
      <c r="H162" s="21"/>
    </row>
    <row r="163" spans="1:8" s="6" customFormat="1">
      <c r="A163" s="48"/>
    </row>
    <row r="164" spans="1:8" s="6" customFormat="1">
      <c r="A164" s="48"/>
    </row>
    <row r="165" spans="1:8" s="6" customFormat="1">
      <c r="A165" s="20"/>
      <c r="G165" s="21"/>
      <c r="H165" s="21"/>
    </row>
    <row r="166" spans="1:8" s="6" customFormat="1">
      <c r="A166" s="20"/>
      <c r="G166" s="21"/>
      <c r="H166" s="21"/>
    </row>
    <row r="167" spans="1:8" s="6" customFormat="1">
      <c r="A167" s="20"/>
      <c r="G167" s="21"/>
      <c r="H167" s="21"/>
    </row>
    <row r="168" spans="1:8" s="6" customFormat="1">
      <c r="A168" s="20"/>
      <c r="G168" s="21"/>
      <c r="H168" s="21"/>
    </row>
    <row r="169" spans="1:8" s="6" customFormat="1">
      <c r="A169" s="20"/>
      <c r="G169" s="21"/>
      <c r="H169" s="21"/>
    </row>
    <row r="170" spans="1:8" s="6" customFormat="1">
      <c r="A170" s="48"/>
    </row>
    <row r="171" spans="1:8" s="6" customFormat="1">
      <c r="A171" s="48"/>
    </row>
    <row r="172" spans="1:8" s="6" customFormat="1">
      <c r="A172" s="20"/>
      <c r="G172" s="21"/>
      <c r="H172" s="21"/>
    </row>
    <row r="173" spans="1:8" s="6" customFormat="1">
      <c r="A173" s="20"/>
      <c r="G173" s="21"/>
      <c r="H173" s="21"/>
    </row>
    <row r="174" spans="1:8" s="6" customFormat="1">
      <c r="A174" s="20"/>
      <c r="G174" s="21"/>
      <c r="H174" s="21"/>
    </row>
    <row r="175" spans="1:8" s="6" customFormat="1">
      <c r="A175" s="20"/>
      <c r="G175" s="21"/>
      <c r="H175" s="21"/>
    </row>
    <row r="176" spans="1:8" s="6" customFormat="1">
      <c r="A176" s="20"/>
      <c r="G176" s="21"/>
      <c r="H176" s="21"/>
    </row>
    <row r="177" spans="1:8" s="6" customFormat="1">
      <c r="A177" s="48"/>
    </row>
    <row r="178" spans="1:8" s="6" customFormat="1">
      <c r="A178" s="48"/>
    </row>
    <row r="179" spans="1:8" s="6" customFormat="1">
      <c r="A179" s="20"/>
      <c r="G179" s="21"/>
      <c r="H179" s="21"/>
    </row>
    <row r="180" spans="1:8" s="6" customFormat="1">
      <c r="A180" s="20"/>
      <c r="G180" s="21"/>
      <c r="H180" s="21"/>
    </row>
    <row r="181" spans="1:8" s="6" customFormat="1">
      <c r="A181" s="20"/>
      <c r="G181" s="21"/>
      <c r="H181" s="21"/>
    </row>
    <row r="182" spans="1:8" s="6" customFormat="1">
      <c r="A182" s="20"/>
      <c r="G182" s="21"/>
      <c r="H182" s="21"/>
    </row>
    <row r="183" spans="1:8" s="6" customFormat="1">
      <c r="A183" s="20"/>
      <c r="G183" s="21"/>
      <c r="H183" s="21"/>
    </row>
    <row r="184" spans="1:8" s="6" customFormat="1">
      <c r="A184" s="48"/>
    </row>
    <row r="185" spans="1:8" s="6" customFormat="1">
      <c r="A185" s="48"/>
    </row>
    <row r="186" spans="1:8" s="6" customFormat="1">
      <c r="A186" s="20"/>
      <c r="G186" s="21"/>
      <c r="H186" s="21"/>
    </row>
    <row r="187" spans="1:8" s="6" customFormat="1">
      <c r="A187" s="20"/>
      <c r="G187" s="21"/>
      <c r="H187" s="21"/>
    </row>
    <row r="188" spans="1:8" s="6" customFormat="1">
      <c r="A188" s="20"/>
      <c r="G188" s="21"/>
      <c r="H188" s="21"/>
    </row>
    <row r="189" spans="1:8" s="6" customFormat="1">
      <c r="A189" s="48"/>
    </row>
    <row r="190" spans="1:8" s="6" customFormat="1">
      <c r="A190" s="48"/>
    </row>
    <row r="191" spans="1:8" s="6" customFormat="1">
      <c r="A191" s="20"/>
      <c r="G191" s="21"/>
      <c r="H191" s="21"/>
    </row>
    <row r="192" spans="1:8" s="6" customFormat="1">
      <c r="A192" s="20"/>
      <c r="G192" s="21"/>
      <c r="H192" s="21"/>
    </row>
    <row r="193" spans="1:8" s="6" customFormat="1">
      <c r="A193" s="20"/>
      <c r="G193" s="21"/>
      <c r="H193" s="21"/>
    </row>
    <row r="194" spans="1:8" s="6" customFormat="1">
      <c r="A194" s="20"/>
      <c r="G194" s="21"/>
      <c r="H194" s="21"/>
    </row>
    <row r="195" spans="1:8" s="6" customFormat="1">
      <c r="A195" s="20"/>
      <c r="G195" s="21"/>
      <c r="H195" s="21"/>
    </row>
    <row r="196" spans="1:8" s="6" customFormat="1">
      <c r="A196" s="48"/>
    </row>
    <row r="197" spans="1:8" s="6" customFormat="1">
      <c r="A197" s="48"/>
    </row>
    <row r="198" spans="1:8" s="6" customFormat="1">
      <c r="A198" s="20"/>
      <c r="G198" s="21"/>
      <c r="H198" s="21"/>
    </row>
    <row r="199" spans="1:8" s="6" customFormat="1">
      <c r="A199" s="20"/>
      <c r="G199" s="21"/>
      <c r="H199" s="21"/>
    </row>
    <row r="200" spans="1:8" s="6" customFormat="1">
      <c r="A200" s="20"/>
      <c r="G200" s="21"/>
      <c r="H200" s="21"/>
    </row>
    <row r="201" spans="1:8" s="6" customFormat="1">
      <c r="A201" s="20"/>
      <c r="G201" s="21"/>
      <c r="H201" s="21"/>
    </row>
    <row r="202" spans="1:8" s="6" customFormat="1">
      <c r="A202" s="20"/>
      <c r="G202" s="21"/>
      <c r="H202" s="21"/>
    </row>
    <row r="203" spans="1:8" s="6" customFormat="1">
      <c r="A203" s="20"/>
      <c r="G203" s="21"/>
      <c r="H203" s="21"/>
    </row>
    <row r="204" spans="1:8" s="6" customFormat="1">
      <c r="A204" s="20"/>
      <c r="G204" s="21"/>
      <c r="H204" s="21"/>
    </row>
    <row r="205" spans="1:8" s="6" customFormat="1">
      <c r="A205" s="20"/>
      <c r="G205" s="21"/>
      <c r="H205" s="21"/>
    </row>
    <row r="206" spans="1:8" s="6" customFormat="1">
      <c r="A206" s="48"/>
    </row>
    <row r="207" spans="1:8" s="6" customFormat="1">
      <c r="A207" s="48"/>
    </row>
    <row r="208" spans="1:8" s="6" customFormat="1">
      <c r="A208" s="20"/>
      <c r="G208" s="21"/>
      <c r="H208" s="21"/>
    </row>
    <row r="209" spans="1:8" s="6" customFormat="1">
      <c r="A209" s="20"/>
      <c r="G209" s="21"/>
      <c r="H209" s="21"/>
    </row>
    <row r="210" spans="1:8" s="6" customFormat="1">
      <c r="A210" s="20"/>
      <c r="G210" s="21"/>
      <c r="H210" s="21"/>
    </row>
    <row r="211" spans="1:8" s="6" customFormat="1">
      <c r="A211" s="20"/>
      <c r="G211" s="21"/>
      <c r="H211" s="21"/>
    </row>
    <row r="212" spans="1:8" s="6" customFormat="1">
      <c r="A212" s="20"/>
      <c r="G212" s="21"/>
      <c r="H212" s="21"/>
    </row>
    <row r="213" spans="1:8" s="6" customFormat="1">
      <c r="A213" s="48"/>
    </row>
    <row r="214" spans="1:8" s="6" customFormat="1">
      <c r="A214" s="48"/>
    </row>
    <row r="215" spans="1:8" s="6" customFormat="1">
      <c r="A215" s="20"/>
      <c r="G215" s="21"/>
      <c r="H215" s="21"/>
    </row>
    <row r="216" spans="1:8" s="6" customFormat="1">
      <c r="A216" s="20"/>
      <c r="G216" s="21"/>
      <c r="H216" s="21"/>
    </row>
    <row r="217" spans="1:8" s="6" customFormat="1">
      <c r="A217" s="20"/>
      <c r="G217" s="21"/>
      <c r="H217" s="21"/>
    </row>
    <row r="218" spans="1:8" s="6" customFormat="1">
      <c r="A218" s="20"/>
      <c r="G218" s="21"/>
      <c r="H218" s="21"/>
    </row>
    <row r="219" spans="1:8" s="6" customFormat="1">
      <c r="A219" s="20"/>
      <c r="G219" s="21"/>
      <c r="H219" s="21"/>
    </row>
    <row r="220" spans="1:8" s="6" customFormat="1">
      <c r="A220" s="20"/>
      <c r="G220" s="21"/>
      <c r="H220" s="21"/>
    </row>
    <row r="221" spans="1:8" s="6" customFormat="1">
      <c r="A221" s="20"/>
      <c r="G221" s="21"/>
      <c r="H221" s="21"/>
    </row>
    <row r="222" spans="1:8" s="6" customFormat="1">
      <c r="A222" s="20"/>
      <c r="G222" s="21"/>
      <c r="H222" s="21"/>
    </row>
    <row r="223" spans="1:8" s="6" customFormat="1">
      <c r="A223" s="20"/>
      <c r="G223" s="21"/>
      <c r="H223" s="21"/>
    </row>
    <row r="224" spans="1:8" s="6" customFormat="1">
      <c r="A224" s="20"/>
      <c r="G224" s="21"/>
      <c r="H224" s="21"/>
    </row>
    <row r="225" spans="1:8" s="6" customFormat="1">
      <c r="A225" s="20"/>
      <c r="G225" s="21"/>
      <c r="H225" s="21"/>
    </row>
    <row r="226" spans="1:8" s="6" customFormat="1">
      <c r="A226" s="20"/>
      <c r="G226" s="21"/>
      <c r="H226" s="21"/>
    </row>
    <row r="227" spans="1:8" s="6" customFormat="1">
      <c r="A227" s="20"/>
      <c r="G227" s="21"/>
      <c r="H227" s="21"/>
    </row>
    <row r="228" spans="1:8" s="6" customFormat="1">
      <c r="A228" s="48"/>
    </row>
    <row r="229" spans="1:8" s="6" customFormat="1">
      <c r="A229" s="48"/>
    </row>
    <row r="230" spans="1:8" s="6" customFormat="1">
      <c r="A230" s="20"/>
      <c r="G230" s="21"/>
      <c r="H230" s="21"/>
    </row>
    <row r="231" spans="1:8" s="6" customFormat="1">
      <c r="A231" s="20"/>
      <c r="G231" s="21"/>
      <c r="H231" s="21"/>
    </row>
    <row r="232" spans="1:8" s="6" customFormat="1">
      <c r="A232" s="20"/>
      <c r="G232" s="21"/>
      <c r="H232" s="21"/>
    </row>
    <row r="233" spans="1:8" s="6" customFormat="1">
      <c r="A233" s="20"/>
      <c r="G233" s="21"/>
      <c r="H233" s="21"/>
    </row>
    <row r="234" spans="1:8" s="6" customFormat="1">
      <c r="A234" s="20"/>
    </row>
    <row r="235" spans="1:8">
      <c r="A235" s="22"/>
    </row>
  </sheetData>
  <mergeCells count="220">
    <mergeCell ref="M6:O8"/>
    <mergeCell ref="D9:D10"/>
    <mergeCell ref="D11:D12"/>
    <mergeCell ref="H5:L5"/>
    <mergeCell ref="N5:O5"/>
    <mergeCell ref="A6:A8"/>
    <mergeCell ref="M9:O10"/>
    <mergeCell ref="H9:H10"/>
    <mergeCell ref="I9:I10"/>
    <mergeCell ref="J9:J10"/>
    <mergeCell ref="K9:K10"/>
    <mergeCell ref="L9:L10"/>
    <mergeCell ref="M19:O20"/>
    <mergeCell ref="H19:H20"/>
    <mergeCell ref="I19:I20"/>
    <mergeCell ref="J19:J20"/>
    <mergeCell ref="K19:K20"/>
    <mergeCell ref="L19:L20"/>
    <mergeCell ref="D19:D20"/>
    <mergeCell ref="A11:A12"/>
    <mergeCell ref="B11:B12"/>
    <mergeCell ref="C11:C12"/>
    <mergeCell ref="E11:E12"/>
    <mergeCell ref="F11:F12"/>
    <mergeCell ref="G11:G12"/>
    <mergeCell ref="M11:O12"/>
    <mergeCell ref="H11:H12"/>
    <mergeCell ref="I11:I12"/>
    <mergeCell ref="J11:J12"/>
    <mergeCell ref="K11:K12"/>
    <mergeCell ref="L11:L12"/>
    <mergeCell ref="M39:O40"/>
    <mergeCell ref="H39:H40"/>
    <mergeCell ref="I39:I40"/>
    <mergeCell ref="J39:J40"/>
    <mergeCell ref="K39:K40"/>
    <mergeCell ref="L39:L40"/>
    <mergeCell ref="D39:D40"/>
    <mergeCell ref="A33:A34"/>
    <mergeCell ref="B33:B34"/>
    <mergeCell ref="C33:C34"/>
    <mergeCell ref="E33:E34"/>
    <mergeCell ref="F33:F34"/>
    <mergeCell ref="G33:G34"/>
    <mergeCell ref="M33:O34"/>
    <mergeCell ref="H33:H34"/>
    <mergeCell ref="I33:I34"/>
    <mergeCell ref="J33:J34"/>
    <mergeCell ref="K33:K34"/>
    <mergeCell ref="L33:L34"/>
    <mergeCell ref="D33:D34"/>
    <mergeCell ref="M53:O54"/>
    <mergeCell ref="H53:H54"/>
    <mergeCell ref="I53:I54"/>
    <mergeCell ref="J53:J54"/>
    <mergeCell ref="K53:K54"/>
    <mergeCell ref="L53:L54"/>
    <mergeCell ref="D53:D54"/>
    <mergeCell ref="A46:A47"/>
    <mergeCell ref="B46:B47"/>
    <mergeCell ref="C46:C47"/>
    <mergeCell ref="E46:E47"/>
    <mergeCell ref="F46:F47"/>
    <mergeCell ref="G46:G47"/>
    <mergeCell ref="M46:O47"/>
    <mergeCell ref="H46:H47"/>
    <mergeCell ref="I46:I47"/>
    <mergeCell ref="J46:J47"/>
    <mergeCell ref="K46:K47"/>
    <mergeCell ref="L46:L47"/>
    <mergeCell ref="D46:D47"/>
    <mergeCell ref="M65:O66"/>
    <mergeCell ref="H65:H66"/>
    <mergeCell ref="I65:I66"/>
    <mergeCell ref="J65:J66"/>
    <mergeCell ref="K65:K66"/>
    <mergeCell ref="L65:L66"/>
    <mergeCell ref="D65:D66"/>
    <mergeCell ref="A60:A61"/>
    <mergeCell ref="B60:B61"/>
    <mergeCell ref="C60:C61"/>
    <mergeCell ref="E60:E61"/>
    <mergeCell ref="F60:F61"/>
    <mergeCell ref="G60:G61"/>
    <mergeCell ref="M60:O61"/>
    <mergeCell ref="H60:H61"/>
    <mergeCell ref="I60:I61"/>
    <mergeCell ref="J60:J61"/>
    <mergeCell ref="K60:K61"/>
    <mergeCell ref="L60:L61"/>
    <mergeCell ref="D60:D61"/>
    <mergeCell ref="A65:A66"/>
    <mergeCell ref="B65:B66"/>
    <mergeCell ref="C65:C66"/>
    <mergeCell ref="E65:E66"/>
    <mergeCell ref="M82:O83"/>
    <mergeCell ref="H82:H83"/>
    <mergeCell ref="I82:I83"/>
    <mergeCell ref="J82:J83"/>
    <mergeCell ref="K82:K83"/>
    <mergeCell ref="L82:L83"/>
    <mergeCell ref="D82:D83"/>
    <mergeCell ref="A72:A73"/>
    <mergeCell ref="B72:B73"/>
    <mergeCell ref="C72:C73"/>
    <mergeCell ref="E72:E73"/>
    <mergeCell ref="F72:F73"/>
    <mergeCell ref="G72:G73"/>
    <mergeCell ref="M72:O73"/>
    <mergeCell ref="H72:H73"/>
    <mergeCell ref="I72:I73"/>
    <mergeCell ref="J72:J73"/>
    <mergeCell ref="K72:K73"/>
    <mergeCell ref="L72:L73"/>
    <mergeCell ref="D72:D73"/>
    <mergeCell ref="H125:L127"/>
    <mergeCell ref="D104:D105"/>
    <mergeCell ref="A89:A90"/>
    <mergeCell ref="B89:B90"/>
    <mergeCell ref="C89:C90"/>
    <mergeCell ref="E89:E90"/>
    <mergeCell ref="F89:F90"/>
    <mergeCell ref="G89:G90"/>
    <mergeCell ref="M89:O90"/>
    <mergeCell ref="H89:H90"/>
    <mergeCell ref="I89:I90"/>
    <mergeCell ref="J89:J90"/>
    <mergeCell ref="K89:K90"/>
    <mergeCell ref="L89:L90"/>
    <mergeCell ref="D89:D90"/>
    <mergeCell ref="M104:O105"/>
    <mergeCell ref="H104:H105"/>
    <mergeCell ref="I104:I105"/>
    <mergeCell ref="J104:J105"/>
    <mergeCell ref="K104:K105"/>
    <mergeCell ref="L104:L105"/>
    <mergeCell ref="N110:O110"/>
    <mergeCell ref="M114:O114"/>
    <mergeCell ref="M115:O115"/>
    <mergeCell ref="A228:A229"/>
    <mergeCell ref="B6:J6"/>
    <mergeCell ref="K6:L6"/>
    <mergeCell ref="I7:J7"/>
    <mergeCell ref="G7:H7"/>
    <mergeCell ref="G128:L128"/>
    <mergeCell ref="A129:A132"/>
    <mergeCell ref="B129:F130"/>
    <mergeCell ref="G129:H131"/>
    <mergeCell ref="I129:J131"/>
    <mergeCell ref="K129:L131"/>
    <mergeCell ref="B131:C131"/>
    <mergeCell ref="E131:F131"/>
    <mergeCell ref="L135:L137"/>
    <mergeCell ref="A135:A137"/>
    <mergeCell ref="B135:B137"/>
    <mergeCell ref="C135:C137"/>
    <mergeCell ref="E135:E137"/>
    <mergeCell ref="F135:F137"/>
    <mergeCell ref="K135:K137"/>
    <mergeCell ref="A104:A105"/>
    <mergeCell ref="B104:B105"/>
    <mergeCell ref="L7:L8"/>
    <mergeCell ref="K7:K8"/>
    <mergeCell ref="F65:F66"/>
    <mergeCell ref="G65:G66"/>
    <mergeCell ref="A114:F114"/>
    <mergeCell ref="E19:E20"/>
    <mergeCell ref="F19:F20"/>
    <mergeCell ref="G19:G20"/>
    <mergeCell ref="B7:C7"/>
    <mergeCell ref="E7:F7"/>
    <mergeCell ref="A9:A10"/>
    <mergeCell ref="B9:B10"/>
    <mergeCell ref="C9:C10"/>
    <mergeCell ref="E9:E10"/>
    <mergeCell ref="F9:F10"/>
    <mergeCell ref="G9:G10"/>
    <mergeCell ref="A213:A214"/>
    <mergeCell ref="F104:F105"/>
    <mergeCell ref="G104:G105"/>
    <mergeCell ref="A115:F115"/>
    <mergeCell ref="A82:A83"/>
    <mergeCell ref="B82:B83"/>
    <mergeCell ref="C82:C83"/>
    <mergeCell ref="E82:E83"/>
    <mergeCell ref="F82:F83"/>
    <mergeCell ref="G82:G83"/>
    <mergeCell ref="C104:C105"/>
    <mergeCell ref="E104:E105"/>
    <mergeCell ref="A196:A197"/>
    <mergeCell ref="A206:A207"/>
    <mergeCell ref="A170:A171"/>
    <mergeCell ref="A177:A178"/>
    <mergeCell ref="A184:A185"/>
    <mergeCell ref="G135:G137"/>
    <mergeCell ref="A125:G127"/>
    <mergeCell ref="B2:L2"/>
    <mergeCell ref="B3:L3"/>
    <mergeCell ref="A144:A145"/>
    <mergeCell ref="A157:A158"/>
    <mergeCell ref="A163:A164"/>
    <mergeCell ref="H135:H137"/>
    <mergeCell ref="I135:I137"/>
    <mergeCell ref="J135:J137"/>
    <mergeCell ref="A189:A190"/>
    <mergeCell ref="A53:A54"/>
    <mergeCell ref="B53:B54"/>
    <mergeCell ref="C53:C54"/>
    <mergeCell ref="E53:E54"/>
    <mergeCell ref="F53:F54"/>
    <mergeCell ref="G53:G54"/>
    <mergeCell ref="A39:A40"/>
    <mergeCell ref="B39:B40"/>
    <mergeCell ref="C39:C40"/>
    <mergeCell ref="E39:E40"/>
    <mergeCell ref="F39:F40"/>
    <mergeCell ref="G39:G40"/>
    <mergeCell ref="A19:A20"/>
    <mergeCell ref="B19:B20"/>
    <mergeCell ref="C19:C20"/>
  </mergeCells>
  <pageMargins left="0.7" right="0.7" top="0.75" bottom="0.75" header="0.3" footer="0.3"/>
  <pageSetup paperSize="9" orientation="portrait" horizontalDpi="200" verticalDpi="200" r:id="rId1"/>
  <ignoredErrors>
    <ignoredError sqref="E28:L28" 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.0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.0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Φύλλα εργασίας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s.spyroulis</dc:creator>
  <cp:lastModifiedBy>moniakix</cp:lastModifiedBy>
  <cp:lastPrinted>2015-05-15T06:35:45Z</cp:lastPrinted>
  <dcterms:created xsi:type="dcterms:W3CDTF">2015-05-15T06:27:06Z</dcterms:created>
  <dcterms:modified xsi:type="dcterms:W3CDTF">2018-12-19T07:01:51Z</dcterms:modified>
</cp:coreProperties>
</file>