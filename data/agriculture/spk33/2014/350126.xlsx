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01" yWindow="63" windowWidth="15139" windowHeight="99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9" i="1"/>
  <c r="B9"/>
  <c r="F17"/>
  <c r="D9"/>
  <c r="C26"/>
  <c r="D26"/>
  <c r="E26"/>
  <c r="F26"/>
  <c r="G26"/>
  <c r="H26"/>
  <c r="I26"/>
  <c r="J26"/>
  <c r="B26"/>
  <c r="C17"/>
  <c r="D17"/>
  <c r="E17"/>
  <c r="G17"/>
  <c r="H17"/>
  <c r="I17"/>
  <c r="J17"/>
  <c r="B17"/>
  <c r="E102"/>
  <c r="F102"/>
  <c r="G102"/>
  <c r="H102"/>
  <c r="I102"/>
  <c r="J102"/>
  <c r="B102"/>
  <c r="C102"/>
  <c r="E87"/>
  <c r="F87"/>
  <c r="G87"/>
  <c r="H87"/>
  <c r="I87"/>
  <c r="J87"/>
  <c r="B87"/>
  <c r="C87"/>
  <c r="E80"/>
  <c r="F80"/>
  <c r="G80"/>
  <c r="H80"/>
  <c r="I80"/>
  <c r="J80"/>
  <c r="B80"/>
  <c r="C80"/>
  <c r="F70"/>
  <c r="G70"/>
  <c r="H70"/>
  <c r="I70"/>
  <c r="J70"/>
  <c r="B70"/>
  <c r="C70"/>
  <c r="D70"/>
  <c r="C63"/>
  <c r="D63"/>
  <c r="E63"/>
  <c r="F63"/>
  <c r="G63"/>
  <c r="H63"/>
  <c r="I63"/>
  <c r="J63"/>
  <c r="B63"/>
  <c r="C58"/>
  <c r="D58"/>
  <c r="E58"/>
  <c r="F58"/>
  <c r="G58"/>
  <c r="H58"/>
  <c r="I58"/>
  <c r="J58"/>
  <c r="B58"/>
  <c r="C51"/>
  <c r="D51"/>
  <c r="E51"/>
  <c r="F51"/>
  <c r="G51"/>
  <c r="H51"/>
  <c r="I51"/>
  <c r="J51"/>
  <c r="B51"/>
  <c r="C44"/>
  <c r="D44"/>
  <c r="E44"/>
  <c r="F44"/>
  <c r="G44"/>
  <c r="H44"/>
  <c r="I44"/>
  <c r="J44"/>
  <c r="B44"/>
  <c r="C37"/>
  <c r="D37"/>
  <c r="E37"/>
  <c r="F37"/>
  <c r="G37"/>
  <c r="H37"/>
  <c r="I37"/>
  <c r="J37"/>
  <c r="B37"/>
  <c r="C31"/>
  <c r="D31"/>
  <c r="E31"/>
  <c r="F31"/>
  <c r="G31"/>
  <c r="H31"/>
  <c r="I31"/>
  <c r="J31"/>
  <c r="B31"/>
  <c r="E9"/>
  <c r="F9"/>
  <c r="G9"/>
  <c r="H9"/>
  <c r="I9"/>
  <c r="J9"/>
  <c r="D102"/>
  <c r="D87"/>
  <c r="D80"/>
  <c r="E70"/>
  <c r="J7" l="1"/>
  <c r="H7"/>
  <c r="F7"/>
  <c r="I7"/>
  <c r="G7"/>
  <c r="E7"/>
  <c r="D7"/>
  <c r="B7"/>
  <c r="C7"/>
</calcChain>
</file>

<file path=xl/sharedStrings.xml><?xml version="1.0" encoding="utf-8"?>
<sst xmlns="http://schemas.openxmlformats.org/spreadsheetml/2006/main" count="337" uniqueCount="194">
  <si>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</si>
  <si>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</si>
  <si>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</si>
  <si>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</si>
  <si>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</si>
  <si>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</si>
  <si>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</si>
  <si>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</si>
  <si>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</si>
  <si>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</si>
  <si>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</si>
  <si>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</si>
  <si>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</si>
  <si>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</si>
  <si>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</si>
  <si>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</si>
  <si>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</si>
  <si>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</si>
  <si>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</si>
  <si>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</si>
  <si>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</si>
  <si>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</si>
  <si>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</si>
  <si>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</si>
  <si>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</si>
  <si>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</si>
  <si>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</si>
  <si>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</si>
  <si>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</si>
  <si>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</si>
  <si>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</si>
  <si>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</si>
  <si>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</si>
  <si>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</si>
  <si>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</si>
  <si>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</si>
  <si>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</si>
  <si>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</si>
  <si>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</si>
  <si>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</si>
  <si>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</si>
  <si>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</si>
  <si>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</si>
  <si>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</si>
  <si>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</si>
  <si>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</si>
  <si>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</si>
  <si>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</si>
  <si>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</si>
  <si>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</si>
  <si>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</si>
  <si>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</si>
  <si>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</si>
  <si>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</si>
  <si>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</si>
  <si>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</si>
  <si>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</si>
  <si>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</si>
  <si>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</si>
  <si>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</si>
  <si>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</si>
  <si>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</si>
  <si>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</si>
  <si>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</si>
  <si>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</si>
  <si>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</si>
  <si>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</si>
  <si>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</si>
  <si>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</si>
  <si>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</si>
  <si>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</si>
  <si>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</si>
  <si>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</si>
  <si>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</si>
  <si>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</si>
  <si>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</si>
  <si>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</si>
  <si>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</si>
  <si>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</si>
  <si>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</si>
  <si>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</si>
  <si>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</si>
  <si>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</si>
  <si>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</si>
  <si>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</si>
  <si>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</si>
  <si>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</si>
  <si>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</si>
  <si>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</si>
  <si>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</si>
  <si>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</si>
  <si>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</si>
  <si>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</si>
  <si>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</si>
  <si>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</si>
  <si>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</si>
  <si>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</si>
  <si>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</si>
  <si>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</si>
  <si>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</si>
  <si>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</si>
  <si>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</si>
  <si>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</si>
  <si>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</si>
  <si>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</si>
  <si>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</si>
  <si>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</si>
  <si>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</si>
  <si>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</si>
  <si>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</si>
  <si>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</si>
  <si>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</si>
  <si>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</si>
  <si>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</si>
  <si>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</si>
  <si>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Πίνακας 4. Πουλερικά, κουνέλια (όλων των ηλικιών) και κυψέλες μελισσών στις 31.12.2014, 
κατά Περιφέρεια και Περιφερειακή Ενότητα</t>
  </si>
  <si>
    <t>Table 4. Poultry, rabbits (all ages) and beehoves on 31st December 2014, 
by Region and Regional Unities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</si>
  <si>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</si>
  <si>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</si>
  <si>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</si>
  <si>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</si>
  <si>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</si>
  <si>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</si>
  <si>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Στρουθοκάμηλοι
Ostriches</t>
  </si>
  <si>
    <t>Κυψέλες μελισσών
Beehives</t>
  </si>
  <si>
    <t>Εγχώριες
Local hives</t>
  </si>
  <si>
    <t>Ευρωπαϊκές
European hives</t>
  </si>
  <si>
    <t>—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</si>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</sst>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9"/>
      <name val="Arial"/>
      <family val="2"/>
      <charset val="161"/>
    </font>
    <font>
      <sz val="9"/>
      <color theme="1"/>
      <name val="Arial"/>
      <family val="2"/>
      <charset val="161"/>
    </font>
    <font>
      <sz val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/>
    <xf numFmtId="0" fontId="4" fillId="0" borderId="0" xfId="0" applyFont="1" applyBorder="1" applyAlignment="1">
      <alignment vertical="center"/>
    </xf>
    <xf numFmtId="0" fontId="2" fillId="0" borderId="0" xfId="0" applyNumberFormat="1" applyFont="1" applyFill="1" applyBorder="1" applyAlignment="1" applyProtection="1"/>
    <xf numFmtId="0" fontId="4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2"/>
    </xf>
    <xf numFmtId="0" fontId="4" fillId="0" borderId="0" xfId="0" applyFont="1" applyBorder="1" applyAlignment="1">
      <alignment horizontal="left"/>
    </xf>
    <xf numFmtId="49" fontId="5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1" xfId="0" applyNumberFormat="1" applyFont="1" applyFill="1" applyBorder="1" applyAlignment="1" applyProtection="1">
      <alignment horizontal="left" wrapText="1" indent="2"/>
    </xf>
    <xf numFmtId="49" fontId="2" fillId="0" borderId="2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4" fillId="0" borderId="0" xfId="0" applyNumberFormat="1" applyFont="1" applyBorder="1"/>
    <xf numFmtId="49" fontId="4" fillId="0" borderId="0" xfId="0" applyNumberFormat="1" applyFont="1"/>
    <xf numFmtId="49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0" fontId="6" fillId="0" borderId="0" xfId="0" applyFont="1" applyBorder="1" applyAlignment="1">
      <alignment vertical="center"/>
    </xf>
    <xf numFmtId="0" fontId="2" fillId="0" borderId="0" xfId="0" applyNumberFormat="1" applyFont="1" applyFill="1" applyBorder="1" applyAlignment="1" applyProtection="1">
      <alignment horizontal="left"/>
    </xf>
    <xf numFmtId="0" fontId="8" fillId="0" borderId="0" xfId="0" applyFont="1" applyBorder="1" applyAlignment="1">
      <alignment vertical="center"/>
    </xf>
    <xf numFmtId="0" fontId="8" fillId="0" borderId="0" xfId="0" applyFont="1"/>
    <xf numFmtId="0" fontId="4" fillId="0" borderId="0" xfId="0" applyFont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1" fillId="0" borderId="1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1" fillId="0" borderId="8" xfId="0" applyNumberFormat="1" applyFont="1" applyFill="1" applyBorder="1" applyAlignment="1" applyProtection="1">
      <alignment horizontal="right" vertical="center" wrapText="1"/>
    </xf>
    <xf numFmtId="3" fontId="1" fillId="0" borderId="3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right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19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3" fontId="1" fillId="0" borderId="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 indent="1"/>
    </xf>
    <xf numFmtId="49" fontId="6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Border="1" applyAlignment="1">
      <alignment horizontal="left" vertical="center" wrapText="1"/>
    </xf>
    <xf numFmtId="49" fontId="1" fillId="0" borderId="10" xfId="0" applyNumberFormat="1" applyFont="1" applyFill="1" applyBorder="1" applyAlignment="1" applyProtection="1">
      <alignment horizontal="left" vertical="center" wrapText="1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9" fillId="0" borderId="3" xfId="0" applyNumberFormat="1" applyFont="1" applyBorder="1" applyAlignment="1">
      <alignment horizontal="right" vertical="top" wrapText="1"/>
    </xf>
    <xf numFmtId="3" fontId="9" fillId="0" borderId="4" xfId="0" applyNumberFormat="1" applyFont="1" applyBorder="1" applyAlignment="1">
      <alignment horizontal="right"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3"/>
  <sheetViews>
    <sheetView showGridLines="0" tabSelected="1" zoomScale="130" zoomScaleNormal="130" workbookViewId="0">
      <selection activeCell="J7" sqref="J7:J107"/>
    </sheetView>
  </sheetViews>
  <sheetFormatPr defaultRowHeight="10.65"/>
  <cols>
    <col min="1" max="1" width="38.109375" style="1" customWidth="1"/>
    <col min="2" max="2" width="10.109375" style="1" bestFit="1" customWidth="1"/>
    <col min="3" max="3" width="8.21875" style="1" bestFit="1" customWidth="1"/>
    <col min="4" max="4" width="5.44140625" style="1" bestFit="1" customWidth="1"/>
    <col min="5" max="5" width="5.33203125" style="1" bestFit="1" customWidth="1"/>
    <col min="6" max="6" width="8.6640625" style="1" bestFit="1" customWidth="1"/>
    <col min="7" max="7" width="6.5546875" style="1" bestFit="1" customWidth="1"/>
    <col min="8" max="8" width="11.21875" style="1" bestFit="1" customWidth="1"/>
    <col min="9" max="9" width="7.88671875" style="1" bestFit="1" customWidth="1"/>
    <col min="10" max="10" width="10.5546875" style="1" bestFit="1" customWidth="1"/>
    <col min="11" max="11" width="9.6640625" style="1" customWidth="1"/>
    <col min="12" max="13" width="10" style="1" customWidth="1"/>
    <col min="14" max="14" width="10.109375" style="1" customWidth="1"/>
    <col min="15" max="16384" width="8.88671875" style="1"/>
  </cols>
  <sheetData>
    <row r="1" spans="1:14" ht="14.4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2"/>
      <c r="L1" s="22"/>
      <c r="M1" s="22"/>
      <c r="N1" s="2"/>
    </row>
    <row r="2" spans="1:14" s="28" customFormat="1" ht="31.15" customHeight="1">
      <c r="A2" s="35" t="s">
        <v>115</v>
      </c>
      <c r="B2" s="35"/>
      <c r="C2" s="35"/>
      <c r="D2" s="35"/>
      <c r="E2" s="35"/>
      <c r="F2" s="35"/>
      <c r="G2" s="35" t="s">
        <v>116</v>
      </c>
      <c r="H2" s="35"/>
      <c r="I2" s="35"/>
      <c r="J2" s="35"/>
      <c r="K2" s="35"/>
      <c r="L2" s="35"/>
      <c r="M2" s="35"/>
      <c r="N2" s="27"/>
    </row>
    <row r="3" spans="1:14" ht="15.05" customHeight="1" thickBot="1">
      <c r="A3" s="45" t="s">
        <v>111</v>
      </c>
      <c r="B3" s="46"/>
      <c r="C3" s="26"/>
      <c r="D3" s="26"/>
      <c r="E3" s="26"/>
      <c r="F3" s="26"/>
      <c r="G3" s="36"/>
      <c r="H3" s="36"/>
      <c r="I3" s="36"/>
      <c r="J3" s="36"/>
      <c r="K3" s="44" t="s">
        <v>110</v>
      </c>
      <c r="L3" s="44"/>
      <c r="M3" s="44"/>
      <c r="N3" s="3"/>
    </row>
    <row r="4" spans="1:14" ht="25.2" customHeight="1">
      <c r="A4" s="37" t="s">
        <v>0</v>
      </c>
      <c r="B4" s="47" t="s">
        <v>112</v>
      </c>
      <c r="C4" s="48"/>
      <c r="D4" s="55" t="s">
        <v>119</v>
      </c>
      <c r="E4" s="55" t="s">
        <v>120</v>
      </c>
      <c r="F4" s="55" t="s">
        <v>121</v>
      </c>
      <c r="G4" s="55" t="s">
        <v>122</v>
      </c>
      <c r="H4" s="55" t="s">
        <v>123</v>
      </c>
      <c r="I4" s="39" t="s">
        <v>124</v>
      </c>
      <c r="J4" s="40"/>
      <c r="K4" s="41" t="s">
        <v>1</v>
      </c>
      <c r="L4" s="41"/>
      <c r="M4" s="41"/>
      <c r="N4" s="4"/>
    </row>
    <row r="5" spans="1:14" ht="31.8" customHeight="1">
      <c r="A5" s="32"/>
      <c r="B5" s="42" t="s">
        <v>118</v>
      </c>
      <c r="C5" s="49" t="s">
        <v>117</v>
      </c>
      <c r="D5" s="56"/>
      <c r="E5" s="56"/>
      <c r="F5" s="56"/>
      <c r="G5" s="56"/>
      <c r="H5" s="56"/>
      <c r="I5" s="53" t="s">
        <v>125</v>
      </c>
      <c r="J5" s="51" t="s">
        <v>126</v>
      </c>
      <c r="K5" s="41"/>
      <c r="L5" s="41"/>
      <c r="M5" s="41"/>
      <c r="N5" s="4"/>
    </row>
    <row r="6" spans="1:14" ht="30.7" customHeight="1">
      <c r="A6" s="38"/>
      <c r="B6" s="43"/>
      <c r="C6" s="50"/>
      <c r="D6" s="57"/>
      <c r="E6" s="57"/>
      <c r="F6" s="57"/>
      <c r="G6" s="57"/>
      <c r="H6" s="57"/>
      <c r="I6" s="54"/>
      <c r="J6" s="52"/>
      <c r="K6" s="41"/>
      <c r="L6" s="41"/>
      <c r="M6" s="41"/>
      <c r="N6" s="4"/>
    </row>
    <row r="7" spans="1:14">
      <c r="A7" s="71" t="s">
        <v>2</v>
      </c>
      <c r="B7" s="33">
        <f>SUM(B9,B17,B26,B31,B37,B44,B51,B58,B63,B70,B80,B87,B102)</f>
        <v>27437625</v>
      </c>
      <c r="C7" s="33">
        <f t="shared" ref="C7:J7" si="0">SUM(C9,C17,C26,C31,C37,C44,C51,C58,C63,C70,C80,C87,C102)</f>
        <v>4624138</v>
      </c>
      <c r="D7" s="33">
        <f t="shared" si="0"/>
        <v>22668</v>
      </c>
      <c r="E7" s="33">
        <f t="shared" si="0"/>
        <v>32936</v>
      </c>
      <c r="F7" s="33">
        <f t="shared" si="0"/>
        <v>242672</v>
      </c>
      <c r="G7" s="33">
        <f t="shared" si="0"/>
        <v>929400</v>
      </c>
      <c r="H7" s="33">
        <f t="shared" si="0"/>
        <v>1588</v>
      </c>
      <c r="I7" s="33">
        <f t="shared" si="0"/>
        <v>103160</v>
      </c>
      <c r="J7" s="33">
        <f t="shared" si="0"/>
        <v>1425607</v>
      </c>
      <c r="K7" s="31" t="s">
        <v>3</v>
      </c>
      <c r="L7" s="31"/>
      <c r="M7" s="31"/>
      <c r="N7" s="4"/>
    </row>
    <row r="8" spans="1:14">
      <c r="A8" s="61"/>
      <c r="B8" s="34"/>
      <c r="C8" s="34"/>
      <c r="D8" s="34"/>
      <c r="E8" s="34"/>
      <c r="F8" s="34"/>
      <c r="G8" s="34"/>
      <c r="H8" s="34"/>
      <c r="I8" s="34"/>
      <c r="J8" s="34"/>
      <c r="K8" s="32"/>
      <c r="L8" s="32"/>
      <c r="M8" s="32"/>
      <c r="N8" s="4"/>
    </row>
    <row r="9" spans="1:14">
      <c r="A9" s="61" t="s">
        <v>4</v>
      </c>
      <c r="B9" s="59">
        <f>SUM(B11:B16)</f>
        <v>834554</v>
      </c>
      <c r="C9" s="59">
        <f>SUM(C11:C16)</f>
        <v>320854</v>
      </c>
      <c r="D9" s="59">
        <f>SUM(D11:D16)</f>
        <v>5086</v>
      </c>
      <c r="E9" s="59">
        <f t="shared" ref="E9:J9" si="1">SUM(E11:E16)</f>
        <v>6425</v>
      </c>
      <c r="F9" s="59">
        <f t="shared" si="1"/>
        <v>4864</v>
      </c>
      <c r="G9" s="59">
        <f t="shared" si="1"/>
        <v>19528</v>
      </c>
      <c r="H9" s="59">
        <f t="shared" si="1"/>
        <v>16</v>
      </c>
      <c r="I9" s="59">
        <f t="shared" si="1"/>
        <v>7324</v>
      </c>
      <c r="J9" s="59">
        <f t="shared" si="1"/>
        <v>108625</v>
      </c>
      <c r="K9" s="32" t="s">
        <v>5</v>
      </c>
      <c r="L9" s="32"/>
      <c r="M9" s="32"/>
      <c r="N9" s="4"/>
    </row>
    <row r="10" spans="1:14">
      <c r="A10" s="61"/>
      <c r="B10" s="59"/>
      <c r="C10" s="59"/>
      <c r="D10" s="59"/>
      <c r="E10" s="59"/>
      <c r="F10" s="59"/>
      <c r="G10" s="59"/>
      <c r="H10" s="59"/>
      <c r="I10" s="59"/>
      <c r="J10" s="59"/>
      <c r="K10" s="32"/>
      <c r="L10" s="32"/>
      <c r="M10" s="32"/>
      <c r="N10" s="4"/>
    </row>
    <row r="11" spans="1:14">
      <c r="A11" s="5" t="s">
        <v>128</v>
      </c>
      <c r="B11" s="72">
        <v>17240</v>
      </c>
      <c r="C11" s="72">
        <v>93050</v>
      </c>
      <c r="D11" s="72">
        <v>937</v>
      </c>
      <c r="E11" s="72">
        <v>1549</v>
      </c>
      <c r="F11" s="72">
        <v>2536</v>
      </c>
      <c r="G11" s="75">
        <v>10145</v>
      </c>
      <c r="H11" s="72">
        <v>15</v>
      </c>
      <c r="I11" s="72">
        <v>3189</v>
      </c>
      <c r="J11" s="72">
        <v>11902</v>
      </c>
      <c r="K11" s="29" t="s">
        <v>6</v>
      </c>
      <c r="L11" s="6"/>
      <c r="M11" s="6"/>
      <c r="N11" s="4"/>
    </row>
    <row r="12" spans="1:14">
      <c r="A12" s="5" t="s">
        <v>129</v>
      </c>
      <c r="B12" s="72">
        <v>53400</v>
      </c>
      <c r="C12" s="72">
        <v>40010</v>
      </c>
      <c r="D12" s="72">
        <v>88</v>
      </c>
      <c r="E12" s="72">
        <v>12</v>
      </c>
      <c r="F12" s="73" t="s">
        <v>127</v>
      </c>
      <c r="G12" s="75">
        <v>2955</v>
      </c>
      <c r="H12" s="73" t="s">
        <v>127</v>
      </c>
      <c r="I12" s="73" t="s">
        <v>127</v>
      </c>
      <c r="J12" s="72">
        <v>23430</v>
      </c>
      <c r="K12" s="29" t="s">
        <v>7</v>
      </c>
      <c r="L12" s="6"/>
      <c r="M12" s="6"/>
      <c r="N12" s="4"/>
    </row>
    <row r="13" spans="1:14">
      <c r="A13" s="5" t="s">
        <v>130</v>
      </c>
      <c r="B13" s="72">
        <v>537767</v>
      </c>
      <c r="C13" s="72">
        <v>92643</v>
      </c>
      <c r="D13" s="72">
        <v>975</v>
      </c>
      <c r="E13" s="72">
        <v>970</v>
      </c>
      <c r="F13" s="72">
        <v>1395</v>
      </c>
      <c r="G13" s="75">
        <v>5720</v>
      </c>
      <c r="H13" s="73" t="s">
        <v>127</v>
      </c>
      <c r="I13" s="72">
        <v>2647</v>
      </c>
      <c r="J13" s="72">
        <v>31774</v>
      </c>
      <c r="K13" s="29" t="s">
        <v>8</v>
      </c>
      <c r="L13" s="6"/>
      <c r="M13" s="6"/>
      <c r="N13" s="4"/>
    </row>
    <row r="14" spans="1:14">
      <c r="A14" s="5" t="s">
        <v>131</v>
      </c>
      <c r="B14" s="72">
        <v>750</v>
      </c>
      <c r="C14" s="72">
        <v>5250</v>
      </c>
      <c r="D14" s="72">
        <v>126</v>
      </c>
      <c r="E14" s="72">
        <v>154</v>
      </c>
      <c r="F14" s="72">
        <v>228</v>
      </c>
      <c r="G14" s="75">
        <v>3</v>
      </c>
      <c r="H14" s="72">
        <v>1</v>
      </c>
      <c r="I14" s="73" t="s">
        <v>127</v>
      </c>
      <c r="J14" s="72">
        <v>23707</v>
      </c>
      <c r="K14" s="29" t="s">
        <v>9</v>
      </c>
      <c r="L14" s="6"/>
      <c r="M14" s="6"/>
      <c r="N14" s="4"/>
    </row>
    <row r="15" spans="1:14">
      <c r="A15" s="5" t="s">
        <v>132</v>
      </c>
      <c r="B15" s="72">
        <v>145397</v>
      </c>
      <c r="C15" s="72">
        <v>23131</v>
      </c>
      <c r="D15" s="73" t="s">
        <v>127</v>
      </c>
      <c r="E15" s="73" t="s">
        <v>127</v>
      </c>
      <c r="F15" s="73" t="s">
        <v>127</v>
      </c>
      <c r="G15" s="73" t="s">
        <v>127</v>
      </c>
      <c r="H15" s="73" t="s">
        <v>127</v>
      </c>
      <c r="I15" s="72">
        <v>1488</v>
      </c>
      <c r="J15" s="72">
        <v>11187</v>
      </c>
      <c r="K15" s="29" t="s">
        <v>10</v>
      </c>
      <c r="L15" s="6"/>
      <c r="M15" s="6"/>
      <c r="N15" s="4"/>
    </row>
    <row r="16" spans="1:14">
      <c r="A16" s="5" t="s">
        <v>133</v>
      </c>
      <c r="B16" s="72">
        <v>80000</v>
      </c>
      <c r="C16" s="72">
        <v>66770</v>
      </c>
      <c r="D16" s="72">
        <v>2960</v>
      </c>
      <c r="E16" s="72">
        <v>3740</v>
      </c>
      <c r="F16" s="72">
        <v>705</v>
      </c>
      <c r="G16" s="75">
        <v>705</v>
      </c>
      <c r="H16" s="73" t="s">
        <v>127</v>
      </c>
      <c r="I16" s="73" t="s">
        <v>127</v>
      </c>
      <c r="J16" s="72">
        <v>6625</v>
      </c>
      <c r="K16" s="29" t="s">
        <v>11</v>
      </c>
      <c r="L16" s="6"/>
      <c r="M16" s="6"/>
      <c r="N16" s="4"/>
    </row>
    <row r="17" spans="1:14">
      <c r="A17" s="61" t="s">
        <v>12</v>
      </c>
      <c r="B17" s="59">
        <f>SUM(B19:B25)</f>
        <v>4890519</v>
      </c>
      <c r="C17" s="59">
        <f t="shared" ref="C17:J17" si="2">SUM(C19:C25)</f>
        <v>449405</v>
      </c>
      <c r="D17" s="59">
        <f t="shared" si="2"/>
        <v>936</v>
      </c>
      <c r="E17" s="59">
        <f t="shared" si="2"/>
        <v>1259</v>
      </c>
      <c r="F17" s="59">
        <f>SUM(F19:F25)</f>
        <v>48349</v>
      </c>
      <c r="G17" s="59">
        <f t="shared" si="2"/>
        <v>49672</v>
      </c>
      <c r="H17" s="59">
        <f t="shared" si="2"/>
        <v>1</v>
      </c>
      <c r="I17" s="59">
        <f t="shared" si="2"/>
        <v>12826</v>
      </c>
      <c r="J17" s="59">
        <f t="shared" si="2"/>
        <v>245775</v>
      </c>
      <c r="K17" s="60" t="s">
        <v>13</v>
      </c>
      <c r="L17" s="60"/>
      <c r="M17" s="60"/>
      <c r="N17" s="4"/>
    </row>
    <row r="18" spans="1:14">
      <c r="A18" s="61"/>
      <c r="B18" s="59"/>
      <c r="C18" s="59"/>
      <c r="D18" s="59"/>
      <c r="E18" s="59"/>
      <c r="F18" s="59"/>
      <c r="G18" s="59"/>
      <c r="H18" s="59"/>
      <c r="I18" s="59"/>
      <c r="J18" s="59"/>
      <c r="K18" s="60"/>
      <c r="L18" s="60"/>
      <c r="M18" s="60"/>
      <c r="N18" s="4"/>
    </row>
    <row r="19" spans="1:14">
      <c r="A19" s="5" t="s">
        <v>134</v>
      </c>
      <c r="B19" s="72">
        <v>1822054</v>
      </c>
      <c r="C19" s="72">
        <v>88150</v>
      </c>
      <c r="D19" s="72">
        <v>130</v>
      </c>
      <c r="E19" s="72">
        <v>125</v>
      </c>
      <c r="F19" s="72">
        <v>32230</v>
      </c>
      <c r="G19" s="75">
        <v>2340</v>
      </c>
      <c r="H19" s="73" t="s">
        <v>127</v>
      </c>
      <c r="I19" s="73" t="s">
        <v>127</v>
      </c>
      <c r="J19" s="72">
        <v>39148</v>
      </c>
      <c r="K19" s="29" t="s">
        <v>14</v>
      </c>
      <c r="L19" s="6"/>
      <c r="M19" s="6"/>
      <c r="N19" s="4"/>
    </row>
    <row r="20" spans="1:14">
      <c r="A20" s="5" t="s">
        <v>135</v>
      </c>
      <c r="B20" s="72">
        <v>145150</v>
      </c>
      <c r="C20" s="72">
        <v>6850</v>
      </c>
      <c r="D20" s="72">
        <v>460</v>
      </c>
      <c r="E20" s="72">
        <v>273</v>
      </c>
      <c r="F20" s="72">
        <v>306</v>
      </c>
      <c r="G20" s="75">
        <v>216</v>
      </c>
      <c r="H20" s="73" t="s">
        <v>127</v>
      </c>
      <c r="I20" s="72">
        <v>3418</v>
      </c>
      <c r="J20" s="72">
        <v>3768</v>
      </c>
      <c r="K20" s="29" t="s">
        <v>15</v>
      </c>
      <c r="L20" s="6"/>
      <c r="M20" s="6"/>
      <c r="N20" s="4"/>
    </row>
    <row r="21" spans="1:14">
      <c r="A21" s="5" t="s">
        <v>136</v>
      </c>
      <c r="B21" s="72">
        <v>511280</v>
      </c>
      <c r="C21" s="72">
        <v>44000</v>
      </c>
      <c r="D21" s="73" t="s">
        <v>127</v>
      </c>
      <c r="E21" s="72">
        <v>130</v>
      </c>
      <c r="F21" s="72">
        <v>15</v>
      </c>
      <c r="G21" s="75">
        <v>765</v>
      </c>
      <c r="H21" s="73" t="s">
        <v>127</v>
      </c>
      <c r="I21" s="72">
        <v>20</v>
      </c>
      <c r="J21" s="72">
        <v>8206</v>
      </c>
      <c r="K21" s="29" t="s">
        <v>16</v>
      </c>
      <c r="L21" s="6"/>
      <c r="M21" s="6"/>
      <c r="N21" s="4"/>
    </row>
    <row r="22" spans="1:14">
      <c r="A22" s="5" t="s">
        <v>137</v>
      </c>
      <c r="B22" s="72">
        <v>668300</v>
      </c>
      <c r="C22" s="72">
        <v>80095</v>
      </c>
      <c r="D22" s="72">
        <v>140</v>
      </c>
      <c r="E22" s="72">
        <v>504</v>
      </c>
      <c r="F22" s="72">
        <v>358</v>
      </c>
      <c r="G22" s="75">
        <v>9333</v>
      </c>
      <c r="H22" s="73" t="s">
        <v>127</v>
      </c>
      <c r="I22" s="73" t="s">
        <v>127</v>
      </c>
      <c r="J22" s="72">
        <v>29109</v>
      </c>
      <c r="K22" s="29" t="s">
        <v>17</v>
      </c>
      <c r="L22" s="6"/>
      <c r="M22" s="6"/>
      <c r="N22" s="4"/>
    </row>
    <row r="23" spans="1:14">
      <c r="A23" s="5" t="s">
        <v>138</v>
      </c>
      <c r="B23" s="72">
        <v>1020050</v>
      </c>
      <c r="C23" s="72">
        <v>70425</v>
      </c>
      <c r="D23" s="72">
        <v>155</v>
      </c>
      <c r="E23" s="72">
        <v>69</v>
      </c>
      <c r="F23" s="72">
        <v>130</v>
      </c>
      <c r="G23" s="75">
        <v>4396</v>
      </c>
      <c r="H23" s="72">
        <v>1</v>
      </c>
      <c r="I23" s="73" t="s">
        <v>127</v>
      </c>
      <c r="J23" s="72">
        <v>15622</v>
      </c>
      <c r="K23" s="29" t="s">
        <v>18</v>
      </c>
      <c r="L23" s="6"/>
      <c r="M23" s="6"/>
      <c r="N23" s="4"/>
    </row>
    <row r="24" spans="1:14">
      <c r="A24" s="5" t="s">
        <v>139</v>
      </c>
      <c r="B24" s="72">
        <v>145085</v>
      </c>
      <c r="C24" s="72">
        <v>113760</v>
      </c>
      <c r="D24" s="72">
        <v>11</v>
      </c>
      <c r="E24" s="72">
        <v>68</v>
      </c>
      <c r="F24" s="72">
        <v>15250</v>
      </c>
      <c r="G24" s="75">
        <v>31904</v>
      </c>
      <c r="H24" s="73" t="s">
        <v>127</v>
      </c>
      <c r="I24" s="72">
        <v>197</v>
      </c>
      <c r="J24" s="72">
        <v>25258</v>
      </c>
      <c r="K24" s="29" t="s">
        <v>19</v>
      </c>
      <c r="L24" s="6"/>
      <c r="M24" s="6"/>
      <c r="N24" s="4"/>
    </row>
    <row r="25" spans="1:14">
      <c r="A25" s="5" t="s">
        <v>140</v>
      </c>
      <c r="B25" s="72">
        <v>578600</v>
      </c>
      <c r="C25" s="72">
        <v>46125</v>
      </c>
      <c r="D25" s="72">
        <v>40</v>
      </c>
      <c r="E25" s="72">
        <v>90</v>
      </c>
      <c r="F25" s="72">
        <v>60</v>
      </c>
      <c r="G25" s="75">
        <v>718</v>
      </c>
      <c r="H25" s="73" t="s">
        <v>127</v>
      </c>
      <c r="I25" s="72">
        <v>9191</v>
      </c>
      <c r="J25" s="72">
        <v>124664</v>
      </c>
      <c r="K25" s="29" t="s">
        <v>20</v>
      </c>
      <c r="L25" s="6"/>
      <c r="M25" s="6"/>
      <c r="N25" s="4"/>
    </row>
    <row r="26" spans="1:14" ht="24.6" customHeight="1">
      <c r="A26" s="20" t="s">
        <v>113</v>
      </c>
      <c r="B26" s="23">
        <f>SUM(B27:B30)</f>
        <v>22400</v>
      </c>
      <c r="C26" s="23">
        <f t="shared" ref="C26:J26" si="3">SUM(C27:C30)</f>
        <v>224552</v>
      </c>
      <c r="D26" s="23">
        <f t="shared" si="3"/>
        <v>429</v>
      </c>
      <c r="E26" s="23">
        <f t="shared" si="3"/>
        <v>1188</v>
      </c>
      <c r="F26" s="23">
        <f t="shared" si="3"/>
        <v>691</v>
      </c>
      <c r="G26" s="23">
        <f t="shared" si="3"/>
        <v>5888</v>
      </c>
      <c r="H26" s="23">
        <f t="shared" si="3"/>
        <v>0</v>
      </c>
      <c r="I26" s="23">
        <f t="shared" si="3"/>
        <v>1335</v>
      </c>
      <c r="J26" s="23">
        <f t="shared" si="3"/>
        <v>28483</v>
      </c>
      <c r="K26" s="25" t="s">
        <v>114</v>
      </c>
      <c r="L26" s="6"/>
      <c r="M26" s="6"/>
      <c r="N26" s="4"/>
    </row>
    <row r="27" spans="1:14">
      <c r="A27" s="5" t="s">
        <v>141</v>
      </c>
      <c r="B27" s="72">
        <v>19000</v>
      </c>
      <c r="C27" s="72">
        <v>82907</v>
      </c>
      <c r="D27" s="72">
        <v>269</v>
      </c>
      <c r="E27" s="72">
        <v>333</v>
      </c>
      <c r="F27" s="72">
        <v>121</v>
      </c>
      <c r="G27" s="75">
        <v>4383</v>
      </c>
      <c r="H27" s="73" t="s">
        <v>127</v>
      </c>
      <c r="I27" s="72">
        <v>516</v>
      </c>
      <c r="J27" s="72">
        <v>12727</v>
      </c>
      <c r="K27" s="29" t="s">
        <v>21</v>
      </c>
      <c r="L27" s="6"/>
      <c r="M27" s="6"/>
      <c r="N27" s="4"/>
    </row>
    <row r="28" spans="1:14">
      <c r="A28" s="5" t="s">
        <v>142</v>
      </c>
      <c r="B28" s="72">
        <v>1700</v>
      </c>
      <c r="C28" s="72">
        <v>57260</v>
      </c>
      <c r="D28" s="72">
        <v>30</v>
      </c>
      <c r="E28" s="72">
        <v>90</v>
      </c>
      <c r="F28" s="72">
        <v>185</v>
      </c>
      <c r="G28" s="75">
        <v>250</v>
      </c>
      <c r="H28" s="73" t="s">
        <v>127</v>
      </c>
      <c r="I28" s="73" t="s">
        <v>127</v>
      </c>
      <c r="J28" s="72">
        <v>6730</v>
      </c>
      <c r="K28" s="29" t="s">
        <v>22</v>
      </c>
      <c r="L28" s="6"/>
      <c r="M28" s="6"/>
      <c r="N28" s="4"/>
    </row>
    <row r="29" spans="1:14">
      <c r="A29" s="5" t="s">
        <v>143</v>
      </c>
      <c r="B29" s="72">
        <v>1700</v>
      </c>
      <c r="C29" s="72">
        <v>26535</v>
      </c>
      <c r="D29" s="72">
        <v>10</v>
      </c>
      <c r="E29" s="73" t="s">
        <v>127</v>
      </c>
      <c r="F29" s="72">
        <v>10</v>
      </c>
      <c r="G29" s="75">
        <v>50</v>
      </c>
      <c r="H29" s="73" t="s">
        <v>127</v>
      </c>
      <c r="I29" s="73" t="s">
        <v>127</v>
      </c>
      <c r="J29" s="72">
        <v>3389</v>
      </c>
      <c r="K29" s="29" t="s">
        <v>23</v>
      </c>
      <c r="L29" s="6"/>
      <c r="M29" s="6"/>
      <c r="N29" s="4"/>
    </row>
    <row r="30" spans="1:14">
      <c r="A30" s="5" t="s">
        <v>144</v>
      </c>
      <c r="B30" s="73" t="s">
        <v>127</v>
      </c>
      <c r="C30" s="72">
        <v>57850</v>
      </c>
      <c r="D30" s="72">
        <v>120</v>
      </c>
      <c r="E30" s="72">
        <v>765</v>
      </c>
      <c r="F30" s="72">
        <v>375</v>
      </c>
      <c r="G30" s="75">
        <v>1205</v>
      </c>
      <c r="H30" s="73" t="s">
        <v>127</v>
      </c>
      <c r="I30" s="72">
        <v>819</v>
      </c>
      <c r="J30" s="72">
        <v>5637</v>
      </c>
      <c r="K30" s="29" t="s">
        <v>24</v>
      </c>
      <c r="L30" s="6"/>
      <c r="M30" s="6"/>
      <c r="N30" s="4"/>
    </row>
    <row r="31" spans="1:14">
      <c r="A31" s="61" t="s">
        <v>25</v>
      </c>
      <c r="B31" s="59">
        <f>SUM(B33:B36)</f>
        <v>11093834</v>
      </c>
      <c r="C31" s="59">
        <f t="shared" ref="C31:J31" si="4">SUM(C33:C36)</f>
        <v>264176</v>
      </c>
      <c r="D31" s="59">
        <f t="shared" si="4"/>
        <v>341</v>
      </c>
      <c r="E31" s="59">
        <f t="shared" si="4"/>
        <v>309</v>
      </c>
      <c r="F31" s="59">
        <f t="shared" si="4"/>
        <v>20625</v>
      </c>
      <c r="G31" s="59">
        <f t="shared" si="4"/>
        <v>7275</v>
      </c>
      <c r="H31" s="59">
        <f t="shared" si="4"/>
        <v>2</v>
      </c>
      <c r="I31" s="59">
        <f t="shared" si="4"/>
        <v>5339</v>
      </c>
      <c r="J31" s="59">
        <f t="shared" si="4"/>
        <v>70055</v>
      </c>
      <c r="K31" s="58" t="s">
        <v>26</v>
      </c>
      <c r="L31" s="58"/>
      <c r="M31" s="58"/>
      <c r="N31" s="4"/>
    </row>
    <row r="32" spans="1:14">
      <c r="A32" s="61"/>
      <c r="B32" s="59"/>
      <c r="C32" s="59"/>
      <c r="D32" s="59"/>
      <c r="E32" s="59"/>
      <c r="F32" s="59"/>
      <c r="G32" s="59"/>
      <c r="H32" s="59"/>
      <c r="I32" s="59"/>
      <c r="J32" s="59"/>
      <c r="K32" s="58"/>
      <c r="L32" s="58"/>
      <c r="M32" s="58"/>
      <c r="N32" s="4"/>
    </row>
    <row r="33" spans="1:14">
      <c r="A33" s="5" t="s">
        <v>145</v>
      </c>
      <c r="B33" s="72">
        <v>7054521</v>
      </c>
      <c r="C33" s="72">
        <v>78291</v>
      </c>
      <c r="D33" s="72">
        <v>86</v>
      </c>
      <c r="E33" s="72">
        <v>53</v>
      </c>
      <c r="F33" s="72">
        <v>20554</v>
      </c>
      <c r="G33" s="75">
        <v>2530</v>
      </c>
      <c r="H33" s="72">
        <v>2</v>
      </c>
      <c r="I33" s="72">
        <v>1147</v>
      </c>
      <c r="J33" s="72">
        <v>17560</v>
      </c>
      <c r="K33" s="29" t="s">
        <v>27</v>
      </c>
      <c r="L33" s="6"/>
      <c r="M33" s="6"/>
      <c r="N33" s="4"/>
    </row>
    <row r="34" spans="1:14">
      <c r="A34" s="5" t="s">
        <v>146</v>
      </c>
      <c r="B34" s="72">
        <v>3376315</v>
      </c>
      <c r="C34" s="72">
        <v>119035</v>
      </c>
      <c r="D34" s="72">
        <v>5</v>
      </c>
      <c r="E34" s="72">
        <v>30</v>
      </c>
      <c r="F34" s="72">
        <v>3</v>
      </c>
      <c r="G34" s="75">
        <v>2160</v>
      </c>
      <c r="H34" s="73" t="s">
        <v>127</v>
      </c>
      <c r="I34" s="72">
        <v>2305</v>
      </c>
      <c r="J34" s="72">
        <v>27615</v>
      </c>
      <c r="K34" s="29" t="s">
        <v>28</v>
      </c>
      <c r="L34" s="6"/>
      <c r="M34" s="6"/>
      <c r="N34" s="4"/>
    </row>
    <row r="35" spans="1:14">
      <c r="A35" s="5" t="s">
        <v>147</v>
      </c>
      <c r="B35" s="72">
        <v>1880</v>
      </c>
      <c r="C35" s="72">
        <v>31010</v>
      </c>
      <c r="D35" s="72">
        <v>250</v>
      </c>
      <c r="E35" s="72">
        <v>226</v>
      </c>
      <c r="F35" s="72">
        <v>68</v>
      </c>
      <c r="G35" s="75">
        <v>100</v>
      </c>
      <c r="H35" s="73" t="s">
        <v>127</v>
      </c>
      <c r="I35" s="72">
        <v>31</v>
      </c>
      <c r="J35" s="72">
        <v>18152</v>
      </c>
      <c r="K35" s="29" t="s">
        <v>29</v>
      </c>
      <c r="L35" s="6"/>
      <c r="M35" s="6"/>
      <c r="N35" s="4"/>
    </row>
    <row r="36" spans="1:14">
      <c r="A36" s="5" t="s">
        <v>148</v>
      </c>
      <c r="B36" s="72">
        <v>661118</v>
      </c>
      <c r="C36" s="72">
        <v>35840</v>
      </c>
      <c r="D36" s="73" t="s">
        <v>127</v>
      </c>
      <c r="E36" s="73" t="s">
        <v>127</v>
      </c>
      <c r="F36" s="73" t="s">
        <v>127</v>
      </c>
      <c r="G36" s="75">
        <v>2485</v>
      </c>
      <c r="H36" s="73" t="s">
        <v>127</v>
      </c>
      <c r="I36" s="72">
        <v>1856</v>
      </c>
      <c r="J36" s="72">
        <v>6728</v>
      </c>
      <c r="K36" s="29" t="s">
        <v>30</v>
      </c>
      <c r="L36" s="6"/>
      <c r="M36" s="6"/>
      <c r="N36" s="4"/>
    </row>
    <row r="37" spans="1:14">
      <c r="A37" s="61" t="s">
        <v>31</v>
      </c>
      <c r="B37" s="59">
        <f>SUM(B39:B43)</f>
        <v>347378</v>
      </c>
      <c r="C37" s="59">
        <f t="shared" ref="C37:J37" si="5">SUM(C39:C43)</f>
        <v>640614</v>
      </c>
      <c r="D37" s="59">
        <f t="shared" si="5"/>
        <v>2059</v>
      </c>
      <c r="E37" s="59">
        <f t="shared" si="5"/>
        <v>3274</v>
      </c>
      <c r="F37" s="59">
        <f t="shared" si="5"/>
        <v>120215</v>
      </c>
      <c r="G37" s="59">
        <f t="shared" si="5"/>
        <v>33526</v>
      </c>
      <c r="H37" s="59">
        <f t="shared" si="5"/>
        <v>24</v>
      </c>
      <c r="I37" s="59">
        <f t="shared" si="5"/>
        <v>11832</v>
      </c>
      <c r="J37" s="59">
        <f t="shared" si="5"/>
        <v>139619</v>
      </c>
      <c r="K37" s="58" t="s">
        <v>32</v>
      </c>
      <c r="L37" s="58"/>
      <c r="M37" s="58"/>
      <c r="N37" s="4"/>
    </row>
    <row r="38" spans="1:14">
      <c r="A38" s="61"/>
      <c r="B38" s="59"/>
      <c r="C38" s="59"/>
      <c r="D38" s="59"/>
      <c r="E38" s="59"/>
      <c r="F38" s="59"/>
      <c r="G38" s="59"/>
      <c r="H38" s="59"/>
      <c r="I38" s="59"/>
      <c r="J38" s="59"/>
      <c r="K38" s="58"/>
      <c r="L38" s="58"/>
      <c r="M38" s="58"/>
      <c r="N38" s="4"/>
    </row>
    <row r="39" spans="1:14">
      <c r="A39" s="5" t="s">
        <v>149</v>
      </c>
      <c r="B39" s="72">
        <v>226799</v>
      </c>
      <c r="C39" s="72">
        <v>189039</v>
      </c>
      <c r="D39" s="73" t="s">
        <v>127</v>
      </c>
      <c r="E39" s="72">
        <v>130</v>
      </c>
      <c r="F39" s="72">
        <v>102585</v>
      </c>
      <c r="G39" s="75">
        <v>15490</v>
      </c>
      <c r="H39" s="72">
        <v>4</v>
      </c>
      <c r="I39" s="72">
        <v>5646</v>
      </c>
      <c r="J39" s="72">
        <v>33646</v>
      </c>
      <c r="K39" s="29" t="s">
        <v>33</v>
      </c>
      <c r="L39" s="6"/>
      <c r="M39" s="6"/>
      <c r="N39" s="4"/>
    </row>
    <row r="40" spans="1:14">
      <c r="A40" s="5" t="s">
        <v>150</v>
      </c>
      <c r="B40" s="72">
        <v>27880</v>
      </c>
      <c r="C40" s="72">
        <v>180740</v>
      </c>
      <c r="D40" s="72">
        <v>1045</v>
      </c>
      <c r="E40" s="72">
        <v>1155</v>
      </c>
      <c r="F40" s="72">
        <v>2470</v>
      </c>
      <c r="G40" s="75">
        <v>5245</v>
      </c>
      <c r="H40" s="73" t="s">
        <v>127</v>
      </c>
      <c r="I40" s="72">
        <v>1040</v>
      </c>
      <c r="J40" s="72">
        <v>53422</v>
      </c>
      <c r="K40" s="29" t="s">
        <v>34</v>
      </c>
      <c r="L40" s="6"/>
      <c r="M40" s="6"/>
      <c r="N40" s="4"/>
    </row>
    <row r="41" spans="1:14">
      <c r="A41" s="5" t="s">
        <v>151</v>
      </c>
      <c r="B41" s="72">
        <v>43399</v>
      </c>
      <c r="C41" s="72">
        <v>92645</v>
      </c>
      <c r="D41" s="72">
        <v>310</v>
      </c>
      <c r="E41" s="72">
        <v>240</v>
      </c>
      <c r="F41" s="72">
        <v>3320</v>
      </c>
      <c r="G41" s="75">
        <v>6205</v>
      </c>
      <c r="H41" s="73" t="s">
        <v>127</v>
      </c>
      <c r="I41" s="72">
        <v>4609</v>
      </c>
      <c r="J41" s="72">
        <v>23709</v>
      </c>
      <c r="K41" s="29" t="s">
        <v>35</v>
      </c>
      <c r="L41" s="6"/>
      <c r="M41" s="6"/>
      <c r="N41" s="4"/>
    </row>
    <row r="42" spans="1:14">
      <c r="A42" s="5" t="s">
        <v>152</v>
      </c>
      <c r="B42" s="73" t="s">
        <v>127</v>
      </c>
      <c r="C42" s="72">
        <v>1100</v>
      </c>
      <c r="D42" s="73" t="s">
        <v>127</v>
      </c>
      <c r="E42" s="73" t="s">
        <v>127</v>
      </c>
      <c r="F42" s="73" t="s">
        <v>127</v>
      </c>
      <c r="G42" s="73" t="s">
        <v>127</v>
      </c>
      <c r="H42" s="73" t="s">
        <v>127</v>
      </c>
      <c r="I42" s="72">
        <v>367</v>
      </c>
      <c r="J42" s="72">
        <v>3150</v>
      </c>
      <c r="K42" s="29" t="s">
        <v>36</v>
      </c>
      <c r="L42" s="6"/>
      <c r="M42" s="6"/>
      <c r="N42" s="4"/>
    </row>
    <row r="43" spans="1:14">
      <c r="A43" s="5" t="s">
        <v>153</v>
      </c>
      <c r="B43" s="72">
        <v>49300</v>
      </c>
      <c r="C43" s="72">
        <v>177090</v>
      </c>
      <c r="D43" s="72">
        <v>704</v>
      </c>
      <c r="E43" s="72">
        <v>1749</v>
      </c>
      <c r="F43" s="72">
        <v>11840</v>
      </c>
      <c r="G43" s="75">
        <v>6586</v>
      </c>
      <c r="H43" s="72">
        <v>20</v>
      </c>
      <c r="I43" s="72">
        <v>170</v>
      </c>
      <c r="J43" s="72">
        <v>25692</v>
      </c>
      <c r="K43" s="29" t="s">
        <v>37</v>
      </c>
      <c r="L43" s="6"/>
      <c r="M43" s="6"/>
      <c r="N43" s="4"/>
    </row>
    <row r="44" spans="1:14">
      <c r="A44" s="61" t="s">
        <v>38</v>
      </c>
      <c r="B44" s="59">
        <f>SUM(B46:B50)</f>
        <v>5374950</v>
      </c>
      <c r="C44" s="59">
        <f t="shared" ref="C44:J44" si="6">SUM(C46:C50)</f>
        <v>266857</v>
      </c>
      <c r="D44" s="59">
        <f t="shared" si="6"/>
        <v>1232</v>
      </c>
      <c r="E44" s="59">
        <f t="shared" si="6"/>
        <v>1891</v>
      </c>
      <c r="F44" s="59">
        <f t="shared" si="6"/>
        <v>2483</v>
      </c>
      <c r="G44" s="59">
        <f t="shared" si="6"/>
        <v>49937</v>
      </c>
      <c r="H44" s="59">
        <f t="shared" si="6"/>
        <v>96</v>
      </c>
      <c r="I44" s="59">
        <f t="shared" si="6"/>
        <v>15259</v>
      </c>
      <c r="J44" s="59">
        <f t="shared" si="6"/>
        <v>201141</v>
      </c>
      <c r="K44" s="58" t="s">
        <v>39</v>
      </c>
      <c r="L44" s="58"/>
      <c r="M44" s="58"/>
      <c r="N44" s="4"/>
    </row>
    <row r="45" spans="1:14">
      <c r="A45" s="61"/>
      <c r="B45" s="59"/>
      <c r="C45" s="59"/>
      <c r="D45" s="59"/>
      <c r="E45" s="59"/>
      <c r="F45" s="59"/>
      <c r="G45" s="59"/>
      <c r="H45" s="59"/>
      <c r="I45" s="59"/>
      <c r="J45" s="59"/>
      <c r="K45" s="58"/>
      <c r="L45" s="58"/>
      <c r="M45" s="58"/>
      <c r="N45" s="4"/>
    </row>
    <row r="46" spans="1:14">
      <c r="A46" s="5" t="s">
        <v>154</v>
      </c>
      <c r="B46" s="72">
        <v>21100</v>
      </c>
      <c r="C46" s="72">
        <v>95322</v>
      </c>
      <c r="D46" s="72">
        <v>283</v>
      </c>
      <c r="E46" s="72">
        <v>709</v>
      </c>
      <c r="F46" s="72">
        <v>179</v>
      </c>
      <c r="G46" s="75">
        <v>27740</v>
      </c>
      <c r="H46" s="72">
        <v>23</v>
      </c>
      <c r="I46" s="72">
        <v>3908</v>
      </c>
      <c r="J46" s="72">
        <v>37381</v>
      </c>
      <c r="K46" s="29" t="s">
        <v>40</v>
      </c>
      <c r="L46" s="6"/>
      <c r="M46" s="6"/>
      <c r="N46" s="4"/>
    </row>
    <row r="47" spans="1:14">
      <c r="A47" s="5" t="s">
        <v>155</v>
      </c>
      <c r="B47" s="72">
        <v>2317800</v>
      </c>
      <c r="C47" s="72">
        <v>20240</v>
      </c>
      <c r="D47" s="72">
        <v>205</v>
      </c>
      <c r="E47" s="72">
        <v>210</v>
      </c>
      <c r="F47" s="72">
        <v>290</v>
      </c>
      <c r="G47" s="75">
        <v>3365</v>
      </c>
      <c r="H47" s="72">
        <v>50</v>
      </c>
      <c r="I47" s="72">
        <v>20</v>
      </c>
      <c r="J47" s="72">
        <v>17447</v>
      </c>
      <c r="K47" s="29" t="s">
        <v>41</v>
      </c>
      <c r="L47" s="6"/>
      <c r="M47" s="6"/>
      <c r="N47" s="4"/>
    </row>
    <row r="48" spans="1:14">
      <c r="A48" s="5" t="s">
        <v>156</v>
      </c>
      <c r="B48" s="72">
        <v>2967600</v>
      </c>
      <c r="C48" s="72">
        <v>101070</v>
      </c>
      <c r="D48" s="72">
        <v>451</v>
      </c>
      <c r="E48" s="72">
        <v>771</v>
      </c>
      <c r="F48" s="72">
        <v>1716</v>
      </c>
      <c r="G48" s="75">
        <v>5198</v>
      </c>
      <c r="H48" s="72">
        <v>23</v>
      </c>
      <c r="I48" s="72">
        <v>7815</v>
      </c>
      <c r="J48" s="72">
        <v>107027</v>
      </c>
      <c r="K48" s="29" t="s">
        <v>42</v>
      </c>
      <c r="L48" s="6"/>
      <c r="M48" s="6"/>
      <c r="N48" s="4"/>
    </row>
    <row r="49" spans="1:14">
      <c r="A49" s="5" t="s">
        <v>157</v>
      </c>
      <c r="B49" s="72">
        <v>250</v>
      </c>
      <c r="C49" s="72">
        <v>16775</v>
      </c>
      <c r="D49" s="72">
        <v>110</v>
      </c>
      <c r="E49" s="72">
        <v>45</v>
      </c>
      <c r="F49" s="72">
        <v>268</v>
      </c>
      <c r="G49" s="75">
        <v>3898</v>
      </c>
      <c r="H49" s="73" t="s">
        <v>127</v>
      </c>
      <c r="I49" s="72">
        <v>471</v>
      </c>
      <c r="J49" s="72">
        <v>15234</v>
      </c>
      <c r="K49" s="29" t="s">
        <v>43</v>
      </c>
      <c r="L49" s="6"/>
      <c r="M49" s="6"/>
      <c r="N49" s="4"/>
    </row>
    <row r="50" spans="1:14">
      <c r="A50" s="5" t="s">
        <v>158</v>
      </c>
      <c r="B50" s="72">
        <v>68200</v>
      </c>
      <c r="C50" s="72">
        <v>33450</v>
      </c>
      <c r="D50" s="72">
        <v>183</v>
      </c>
      <c r="E50" s="72">
        <v>156</v>
      </c>
      <c r="F50" s="72">
        <v>30</v>
      </c>
      <c r="G50" s="75">
        <v>9736</v>
      </c>
      <c r="H50" s="73" t="s">
        <v>127</v>
      </c>
      <c r="I50" s="72">
        <v>3045</v>
      </c>
      <c r="J50" s="72">
        <v>24052</v>
      </c>
      <c r="K50" s="29" t="s">
        <v>44</v>
      </c>
      <c r="L50" s="6"/>
      <c r="M50" s="6"/>
      <c r="N50" s="4"/>
    </row>
    <row r="51" spans="1:14">
      <c r="A51" s="61" t="s">
        <v>45</v>
      </c>
      <c r="B51" s="59">
        <f>SUM(B53:B57)</f>
        <v>0</v>
      </c>
      <c r="C51" s="59">
        <f t="shared" ref="C51:J51" si="7">SUM(C53:C57)</f>
        <v>128058</v>
      </c>
      <c r="D51" s="59">
        <f t="shared" si="7"/>
        <v>331</v>
      </c>
      <c r="E51" s="59">
        <f t="shared" si="7"/>
        <v>839</v>
      </c>
      <c r="F51" s="59">
        <f t="shared" si="7"/>
        <v>3516</v>
      </c>
      <c r="G51" s="59">
        <f t="shared" si="7"/>
        <v>54266</v>
      </c>
      <c r="H51" s="59">
        <f t="shared" si="7"/>
        <v>20</v>
      </c>
      <c r="I51" s="59">
        <f t="shared" si="7"/>
        <v>2749</v>
      </c>
      <c r="J51" s="59">
        <f t="shared" si="7"/>
        <v>43921</v>
      </c>
      <c r="K51" s="58" t="s">
        <v>46</v>
      </c>
      <c r="L51" s="58"/>
      <c r="M51" s="58"/>
      <c r="N51" s="4"/>
    </row>
    <row r="52" spans="1:14">
      <c r="A52" s="61"/>
      <c r="B52" s="59"/>
      <c r="C52" s="59"/>
      <c r="D52" s="59"/>
      <c r="E52" s="59"/>
      <c r="F52" s="59"/>
      <c r="G52" s="59"/>
      <c r="H52" s="59"/>
      <c r="I52" s="59"/>
      <c r="J52" s="59"/>
      <c r="K52" s="58"/>
      <c r="L52" s="58"/>
      <c r="M52" s="58"/>
      <c r="N52" s="4"/>
    </row>
    <row r="53" spans="1:14">
      <c r="A53" s="5" t="s">
        <v>159</v>
      </c>
      <c r="B53" s="73" t="s">
        <v>127</v>
      </c>
      <c r="C53" s="72">
        <v>74358</v>
      </c>
      <c r="D53" s="72">
        <v>53</v>
      </c>
      <c r="E53" s="72">
        <v>526</v>
      </c>
      <c r="F53" s="72">
        <v>2243</v>
      </c>
      <c r="G53" s="75">
        <v>7727</v>
      </c>
      <c r="H53" s="73" t="s">
        <v>127</v>
      </c>
      <c r="I53" s="72">
        <v>758</v>
      </c>
      <c r="J53" s="72">
        <v>1689</v>
      </c>
      <c r="K53" s="29" t="s">
        <v>47</v>
      </c>
      <c r="L53" s="6"/>
      <c r="M53" s="6"/>
      <c r="N53" s="4"/>
    </row>
    <row r="54" spans="1:14">
      <c r="A54" s="5" t="s">
        <v>160</v>
      </c>
      <c r="B54" s="73" t="s">
        <v>127</v>
      </c>
      <c r="C54" s="72">
        <v>32921</v>
      </c>
      <c r="D54" s="72">
        <v>123</v>
      </c>
      <c r="E54" s="72">
        <v>142</v>
      </c>
      <c r="F54" s="72">
        <v>831</v>
      </c>
      <c r="G54" s="75">
        <v>30598</v>
      </c>
      <c r="H54" s="72">
        <v>18</v>
      </c>
      <c r="I54" s="72">
        <v>1391</v>
      </c>
      <c r="J54" s="72">
        <v>6549</v>
      </c>
      <c r="K54" s="29" t="s">
        <v>48</v>
      </c>
      <c r="L54" s="6"/>
      <c r="M54" s="6"/>
      <c r="N54" s="4"/>
    </row>
    <row r="55" spans="1:14">
      <c r="A55" s="5" t="s">
        <v>161</v>
      </c>
      <c r="B55" s="73" t="s">
        <v>127</v>
      </c>
      <c r="C55" s="72">
        <v>652</v>
      </c>
      <c r="D55" s="73" t="s">
        <v>127</v>
      </c>
      <c r="E55" s="73" t="s">
        <v>127</v>
      </c>
      <c r="F55" s="73" t="s">
        <v>127</v>
      </c>
      <c r="G55" s="75">
        <v>110</v>
      </c>
      <c r="H55" s="73" t="s">
        <v>127</v>
      </c>
      <c r="I55" s="72">
        <v>15</v>
      </c>
      <c r="J55" s="72">
        <v>173</v>
      </c>
      <c r="K55" s="29" t="s">
        <v>49</v>
      </c>
      <c r="L55" s="6"/>
      <c r="M55" s="6"/>
      <c r="N55" s="4"/>
    </row>
    <row r="56" spans="1:14">
      <c r="A56" s="5" t="s">
        <v>162</v>
      </c>
      <c r="B56" s="73" t="s">
        <v>127</v>
      </c>
      <c r="C56" s="72">
        <v>12407</v>
      </c>
      <c r="D56" s="72">
        <v>145</v>
      </c>
      <c r="E56" s="72">
        <v>151</v>
      </c>
      <c r="F56" s="72">
        <v>382</v>
      </c>
      <c r="G56" s="75">
        <v>12895</v>
      </c>
      <c r="H56" s="72">
        <v>2</v>
      </c>
      <c r="I56" s="72">
        <v>585</v>
      </c>
      <c r="J56" s="72">
        <v>19386</v>
      </c>
      <c r="K56" s="29" t="s">
        <v>50</v>
      </c>
      <c r="L56" s="6"/>
      <c r="M56" s="6"/>
      <c r="N56" s="4"/>
    </row>
    <row r="57" spans="1:14">
      <c r="A57" s="5" t="s">
        <v>163</v>
      </c>
      <c r="B57" s="73" t="s">
        <v>127</v>
      </c>
      <c r="C57" s="72">
        <v>7720</v>
      </c>
      <c r="D57" s="72">
        <v>10</v>
      </c>
      <c r="E57" s="72">
        <v>20</v>
      </c>
      <c r="F57" s="72">
        <v>60</v>
      </c>
      <c r="G57" s="75">
        <v>2936</v>
      </c>
      <c r="H57" s="73" t="s">
        <v>127</v>
      </c>
      <c r="I57" s="73" t="s">
        <v>127</v>
      </c>
      <c r="J57" s="72">
        <v>16124</v>
      </c>
      <c r="K57" s="29" t="s">
        <v>51</v>
      </c>
      <c r="L57" s="6"/>
      <c r="M57" s="6"/>
      <c r="N57" s="4"/>
    </row>
    <row r="58" spans="1:14">
      <c r="A58" s="61" t="s">
        <v>52</v>
      </c>
      <c r="B58" s="59">
        <f>SUM(B60:B62)</f>
        <v>79240</v>
      </c>
      <c r="C58" s="59">
        <f t="shared" ref="C58:J58" si="8">SUM(C60:C62)</f>
        <v>887199</v>
      </c>
      <c r="D58" s="59">
        <f t="shared" si="8"/>
        <v>8085</v>
      </c>
      <c r="E58" s="59">
        <f t="shared" si="8"/>
        <v>10235</v>
      </c>
      <c r="F58" s="59">
        <f t="shared" si="8"/>
        <v>9864</v>
      </c>
      <c r="G58" s="59">
        <f t="shared" si="8"/>
        <v>169057</v>
      </c>
      <c r="H58" s="59">
        <f t="shared" si="8"/>
        <v>287</v>
      </c>
      <c r="I58" s="59">
        <f t="shared" si="8"/>
        <v>15669</v>
      </c>
      <c r="J58" s="59">
        <f t="shared" si="8"/>
        <v>58424</v>
      </c>
      <c r="K58" s="58" t="s">
        <v>53</v>
      </c>
      <c r="L58" s="58"/>
      <c r="M58" s="58"/>
      <c r="N58" s="4"/>
    </row>
    <row r="59" spans="1:14">
      <c r="A59" s="61"/>
      <c r="B59" s="59"/>
      <c r="C59" s="59"/>
      <c r="D59" s="59"/>
      <c r="E59" s="59"/>
      <c r="F59" s="59"/>
      <c r="G59" s="59"/>
      <c r="H59" s="59"/>
      <c r="I59" s="59"/>
      <c r="J59" s="59"/>
      <c r="K59" s="58"/>
      <c r="L59" s="58"/>
      <c r="M59" s="58"/>
      <c r="N59" s="4"/>
    </row>
    <row r="60" spans="1:14">
      <c r="A60" s="5" t="s">
        <v>164</v>
      </c>
      <c r="B60" s="72">
        <v>11530</v>
      </c>
      <c r="C60" s="72">
        <v>147353</v>
      </c>
      <c r="D60" s="72">
        <v>466</v>
      </c>
      <c r="E60" s="72">
        <v>273</v>
      </c>
      <c r="F60" s="72">
        <v>946</v>
      </c>
      <c r="G60" s="75">
        <v>54610</v>
      </c>
      <c r="H60" s="72">
        <v>60</v>
      </c>
      <c r="I60" s="72">
        <v>4507</v>
      </c>
      <c r="J60" s="72">
        <v>17239</v>
      </c>
      <c r="K60" s="29" t="s">
        <v>54</v>
      </c>
      <c r="L60" s="6"/>
      <c r="M60" s="6"/>
      <c r="N60" s="4"/>
    </row>
    <row r="61" spans="1:14">
      <c r="A61" s="5" t="s">
        <v>165</v>
      </c>
      <c r="B61" s="72">
        <v>50010</v>
      </c>
      <c r="C61" s="72">
        <v>486234</v>
      </c>
      <c r="D61" s="72">
        <v>1546</v>
      </c>
      <c r="E61" s="72">
        <v>4178</v>
      </c>
      <c r="F61" s="72">
        <v>1345</v>
      </c>
      <c r="G61" s="75">
        <v>53207</v>
      </c>
      <c r="H61" s="72">
        <v>74</v>
      </c>
      <c r="I61" s="72">
        <v>6397</v>
      </c>
      <c r="J61" s="72">
        <v>32458</v>
      </c>
      <c r="K61" s="29" t="s">
        <v>55</v>
      </c>
      <c r="L61" s="6"/>
      <c r="M61" s="6"/>
      <c r="N61" s="4"/>
    </row>
    <row r="62" spans="1:14">
      <c r="A62" s="5" t="s">
        <v>166</v>
      </c>
      <c r="B62" s="72">
        <v>17700</v>
      </c>
      <c r="C62" s="72">
        <v>253612</v>
      </c>
      <c r="D62" s="72">
        <v>6073</v>
      </c>
      <c r="E62" s="72">
        <v>5784</v>
      </c>
      <c r="F62" s="72">
        <v>7573</v>
      </c>
      <c r="G62" s="75">
        <v>61240</v>
      </c>
      <c r="H62" s="72">
        <v>153</v>
      </c>
      <c r="I62" s="72">
        <v>4765</v>
      </c>
      <c r="J62" s="72">
        <v>8727</v>
      </c>
      <c r="K62" s="29" t="s">
        <v>56</v>
      </c>
      <c r="L62" s="6"/>
      <c r="M62" s="6"/>
      <c r="N62" s="4"/>
    </row>
    <row r="63" spans="1:14">
      <c r="A63" s="61" t="s">
        <v>57</v>
      </c>
      <c r="B63" s="59">
        <f>SUM(B65:B69)</f>
        <v>1042009</v>
      </c>
      <c r="C63" s="59">
        <f t="shared" ref="C63:J63" si="9">SUM(C65:C69)</f>
        <v>374671</v>
      </c>
      <c r="D63" s="59">
        <f t="shared" si="9"/>
        <v>1079</v>
      </c>
      <c r="E63" s="59">
        <f t="shared" si="9"/>
        <v>812</v>
      </c>
      <c r="F63" s="59">
        <f t="shared" si="9"/>
        <v>15162</v>
      </c>
      <c r="G63" s="59">
        <f t="shared" si="9"/>
        <v>72544</v>
      </c>
      <c r="H63" s="59">
        <f t="shared" si="9"/>
        <v>265</v>
      </c>
      <c r="I63" s="59">
        <f t="shared" si="9"/>
        <v>9398</v>
      </c>
      <c r="J63" s="59">
        <f t="shared" si="9"/>
        <v>212243</v>
      </c>
      <c r="K63" s="58" t="s">
        <v>58</v>
      </c>
      <c r="L63" s="58"/>
      <c r="M63" s="58"/>
      <c r="N63" s="4"/>
    </row>
    <row r="64" spans="1:14">
      <c r="A64" s="61"/>
      <c r="B64" s="59"/>
      <c r="C64" s="59"/>
      <c r="D64" s="59"/>
      <c r="E64" s="59"/>
      <c r="F64" s="59"/>
      <c r="G64" s="59"/>
      <c r="H64" s="59"/>
      <c r="I64" s="59"/>
      <c r="J64" s="59"/>
      <c r="K64" s="58"/>
      <c r="L64" s="58"/>
      <c r="M64" s="58"/>
      <c r="N64" s="4"/>
    </row>
    <row r="65" spans="1:14">
      <c r="A65" s="5" t="s">
        <v>167</v>
      </c>
      <c r="B65" s="72">
        <v>304620</v>
      </c>
      <c r="C65" s="72">
        <v>62465</v>
      </c>
      <c r="D65" s="72">
        <v>264</v>
      </c>
      <c r="E65" s="72">
        <v>86</v>
      </c>
      <c r="F65" s="72">
        <v>290</v>
      </c>
      <c r="G65" s="75">
        <v>9547</v>
      </c>
      <c r="H65" s="72">
        <v>20</v>
      </c>
      <c r="I65" s="72">
        <v>441</v>
      </c>
      <c r="J65" s="72">
        <v>54744</v>
      </c>
      <c r="K65" s="29" t="s">
        <v>59</v>
      </c>
      <c r="L65" s="6"/>
      <c r="M65" s="6"/>
      <c r="N65" s="4"/>
    </row>
    <row r="66" spans="1:14">
      <c r="A66" s="5" t="s">
        <v>168</v>
      </c>
      <c r="B66" s="72">
        <v>83550</v>
      </c>
      <c r="C66" s="72">
        <v>69190</v>
      </c>
      <c r="D66" s="72">
        <v>140</v>
      </c>
      <c r="E66" s="72">
        <v>140</v>
      </c>
      <c r="F66" s="72">
        <v>7946</v>
      </c>
      <c r="G66" s="75">
        <v>12225</v>
      </c>
      <c r="H66" s="72">
        <v>2</v>
      </c>
      <c r="I66" s="72">
        <v>410</v>
      </c>
      <c r="J66" s="72">
        <v>44888</v>
      </c>
      <c r="K66" s="29" t="s">
        <v>60</v>
      </c>
      <c r="L66" s="6"/>
      <c r="M66" s="6"/>
      <c r="N66" s="4"/>
    </row>
    <row r="67" spans="1:14">
      <c r="A67" s="5" t="s">
        <v>169</v>
      </c>
      <c r="B67" s="72">
        <v>589981</v>
      </c>
      <c r="C67" s="72">
        <v>64250</v>
      </c>
      <c r="D67" s="72">
        <v>35</v>
      </c>
      <c r="E67" s="72">
        <v>105</v>
      </c>
      <c r="F67" s="72">
        <v>275</v>
      </c>
      <c r="G67" s="75">
        <v>27415</v>
      </c>
      <c r="H67" s="72">
        <v>10</v>
      </c>
      <c r="I67" s="72">
        <v>47</v>
      </c>
      <c r="J67" s="72">
        <v>25779</v>
      </c>
      <c r="K67" s="29" t="s">
        <v>61</v>
      </c>
      <c r="L67" s="6"/>
      <c r="M67" s="6"/>
      <c r="N67" s="4"/>
    </row>
    <row r="68" spans="1:14">
      <c r="A68" s="5" t="s">
        <v>170</v>
      </c>
      <c r="B68" s="72">
        <v>53358</v>
      </c>
      <c r="C68" s="72">
        <v>92980</v>
      </c>
      <c r="D68" s="72">
        <v>223</v>
      </c>
      <c r="E68" s="72">
        <v>45</v>
      </c>
      <c r="F68" s="72">
        <v>619</v>
      </c>
      <c r="G68" s="75">
        <v>14688</v>
      </c>
      <c r="H68" s="72">
        <v>173</v>
      </c>
      <c r="I68" s="72">
        <v>2443</v>
      </c>
      <c r="J68" s="72">
        <v>45813</v>
      </c>
      <c r="K68" s="29" t="s">
        <v>62</v>
      </c>
      <c r="L68" s="6"/>
      <c r="M68" s="6"/>
      <c r="N68" s="4"/>
    </row>
    <row r="69" spans="1:14">
      <c r="A69" s="5" t="s">
        <v>171</v>
      </c>
      <c r="B69" s="72">
        <v>10500</v>
      </c>
      <c r="C69" s="72">
        <v>85786</v>
      </c>
      <c r="D69" s="72">
        <v>417</v>
      </c>
      <c r="E69" s="72">
        <v>436</v>
      </c>
      <c r="F69" s="72">
        <v>6032</v>
      </c>
      <c r="G69" s="75">
        <v>8669</v>
      </c>
      <c r="H69" s="72">
        <v>60</v>
      </c>
      <c r="I69" s="72">
        <v>6057</v>
      </c>
      <c r="J69" s="72">
        <v>41019</v>
      </c>
      <c r="K69" s="29" t="s">
        <v>63</v>
      </c>
      <c r="L69" s="6"/>
      <c r="M69" s="6"/>
      <c r="N69" s="4"/>
    </row>
    <row r="70" spans="1:14">
      <c r="A70" s="61" t="s">
        <v>64</v>
      </c>
      <c r="B70" s="62">
        <f t="shared" ref="B70:J70" si="10">SUM(B72:B79)</f>
        <v>3150481</v>
      </c>
      <c r="C70" s="62">
        <f t="shared" si="10"/>
        <v>272307</v>
      </c>
      <c r="D70" s="62">
        <f t="shared" si="10"/>
        <v>194</v>
      </c>
      <c r="E70" s="62">
        <f t="shared" si="10"/>
        <v>1021</v>
      </c>
      <c r="F70" s="62">
        <f t="shared" si="10"/>
        <v>1612</v>
      </c>
      <c r="G70" s="62">
        <f t="shared" si="10"/>
        <v>5676</v>
      </c>
      <c r="H70" s="62">
        <f t="shared" si="10"/>
        <v>345</v>
      </c>
      <c r="I70" s="62">
        <f t="shared" si="10"/>
        <v>1165</v>
      </c>
      <c r="J70" s="62">
        <f t="shared" si="10"/>
        <v>37207</v>
      </c>
      <c r="K70" s="58" t="s">
        <v>65</v>
      </c>
      <c r="L70" s="58"/>
      <c r="M70" s="58"/>
      <c r="N70" s="4"/>
    </row>
    <row r="71" spans="1:14">
      <c r="A71" s="61"/>
      <c r="B71" s="62"/>
      <c r="C71" s="62"/>
      <c r="D71" s="62"/>
      <c r="E71" s="62"/>
      <c r="F71" s="62"/>
      <c r="G71" s="62"/>
      <c r="H71" s="62"/>
      <c r="I71" s="62"/>
      <c r="J71" s="62"/>
      <c r="K71" s="58"/>
      <c r="L71" s="58"/>
      <c r="M71" s="58"/>
      <c r="N71" s="4"/>
    </row>
    <row r="72" spans="1:14">
      <c r="A72" s="7" t="s">
        <v>66</v>
      </c>
      <c r="B72" s="72" t="s">
        <v>127</v>
      </c>
      <c r="C72" s="72" t="s">
        <v>127</v>
      </c>
      <c r="D72" s="72" t="s">
        <v>127</v>
      </c>
      <c r="E72" s="72" t="s">
        <v>127</v>
      </c>
      <c r="F72" s="72" t="s">
        <v>127</v>
      </c>
      <c r="G72" s="72" t="s">
        <v>127</v>
      </c>
      <c r="H72" s="72" t="s">
        <v>127</v>
      </c>
      <c r="I72" s="72" t="s">
        <v>127</v>
      </c>
      <c r="J72" s="72" t="s">
        <v>127</v>
      </c>
      <c r="K72" s="29" t="s">
        <v>67</v>
      </c>
      <c r="L72" s="6"/>
      <c r="M72" s="6"/>
      <c r="N72" s="4"/>
    </row>
    <row r="73" spans="1:14">
      <c r="A73" s="7" t="s">
        <v>68</v>
      </c>
      <c r="B73" s="73" t="s">
        <v>127</v>
      </c>
      <c r="C73" s="73" t="s">
        <v>127</v>
      </c>
      <c r="D73" s="73" t="s">
        <v>127</v>
      </c>
      <c r="E73" s="73" t="s">
        <v>127</v>
      </c>
      <c r="F73" s="73" t="s">
        <v>127</v>
      </c>
      <c r="G73" s="73" t="s">
        <v>127</v>
      </c>
      <c r="H73" s="73" t="s">
        <v>127</v>
      </c>
      <c r="I73" s="73" t="s">
        <v>127</v>
      </c>
      <c r="J73" s="72">
        <v>617</v>
      </c>
      <c r="K73" s="29" t="s">
        <v>69</v>
      </c>
      <c r="L73" s="6"/>
      <c r="M73" s="6"/>
      <c r="N73" s="4"/>
    </row>
    <row r="74" spans="1:14">
      <c r="A74" s="7" t="s">
        <v>70</v>
      </c>
      <c r="B74" s="73" t="s">
        <v>127</v>
      </c>
      <c r="C74" s="73" t="s">
        <v>127</v>
      </c>
      <c r="D74" s="73" t="s">
        <v>127</v>
      </c>
      <c r="E74" s="73" t="s">
        <v>127</v>
      </c>
      <c r="F74" s="73" t="s">
        <v>127</v>
      </c>
      <c r="G74" s="73" t="s">
        <v>127</v>
      </c>
      <c r="H74" s="73" t="s">
        <v>127</v>
      </c>
      <c r="I74" s="72">
        <v>15</v>
      </c>
      <c r="J74" s="73" t="s">
        <v>127</v>
      </c>
      <c r="K74" s="29" t="s">
        <v>71</v>
      </c>
      <c r="L74" s="6"/>
      <c r="M74" s="6"/>
      <c r="N74" s="4"/>
    </row>
    <row r="75" spans="1:14">
      <c r="A75" s="7" t="s">
        <v>72</v>
      </c>
      <c r="B75" s="73" t="s">
        <v>127</v>
      </c>
      <c r="C75" s="73" t="s">
        <v>127</v>
      </c>
      <c r="D75" s="73" t="s">
        <v>127</v>
      </c>
      <c r="E75" s="73" t="s">
        <v>127</v>
      </c>
      <c r="F75" s="73" t="s">
        <v>127</v>
      </c>
      <c r="G75" s="73" t="s">
        <v>127</v>
      </c>
      <c r="H75" s="73" t="s">
        <v>127</v>
      </c>
      <c r="I75" s="72" t="s">
        <v>127</v>
      </c>
      <c r="J75" s="73" t="s">
        <v>127</v>
      </c>
      <c r="K75" s="29" t="s">
        <v>73</v>
      </c>
      <c r="L75" s="6"/>
      <c r="M75" s="6"/>
      <c r="N75" s="4"/>
    </row>
    <row r="76" spans="1:14">
      <c r="A76" s="7" t="s">
        <v>74</v>
      </c>
      <c r="B76" s="72">
        <v>1311248</v>
      </c>
      <c r="C76" s="72">
        <v>257682</v>
      </c>
      <c r="D76" s="72">
        <v>113</v>
      </c>
      <c r="E76" s="72">
        <v>136</v>
      </c>
      <c r="F76" s="72">
        <v>699</v>
      </c>
      <c r="G76" s="75">
        <v>810</v>
      </c>
      <c r="H76" s="72">
        <v>265</v>
      </c>
      <c r="I76" s="72">
        <v>250</v>
      </c>
      <c r="J76" s="72">
        <v>12638</v>
      </c>
      <c r="K76" s="29" t="s">
        <v>75</v>
      </c>
      <c r="L76" s="6"/>
      <c r="M76" s="6"/>
      <c r="N76" s="4"/>
    </row>
    <row r="77" spans="1:14">
      <c r="A77" s="7" t="s">
        <v>76</v>
      </c>
      <c r="B77" s="72">
        <v>1830733</v>
      </c>
      <c r="C77" s="72">
        <v>5000</v>
      </c>
      <c r="D77" s="72">
        <v>50</v>
      </c>
      <c r="E77" s="72">
        <v>540</v>
      </c>
      <c r="F77" s="72">
        <v>140</v>
      </c>
      <c r="G77" s="75">
        <v>4300</v>
      </c>
      <c r="H77" s="72">
        <v>80</v>
      </c>
      <c r="I77" s="72">
        <v>900</v>
      </c>
      <c r="J77" s="72">
        <v>11050</v>
      </c>
      <c r="K77" s="29" t="s">
        <v>77</v>
      </c>
      <c r="L77" s="6"/>
      <c r="M77" s="6"/>
      <c r="N77" s="4"/>
    </row>
    <row r="78" spans="1:14">
      <c r="A78" s="7" t="s">
        <v>78</v>
      </c>
      <c r="B78" s="73" t="s">
        <v>127</v>
      </c>
      <c r="C78" s="72">
        <v>150</v>
      </c>
      <c r="D78" s="73" t="s">
        <v>127</v>
      </c>
      <c r="E78" s="73" t="s">
        <v>127</v>
      </c>
      <c r="F78" s="73" t="s">
        <v>127</v>
      </c>
      <c r="G78" s="73" t="s">
        <v>127</v>
      </c>
      <c r="H78" s="73" t="s">
        <v>127</v>
      </c>
      <c r="I78" s="73" t="s">
        <v>127</v>
      </c>
      <c r="J78" s="72">
        <v>55</v>
      </c>
      <c r="K78" s="29" t="s">
        <v>79</v>
      </c>
      <c r="L78" s="6"/>
      <c r="M78" s="6"/>
      <c r="N78" s="4"/>
    </row>
    <row r="79" spans="1:14">
      <c r="A79" s="7" t="s">
        <v>80</v>
      </c>
      <c r="B79" s="72">
        <v>8500</v>
      </c>
      <c r="C79" s="72">
        <v>9475</v>
      </c>
      <c r="D79" s="72">
        <v>31</v>
      </c>
      <c r="E79" s="72">
        <v>345</v>
      </c>
      <c r="F79" s="72">
        <v>773</v>
      </c>
      <c r="G79" s="75">
        <v>566</v>
      </c>
      <c r="H79" s="73" t="s">
        <v>127</v>
      </c>
      <c r="I79" s="73" t="s">
        <v>127</v>
      </c>
      <c r="J79" s="72">
        <v>12847</v>
      </c>
      <c r="K79" s="29" t="s">
        <v>81</v>
      </c>
      <c r="L79" s="6"/>
      <c r="M79" s="6"/>
      <c r="N79" s="4"/>
    </row>
    <row r="80" spans="1:14">
      <c r="A80" s="61" t="s">
        <v>82</v>
      </c>
      <c r="B80" s="62">
        <f t="shared" ref="B80:J80" si="11">SUM(B82:B86)</f>
        <v>138400</v>
      </c>
      <c r="C80" s="62">
        <f t="shared" si="11"/>
        <v>120144</v>
      </c>
      <c r="D80" s="62">
        <f t="shared" si="11"/>
        <v>493</v>
      </c>
      <c r="E80" s="62">
        <f t="shared" si="11"/>
        <v>1139</v>
      </c>
      <c r="F80" s="62">
        <f t="shared" si="11"/>
        <v>2376</v>
      </c>
      <c r="G80" s="62">
        <f t="shared" si="11"/>
        <v>16899</v>
      </c>
      <c r="H80" s="62">
        <f t="shared" si="11"/>
        <v>6</v>
      </c>
      <c r="I80" s="62">
        <f t="shared" si="11"/>
        <v>1527</v>
      </c>
      <c r="J80" s="62">
        <f t="shared" si="11"/>
        <v>37362</v>
      </c>
      <c r="K80" s="58" t="s">
        <v>83</v>
      </c>
      <c r="L80" s="58"/>
      <c r="M80" s="58"/>
      <c r="N80" s="4"/>
    </row>
    <row r="81" spans="1:14">
      <c r="A81" s="61"/>
      <c r="B81" s="62"/>
      <c r="C81" s="62"/>
      <c r="D81" s="62"/>
      <c r="E81" s="62"/>
      <c r="F81" s="62"/>
      <c r="G81" s="62"/>
      <c r="H81" s="62"/>
      <c r="I81" s="62"/>
      <c r="J81" s="62"/>
      <c r="K81" s="58"/>
      <c r="L81" s="58"/>
      <c r="M81" s="58"/>
      <c r="N81" s="4"/>
    </row>
    <row r="82" spans="1:14">
      <c r="A82" s="5" t="s">
        <v>172</v>
      </c>
      <c r="B82" s="72">
        <v>82000</v>
      </c>
      <c r="C82" s="72">
        <v>59204</v>
      </c>
      <c r="D82" s="72">
        <v>313</v>
      </c>
      <c r="E82" s="72">
        <v>705</v>
      </c>
      <c r="F82" s="72">
        <v>1497</v>
      </c>
      <c r="G82" s="75">
        <v>1614</v>
      </c>
      <c r="H82" s="72">
        <v>6</v>
      </c>
      <c r="I82" s="72">
        <v>662</v>
      </c>
      <c r="J82" s="72">
        <v>9218</v>
      </c>
      <c r="K82" s="29" t="s">
        <v>84</v>
      </c>
      <c r="L82" s="6"/>
      <c r="M82" s="6"/>
      <c r="N82" s="4"/>
    </row>
    <row r="83" spans="1:14">
      <c r="A83" s="5" t="s">
        <v>173</v>
      </c>
      <c r="B83" s="73" t="s">
        <v>127</v>
      </c>
      <c r="C83" s="72">
        <v>13530</v>
      </c>
      <c r="D83" s="73" t="s">
        <v>127</v>
      </c>
      <c r="E83" s="73" t="s">
        <v>127</v>
      </c>
      <c r="F83" s="72">
        <v>120</v>
      </c>
      <c r="G83" s="75">
        <v>2300</v>
      </c>
      <c r="H83" s="73" t="s">
        <v>127</v>
      </c>
      <c r="I83" s="72">
        <v>30</v>
      </c>
      <c r="J83" s="72">
        <v>10427</v>
      </c>
      <c r="K83" s="29" t="s">
        <v>85</v>
      </c>
      <c r="L83" s="6"/>
      <c r="M83" s="6"/>
      <c r="N83" s="4"/>
    </row>
    <row r="84" spans="1:14">
      <c r="A84" s="5" t="s">
        <v>174</v>
      </c>
      <c r="B84" s="73" t="s">
        <v>127</v>
      </c>
      <c r="C84" s="72">
        <v>11575</v>
      </c>
      <c r="D84" s="72">
        <v>100</v>
      </c>
      <c r="E84" s="72">
        <v>220</v>
      </c>
      <c r="F84" s="72">
        <v>150</v>
      </c>
      <c r="G84" s="73" t="s">
        <v>127</v>
      </c>
      <c r="H84" s="73" t="s">
        <v>127</v>
      </c>
      <c r="I84" s="72">
        <v>43</v>
      </c>
      <c r="J84" s="72">
        <v>2800</v>
      </c>
      <c r="K84" s="29" t="s">
        <v>86</v>
      </c>
      <c r="L84" s="6"/>
      <c r="M84" s="6"/>
      <c r="N84" s="4"/>
    </row>
    <row r="85" spans="1:14">
      <c r="A85" s="5" t="s">
        <v>175</v>
      </c>
      <c r="B85" s="72">
        <v>800</v>
      </c>
      <c r="C85" s="72">
        <v>5830</v>
      </c>
      <c r="D85" s="72">
        <v>45</v>
      </c>
      <c r="E85" s="72">
        <v>105</v>
      </c>
      <c r="F85" s="72">
        <v>404</v>
      </c>
      <c r="G85" s="75">
        <v>3830</v>
      </c>
      <c r="H85" s="73" t="s">
        <v>127</v>
      </c>
      <c r="I85" s="73" t="s">
        <v>127</v>
      </c>
      <c r="J85" s="72">
        <v>8060</v>
      </c>
      <c r="K85" s="29" t="s">
        <v>87</v>
      </c>
      <c r="L85" s="6"/>
      <c r="M85" s="6"/>
      <c r="N85" s="4"/>
    </row>
    <row r="86" spans="1:14">
      <c r="A86" s="5" t="s">
        <v>176</v>
      </c>
      <c r="B86" s="72">
        <v>55600</v>
      </c>
      <c r="C86" s="72">
        <v>30005</v>
      </c>
      <c r="D86" s="72">
        <v>35</v>
      </c>
      <c r="E86" s="72">
        <v>109</v>
      </c>
      <c r="F86" s="72">
        <v>205</v>
      </c>
      <c r="G86" s="75">
        <v>9155</v>
      </c>
      <c r="H86" s="73" t="s">
        <v>127</v>
      </c>
      <c r="I86" s="72">
        <v>792</v>
      </c>
      <c r="J86" s="72">
        <v>6857</v>
      </c>
      <c r="K86" s="29" t="s">
        <v>88</v>
      </c>
      <c r="L86" s="6"/>
      <c r="M86" s="6"/>
      <c r="N86" s="4"/>
    </row>
    <row r="87" spans="1:14">
      <c r="A87" s="61" t="s">
        <v>89</v>
      </c>
      <c r="B87" s="62">
        <f t="shared" ref="B87:J87" si="12">SUM(B89:B101)</f>
        <v>178120</v>
      </c>
      <c r="C87" s="62">
        <f t="shared" si="12"/>
        <v>170416</v>
      </c>
      <c r="D87" s="62">
        <f t="shared" si="12"/>
        <v>575</v>
      </c>
      <c r="E87" s="62">
        <f t="shared" si="12"/>
        <v>2420</v>
      </c>
      <c r="F87" s="62">
        <f t="shared" si="12"/>
        <v>4371</v>
      </c>
      <c r="G87" s="62">
        <f t="shared" si="12"/>
        <v>48328</v>
      </c>
      <c r="H87" s="62">
        <f t="shared" si="12"/>
        <v>13</v>
      </c>
      <c r="I87" s="62">
        <f t="shared" si="12"/>
        <v>6795</v>
      </c>
      <c r="J87" s="62">
        <f t="shared" si="12"/>
        <v>71684</v>
      </c>
      <c r="K87" s="58" t="s">
        <v>90</v>
      </c>
      <c r="L87" s="58"/>
      <c r="M87" s="58"/>
      <c r="N87" s="4"/>
    </row>
    <row r="88" spans="1:14">
      <c r="A88" s="61"/>
      <c r="B88" s="62"/>
      <c r="C88" s="62"/>
      <c r="D88" s="62"/>
      <c r="E88" s="62"/>
      <c r="F88" s="62"/>
      <c r="G88" s="62"/>
      <c r="H88" s="62"/>
      <c r="I88" s="62"/>
      <c r="J88" s="62"/>
      <c r="K88" s="58"/>
      <c r="L88" s="58"/>
      <c r="M88" s="58"/>
      <c r="N88" s="4"/>
    </row>
    <row r="89" spans="1:14">
      <c r="A89" s="5" t="s">
        <v>177</v>
      </c>
      <c r="B89" s="72">
        <v>2500</v>
      </c>
      <c r="C89" s="72">
        <v>5800</v>
      </c>
      <c r="D89" s="72">
        <v>31</v>
      </c>
      <c r="E89" s="72">
        <v>98</v>
      </c>
      <c r="F89" s="72">
        <v>68</v>
      </c>
      <c r="G89" s="75">
        <v>2720</v>
      </c>
      <c r="H89" s="73" t="s">
        <v>127</v>
      </c>
      <c r="I89" s="72">
        <v>325</v>
      </c>
      <c r="J89" s="72">
        <v>820</v>
      </c>
      <c r="K89" s="29" t="s">
        <v>91</v>
      </c>
      <c r="L89" s="6"/>
      <c r="M89" s="6"/>
      <c r="N89" s="4"/>
    </row>
    <row r="90" spans="1:14">
      <c r="A90" s="5" t="s">
        <v>178</v>
      </c>
      <c r="B90" s="73" t="s">
        <v>127</v>
      </c>
      <c r="C90" s="72">
        <v>29380</v>
      </c>
      <c r="D90" s="73" t="s">
        <v>127</v>
      </c>
      <c r="E90" s="73" t="s">
        <v>127</v>
      </c>
      <c r="F90" s="73" t="s">
        <v>127</v>
      </c>
      <c r="G90" s="75">
        <v>1420</v>
      </c>
      <c r="H90" s="73" t="s">
        <v>127</v>
      </c>
      <c r="I90" s="73" t="s">
        <v>127</v>
      </c>
      <c r="J90" s="72">
        <v>9098</v>
      </c>
      <c r="K90" s="29" t="s">
        <v>92</v>
      </c>
      <c r="L90" s="6"/>
      <c r="M90" s="6"/>
      <c r="N90" s="4"/>
    </row>
    <row r="91" spans="1:14">
      <c r="A91" s="5" t="s">
        <v>179</v>
      </c>
      <c r="B91" s="73" t="s">
        <v>127</v>
      </c>
      <c r="C91" s="72">
        <v>11430</v>
      </c>
      <c r="D91" s="72">
        <v>1</v>
      </c>
      <c r="E91" s="72">
        <v>62</v>
      </c>
      <c r="F91" s="72">
        <v>45</v>
      </c>
      <c r="G91" s="75">
        <v>12490</v>
      </c>
      <c r="H91" s="73" t="s">
        <v>127</v>
      </c>
      <c r="I91" s="72">
        <v>430</v>
      </c>
      <c r="J91" s="72">
        <v>6986</v>
      </c>
      <c r="K91" s="29" t="s">
        <v>93</v>
      </c>
      <c r="L91" s="6"/>
      <c r="M91" s="6"/>
      <c r="N91" s="4"/>
    </row>
    <row r="92" spans="1:14">
      <c r="A92" s="5" t="s">
        <v>180</v>
      </c>
      <c r="B92" s="72">
        <v>23600</v>
      </c>
      <c r="C92" s="72">
        <v>14000</v>
      </c>
      <c r="D92" s="72">
        <v>50</v>
      </c>
      <c r="E92" s="72">
        <v>180</v>
      </c>
      <c r="F92" s="72">
        <v>550</v>
      </c>
      <c r="G92" s="75">
        <v>1550</v>
      </c>
      <c r="H92" s="72">
        <v>7</v>
      </c>
      <c r="I92" s="73" t="s">
        <v>127</v>
      </c>
      <c r="J92" s="72">
        <v>12089</v>
      </c>
      <c r="K92" s="29" t="s">
        <v>94</v>
      </c>
      <c r="L92" s="6"/>
      <c r="M92" s="6"/>
      <c r="N92" s="4"/>
    </row>
    <row r="93" spans="1:14">
      <c r="A93" s="5" t="s">
        <v>181</v>
      </c>
      <c r="B93" s="72">
        <v>2000</v>
      </c>
      <c r="C93" s="72">
        <v>6106</v>
      </c>
      <c r="D93" s="72">
        <v>10</v>
      </c>
      <c r="E93" s="72">
        <v>52</v>
      </c>
      <c r="F93" s="72">
        <v>537</v>
      </c>
      <c r="G93" s="75">
        <v>2608</v>
      </c>
      <c r="H93" s="72">
        <v>2</v>
      </c>
      <c r="I93" s="72">
        <v>1453</v>
      </c>
      <c r="J93" s="72">
        <v>2225</v>
      </c>
      <c r="K93" s="29" t="s">
        <v>95</v>
      </c>
      <c r="L93" s="6"/>
      <c r="M93" s="6"/>
      <c r="N93" s="4"/>
    </row>
    <row r="94" spans="1:14">
      <c r="A94" s="5" t="s">
        <v>182</v>
      </c>
      <c r="B94" s="73" t="s">
        <v>127</v>
      </c>
      <c r="C94" s="72">
        <v>4287</v>
      </c>
      <c r="D94" s="73" t="s">
        <v>127</v>
      </c>
      <c r="E94" s="73" t="s">
        <v>127</v>
      </c>
      <c r="F94" s="72">
        <v>13</v>
      </c>
      <c r="G94" s="75">
        <v>450</v>
      </c>
      <c r="H94" s="73" t="s">
        <v>127</v>
      </c>
      <c r="I94" s="73" t="s">
        <v>127</v>
      </c>
      <c r="J94" s="72">
        <v>3500</v>
      </c>
      <c r="K94" s="29" t="s">
        <v>96</v>
      </c>
      <c r="L94" s="6"/>
      <c r="M94" s="6"/>
      <c r="N94" s="4"/>
    </row>
    <row r="95" spans="1:14">
      <c r="A95" s="5" t="s">
        <v>183</v>
      </c>
      <c r="B95" s="72">
        <v>500</v>
      </c>
      <c r="C95" s="72">
        <v>9598</v>
      </c>
      <c r="D95" s="73" t="s">
        <v>127</v>
      </c>
      <c r="E95" s="72">
        <v>10</v>
      </c>
      <c r="F95" s="72">
        <v>285</v>
      </c>
      <c r="G95" s="75">
        <v>1750</v>
      </c>
      <c r="H95" s="73" t="s">
        <v>127</v>
      </c>
      <c r="I95" s="72">
        <v>1592</v>
      </c>
      <c r="J95" s="72">
        <v>11786</v>
      </c>
      <c r="K95" s="29" t="s">
        <v>97</v>
      </c>
      <c r="L95" s="6"/>
      <c r="M95" s="6"/>
      <c r="N95" s="4"/>
    </row>
    <row r="96" spans="1:14">
      <c r="A96" s="5" t="s">
        <v>184</v>
      </c>
      <c r="B96" s="73" t="s">
        <v>127</v>
      </c>
      <c r="C96" s="72">
        <v>12500</v>
      </c>
      <c r="D96" s="73" t="s">
        <v>127</v>
      </c>
      <c r="E96" s="72">
        <v>25</v>
      </c>
      <c r="F96" s="72">
        <v>560</v>
      </c>
      <c r="G96" s="75">
        <v>2410</v>
      </c>
      <c r="H96" s="73" t="s">
        <v>127</v>
      </c>
      <c r="I96" s="72">
        <v>12</v>
      </c>
      <c r="J96" s="72">
        <v>4259</v>
      </c>
      <c r="K96" s="29" t="s">
        <v>98</v>
      </c>
      <c r="L96" s="6"/>
      <c r="M96" s="6"/>
      <c r="N96" s="4"/>
    </row>
    <row r="97" spans="1:14">
      <c r="A97" s="5" t="s">
        <v>185</v>
      </c>
      <c r="B97" s="73" t="s">
        <v>127</v>
      </c>
      <c r="C97" s="72">
        <v>2000</v>
      </c>
      <c r="D97" s="72">
        <v>75</v>
      </c>
      <c r="E97" s="72">
        <v>55</v>
      </c>
      <c r="F97" s="72">
        <v>25</v>
      </c>
      <c r="G97" s="75">
        <v>1350</v>
      </c>
      <c r="H97" s="73" t="s">
        <v>127</v>
      </c>
      <c r="I97" s="73" t="s">
        <v>127</v>
      </c>
      <c r="J97" s="72">
        <v>150</v>
      </c>
      <c r="K97" s="29" t="s">
        <v>99</v>
      </c>
      <c r="L97" s="6"/>
      <c r="M97" s="6"/>
      <c r="N97" s="4"/>
    </row>
    <row r="98" spans="1:14">
      <c r="A98" s="5" t="s">
        <v>186</v>
      </c>
      <c r="B98" s="73" t="s">
        <v>127</v>
      </c>
      <c r="C98" s="72">
        <v>41374</v>
      </c>
      <c r="D98" s="72">
        <v>346</v>
      </c>
      <c r="E98" s="72">
        <v>450</v>
      </c>
      <c r="F98" s="72">
        <v>1896</v>
      </c>
      <c r="G98" s="75">
        <v>9763</v>
      </c>
      <c r="H98" s="72">
        <v>3</v>
      </c>
      <c r="I98" s="72">
        <v>330</v>
      </c>
      <c r="J98" s="72">
        <v>6709</v>
      </c>
      <c r="K98" s="29" t="s">
        <v>100</v>
      </c>
      <c r="L98" s="6"/>
      <c r="M98" s="6"/>
      <c r="N98" s="4"/>
    </row>
    <row r="99" spans="1:14">
      <c r="A99" s="5" t="s">
        <v>187</v>
      </c>
      <c r="B99" s="72">
        <v>11000</v>
      </c>
      <c r="C99" s="72">
        <v>15000</v>
      </c>
      <c r="D99" s="73" t="s">
        <v>127</v>
      </c>
      <c r="E99" s="72">
        <v>1175</v>
      </c>
      <c r="F99" s="73" t="s">
        <v>127</v>
      </c>
      <c r="G99" s="73" t="s">
        <v>127</v>
      </c>
      <c r="H99" s="73" t="s">
        <v>127</v>
      </c>
      <c r="I99" s="73" t="s">
        <v>127</v>
      </c>
      <c r="J99" s="72">
        <v>2000</v>
      </c>
      <c r="K99" s="29" t="s">
        <v>101</v>
      </c>
      <c r="L99" s="6"/>
      <c r="M99" s="6"/>
      <c r="N99" s="4"/>
    </row>
    <row r="100" spans="1:14">
      <c r="A100" s="5" t="s">
        <v>188</v>
      </c>
      <c r="B100" s="72">
        <v>138520</v>
      </c>
      <c r="C100" s="72">
        <v>11661</v>
      </c>
      <c r="D100" s="72">
        <v>50</v>
      </c>
      <c r="E100" s="72">
        <v>137</v>
      </c>
      <c r="F100" s="72">
        <v>372</v>
      </c>
      <c r="G100" s="75">
        <v>7617</v>
      </c>
      <c r="H100" s="72">
        <v>1</v>
      </c>
      <c r="I100" s="72">
        <v>2554</v>
      </c>
      <c r="J100" s="72">
        <v>10026</v>
      </c>
      <c r="K100" s="29" t="s">
        <v>102</v>
      </c>
      <c r="L100" s="6"/>
      <c r="M100" s="6"/>
      <c r="N100" s="4"/>
    </row>
    <row r="101" spans="1:14">
      <c r="A101" s="5" t="s">
        <v>189</v>
      </c>
      <c r="B101" s="73" t="s">
        <v>127</v>
      </c>
      <c r="C101" s="72">
        <v>7280</v>
      </c>
      <c r="D101" s="72">
        <v>12</v>
      </c>
      <c r="E101" s="72">
        <v>176</v>
      </c>
      <c r="F101" s="72">
        <v>20</v>
      </c>
      <c r="G101" s="75">
        <v>4200</v>
      </c>
      <c r="H101" s="73" t="s">
        <v>127</v>
      </c>
      <c r="I101" s="72">
        <v>99</v>
      </c>
      <c r="J101" s="72">
        <v>2036</v>
      </c>
      <c r="K101" s="29" t="s">
        <v>103</v>
      </c>
      <c r="L101" s="6"/>
      <c r="M101" s="6"/>
      <c r="N101" s="4"/>
    </row>
    <row r="102" spans="1:14">
      <c r="A102" s="61" t="s">
        <v>104</v>
      </c>
      <c r="B102" s="62">
        <f t="shared" ref="B102:J102" si="13">SUM(B104:B107)</f>
        <v>285740</v>
      </c>
      <c r="C102" s="62">
        <f t="shared" si="13"/>
        <v>504885</v>
      </c>
      <c r="D102" s="62">
        <f t="shared" si="13"/>
        <v>1828</v>
      </c>
      <c r="E102" s="62">
        <f t="shared" si="13"/>
        <v>2124</v>
      </c>
      <c r="F102" s="62">
        <f t="shared" si="13"/>
        <v>8544</v>
      </c>
      <c r="G102" s="62">
        <f t="shared" si="13"/>
        <v>396804</v>
      </c>
      <c r="H102" s="62">
        <f t="shared" si="13"/>
        <v>513</v>
      </c>
      <c r="I102" s="62">
        <f t="shared" si="13"/>
        <v>11942</v>
      </c>
      <c r="J102" s="62">
        <f t="shared" si="13"/>
        <v>171068</v>
      </c>
      <c r="K102" s="58" t="s">
        <v>105</v>
      </c>
      <c r="L102" s="58"/>
      <c r="M102" s="58"/>
      <c r="N102" s="4"/>
    </row>
    <row r="103" spans="1:14">
      <c r="A103" s="61"/>
      <c r="B103" s="62"/>
      <c r="C103" s="62"/>
      <c r="D103" s="62"/>
      <c r="E103" s="62"/>
      <c r="F103" s="62"/>
      <c r="G103" s="62"/>
      <c r="H103" s="62"/>
      <c r="I103" s="62"/>
      <c r="J103" s="62"/>
      <c r="K103" s="58"/>
      <c r="L103" s="58"/>
      <c r="M103" s="58"/>
      <c r="N103" s="4"/>
    </row>
    <row r="104" spans="1:14">
      <c r="A104" s="5" t="s">
        <v>190</v>
      </c>
      <c r="B104" s="72">
        <v>75150</v>
      </c>
      <c r="C104" s="72">
        <v>269299</v>
      </c>
      <c r="D104" s="72">
        <v>1095</v>
      </c>
      <c r="E104" s="72">
        <v>1232</v>
      </c>
      <c r="F104" s="72">
        <v>3329</v>
      </c>
      <c r="G104" s="75">
        <v>181426</v>
      </c>
      <c r="H104" s="73" t="s">
        <v>127</v>
      </c>
      <c r="I104" s="72">
        <v>20</v>
      </c>
      <c r="J104" s="72">
        <v>81311</v>
      </c>
      <c r="K104" s="29" t="s">
        <v>106</v>
      </c>
      <c r="L104" s="6"/>
      <c r="M104" s="6"/>
      <c r="N104" s="4"/>
    </row>
    <row r="105" spans="1:14">
      <c r="A105" s="5" t="s">
        <v>191</v>
      </c>
      <c r="B105" s="72">
        <v>28755</v>
      </c>
      <c r="C105" s="72">
        <v>52935</v>
      </c>
      <c r="D105" s="72">
        <v>96</v>
      </c>
      <c r="E105" s="72">
        <v>340</v>
      </c>
      <c r="F105" s="72">
        <v>3609</v>
      </c>
      <c r="G105" s="75">
        <v>74650</v>
      </c>
      <c r="H105" s="72">
        <v>300</v>
      </c>
      <c r="I105" s="72">
        <v>1780</v>
      </c>
      <c r="J105" s="72">
        <v>23694</v>
      </c>
      <c r="K105" s="29" t="s">
        <v>107</v>
      </c>
      <c r="L105" s="6"/>
      <c r="M105" s="6"/>
      <c r="N105" s="4"/>
    </row>
    <row r="106" spans="1:14">
      <c r="A106" s="5" t="s">
        <v>192</v>
      </c>
      <c r="B106" s="72">
        <v>146520</v>
      </c>
      <c r="C106" s="72">
        <v>37930</v>
      </c>
      <c r="D106" s="72">
        <v>255</v>
      </c>
      <c r="E106" s="72">
        <v>136</v>
      </c>
      <c r="F106" s="72">
        <v>295</v>
      </c>
      <c r="G106" s="75">
        <v>36208</v>
      </c>
      <c r="H106" s="72">
        <v>39</v>
      </c>
      <c r="I106" s="72">
        <v>1606</v>
      </c>
      <c r="J106" s="72">
        <v>16447</v>
      </c>
      <c r="K106" s="29" t="s">
        <v>108</v>
      </c>
      <c r="L106" s="6"/>
      <c r="M106" s="6"/>
      <c r="N106" s="4"/>
    </row>
    <row r="107" spans="1:14" ht="11.3" thickBot="1">
      <c r="A107" s="8" t="s">
        <v>193</v>
      </c>
      <c r="B107" s="74">
        <v>35315</v>
      </c>
      <c r="C107" s="74">
        <v>144721</v>
      </c>
      <c r="D107" s="74">
        <v>382</v>
      </c>
      <c r="E107" s="74">
        <v>416</v>
      </c>
      <c r="F107" s="74">
        <v>1311</v>
      </c>
      <c r="G107" s="76">
        <v>104520</v>
      </c>
      <c r="H107" s="74">
        <v>174</v>
      </c>
      <c r="I107" s="74">
        <v>8536</v>
      </c>
      <c r="J107" s="74">
        <v>49616</v>
      </c>
      <c r="K107" s="30" t="s">
        <v>109</v>
      </c>
      <c r="L107" s="24"/>
      <c r="M107" s="24"/>
      <c r="N107" s="4"/>
    </row>
    <row r="108" spans="1:14">
      <c r="A108" s="9"/>
      <c r="J108" s="2"/>
      <c r="L108" s="63"/>
      <c r="M108" s="63"/>
    </row>
    <row r="109" spans="1:14">
      <c r="A109" s="10"/>
      <c r="J109" s="11"/>
      <c r="K109" s="10"/>
      <c r="L109" s="10"/>
      <c r="M109" s="10"/>
    </row>
    <row r="110" spans="1:14" ht="10.199999999999999" customHeight="1">
      <c r="A110" s="12"/>
      <c r="B110" s="13"/>
      <c r="C110" s="13"/>
      <c r="D110" s="13"/>
      <c r="E110" s="13"/>
      <c r="K110" s="13"/>
      <c r="L110" s="13"/>
      <c r="M110" s="13"/>
    </row>
    <row r="111" spans="1:14" ht="10.199999999999999" customHeight="1">
      <c r="A111" s="12"/>
      <c r="B111" s="13"/>
      <c r="C111" s="13"/>
      <c r="D111" s="13"/>
      <c r="E111" s="13"/>
      <c r="K111" s="13"/>
      <c r="L111" s="13"/>
      <c r="M111" s="13"/>
    </row>
    <row r="112" spans="1:14" ht="10.199999999999999" customHeight="1">
      <c r="A112" s="64"/>
      <c r="B112" s="64"/>
      <c r="C112" s="64"/>
      <c r="D112" s="64"/>
      <c r="E112" s="64"/>
      <c r="K112" s="64"/>
      <c r="L112" s="64"/>
      <c r="M112" s="64"/>
    </row>
    <row r="113" spans="1:13">
      <c r="A113" s="64"/>
      <c r="B113" s="64"/>
      <c r="C113" s="64"/>
      <c r="D113" s="64"/>
      <c r="E113" s="64"/>
      <c r="K113" s="64"/>
      <c r="L113" s="64"/>
      <c r="M113" s="64"/>
    </row>
    <row r="114" spans="1:13">
      <c r="A114" s="4"/>
    </row>
    <row r="115" spans="1:13">
      <c r="A115" s="4"/>
    </row>
    <row r="116" spans="1:13">
      <c r="A116" s="4"/>
    </row>
    <row r="117" spans="1:13">
      <c r="A117" s="4"/>
    </row>
    <row r="118" spans="1:13">
      <c r="A118" s="4"/>
    </row>
    <row r="119" spans="1:13">
      <c r="A119" s="4"/>
    </row>
    <row r="120" spans="1:13">
      <c r="A120" s="4"/>
    </row>
    <row r="121" spans="1:13">
      <c r="A121" s="4"/>
    </row>
    <row r="122" spans="1:13">
      <c r="A122" s="14"/>
    </row>
    <row r="123" spans="1:13" s="4" customFormat="1">
      <c r="A123" s="69"/>
      <c r="B123" s="69"/>
      <c r="C123" s="69"/>
      <c r="D123" s="69"/>
      <c r="E123" s="69"/>
      <c r="F123" s="69"/>
      <c r="G123" s="63"/>
      <c r="H123" s="63"/>
      <c r="I123" s="63"/>
      <c r="J123" s="63"/>
    </row>
    <row r="124" spans="1:13" s="4" customFormat="1">
      <c r="A124" s="69"/>
      <c r="B124" s="69"/>
      <c r="C124" s="69"/>
      <c r="D124" s="69"/>
      <c r="E124" s="69"/>
      <c r="F124" s="69"/>
      <c r="G124" s="63"/>
      <c r="H124" s="63"/>
      <c r="I124" s="63"/>
      <c r="J124" s="63"/>
    </row>
    <row r="125" spans="1:13" s="4" customFormat="1">
      <c r="A125" s="69"/>
      <c r="B125" s="69"/>
      <c r="C125" s="69"/>
      <c r="D125" s="69"/>
      <c r="E125" s="69"/>
      <c r="F125" s="69"/>
      <c r="G125" s="63"/>
      <c r="H125" s="63"/>
      <c r="I125" s="63"/>
      <c r="J125" s="63"/>
    </row>
    <row r="126" spans="1:13" s="4" customFormat="1">
      <c r="A126" s="15"/>
      <c r="F126" s="36"/>
      <c r="G126" s="36"/>
      <c r="H126" s="36"/>
      <c r="I126" s="36"/>
      <c r="J126" s="36"/>
    </row>
    <row r="127" spans="1:13" s="4" customFormat="1">
      <c r="A127" s="66"/>
      <c r="B127" s="67"/>
      <c r="C127" s="67"/>
      <c r="D127" s="67"/>
      <c r="E127" s="67"/>
      <c r="F127" s="67"/>
      <c r="G127" s="67"/>
      <c r="H127" s="67"/>
      <c r="I127" s="67"/>
      <c r="J127" s="67"/>
    </row>
    <row r="128" spans="1:13" s="4" customFormat="1">
      <c r="A128" s="66"/>
      <c r="B128" s="67"/>
      <c r="C128" s="67"/>
      <c r="D128" s="67"/>
      <c r="E128" s="67"/>
      <c r="F128" s="67"/>
      <c r="G128" s="67"/>
      <c r="H128" s="67"/>
      <c r="I128" s="67"/>
      <c r="J128" s="67"/>
    </row>
    <row r="129" spans="1:10" s="4" customFormat="1">
      <c r="A129" s="66"/>
      <c r="B129" s="67"/>
      <c r="C129" s="67"/>
      <c r="D129" s="67"/>
      <c r="E129" s="67"/>
      <c r="F129" s="67"/>
      <c r="G129" s="67"/>
      <c r="H129" s="67"/>
      <c r="I129" s="67"/>
      <c r="J129" s="67"/>
    </row>
    <row r="130" spans="1:10" s="4" customFormat="1">
      <c r="A130" s="66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s="4" customFormat="1">
      <c r="A131" s="17"/>
    </row>
    <row r="132" spans="1:10" s="4" customFormat="1">
      <c r="A132" s="18"/>
    </row>
    <row r="133" spans="1:10" s="4" customFormat="1">
      <c r="A133" s="70"/>
      <c r="B133" s="68"/>
      <c r="C133" s="68"/>
      <c r="D133" s="68"/>
      <c r="E133" s="68"/>
      <c r="F133" s="68"/>
      <c r="G133" s="68"/>
      <c r="H133" s="68"/>
      <c r="I133" s="68"/>
      <c r="J133" s="68"/>
    </row>
    <row r="134" spans="1:10" s="4" customFormat="1">
      <c r="A134" s="70"/>
      <c r="B134" s="68"/>
      <c r="C134" s="68"/>
      <c r="D134" s="68"/>
      <c r="E134" s="68"/>
      <c r="F134" s="68"/>
      <c r="G134" s="68"/>
      <c r="H134" s="68"/>
      <c r="I134" s="68"/>
      <c r="J134" s="68"/>
    </row>
    <row r="135" spans="1:10" s="4" customFormat="1">
      <c r="A135" s="70"/>
      <c r="B135" s="68"/>
      <c r="C135" s="68"/>
      <c r="D135" s="68"/>
      <c r="E135" s="68"/>
      <c r="F135" s="68"/>
      <c r="G135" s="68"/>
      <c r="H135" s="68"/>
      <c r="I135" s="68"/>
      <c r="J135" s="68"/>
    </row>
    <row r="136" spans="1:10" s="4" customFormat="1">
      <c r="A136" s="18"/>
      <c r="F136" s="3"/>
      <c r="G136" s="3"/>
    </row>
    <row r="137" spans="1:10" s="4" customFormat="1">
      <c r="A137" s="18"/>
      <c r="F137" s="3"/>
      <c r="G137" s="3"/>
    </row>
    <row r="138" spans="1:10" s="4" customFormat="1">
      <c r="A138" s="18"/>
      <c r="F138" s="3"/>
      <c r="G138" s="3"/>
    </row>
    <row r="139" spans="1:10" s="4" customFormat="1">
      <c r="A139" s="18"/>
      <c r="F139" s="3"/>
      <c r="G139" s="3"/>
    </row>
    <row r="140" spans="1:10" s="4" customFormat="1">
      <c r="A140" s="18"/>
      <c r="F140" s="3"/>
      <c r="G140" s="3"/>
    </row>
    <row r="141" spans="1:10" s="4" customFormat="1">
      <c r="A141" s="18"/>
      <c r="F141" s="3"/>
      <c r="G141" s="3"/>
    </row>
    <row r="142" spans="1:10" s="4" customFormat="1">
      <c r="A142" s="70"/>
    </row>
    <row r="143" spans="1:10" s="4" customFormat="1">
      <c r="A143" s="70"/>
    </row>
    <row r="144" spans="1:10" s="4" customFormat="1">
      <c r="A144" s="18"/>
      <c r="F144" s="3"/>
      <c r="G144" s="3"/>
    </row>
    <row r="145" spans="1:7" s="4" customFormat="1">
      <c r="A145" s="18"/>
      <c r="F145" s="3"/>
      <c r="G145" s="3"/>
    </row>
    <row r="146" spans="1:7" s="4" customFormat="1">
      <c r="A146" s="18"/>
      <c r="F146" s="3"/>
      <c r="G146" s="3"/>
    </row>
    <row r="147" spans="1:7" s="4" customFormat="1">
      <c r="A147" s="18"/>
      <c r="F147" s="3"/>
      <c r="G147" s="3"/>
    </row>
    <row r="148" spans="1:7" s="4" customFormat="1">
      <c r="A148" s="18"/>
      <c r="F148" s="3"/>
      <c r="G148" s="3"/>
    </row>
    <row r="149" spans="1:7" s="4" customFormat="1">
      <c r="A149" s="18"/>
      <c r="F149" s="3"/>
      <c r="G149" s="3"/>
    </row>
    <row r="150" spans="1:7" s="4" customFormat="1">
      <c r="A150" s="18"/>
      <c r="F150" s="3"/>
      <c r="G150" s="3"/>
    </row>
    <row r="151" spans="1:7" s="4" customFormat="1">
      <c r="A151" s="18"/>
      <c r="F151" s="3"/>
      <c r="G151" s="3"/>
    </row>
    <row r="152" spans="1:7" s="4" customFormat="1">
      <c r="A152" s="18"/>
      <c r="F152" s="3"/>
      <c r="G152" s="3"/>
    </row>
    <row r="153" spans="1:7" s="4" customFormat="1">
      <c r="A153" s="18"/>
      <c r="F153" s="3"/>
      <c r="G153" s="3"/>
    </row>
    <row r="154" spans="1:7" s="4" customFormat="1">
      <c r="A154" s="18"/>
      <c r="F154" s="3"/>
      <c r="G154" s="3"/>
    </row>
    <row r="155" spans="1:7" s="4" customFormat="1">
      <c r="A155" s="65"/>
    </row>
    <row r="156" spans="1:7" s="4" customFormat="1">
      <c r="A156" s="65"/>
    </row>
    <row r="157" spans="1:7" s="4" customFormat="1">
      <c r="A157" s="18"/>
      <c r="F157" s="3"/>
      <c r="G157" s="3"/>
    </row>
    <row r="158" spans="1:7" s="4" customFormat="1">
      <c r="A158" s="18"/>
      <c r="F158" s="3"/>
      <c r="G158" s="3"/>
    </row>
    <row r="159" spans="1:7" s="4" customFormat="1">
      <c r="A159" s="18"/>
      <c r="F159" s="3"/>
      <c r="G159" s="3"/>
    </row>
    <row r="160" spans="1:7" s="4" customFormat="1">
      <c r="A160" s="18"/>
      <c r="F160" s="3"/>
      <c r="G160" s="3"/>
    </row>
    <row r="161" spans="1:7" s="4" customFormat="1">
      <c r="A161" s="65"/>
    </row>
    <row r="162" spans="1:7" s="4" customFormat="1">
      <c r="A162" s="65"/>
    </row>
    <row r="163" spans="1:7" s="4" customFormat="1">
      <c r="A163" s="18"/>
      <c r="F163" s="3"/>
      <c r="G163" s="3"/>
    </row>
    <row r="164" spans="1:7" s="4" customFormat="1">
      <c r="A164" s="18"/>
      <c r="F164" s="3"/>
      <c r="G164" s="3"/>
    </row>
    <row r="165" spans="1:7" s="4" customFormat="1">
      <c r="A165" s="18"/>
      <c r="F165" s="3"/>
      <c r="G165" s="3"/>
    </row>
    <row r="166" spans="1:7" s="4" customFormat="1">
      <c r="A166" s="18"/>
      <c r="F166" s="3"/>
      <c r="G166" s="3"/>
    </row>
    <row r="167" spans="1:7" s="4" customFormat="1">
      <c r="A167" s="18"/>
      <c r="F167" s="3"/>
      <c r="G167" s="3"/>
    </row>
    <row r="168" spans="1:7" s="4" customFormat="1">
      <c r="A168" s="65"/>
    </row>
    <row r="169" spans="1:7" s="4" customFormat="1">
      <c r="A169" s="65"/>
    </row>
    <row r="170" spans="1:7" s="4" customFormat="1">
      <c r="A170" s="18"/>
      <c r="F170" s="3"/>
      <c r="G170" s="3"/>
    </row>
    <row r="171" spans="1:7" s="4" customFormat="1">
      <c r="A171" s="18"/>
      <c r="F171" s="3"/>
      <c r="G171" s="3"/>
    </row>
    <row r="172" spans="1:7" s="4" customFormat="1">
      <c r="A172" s="18"/>
      <c r="F172" s="3"/>
      <c r="G172" s="3"/>
    </row>
    <row r="173" spans="1:7" s="4" customFormat="1">
      <c r="A173" s="18"/>
      <c r="F173" s="3"/>
      <c r="G173" s="3"/>
    </row>
    <row r="174" spans="1:7" s="4" customFormat="1">
      <c r="A174" s="18"/>
      <c r="F174" s="3"/>
      <c r="G174" s="3"/>
    </row>
    <row r="175" spans="1:7" s="4" customFormat="1">
      <c r="A175" s="65"/>
    </row>
    <row r="176" spans="1:7" s="4" customFormat="1">
      <c r="A176" s="65"/>
    </row>
    <row r="177" spans="1:7" s="4" customFormat="1">
      <c r="A177" s="18"/>
      <c r="F177" s="3"/>
      <c r="G177" s="3"/>
    </row>
    <row r="178" spans="1:7" s="4" customFormat="1">
      <c r="A178" s="18"/>
      <c r="F178" s="3"/>
      <c r="G178" s="3"/>
    </row>
    <row r="179" spans="1:7" s="4" customFormat="1">
      <c r="A179" s="18"/>
      <c r="F179" s="3"/>
      <c r="G179" s="3"/>
    </row>
    <row r="180" spans="1:7" s="4" customFormat="1">
      <c r="A180" s="18"/>
      <c r="F180" s="3"/>
      <c r="G180" s="3"/>
    </row>
    <row r="181" spans="1:7" s="4" customFormat="1">
      <c r="A181" s="18"/>
      <c r="F181" s="3"/>
      <c r="G181" s="3"/>
    </row>
    <row r="182" spans="1:7" s="4" customFormat="1">
      <c r="A182" s="65"/>
    </row>
    <row r="183" spans="1:7" s="4" customFormat="1">
      <c r="A183" s="65"/>
    </row>
    <row r="184" spans="1:7" s="4" customFormat="1">
      <c r="A184" s="18"/>
      <c r="F184" s="3"/>
      <c r="G184" s="3"/>
    </row>
    <row r="185" spans="1:7" s="4" customFormat="1">
      <c r="A185" s="18"/>
      <c r="F185" s="3"/>
      <c r="G185" s="3"/>
    </row>
    <row r="186" spans="1:7" s="4" customFormat="1">
      <c r="A186" s="18"/>
      <c r="F186" s="3"/>
      <c r="G186" s="3"/>
    </row>
    <row r="187" spans="1:7" s="4" customFormat="1">
      <c r="A187" s="65"/>
    </row>
    <row r="188" spans="1:7" s="4" customFormat="1">
      <c r="A188" s="65"/>
    </row>
    <row r="189" spans="1:7" s="4" customFormat="1">
      <c r="A189" s="18"/>
      <c r="F189" s="3"/>
      <c r="G189" s="3"/>
    </row>
    <row r="190" spans="1:7" s="4" customFormat="1">
      <c r="A190" s="18"/>
      <c r="F190" s="3"/>
      <c r="G190" s="3"/>
    </row>
    <row r="191" spans="1:7" s="4" customFormat="1">
      <c r="A191" s="18"/>
      <c r="F191" s="3"/>
      <c r="G191" s="3"/>
    </row>
    <row r="192" spans="1:7" s="4" customFormat="1">
      <c r="A192" s="18"/>
      <c r="F192" s="3"/>
      <c r="G192" s="3"/>
    </row>
    <row r="193" spans="1:7" s="4" customFormat="1">
      <c r="A193" s="18"/>
      <c r="F193" s="3"/>
      <c r="G193" s="3"/>
    </row>
    <row r="194" spans="1:7" s="4" customFormat="1">
      <c r="A194" s="65"/>
    </row>
    <row r="195" spans="1:7" s="4" customFormat="1">
      <c r="A195" s="65"/>
    </row>
    <row r="196" spans="1:7" s="4" customFormat="1">
      <c r="A196" s="18"/>
      <c r="F196" s="3"/>
      <c r="G196" s="3"/>
    </row>
    <row r="197" spans="1:7" s="4" customFormat="1">
      <c r="A197" s="18"/>
      <c r="F197" s="3"/>
      <c r="G197" s="3"/>
    </row>
    <row r="198" spans="1:7" s="4" customFormat="1">
      <c r="A198" s="18"/>
      <c r="F198" s="3"/>
      <c r="G198" s="3"/>
    </row>
    <row r="199" spans="1:7" s="4" customFormat="1">
      <c r="A199" s="18"/>
      <c r="F199" s="3"/>
      <c r="G199" s="3"/>
    </row>
    <row r="200" spans="1:7" s="4" customFormat="1">
      <c r="A200" s="18"/>
      <c r="F200" s="3"/>
      <c r="G200" s="3"/>
    </row>
    <row r="201" spans="1:7" s="4" customFormat="1">
      <c r="A201" s="18"/>
      <c r="F201" s="3"/>
      <c r="G201" s="3"/>
    </row>
    <row r="202" spans="1:7" s="4" customFormat="1">
      <c r="A202" s="18"/>
      <c r="F202" s="3"/>
      <c r="G202" s="3"/>
    </row>
    <row r="203" spans="1:7" s="4" customFormat="1">
      <c r="A203" s="18"/>
      <c r="F203" s="3"/>
      <c r="G203" s="3"/>
    </row>
    <row r="204" spans="1:7" s="4" customFormat="1">
      <c r="A204" s="65"/>
    </row>
    <row r="205" spans="1:7" s="4" customFormat="1">
      <c r="A205" s="65"/>
    </row>
    <row r="206" spans="1:7" s="4" customFormat="1">
      <c r="A206" s="18"/>
      <c r="F206" s="3"/>
      <c r="G206" s="3"/>
    </row>
    <row r="207" spans="1:7" s="4" customFormat="1">
      <c r="A207" s="18"/>
      <c r="F207" s="3"/>
      <c r="G207" s="3"/>
    </row>
    <row r="208" spans="1:7" s="4" customFormat="1">
      <c r="A208" s="18"/>
      <c r="F208" s="3"/>
      <c r="G208" s="3"/>
    </row>
    <row r="209" spans="1:7" s="4" customFormat="1">
      <c r="A209" s="18"/>
      <c r="F209" s="3"/>
      <c r="G209" s="3"/>
    </row>
    <row r="210" spans="1:7" s="4" customFormat="1">
      <c r="A210" s="18"/>
      <c r="F210" s="3"/>
      <c r="G210" s="3"/>
    </row>
    <row r="211" spans="1:7" s="4" customFormat="1">
      <c r="A211" s="65"/>
    </row>
    <row r="212" spans="1:7" s="4" customFormat="1">
      <c r="A212" s="65"/>
    </row>
    <row r="213" spans="1:7" s="4" customFormat="1">
      <c r="A213" s="18"/>
      <c r="F213" s="3"/>
      <c r="G213" s="3"/>
    </row>
    <row r="214" spans="1:7" s="4" customFormat="1">
      <c r="A214" s="18"/>
      <c r="F214" s="3"/>
      <c r="G214" s="3"/>
    </row>
    <row r="215" spans="1:7" s="4" customFormat="1">
      <c r="A215" s="18"/>
      <c r="F215" s="3"/>
      <c r="G215" s="3"/>
    </row>
    <row r="216" spans="1:7" s="4" customFormat="1">
      <c r="A216" s="18"/>
      <c r="F216" s="3"/>
      <c r="G216" s="3"/>
    </row>
    <row r="217" spans="1:7" s="4" customFormat="1">
      <c r="A217" s="18"/>
      <c r="F217" s="3"/>
      <c r="G217" s="3"/>
    </row>
    <row r="218" spans="1:7" s="4" customFormat="1">
      <c r="A218" s="18"/>
      <c r="F218" s="3"/>
      <c r="G218" s="3"/>
    </row>
    <row r="219" spans="1:7" s="4" customFormat="1">
      <c r="A219" s="18"/>
      <c r="F219" s="3"/>
      <c r="G219" s="3"/>
    </row>
    <row r="220" spans="1:7" s="4" customFormat="1">
      <c r="A220" s="18"/>
      <c r="F220" s="3"/>
      <c r="G220" s="3"/>
    </row>
    <row r="221" spans="1:7" s="4" customFormat="1">
      <c r="A221" s="18"/>
      <c r="F221" s="3"/>
      <c r="G221" s="3"/>
    </row>
    <row r="222" spans="1:7" s="4" customFormat="1">
      <c r="A222" s="18"/>
      <c r="F222" s="3"/>
      <c r="G222" s="3"/>
    </row>
    <row r="223" spans="1:7" s="4" customFormat="1">
      <c r="A223" s="18"/>
      <c r="F223" s="3"/>
      <c r="G223" s="3"/>
    </row>
    <row r="224" spans="1:7" s="4" customFormat="1">
      <c r="A224" s="18"/>
      <c r="F224" s="3"/>
      <c r="G224" s="3"/>
    </row>
    <row r="225" spans="1:7" s="4" customFormat="1">
      <c r="A225" s="18"/>
      <c r="F225" s="3"/>
      <c r="G225" s="3"/>
    </row>
    <row r="226" spans="1:7" s="4" customFormat="1">
      <c r="A226" s="65"/>
    </row>
    <row r="227" spans="1:7" s="4" customFormat="1">
      <c r="A227" s="65"/>
    </row>
    <row r="228" spans="1:7" s="4" customFormat="1">
      <c r="A228" s="18"/>
      <c r="F228" s="3"/>
      <c r="G228" s="3"/>
    </row>
    <row r="229" spans="1:7" s="4" customFormat="1">
      <c r="A229" s="18"/>
      <c r="F229" s="3"/>
      <c r="G229" s="3"/>
    </row>
    <row r="230" spans="1:7" s="4" customFormat="1">
      <c r="A230" s="18"/>
      <c r="F230" s="3"/>
      <c r="G230" s="3"/>
    </row>
    <row r="231" spans="1:7" s="4" customFormat="1">
      <c r="A231" s="18"/>
      <c r="F231" s="3"/>
      <c r="G231" s="3"/>
    </row>
    <row r="232" spans="1:7" s="4" customFormat="1">
      <c r="A232" s="18"/>
    </row>
    <row r="233" spans="1:7">
      <c r="A233" s="19"/>
    </row>
  </sheetData>
  <mergeCells count="197">
    <mergeCell ref="I133:I135"/>
    <mergeCell ref="A7:A8"/>
    <mergeCell ref="B7:B8"/>
    <mergeCell ref="C7:C8"/>
    <mergeCell ref="E7:E8"/>
    <mergeCell ref="I51:I52"/>
    <mergeCell ref="I44:I45"/>
    <mergeCell ref="J70:J71"/>
    <mergeCell ref="J87:J88"/>
    <mergeCell ref="I102:I103"/>
    <mergeCell ref="C58:C59"/>
    <mergeCell ref="D58:D59"/>
    <mergeCell ref="G44:G45"/>
    <mergeCell ref="J31:J32"/>
    <mergeCell ref="B9:B10"/>
    <mergeCell ref="A17:A18"/>
    <mergeCell ref="B17:B18"/>
    <mergeCell ref="J63:J64"/>
    <mergeCell ref="J44:J45"/>
    <mergeCell ref="J17:J18"/>
    <mergeCell ref="J9:J10"/>
    <mergeCell ref="D7:D8"/>
    <mergeCell ref="I9:I10"/>
    <mergeCell ref="A31:A32"/>
    <mergeCell ref="B31:B32"/>
    <mergeCell ref="H80:H81"/>
    <mergeCell ref="E58:E59"/>
    <mergeCell ref="F58:F59"/>
    <mergeCell ref="F37:F38"/>
    <mergeCell ref="A58:A59"/>
    <mergeCell ref="B58:B59"/>
    <mergeCell ref="H4:H6"/>
    <mergeCell ref="F102:F103"/>
    <mergeCell ref="G102:G103"/>
    <mergeCell ref="H102:H103"/>
    <mergeCell ref="H58:H59"/>
    <mergeCell ref="E37:E38"/>
    <mergeCell ref="A9:A10"/>
    <mergeCell ref="F133:F135"/>
    <mergeCell ref="G37:G38"/>
    <mergeCell ref="H37:H38"/>
    <mergeCell ref="A194:A195"/>
    <mergeCell ref="G58:G59"/>
    <mergeCell ref="D129:E129"/>
    <mergeCell ref="H87:H88"/>
    <mergeCell ref="A155:A156"/>
    <mergeCell ref="A161:A162"/>
    <mergeCell ref="A168:A169"/>
    <mergeCell ref="A142:A143"/>
    <mergeCell ref="A133:A135"/>
    <mergeCell ref="B133:B135"/>
    <mergeCell ref="C133:C135"/>
    <mergeCell ref="D133:D135"/>
    <mergeCell ref="E133:E135"/>
    <mergeCell ref="A226:A227"/>
    <mergeCell ref="A182:A183"/>
    <mergeCell ref="A187:A188"/>
    <mergeCell ref="H63:H64"/>
    <mergeCell ref="I63:I64"/>
    <mergeCell ref="A127:A130"/>
    <mergeCell ref="B127:E128"/>
    <mergeCell ref="F127:G129"/>
    <mergeCell ref="A204:A205"/>
    <mergeCell ref="I87:I88"/>
    <mergeCell ref="F70:F71"/>
    <mergeCell ref="G70:G71"/>
    <mergeCell ref="H70:H71"/>
    <mergeCell ref="I70:I71"/>
    <mergeCell ref="A175:A176"/>
    <mergeCell ref="G133:G135"/>
    <mergeCell ref="H133:H135"/>
    <mergeCell ref="A123:F125"/>
    <mergeCell ref="G123:J125"/>
    <mergeCell ref="H127:H129"/>
    <mergeCell ref="I127:J129"/>
    <mergeCell ref="B129:C129"/>
    <mergeCell ref="A211:A212"/>
    <mergeCell ref="J133:J135"/>
    <mergeCell ref="L108:M108"/>
    <mergeCell ref="A112:E112"/>
    <mergeCell ref="K112:M112"/>
    <mergeCell ref="A113:E113"/>
    <mergeCell ref="K113:M113"/>
    <mergeCell ref="F126:J126"/>
    <mergeCell ref="J102:J103"/>
    <mergeCell ref="K102:M103"/>
    <mergeCell ref="A80:A81"/>
    <mergeCell ref="B80:B81"/>
    <mergeCell ref="C80:C81"/>
    <mergeCell ref="D80:D81"/>
    <mergeCell ref="E80:E81"/>
    <mergeCell ref="F80:F81"/>
    <mergeCell ref="G80:G81"/>
    <mergeCell ref="I80:I81"/>
    <mergeCell ref="K80:M81"/>
    <mergeCell ref="A87:A88"/>
    <mergeCell ref="B87:B88"/>
    <mergeCell ref="C87:C88"/>
    <mergeCell ref="D87:D88"/>
    <mergeCell ref="E87:E88"/>
    <mergeCell ref="F87:F88"/>
    <mergeCell ref="G87:G88"/>
    <mergeCell ref="K87:M88"/>
    <mergeCell ref="J58:J59"/>
    <mergeCell ref="K58:M59"/>
    <mergeCell ref="E63:E64"/>
    <mergeCell ref="F63:F64"/>
    <mergeCell ref="G63:G64"/>
    <mergeCell ref="K63:M64"/>
    <mergeCell ref="J80:J81"/>
    <mergeCell ref="A102:A103"/>
    <mergeCell ref="B102:B103"/>
    <mergeCell ref="C102:C103"/>
    <mergeCell ref="D102:D103"/>
    <mergeCell ref="E102:E103"/>
    <mergeCell ref="I58:I59"/>
    <mergeCell ref="A63:A64"/>
    <mergeCell ref="B63:B64"/>
    <mergeCell ref="C63:C64"/>
    <mergeCell ref="D63:D64"/>
    <mergeCell ref="A70:A71"/>
    <mergeCell ref="B70:B71"/>
    <mergeCell ref="C70:C71"/>
    <mergeCell ref="D70:D71"/>
    <mergeCell ref="E70:E71"/>
    <mergeCell ref="K70:M71"/>
    <mergeCell ref="K51:M52"/>
    <mergeCell ref="F51:F52"/>
    <mergeCell ref="G51:G52"/>
    <mergeCell ref="H51:H52"/>
    <mergeCell ref="F44:F45"/>
    <mergeCell ref="J51:J52"/>
    <mergeCell ref="A37:A38"/>
    <mergeCell ref="B37:B38"/>
    <mergeCell ref="C37:C38"/>
    <mergeCell ref="D37:D38"/>
    <mergeCell ref="H44:H45"/>
    <mergeCell ref="A44:A45"/>
    <mergeCell ref="B44:B45"/>
    <mergeCell ref="C44:C45"/>
    <mergeCell ref="D44:D45"/>
    <mergeCell ref="E44:E45"/>
    <mergeCell ref="K44:M45"/>
    <mergeCell ref="A51:A52"/>
    <mergeCell ref="B51:B52"/>
    <mergeCell ref="C51:C52"/>
    <mergeCell ref="D51:D52"/>
    <mergeCell ref="E51:E52"/>
    <mergeCell ref="I37:I38"/>
    <mergeCell ref="J37:J38"/>
    <mergeCell ref="K37:M38"/>
    <mergeCell ref="H9:H10"/>
    <mergeCell ref="K17:M18"/>
    <mergeCell ref="C31:C32"/>
    <mergeCell ref="D31:D32"/>
    <mergeCell ref="E31:E32"/>
    <mergeCell ref="K31:M32"/>
    <mergeCell ref="F31:F32"/>
    <mergeCell ref="G31:G32"/>
    <mergeCell ref="H31:H32"/>
    <mergeCell ref="I31:I32"/>
    <mergeCell ref="C9:C10"/>
    <mergeCell ref="D9:D10"/>
    <mergeCell ref="E9:E10"/>
    <mergeCell ref="F9:F10"/>
    <mergeCell ref="G9:G10"/>
    <mergeCell ref="K9:M10"/>
    <mergeCell ref="C17:C18"/>
    <mergeCell ref="D17:D18"/>
    <mergeCell ref="E17:E18"/>
    <mergeCell ref="F17:F18"/>
    <mergeCell ref="G17:G18"/>
    <mergeCell ref="I17:I18"/>
    <mergeCell ref="H17:H18"/>
    <mergeCell ref="K7:M8"/>
    <mergeCell ref="F7:F8"/>
    <mergeCell ref="G7:G8"/>
    <mergeCell ref="H7:H8"/>
    <mergeCell ref="I7:I8"/>
    <mergeCell ref="J7:J8"/>
    <mergeCell ref="A2:F2"/>
    <mergeCell ref="G2:M2"/>
    <mergeCell ref="G3:J3"/>
    <mergeCell ref="A4:A6"/>
    <mergeCell ref="I4:J4"/>
    <mergeCell ref="K4:M6"/>
    <mergeCell ref="B5:B6"/>
    <mergeCell ref="K3:M3"/>
    <mergeCell ref="A3:B3"/>
    <mergeCell ref="B4:C4"/>
    <mergeCell ref="C5:C6"/>
    <mergeCell ref="J5:J6"/>
    <mergeCell ref="I5:I6"/>
    <mergeCell ref="G4:G6"/>
    <mergeCell ref="F4:F6"/>
    <mergeCell ref="D4:D6"/>
    <mergeCell ref="E4:E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dcterms:created xsi:type="dcterms:W3CDTF">2015-05-15T07:43:01Z</dcterms:created>
  <dcterms:modified xsi:type="dcterms:W3CDTF">2018-12-19T13:48:40Z</dcterms:modified>
</cp:coreProperties>
</file>