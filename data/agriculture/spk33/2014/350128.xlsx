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08" windowWidth="15144" windowHeight="5208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28" i="1"/>
  <c r="B19"/>
  <c r="K109"/>
  <c r="K108"/>
  <c r="K107"/>
  <c r="K106"/>
  <c r="K103"/>
  <c r="K102"/>
  <c r="K101"/>
  <c r="K100"/>
  <c r="K99"/>
  <c r="K98"/>
  <c r="K97"/>
  <c r="K96"/>
  <c r="K95"/>
  <c r="K94"/>
  <c r="K93"/>
  <c r="K92"/>
  <c r="K91"/>
  <c r="K88"/>
  <c r="K87"/>
  <c r="K86"/>
  <c r="K85"/>
  <c r="K84"/>
  <c r="K81"/>
  <c r="K80"/>
  <c r="K79"/>
  <c r="K78"/>
  <c r="K77"/>
  <c r="K76"/>
  <c r="K75"/>
  <c r="K74"/>
  <c r="K71"/>
  <c r="K70"/>
  <c r="K69"/>
  <c r="K68"/>
  <c r="K67"/>
  <c r="K64"/>
  <c r="K63"/>
  <c r="K62"/>
  <c r="K59"/>
  <c r="K58"/>
  <c r="K57"/>
  <c r="K56"/>
  <c r="K55"/>
  <c r="K52"/>
  <c r="K51"/>
  <c r="K50"/>
  <c r="K49"/>
  <c r="K48"/>
  <c r="K45"/>
  <c r="K44"/>
  <c r="K43"/>
  <c r="K42"/>
  <c r="K41"/>
  <c r="K38"/>
  <c r="K37"/>
  <c r="K36"/>
  <c r="K35"/>
  <c r="K32"/>
  <c r="K31"/>
  <c r="K30"/>
  <c r="K29"/>
  <c r="K27"/>
  <c r="K26"/>
  <c r="K25"/>
  <c r="K24"/>
  <c r="K23"/>
  <c r="K22"/>
  <c r="K21"/>
  <c r="K18"/>
  <c r="K17"/>
  <c r="K16"/>
  <c r="K15"/>
  <c r="K14"/>
  <c r="K13"/>
  <c r="K11" s="1"/>
  <c r="K104" l="1"/>
  <c r="K89"/>
  <c r="K82"/>
  <c r="K72"/>
  <c r="K65"/>
  <c r="K60"/>
  <c r="K53"/>
  <c r="K46"/>
  <c r="K39"/>
  <c r="K33"/>
  <c r="K28"/>
  <c r="K19"/>
  <c r="C19"/>
  <c r="C11"/>
  <c r="B13"/>
  <c r="N104"/>
  <c r="M104"/>
  <c r="L104"/>
  <c r="J104"/>
  <c r="I104"/>
  <c r="H104"/>
  <c r="N89"/>
  <c r="M89"/>
  <c r="L89"/>
  <c r="J89"/>
  <c r="I89"/>
  <c r="H89"/>
  <c r="N82"/>
  <c r="M82"/>
  <c r="L82"/>
  <c r="J82"/>
  <c r="I82"/>
  <c r="H82"/>
  <c r="N72"/>
  <c r="M72"/>
  <c r="L72"/>
  <c r="J72"/>
  <c r="I72"/>
  <c r="H72"/>
  <c r="N65"/>
  <c r="M65"/>
  <c r="L65"/>
  <c r="J65"/>
  <c r="I65"/>
  <c r="H65"/>
  <c r="N60"/>
  <c r="M60"/>
  <c r="L60"/>
  <c r="J60"/>
  <c r="I60"/>
  <c r="H60"/>
  <c r="N53"/>
  <c r="M53"/>
  <c r="L53"/>
  <c r="J53"/>
  <c r="I53"/>
  <c r="H53"/>
  <c r="N46"/>
  <c r="M46"/>
  <c r="L46"/>
  <c r="J46"/>
  <c r="I46"/>
  <c r="H46"/>
  <c r="N39"/>
  <c r="M39"/>
  <c r="L39"/>
  <c r="J39"/>
  <c r="I39"/>
  <c r="H39"/>
  <c r="N33"/>
  <c r="M33"/>
  <c r="L33"/>
  <c r="J33"/>
  <c r="I33"/>
  <c r="H33"/>
  <c r="N28"/>
  <c r="M28"/>
  <c r="L28"/>
  <c r="I28"/>
  <c r="J28"/>
  <c r="H28"/>
  <c r="N19"/>
  <c r="M19"/>
  <c r="L19"/>
  <c r="I19"/>
  <c r="J19"/>
  <c r="H19"/>
  <c r="N11"/>
  <c r="M11"/>
  <c r="L11"/>
  <c r="I11"/>
  <c r="J11"/>
  <c r="H11"/>
  <c r="G109"/>
  <c r="G108"/>
  <c r="G107"/>
  <c r="G106"/>
  <c r="G104" s="1"/>
  <c r="G103"/>
  <c r="G102"/>
  <c r="G101"/>
  <c r="G100"/>
  <c r="G99"/>
  <c r="G98"/>
  <c r="G97"/>
  <c r="G96"/>
  <c r="G95"/>
  <c r="G94"/>
  <c r="G93"/>
  <c r="G92"/>
  <c r="G91"/>
  <c r="G89" s="1"/>
  <c r="G88"/>
  <c r="G87"/>
  <c r="G86"/>
  <c r="G85"/>
  <c r="G84"/>
  <c r="G82" s="1"/>
  <c r="G81"/>
  <c r="G80"/>
  <c r="G79"/>
  <c r="G78"/>
  <c r="G77"/>
  <c r="G76"/>
  <c r="G75"/>
  <c r="G74"/>
  <c r="G72" s="1"/>
  <c r="G71"/>
  <c r="G70"/>
  <c r="G69"/>
  <c r="G68"/>
  <c r="G67"/>
  <c r="G65" s="1"/>
  <c r="G64"/>
  <c r="G63"/>
  <c r="G62"/>
  <c r="G60" s="1"/>
  <c r="G59"/>
  <c r="G58"/>
  <c r="G57"/>
  <c r="G56"/>
  <c r="G55"/>
  <c r="G53" s="1"/>
  <c r="G52"/>
  <c r="G51"/>
  <c r="G50"/>
  <c r="G49"/>
  <c r="G48"/>
  <c r="G46" s="1"/>
  <c r="G45"/>
  <c r="G44"/>
  <c r="G43"/>
  <c r="G42"/>
  <c r="G41"/>
  <c r="G39" s="1"/>
  <c r="G38"/>
  <c r="G37"/>
  <c r="G36"/>
  <c r="G35"/>
  <c r="G33" s="1"/>
  <c r="G32"/>
  <c r="G31"/>
  <c r="G30"/>
  <c r="G29"/>
  <c r="G28" s="1"/>
  <c r="G27"/>
  <c r="G26"/>
  <c r="G25"/>
  <c r="G24"/>
  <c r="G23"/>
  <c r="G22"/>
  <c r="G21"/>
  <c r="G19" s="1"/>
  <c r="G18"/>
  <c r="G17"/>
  <c r="G16"/>
  <c r="G15"/>
  <c r="G14"/>
  <c r="G13"/>
  <c r="G11" s="1"/>
  <c r="B109"/>
  <c r="B108"/>
  <c r="B107"/>
  <c r="B106"/>
  <c r="B104" s="1"/>
  <c r="B103"/>
  <c r="B102"/>
  <c r="B101"/>
  <c r="B100"/>
  <c r="B99"/>
  <c r="B98"/>
  <c r="B97"/>
  <c r="B96"/>
  <c r="B95"/>
  <c r="B94"/>
  <c r="B93"/>
  <c r="B92"/>
  <c r="B91"/>
  <c r="B88"/>
  <c r="B87"/>
  <c r="B86"/>
  <c r="B85"/>
  <c r="B84"/>
  <c r="B82" s="1"/>
  <c r="B81"/>
  <c r="B80"/>
  <c r="B79"/>
  <c r="B78"/>
  <c r="B77"/>
  <c r="B76"/>
  <c r="B75"/>
  <c r="B74"/>
  <c r="B72" s="1"/>
  <c r="B71"/>
  <c r="B70"/>
  <c r="B69"/>
  <c r="B68"/>
  <c r="B67"/>
  <c r="B65" s="1"/>
  <c r="B64"/>
  <c r="B63"/>
  <c r="B62"/>
  <c r="B60" s="1"/>
  <c r="B59"/>
  <c r="B58"/>
  <c r="B57"/>
  <c r="B56"/>
  <c r="B55"/>
  <c r="B53" s="1"/>
  <c r="B52"/>
  <c r="B51"/>
  <c r="B50"/>
  <c r="B49"/>
  <c r="B48"/>
  <c r="B46" s="1"/>
  <c r="B45"/>
  <c r="B44"/>
  <c r="B43"/>
  <c r="B42"/>
  <c r="B41"/>
  <c r="B39" s="1"/>
  <c r="B38"/>
  <c r="B37"/>
  <c r="B36"/>
  <c r="B33" s="1"/>
  <c r="B35"/>
  <c r="B32"/>
  <c r="B31"/>
  <c r="B30"/>
  <c r="B29"/>
  <c r="B27"/>
  <c r="B26"/>
  <c r="B25"/>
  <c r="B24"/>
  <c r="B23"/>
  <c r="B22"/>
  <c r="B21"/>
  <c r="B18"/>
  <c r="B17"/>
  <c r="B16"/>
  <c r="B15"/>
  <c r="B14"/>
  <c r="D104"/>
  <c r="E104"/>
  <c r="F104"/>
  <c r="C104"/>
  <c r="D89"/>
  <c r="E89"/>
  <c r="F89"/>
  <c r="C89"/>
  <c r="D82"/>
  <c r="E82"/>
  <c r="F82"/>
  <c r="C82"/>
  <c r="D72"/>
  <c r="E72"/>
  <c r="F72"/>
  <c r="C72"/>
  <c r="D65"/>
  <c r="E65"/>
  <c r="F65"/>
  <c r="C65"/>
  <c r="D60"/>
  <c r="E60"/>
  <c r="F60"/>
  <c r="C60"/>
  <c r="D53"/>
  <c r="E53"/>
  <c r="F53"/>
  <c r="C53"/>
  <c r="F39"/>
  <c r="F33"/>
  <c r="F46"/>
  <c r="D46"/>
  <c r="E46"/>
  <c r="C46"/>
  <c r="D39"/>
  <c r="E39"/>
  <c r="C39"/>
  <c r="D33"/>
  <c r="E33"/>
  <c r="C33"/>
  <c r="D28"/>
  <c r="E28"/>
  <c r="F28"/>
  <c r="C28"/>
  <c r="D19"/>
  <c r="E19"/>
  <c r="F19"/>
  <c r="D11"/>
  <c r="E11"/>
  <c r="F11"/>
  <c r="B89" l="1"/>
  <c r="B11"/>
  <c r="K9"/>
  <c r="N9"/>
  <c r="I9"/>
  <c r="L9"/>
  <c r="H9"/>
  <c r="C9"/>
  <c r="E9"/>
  <c r="M9"/>
  <c r="J9"/>
  <c r="F9"/>
  <c r="D9"/>
  <c r="G9" l="1"/>
  <c r="B9"/>
</calcChain>
</file>

<file path=xl/sharedStrings.xml><?xml version="1.0" encoding="utf-8"?>
<sst xmlns="http://schemas.openxmlformats.org/spreadsheetml/2006/main" count="439" uniqueCount="197">
  <si>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</si>
  <si>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</si>
  <si>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</si>
  <si>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</si>
  <si>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</si>
  <si>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</si>
  <si>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</si>
  <si>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</si>
  <si>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</si>
  <si>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</si>
  <si>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</si>
  <si>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</si>
  <si>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</si>
  <si>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</si>
  <si>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</si>
  <si>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</si>
  <si>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</si>
  <si>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</si>
  <si>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</si>
  <si>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</si>
  <si>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</si>
  <si>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</si>
  <si>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</si>
  <si>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</si>
  <si>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</si>
  <si>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</si>
  <si>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</si>
  <si>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</si>
  <si>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</si>
  <si>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</si>
  <si>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</si>
  <si>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</si>
  <si>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</si>
  <si>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</si>
  <si>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</si>
  <si>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</si>
  <si>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</si>
  <si>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</si>
  <si>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</si>
  <si>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</si>
  <si>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</si>
  <si>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</si>
  <si>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</si>
  <si>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</si>
  <si>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</si>
  <si>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</si>
  <si>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</si>
  <si>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</si>
  <si>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</si>
  <si>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</si>
  <si>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</si>
  <si>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</si>
  <si>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</si>
  <si>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</si>
  <si>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</si>
  <si>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</si>
  <si>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</si>
  <si>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</si>
  <si>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</si>
  <si>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</si>
  <si>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</si>
  <si>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</si>
  <si>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</si>
  <si>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</si>
  <si>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</si>
  <si>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</si>
  <si>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</si>
  <si>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</si>
  <si>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</si>
  <si>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</si>
  <si>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</si>
  <si>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</si>
  <si>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</si>
  <si>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</si>
  <si>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</si>
  <si>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</si>
  <si>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</si>
  <si>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</si>
  <si>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</si>
  <si>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</si>
  <si>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</si>
  <si>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</si>
  <si>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</si>
  <si>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</si>
  <si>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</si>
  <si>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</si>
  <si>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</si>
  <si>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</si>
  <si>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</si>
  <si>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</si>
  <si>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</si>
  <si>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</si>
  <si>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</si>
  <si>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</si>
  <si>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</si>
  <si>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</si>
  <si>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</si>
  <si>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</si>
  <si>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</si>
  <si>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</si>
  <si>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</si>
  <si>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</si>
  <si>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</si>
  <si>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</si>
  <si>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</si>
  <si>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</si>
  <si>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</si>
  <si>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</si>
  <si>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</si>
  <si>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</si>
  <si>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</si>
  <si>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</si>
  <si>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—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</si>
  <si>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</si>
  <si>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</si>
  <si>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</si>
  <si>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</si>
  <si>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</si>
  <si>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</si>
  <si>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</si>
  <si>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</si>
  <si>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</si>
  <si>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</si>
  <si>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</si>
  <si>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</si>
  <si>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</si>
  <si>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</si>
  <si>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</si>
  <si>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</si>
  <si>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</si>
  <si>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</si>
  <si>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</si>
  <si>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</si>
  <si>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</si>
  <si>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</si>
  <si>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</si>
  <si>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</si>
  <si>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</si>
  <si>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</si>
  <si>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</si>
  <si>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</si>
  <si>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</si>
  <si>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</si>
  <si>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</si>
  <si>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</si>
  <si>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</si>
  <si>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</si>
  <si>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</si>
  <si>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</si>
  <si>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</si>
  <si>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</si>
  <si>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</si>
  <si>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</si>
  <si>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</si>
  <si>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</si>
  <si>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</si>
  <si>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</si>
  <si>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</si>
  <si>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</si>
  <si>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</si>
  <si>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</si>
  <si>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</si>
  <si>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</si>
  <si>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</si>
  <si>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</si>
  <si>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</si>
  <si>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</si>
  <si>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</si>
  <si>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</si>
  <si>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</si>
  <si>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</si>
  <si>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</si>
  <si>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</si>
  <si>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</si>
  <si>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</si>
  <si>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</si>
  <si>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</si>
  <si>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</si>
  <si>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</si>
  <si>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</si>
  <si>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</si>
  <si>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</si>
  <si>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</si>
  <si>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</si>
  <si>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</si>
  <si>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</si>
  <si>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</si>
  <si>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</si>
  <si>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</si>
  <si>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Αγελάδες
Cows</t>
  </si>
  <si>
    <t>Αίγες
Goats</t>
  </si>
  <si>
    <t>Πρόβατα
Sheep</t>
  </si>
  <si>
    <t>Αναπαραγωγής
Reproductive</t>
  </si>
  <si>
    <t>Μικτής χρήσης
Mixed use</t>
  </si>
  <si>
    <t>Πίνακας 6. Ζώα που αρμέχτηκαν όλο το έτος 2014, κατά Περιφέρεια και Περιφερειακή Ενότητα</t>
  </si>
  <si>
    <t xml:space="preserve">Παραγωγής
γάλακτος
For milk production
</t>
  </si>
  <si>
    <t>Table 6. Animals milked during 2014, by Region and Regional Unities</t>
  </si>
</sst>
</file>

<file path=xl/styles.xml><?xml version="1.0" encoding="utf-8"?>
<styleSheet xmlns="http://schemas.openxmlformats.org/spreadsheetml/2006/main">
  <fonts count="14">
    <font>
      <sz val="11"/>
      <color indexed="8"/>
      <name val="Calibri"/>
      <family val="2"/>
      <charset val="161"/>
    </font>
    <font>
      <sz val="8"/>
      <color indexed="8"/>
      <name val="Arial"/>
      <family val="2"/>
      <charset val="161"/>
    </font>
    <font>
      <b/>
      <sz val="11"/>
      <name val="Arial"/>
      <family val="2"/>
      <charset val="161"/>
    </font>
    <font>
      <sz val="11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b/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Tahoma"/>
      <family val="2"/>
      <charset val="161"/>
    </font>
    <font>
      <sz val="8"/>
      <color theme="1"/>
      <name val="Arial"/>
      <family val="2"/>
      <charset val="161"/>
    </font>
    <font>
      <sz val="10"/>
      <color indexed="8"/>
      <name val="Arial"/>
      <family val="2"/>
      <charset val="161"/>
    </font>
    <font>
      <b/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/>
    </xf>
    <xf numFmtId="0" fontId="5" fillId="0" borderId="1" xfId="0" applyNumberFormat="1" applyFont="1" applyFill="1" applyBorder="1" applyAlignment="1" applyProtection="1">
      <alignment horizontal="left"/>
    </xf>
    <xf numFmtId="0" fontId="5" fillId="0" borderId="1" xfId="0" applyNumberFormat="1" applyFont="1" applyFill="1" applyBorder="1" applyAlignment="1" applyProtection="1"/>
    <xf numFmtId="0" fontId="5" fillId="0" borderId="0" xfId="0" applyNumberFormat="1" applyFont="1" applyFill="1" applyBorder="1" applyAlignment="1" applyProtection="1"/>
    <xf numFmtId="0" fontId="1" fillId="0" borderId="0" xfId="0" applyFont="1" applyBorder="1"/>
    <xf numFmtId="3" fontId="5" fillId="0" borderId="2" xfId="0" quotePrefix="1" applyNumberFormat="1" applyFont="1" applyFill="1" applyBorder="1" applyAlignment="1" applyProtection="1">
      <alignment horizontal="right"/>
    </xf>
    <xf numFmtId="0" fontId="1" fillId="0" borderId="0" xfId="0" applyFont="1" applyBorder="1" applyAlignment="1">
      <alignment horizontal="left"/>
    </xf>
    <xf numFmtId="3" fontId="5" fillId="0" borderId="3" xfId="0" quotePrefix="1" applyNumberFormat="1" applyFont="1" applyFill="1" applyBorder="1" applyAlignment="1" applyProtection="1">
      <alignment horizontal="right"/>
    </xf>
    <xf numFmtId="0" fontId="1" fillId="0" borderId="1" xfId="0" applyFont="1" applyBorder="1" applyAlignment="1">
      <alignment horizontal="left"/>
    </xf>
    <xf numFmtId="49" fontId="5" fillId="0" borderId="4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 applyProtection="1">
      <alignment horizontal="left" indent="2"/>
    </xf>
    <xf numFmtId="0" fontId="5" fillId="0" borderId="0" xfId="0" applyFont="1" applyFill="1" applyBorder="1" applyAlignment="1" applyProtection="1">
      <alignment horizontal="left" indent="2"/>
    </xf>
    <xf numFmtId="0" fontId="9" fillId="0" borderId="0" xfId="0" applyFont="1" applyBorder="1" applyAlignment="1">
      <alignment horizontal="center"/>
    </xf>
    <xf numFmtId="49" fontId="4" fillId="0" borderId="0" xfId="0" applyNumberFormat="1" applyFont="1" applyFill="1" applyBorder="1" applyAlignment="1" applyProtection="1">
      <alignment horizontal="left" indent="2"/>
    </xf>
    <xf numFmtId="49" fontId="1" fillId="0" borderId="0" xfId="0" applyNumberFormat="1" applyFont="1" applyBorder="1"/>
    <xf numFmtId="0" fontId="10" fillId="0" borderId="0" xfId="0" applyNumberFormat="1" applyFont="1" applyFill="1" applyBorder="1" applyAlignment="1" applyProtection="1"/>
    <xf numFmtId="49" fontId="1" fillId="0" borderId="0" xfId="0" applyNumberFormat="1" applyFont="1"/>
    <xf numFmtId="49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3" fontId="5" fillId="0" borderId="5" xfId="0" applyNumberFormat="1" applyFont="1" applyFill="1" applyBorder="1" applyAlignment="1" applyProtection="1">
      <alignment horizontal="right"/>
    </xf>
    <xf numFmtId="3" fontId="5" fillId="0" borderId="5" xfId="0" quotePrefix="1" applyNumberFormat="1" applyFont="1" applyFill="1" applyBorder="1" applyAlignment="1" applyProtection="1">
      <alignment horizontal="right"/>
    </xf>
    <xf numFmtId="3" fontId="5" fillId="0" borderId="6" xfId="0" applyNumberFormat="1" applyFont="1" applyFill="1" applyBorder="1" applyAlignment="1" applyProtection="1">
      <alignment horizontal="right"/>
    </xf>
    <xf numFmtId="3" fontId="5" fillId="0" borderId="6" xfId="0" quotePrefix="1" applyNumberFormat="1" applyFont="1" applyFill="1" applyBorder="1" applyAlignment="1" applyProtection="1">
      <alignment horizontal="right"/>
    </xf>
    <xf numFmtId="49" fontId="4" fillId="0" borderId="0" xfId="0" applyNumberFormat="1" applyFont="1" applyFill="1" applyBorder="1" applyAlignment="1" applyProtection="1">
      <alignment vertical="center" wrapText="1"/>
    </xf>
    <xf numFmtId="0" fontId="6" fillId="0" borderId="0" xfId="0" applyFont="1" applyBorder="1" applyAlignment="1">
      <alignment vertical="center"/>
    </xf>
    <xf numFmtId="3" fontId="11" fillId="0" borderId="0" xfId="0" applyNumberFormat="1" applyFont="1" applyBorder="1" applyAlignment="1">
      <alignment horizontal="right" vertical="top" wrapText="1"/>
    </xf>
    <xf numFmtId="3" fontId="11" fillId="0" borderId="1" xfId="0" applyNumberFormat="1" applyFont="1" applyBorder="1" applyAlignment="1">
      <alignment horizontal="right" vertical="top" wrapText="1"/>
    </xf>
    <xf numFmtId="3" fontId="11" fillId="0" borderId="5" xfId="0" applyNumberFormat="1" applyFont="1" applyBorder="1" applyAlignment="1">
      <alignment horizontal="right" vertical="top" wrapText="1"/>
    </xf>
    <xf numFmtId="3" fontId="11" fillId="0" borderId="6" xfId="0" applyNumberFormat="1" applyFont="1" applyBorder="1" applyAlignment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Fill="1" applyBorder="1" applyAlignment="1" applyProtection="1">
      <alignment horizontal="right" vertical="center"/>
    </xf>
    <xf numFmtId="3" fontId="4" fillId="0" borderId="5" xfId="0" applyNumberFormat="1" applyFont="1" applyFill="1" applyBorder="1" applyAlignment="1" applyProtection="1">
      <alignment horizontal="right" vertical="center"/>
    </xf>
    <xf numFmtId="3" fontId="4" fillId="0" borderId="21" xfId="0" applyNumberFormat="1" applyFont="1" applyFill="1" applyBorder="1" applyAlignment="1" applyProtection="1">
      <alignment horizontal="right" vertical="center"/>
    </xf>
    <xf numFmtId="0" fontId="12" fillId="0" borderId="0" xfId="0" applyFont="1"/>
    <xf numFmtId="0" fontId="13" fillId="0" borderId="0" xfId="0" applyNumberFormat="1" applyFont="1" applyFill="1" applyBorder="1" applyAlignment="1" applyProtection="1">
      <alignment vertical="center" wrapText="1"/>
    </xf>
    <xf numFmtId="0" fontId="12" fillId="0" borderId="0" xfId="0" applyFont="1" applyBorder="1" applyAlignment="1">
      <alignment vertical="center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3" fontId="11" fillId="0" borderId="22" xfId="0" applyNumberFormat="1" applyFont="1" applyBorder="1" applyAlignment="1">
      <alignment horizontal="right" vertical="top" wrapText="1"/>
    </xf>
    <xf numFmtId="3" fontId="11" fillId="0" borderId="8" xfId="0" applyNumberFormat="1" applyFont="1" applyBorder="1" applyAlignment="1">
      <alignment horizontal="right" vertical="top" wrapText="1"/>
    </xf>
    <xf numFmtId="3" fontId="4" fillId="0" borderId="25" xfId="0" applyNumberFormat="1" applyFont="1" applyFill="1" applyBorder="1" applyAlignment="1" applyProtection="1">
      <alignment horizontal="right" vertical="center"/>
    </xf>
    <xf numFmtId="3" fontId="11" fillId="0" borderId="26" xfId="0" applyNumberFormat="1" applyFont="1" applyBorder="1" applyAlignment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left" wrapText="1" indent="1"/>
    </xf>
    <xf numFmtId="49" fontId="8" fillId="0" borderId="0" xfId="0" applyNumberFormat="1" applyFont="1" applyBorder="1" applyAlignment="1" applyProtection="1">
      <alignment horizontal="left" vertical="center" wrapText="1" indent="1"/>
      <protection locked="0"/>
    </xf>
    <xf numFmtId="49" fontId="5" fillId="0" borderId="1" xfId="0" applyNumberFormat="1" applyFont="1" applyFill="1" applyBorder="1" applyAlignment="1" applyProtection="1">
      <alignment horizontal="left" wrapText="1" indent="1"/>
    </xf>
    <xf numFmtId="0" fontId="1" fillId="0" borderId="0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10" xfId="0" applyNumberFormat="1" applyFont="1" applyFill="1" applyBorder="1" applyAlignment="1" applyProtection="1">
      <alignment horizontal="right" vertical="center" wrapText="1"/>
    </xf>
    <xf numFmtId="3" fontId="4" fillId="0" borderId="5" xfId="0" applyNumberFormat="1" applyFont="1" applyFill="1" applyBorder="1" applyAlignment="1" applyProtection="1">
      <alignment horizontal="right" vertical="center" wrapText="1"/>
    </xf>
    <xf numFmtId="3" fontId="4" fillId="0" borderId="11" xfId="0" applyNumberFormat="1" applyFont="1" applyFill="1" applyBorder="1" applyAlignment="1" applyProtection="1">
      <alignment horizontal="right" vertical="center" wrapText="1"/>
    </xf>
    <xf numFmtId="3" fontId="4" fillId="0" borderId="0" xfId="0" applyNumberFormat="1" applyFont="1" applyFill="1" applyBorder="1" applyAlignment="1" applyProtection="1">
      <alignment horizontal="right" vertical="center" wrapText="1"/>
    </xf>
    <xf numFmtId="3" fontId="4" fillId="0" borderId="20" xfId="0" applyNumberFormat="1" applyFont="1" applyFill="1" applyBorder="1" applyAlignment="1" applyProtection="1">
      <alignment horizontal="right" vertical="center" wrapText="1"/>
    </xf>
    <xf numFmtId="3" fontId="4" fillId="0" borderId="21" xfId="0" applyNumberFormat="1" applyFont="1" applyFill="1" applyBorder="1" applyAlignment="1" applyProtection="1">
      <alignment horizontal="righ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0" fontId="5" fillId="0" borderId="17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13" fillId="0" borderId="0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/>
    </xf>
    <xf numFmtId="0" fontId="4" fillId="0" borderId="4" xfId="0" applyNumberFormat="1" applyFont="1" applyFill="1" applyBorder="1" applyAlignment="1" applyProtection="1">
      <alignment horizontal="left" vertical="center" wrapText="1"/>
    </xf>
    <xf numFmtId="0" fontId="4" fillId="0" borderId="24" xfId="0" applyNumberFormat="1" applyFont="1" applyFill="1" applyBorder="1" applyAlignment="1" applyProtection="1">
      <alignment horizontal="left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7" xfId="0" applyNumberFormat="1" applyFont="1" applyFill="1" applyBorder="1" applyAlignment="1" applyProtection="1">
      <alignment horizontal="center" vertical="center" wrapText="1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3" fontId="6" fillId="0" borderId="0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3" fontId="4" fillId="0" borderId="5" xfId="0" applyNumberFormat="1" applyFont="1" applyFill="1" applyBorder="1" applyAlignment="1" applyProtection="1">
      <alignment horizontal="right" vertical="center"/>
    </xf>
    <xf numFmtId="3" fontId="4" fillId="0" borderId="0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3" fontId="4" fillId="0" borderId="21" xfId="0" applyNumberFormat="1" applyFont="1" applyFill="1" applyBorder="1" applyAlignment="1" applyProtection="1">
      <alignment horizontal="right" vertical="center"/>
    </xf>
    <xf numFmtId="3" fontId="6" fillId="0" borderId="21" xfId="0" applyNumberFormat="1" applyFont="1" applyBorder="1" applyAlignment="1">
      <alignment horizontal="right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3" fontId="4" fillId="0" borderId="25" xfId="0" applyNumberFormat="1" applyFont="1" applyFill="1" applyBorder="1" applyAlignment="1" applyProtection="1">
      <alignment horizontal="righ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left" wrapText="1" indent="1"/>
    </xf>
    <xf numFmtId="0" fontId="5" fillId="0" borderId="27" xfId="0" applyNumberFormat="1" applyFont="1" applyFill="1" applyBorder="1" applyAlignment="1" applyProtection="1">
      <alignment horizontal="center" vertical="top" wrapText="1"/>
    </xf>
    <xf numFmtId="0" fontId="5" fillId="0" borderId="5" xfId="0" applyNumberFormat="1" applyFont="1" applyFill="1" applyBorder="1" applyAlignment="1" applyProtection="1">
      <alignment horizontal="center" vertical="top" wrapText="1"/>
    </xf>
    <xf numFmtId="0" fontId="5" fillId="0" borderId="23" xfId="0" applyNumberFormat="1" applyFont="1" applyFill="1" applyBorder="1" applyAlignment="1" applyProtection="1">
      <alignment horizontal="center" vertical="top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3" fontId="6" fillId="0" borderId="25" xfId="0" applyNumberFormat="1" applyFont="1" applyBorder="1" applyAlignment="1">
      <alignment horizontal="right" vertical="center"/>
    </xf>
    <xf numFmtId="0" fontId="5" fillId="0" borderId="16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3" fontId="4" fillId="0" borderId="19" xfId="0" applyNumberFormat="1" applyFont="1" applyFill="1" applyBorder="1" applyAlignment="1" applyProtection="1">
      <alignment horizontal="right" vertical="center" wrapText="1"/>
    </xf>
    <xf numFmtId="3" fontId="4" fillId="0" borderId="2" xfId="0" applyNumberFormat="1" applyFont="1" applyFill="1" applyBorder="1" applyAlignment="1" applyProtection="1">
      <alignment horizontal="right" vertical="center" wrapText="1"/>
    </xf>
    <xf numFmtId="0" fontId="7" fillId="0" borderId="0" xfId="0" applyFont="1" applyBorder="1" applyAlignment="1">
      <alignment horizontal="right" vertical="center"/>
    </xf>
    <xf numFmtId="49" fontId="7" fillId="0" borderId="0" xfId="0" applyNumberFormat="1" applyFont="1" applyBorder="1" applyAlignment="1">
      <alignment horizontal="left" vertical="center" wrapText="1"/>
    </xf>
    <xf numFmtId="0" fontId="5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NumberFormat="1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center" vertical="center" wrapText="1"/>
    </xf>
    <xf numFmtId="49" fontId="7" fillId="0" borderId="0" xfId="0" applyNumberFormat="1" applyFont="1" applyBorder="1" applyAlignment="1">
      <alignment horizontal="left" vertical="center"/>
    </xf>
    <xf numFmtId="49" fontId="4" fillId="0" borderId="11" xfId="0" applyNumberFormat="1" applyFont="1" applyFill="1" applyBorder="1" applyAlignment="1" applyProtection="1">
      <alignment vertical="center" wrapText="1"/>
    </xf>
    <xf numFmtId="49" fontId="4" fillId="0" borderId="0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5"/>
  <sheetViews>
    <sheetView showGridLines="0" tabSelected="1" zoomScale="120" zoomScaleNormal="120" workbookViewId="0">
      <selection activeCell="D32" sqref="D32"/>
    </sheetView>
  </sheetViews>
  <sheetFormatPr defaultRowHeight="10.199999999999999"/>
  <cols>
    <col min="1" max="1" width="35.5546875" style="1" customWidth="1"/>
    <col min="2" max="2" width="10.44140625" style="1" customWidth="1"/>
    <col min="3" max="3" width="13.109375" style="1" bestFit="1" customWidth="1"/>
    <col min="4" max="4" width="10.88671875" style="1" customWidth="1"/>
    <col min="5" max="5" width="10" style="1" customWidth="1"/>
    <col min="6" max="6" width="7" style="1" bestFit="1" customWidth="1"/>
    <col min="7" max="14" width="11.77734375" style="1" customWidth="1"/>
    <col min="15" max="15" width="9.6640625" style="1" customWidth="1"/>
    <col min="16" max="16" width="9.33203125" style="1" customWidth="1"/>
    <col min="17" max="17" width="11" style="1" customWidth="1"/>
    <col min="18" max="18" width="8.44140625" style="1" customWidth="1"/>
    <col min="19" max="16384" width="8.88671875" style="1"/>
  </cols>
  <sheetData>
    <row r="1" spans="1:18" ht="14.4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</row>
    <row r="2" spans="1:18" s="41" customFormat="1" ht="18" customHeight="1">
      <c r="B2" s="66" t="s">
        <v>194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42"/>
      <c r="N2" s="42"/>
      <c r="O2" s="42"/>
      <c r="P2" s="42"/>
      <c r="Q2" s="42"/>
      <c r="R2" s="43"/>
    </row>
    <row r="3" spans="1:18" s="41" customFormat="1" ht="15.6" customHeight="1">
      <c r="A3" s="44"/>
      <c r="B3" s="66" t="s">
        <v>196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44"/>
      <c r="N3" s="44"/>
      <c r="O3" s="44"/>
      <c r="P3" s="44"/>
      <c r="Q3" s="44"/>
      <c r="R3" s="43"/>
    </row>
    <row r="4" spans="1:18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4"/>
    </row>
    <row r="5" spans="1:18" ht="10.8" thickBot="1">
      <c r="A5" s="5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67"/>
      <c r="M5" s="67"/>
      <c r="N5" s="67"/>
      <c r="O5" s="6"/>
      <c r="P5" s="67" t="s">
        <v>1</v>
      </c>
      <c r="Q5" s="67"/>
      <c r="R5" s="7"/>
    </row>
    <row r="6" spans="1:18" ht="25.2" customHeight="1">
      <c r="A6" s="68" t="s">
        <v>2</v>
      </c>
      <c r="B6" s="94" t="s">
        <v>189</v>
      </c>
      <c r="C6" s="71"/>
      <c r="D6" s="71"/>
      <c r="E6" s="71"/>
      <c r="F6" s="91" t="s">
        <v>181</v>
      </c>
      <c r="G6" s="70" t="s">
        <v>191</v>
      </c>
      <c r="H6" s="71"/>
      <c r="I6" s="71"/>
      <c r="J6" s="72"/>
      <c r="K6" s="71" t="s">
        <v>190</v>
      </c>
      <c r="L6" s="71"/>
      <c r="M6" s="71"/>
      <c r="N6" s="73"/>
      <c r="O6" s="68" t="s">
        <v>3</v>
      </c>
      <c r="P6" s="68"/>
      <c r="Q6" s="68"/>
      <c r="R6" s="8"/>
    </row>
    <row r="7" spans="1:18" ht="31.8" customHeight="1">
      <c r="A7" s="55"/>
      <c r="B7" s="95" t="s">
        <v>182</v>
      </c>
      <c r="C7" s="62" t="s">
        <v>195</v>
      </c>
      <c r="D7" s="62" t="s">
        <v>192</v>
      </c>
      <c r="E7" s="98" t="s">
        <v>193</v>
      </c>
      <c r="F7" s="92"/>
      <c r="G7" s="74" t="s">
        <v>182</v>
      </c>
      <c r="H7" s="62" t="s">
        <v>183</v>
      </c>
      <c r="I7" s="62" t="s">
        <v>184</v>
      </c>
      <c r="J7" s="62" t="s">
        <v>185</v>
      </c>
      <c r="K7" s="76" t="s">
        <v>182</v>
      </c>
      <c r="L7" s="62" t="s">
        <v>186</v>
      </c>
      <c r="M7" s="62" t="s">
        <v>187</v>
      </c>
      <c r="N7" s="64" t="s">
        <v>188</v>
      </c>
      <c r="O7" s="55"/>
      <c r="P7" s="55"/>
      <c r="Q7" s="55"/>
      <c r="R7" s="8"/>
    </row>
    <row r="8" spans="1:18" ht="30.6" customHeight="1">
      <c r="A8" s="69"/>
      <c r="B8" s="96"/>
      <c r="C8" s="63"/>
      <c r="D8" s="63"/>
      <c r="E8" s="99"/>
      <c r="F8" s="93"/>
      <c r="G8" s="75"/>
      <c r="H8" s="63"/>
      <c r="I8" s="63"/>
      <c r="J8" s="63"/>
      <c r="K8" s="77"/>
      <c r="L8" s="63"/>
      <c r="M8" s="63"/>
      <c r="N8" s="65"/>
      <c r="O8" s="69"/>
      <c r="P8" s="69"/>
      <c r="Q8" s="69"/>
      <c r="R8" s="8"/>
    </row>
    <row r="9" spans="1:18">
      <c r="A9" s="110" t="s">
        <v>4</v>
      </c>
      <c r="B9" s="100">
        <f>SUM(B11,B19,B28,B33,B39,B46,B53,B60,B65,B72,B82,B89,B104)</f>
        <v>161614</v>
      </c>
      <c r="C9" s="56">
        <f t="shared" ref="C9:N9" si="0">SUM(C11,C19,C28,C33,C39,C46,C53,C60,C65,C72,C82,C89,C104)</f>
        <v>102473</v>
      </c>
      <c r="D9" s="58">
        <f t="shared" si="0"/>
        <v>20728</v>
      </c>
      <c r="E9" s="56">
        <f t="shared" si="0"/>
        <v>38413</v>
      </c>
      <c r="F9" s="56">
        <f t="shared" si="0"/>
        <v>298</v>
      </c>
      <c r="G9" s="56">
        <f>SUM(G11,G19,G28,G33,G39,G46,G53,G60,G65,G72,G82,G89,G104)</f>
        <v>6298334</v>
      </c>
      <c r="H9" s="58">
        <f t="shared" si="0"/>
        <v>232627</v>
      </c>
      <c r="I9" s="56">
        <f t="shared" si="0"/>
        <v>5738334</v>
      </c>
      <c r="J9" s="58">
        <f t="shared" si="0"/>
        <v>327373</v>
      </c>
      <c r="K9" s="56">
        <f>SUM(K11,K19,K28,K33,K39,K46,K53,K60,K65,K72,K82,K89,K104)</f>
        <v>3044803</v>
      </c>
      <c r="L9" s="58">
        <f t="shared" si="0"/>
        <v>215301</v>
      </c>
      <c r="M9" s="56">
        <f t="shared" si="0"/>
        <v>2594574</v>
      </c>
      <c r="N9" s="60">
        <f t="shared" si="0"/>
        <v>234928</v>
      </c>
      <c r="O9" s="54" t="s">
        <v>5</v>
      </c>
      <c r="P9" s="54"/>
      <c r="Q9" s="54"/>
      <c r="R9" s="8"/>
    </row>
    <row r="10" spans="1:18">
      <c r="A10" s="111"/>
      <c r="B10" s="101"/>
      <c r="C10" s="57"/>
      <c r="D10" s="59"/>
      <c r="E10" s="57"/>
      <c r="F10" s="57"/>
      <c r="G10" s="57"/>
      <c r="H10" s="59"/>
      <c r="I10" s="57"/>
      <c r="J10" s="59"/>
      <c r="K10" s="57"/>
      <c r="L10" s="59"/>
      <c r="M10" s="57"/>
      <c r="N10" s="61"/>
      <c r="O10" s="55"/>
      <c r="P10" s="55"/>
      <c r="Q10" s="55"/>
      <c r="R10" s="8"/>
    </row>
    <row r="11" spans="1:18">
      <c r="A11" s="87" t="s">
        <v>6</v>
      </c>
      <c r="B11" s="97">
        <f>SUM(B13:B18)</f>
        <v>20975</v>
      </c>
      <c r="C11" s="79">
        <f>SUM(C13:C18)</f>
        <v>12424</v>
      </c>
      <c r="D11" s="78">
        <f t="shared" ref="D11:F11" si="1">SUM(D13:D18)</f>
        <v>3508</v>
      </c>
      <c r="E11" s="79">
        <f t="shared" si="1"/>
        <v>5043</v>
      </c>
      <c r="F11" s="79">
        <f t="shared" si="1"/>
        <v>0</v>
      </c>
      <c r="G11" s="79">
        <f>SUM(G13:G18)</f>
        <v>418365</v>
      </c>
      <c r="H11" s="78">
        <f>SUM(H13:H18)</f>
        <v>5642</v>
      </c>
      <c r="I11" s="79">
        <f t="shared" ref="I11:J11" si="2">SUM(I13:I18)</f>
        <v>412723</v>
      </c>
      <c r="J11" s="78">
        <f t="shared" si="2"/>
        <v>0</v>
      </c>
      <c r="K11" s="79">
        <f>SUM(K13:K18)</f>
        <v>269741</v>
      </c>
      <c r="L11" s="78">
        <f t="shared" ref="L11:N11" si="3">SUM(L13:L18)</f>
        <v>2648</v>
      </c>
      <c r="M11" s="79">
        <f t="shared" si="3"/>
        <v>267093</v>
      </c>
      <c r="N11" s="86">
        <f t="shared" si="3"/>
        <v>0</v>
      </c>
      <c r="O11" s="55" t="s">
        <v>7</v>
      </c>
      <c r="P11" s="55"/>
      <c r="Q11" s="55"/>
      <c r="R11" s="8"/>
    </row>
    <row r="12" spans="1:18" ht="18" customHeight="1">
      <c r="A12" s="87"/>
      <c r="B12" s="97"/>
      <c r="C12" s="79"/>
      <c r="D12" s="78"/>
      <c r="E12" s="79"/>
      <c r="F12" s="79"/>
      <c r="G12" s="79"/>
      <c r="H12" s="78"/>
      <c r="I12" s="79"/>
      <c r="J12" s="78"/>
      <c r="K12" s="79"/>
      <c r="L12" s="78"/>
      <c r="M12" s="79"/>
      <c r="N12" s="86"/>
      <c r="O12" s="55"/>
      <c r="P12" s="55"/>
      <c r="Q12" s="55"/>
      <c r="R12" s="8"/>
    </row>
    <row r="13" spans="1:18" ht="11.4" customHeight="1">
      <c r="A13" s="49" t="s">
        <v>113</v>
      </c>
      <c r="B13" s="9">
        <f>SUM(C13:E13)</f>
        <v>4579</v>
      </c>
      <c r="C13" s="35">
        <v>2472</v>
      </c>
      <c r="D13" s="33">
        <v>460</v>
      </c>
      <c r="E13" s="35">
        <v>1647</v>
      </c>
      <c r="F13" s="35" t="s">
        <v>112</v>
      </c>
      <c r="G13" s="28">
        <f>SUM(H13:J13)</f>
        <v>104593</v>
      </c>
      <c r="H13" s="45">
        <v>424</v>
      </c>
      <c r="I13" s="33">
        <v>104169</v>
      </c>
      <c r="J13" s="35" t="s">
        <v>112</v>
      </c>
      <c r="K13" s="27">
        <f>SUM(L13:N13)</f>
        <v>73722</v>
      </c>
      <c r="L13" s="35">
        <v>376</v>
      </c>
      <c r="M13" s="33">
        <v>73346</v>
      </c>
      <c r="N13" s="46" t="s">
        <v>112</v>
      </c>
      <c r="O13" s="52" t="s">
        <v>8</v>
      </c>
      <c r="P13" s="10"/>
      <c r="Q13" s="10"/>
      <c r="R13" s="8"/>
    </row>
    <row r="14" spans="1:18">
      <c r="A14" s="49" t="s">
        <v>114</v>
      </c>
      <c r="B14" s="9">
        <f t="shared" ref="B14:B18" si="4">SUM(C14:E14)</f>
        <v>1430</v>
      </c>
      <c r="C14" s="35">
        <v>1386</v>
      </c>
      <c r="D14" s="33" t="s">
        <v>112</v>
      </c>
      <c r="E14" s="35">
        <v>44</v>
      </c>
      <c r="F14" s="35" t="s">
        <v>112</v>
      </c>
      <c r="G14" s="28">
        <f t="shared" ref="G14:G18" si="5">SUM(H14:J14)</f>
        <v>65875</v>
      </c>
      <c r="H14" s="45">
        <v>4146</v>
      </c>
      <c r="I14" s="33">
        <v>61729</v>
      </c>
      <c r="J14" s="35" t="s">
        <v>112</v>
      </c>
      <c r="K14" s="27">
        <f t="shared" ref="K14:K18" si="6">SUM(L14:N14)</f>
        <v>37957</v>
      </c>
      <c r="L14" s="35">
        <v>897</v>
      </c>
      <c r="M14" s="33">
        <v>37060</v>
      </c>
      <c r="N14" s="46" t="s">
        <v>112</v>
      </c>
      <c r="O14" s="52" t="s">
        <v>9</v>
      </c>
      <c r="P14" s="10"/>
      <c r="Q14" s="10"/>
      <c r="R14" s="8"/>
    </row>
    <row r="15" spans="1:18">
      <c r="A15" s="49" t="s">
        <v>115</v>
      </c>
      <c r="B15" s="9">
        <f t="shared" si="4"/>
        <v>3772</v>
      </c>
      <c r="C15" s="35">
        <v>2198</v>
      </c>
      <c r="D15" s="33">
        <v>60</v>
      </c>
      <c r="E15" s="35">
        <v>1514</v>
      </c>
      <c r="F15" s="35" t="s">
        <v>112</v>
      </c>
      <c r="G15" s="28">
        <f t="shared" si="5"/>
        <v>80495</v>
      </c>
      <c r="H15" s="45">
        <v>498</v>
      </c>
      <c r="I15" s="33">
        <v>79997</v>
      </c>
      <c r="J15" s="35" t="s">
        <v>112</v>
      </c>
      <c r="K15" s="27">
        <f t="shared" si="6"/>
        <v>51082</v>
      </c>
      <c r="L15" s="35">
        <v>789</v>
      </c>
      <c r="M15" s="33">
        <v>50293</v>
      </c>
      <c r="N15" s="46" t="s">
        <v>112</v>
      </c>
      <c r="O15" s="52" t="s">
        <v>10</v>
      </c>
      <c r="P15" s="10"/>
      <c r="Q15" s="10"/>
      <c r="R15" s="8"/>
    </row>
    <row r="16" spans="1:18">
      <c r="A16" s="49" t="s">
        <v>116</v>
      </c>
      <c r="B16" s="9">
        <f t="shared" si="4"/>
        <v>0</v>
      </c>
      <c r="C16" s="35" t="s">
        <v>112</v>
      </c>
      <c r="D16" s="33" t="s">
        <v>112</v>
      </c>
      <c r="E16" s="35" t="s">
        <v>112</v>
      </c>
      <c r="F16" s="35" t="s">
        <v>112</v>
      </c>
      <c r="G16" s="28">
        <f t="shared" si="5"/>
        <v>20687</v>
      </c>
      <c r="H16" s="45">
        <v>77</v>
      </c>
      <c r="I16" s="33">
        <v>20610</v>
      </c>
      <c r="J16" s="35" t="s">
        <v>112</v>
      </c>
      <c r="K16" s="27">
        <f t="shared" si="6"/>
        <v>13775</v>
      </c>
      <c r="L16" s="35">
        <v>55</v>
      </c>
      <c r="M16" s="33">
        <v>13720</v>
      </c>
      <c r="N16" s="46" t="s">
        <v>112</v>
      </c>
      <c r="O16" s="52" t="s">
        <v>11</v>
      </c>
      <c r="P16" s="10"/>
      <c r="Q16" s="10"/>
      <c r="R16" s="8"/>
    </row>
    <row r="17" spans="1:18">
      <c r="A17" s="49" t="s">
        <v>117</v>
      </c>
      <c r="B17" s="9">
        <f t="shared" si="4"/>
        <v>1538</v>
      </c>
      <c r="C17" s="35">
        <v>229</v>
      </c>
      <c r="D17" s="33">
        <v>8</v>
      </c>
      <c r="E17" s="35">
        <v>1301</v>
      </c>
      <c r="F17" s="35" t="s">
        <v>112</v>
      </c>
      <c r="G17" s="28">
        <f t="shared" si="5"/>
        <v>51377</v>
      </c>
      <c r="H17" s="45">
        <v>495</v>
      </c>
      <c r="I17" s="33">
        <v>50882</v>
      </c>
      <c r="J17" s="35" t="s">
        <v>112</v>
      </c>
      <c r="K17" s="27">
        <f t="shared" si="6"/>
        <v>41720</v>
      </c>
      <c r="L17" s="35">
        <v>525</v>
      </c>
      <c r="M17" s="33">
        <v>41195</v>
      </c>
      <c r="N17" s="46" t="s">
        <v>112</v>
      </c>
      <c r="O17" s="52" t="s">
        <v>12</v>
      </c>
      <c r="P17" s="10"/>
      <c r="Q17" s="10"/>
      <c r="R17" s="8"/>
    </row>
    <row r="18" spans="1:18">
      <c r="A18" s="49" t="s">
        <v>118</v>
      </c>
      <c r="B18" s="9">
        <f t="shared" si="4"/>
        <v>9656</v>
      </c>
      <c r="C18" s="35">
        <v>6139</v>
      </c>
      <c r="D18" s="33">
        <v>2980</v>
      </c>
      <c r="E18" s="35">
        <v>537</v>
      </c>
      <c r="F18" s="35" t="s">
        <v>112</v>
      </c>
      <c r="G18" s="28">
        <f t="shared" si="5"/>
        <v>95338</v>
      </c>
      <c r="H18" s="45">
        <v>2</v>
      </c>
      <c r="I18" s="33">
        <v>95336</v>
      </c>
      <c r="J18" s="35" t="s">
        <v>112</v>
      </c>
      <c r="K18" s="27">
        <f t="shared" si="6"/>
        <v>51485</v>
      </c>
      <c r="L18" s="35">
        <v>6</v>
      </c>
      <c r="M18" s="33">
        <v>51479</v>
      </c>
      <c r="N18" s="46" t="s">
        <v>112</v>
      </c>
      <c r="O18" s="52" t="s">
        <v>13</v>
      </c>
      <c r="P18" s="10"/>
      <c r="Q18" s="10"/>
      <c r="R18" s="8"/>
    </row>
    <row r="19" spans="1:18">
      <c r="A19" s="87" t="s">
        <v>14</v>
      </c>
      <c r="B19" s="88">
        <f>SUM(B21:B27)</f>
        <v>70924</v>
      </c>
      <c r="C19" s="81">
        <f>SUM(C21:C27)</f>
        <v>52580</v>
      </c>
      <c r="D19" s="82">
        <f t="shared" ref="D19:F19" si="7">SUM(D21:D27)</f>
        <v>10604</v>
      </c>
      <c r="E19" s="81">
        <f t="shared" si="7"/>
        <v>7740</v>
      </c>
      <c r="F19" s="81">
        <f t="shared" si="7"/>
        <v>272</v>
      </c>
      <c r="G19" s="81">
        <f>SUM(G21:G27)</f>
        <v>723928</v>
      </c>
      <c r="H19" s="82">
        <f>SUM(H21:H27)</f>
        <v>2279</v>
      </c>
      <c r="I19" s="81">
        <f t="shared" ref="I19:K19" si="8">SUM(I21:I27)</f>
        <v>720915</v>
      </c>
      <c r="J19" s="82">
        <f t="shared" si="8"/>
        <v>734</v>
      </c>
      <c r="K19" s="81">
        <f t="shared" si="8"/>
        <v>420577</v>
      </c>
      <c r="L19" s="82">
        <f t="shared" ref="L19:N19" si="9">SUM(L21:L27)</f>
        <v>4335</v>
      </c>
      <c r="M19" s="81">
        <f t="shared" si="9"/>
        <v>404896</v>
      </c>
      <c r="N19" s="85">
        <f t="shared" si="9"/>
        <v>11346</v>
      </c>
      <c r="O19" s="83" t="s">
        <v>15</v>
      </c>
      <c r="P19" s="84"/>
      <c r="Q19" s="84"/>
      <c r="R19" s="8"/>
    </row>
    <row r="20" spans="1:18">
      <c r="A20" s="87"/>
      <c r="B20" s="88"/>
      <c r="C20" s="81"/>
      <c r="D20" s="82"/>
      <c r="E20" s="81"/>
      <c r="F20" s="81"/>
      <c r="G20" s="81"/>
      <c r="H20" s="82"/>
      <c r="I20" s="81"/>
      <c r="J20" s="82"/>
      <c r="K20" s="81"/>
      <c r="L20" s="82"/>
      <c r="M20" s="81"/>
      <c r="N20" s="85"/>
      <c r="O20" s="84"/>
      <c r="P20" s="84"/>
      <c r="Q20" s="84"/>
      <c r="R20" s="8"/>
    </row>
    <row r="21" spans="1:18">
      <c r="A21" s="49" t="s">
        <v>119</v>
      </c>
      <c r="B21" s="9">
        <f t="shared" ref="B21:B27" si="10">SUM(C21:E21)</f>
        <v>24605</v>
      </c>
      <c r="C21" s="35">
        <v>24398</v>
      </c>
      <c r="D21" s="33">
        <v>12</v>
      </c>
      <c r="E21" s="35">
        <v>195</v>
      </c>
      <c r="F21" s="35">
        <v>272</v>
      </c>
      <c r="G21" s="28">
        <f t="shared" ref="G21:G27" si="11">SUM(H21:J21)</f>
        <v>125853</v>
      </c>
      <c r="H21" s="35">
        <v>300</v>
      </c>
      <c r="I21" s="33">
        <v>125478</v>
      </c>
      <c r="J21" s="35">
        <v>75</v>
      </c>
      <c r="K21" s="27">
        <f t="shared" ref="K21:K27" si="12">SUM(L21:N21)</f>
        <v>106975</v>
      </c>
      <c r="L21" s="35">
        <v>819</v>
      </c>
      <c r="M21" s="33">
        <v>97393</v>
      </c>
      <c r="N21" s="46">
        <v>8763</v>
      </c>
      <c r="O21" s="52" t="s">
        <v>16</v>
      </c>
      <c r="P21" s="10"/>
      <c r="Q21" s="10"/>
      <c r="R21" s="8"/>
    </row>
    <row r="22" spans="1:18">
      <c r="A22" s="49" t="s">
        <v>120</v>
      </c>
      <c r="B22" s="9">
        <f t="shared" si="10"/>
        <v>11823</v>
      </c>
      <c r="C22" s="35">
        <v>3386</v>
      </c>
      <c r="D22" s="33">
        <v>5420</v>
      </c>
      <c r="E22" s="35">
        <v>3017</v>
      </c>
      <c r="F22" s="35" t="s">
        <v>112</v>
      </c>
      <c r="G22" s="28">
        <f t="shared" si="11"/>
        <v>46738</v>
      </c>
      <c r="H22" s="35">
        <v>338</v>
      </c>
      <c r="I22" s="33">
        <v>45741</v>
      </c>
      <c r="J22" s="35">
        <v>659</v>
      </c>
      <c r="K22" s="27">
        <f t="shared" si="12"/>
        <v>25229</v>
      </c>
      <c r="L22" s="35">
        <v>262</v>
      </c>
      <c r="M22" s="33">
        <v>22384</v>
      </c>
      <c r="N22" s="46">
        <v>2583</v>
      </c>
      <c r="O22" s="52" t="s">
        <v>17</v>
      </c>
      <c r="P22" s="10"/>
      <c r="Q22" s="10"/>
      <c r="R22" s="8"/>
    </row>
    <row r="23" spans="1:18">
      <c r="A23" s="49" t="s">
        <v>121</v>
      </c>
      <c r="B23" s="9">
        <f t="shared" si="10"/>
        <v>12745</v>
      </c>
      <c r="C23" s="35">
        <v>11988</v>
      </c>
      <c r="D23" s="33">
        <v>455</v>
      </c>
      <c r="E23" s="35">
        <v>302</v>
      </c>
      <c r="F23" s="35" t="s">
        <v>112</v>
      </c>
      <c r="G23" s="28">
        <f t="shared" si="11"/>
        <v>110951</v>
      </c>
      <c r="H23" s="35" t="s">
        <v>112</v>
      </c>
      <c r="I23" s="33">
        <v>110951</v>
      </c>
      <c r="J23" s="35" t="s">
        <v>112</v>
      </c>
      <c r="K23" s="27">
        <f t="shared" si="12"/>
        <v>36804</v>
      </c>
      <c r="L23" s="35" t="s">
        <v>112</v>
      </c>
      <c r="M23" s="33">
        <v>36804</v>
      </c>
      <c r="N23" s="46" t="s">
        <v>112</v>
      </c>
      <c r="O23" s="52" t="s">
        <v>18</v>
      </c>
      <c r="P23" s="10"/>
      <c r="Q23" s="10"/>
      <c r="R23" s="8"/>
    </row>
    <row r="24" spans="1:18">
      <c r="A24" s="49" t="s">
        <v>122</v>
      </c>
      <c r="B24" s="9">
        <f t="shared" si="10"/>
        <v>5388</v>
      </c>
      <c r="C24" s="35">
        <v>2528</v>
      </c>
      <c r="D24" s="33">
        <v>1883</v>
      </c>
      <c r="E24" s="35">
        <v>977</v>
      </c>
      <c r="F24" s="35" t="s">
        <v>112</v>
      </c>
      <c r="G24" s="28">
        <f t="shared" si="11"/>
        <v>122493</v>
      </c>
      <c r="H24" s="35">
        <v>621</v>
      </c>
      <c r="I24" s="33">
        <v>121872</v>
      </c>
      <c r="J24" s="35" t="s">
        <v>112</v>
      </c>
      <c r="K24" s="27">
        <f t="shared" si="12"/>
        <v>41841</v>
      </c>
      <c r="L24" s="35">
        <v>1009</v>
      </c>
      <c r="M24" s="33">
        <v>40832</v>
      </c>
      <c r="N24" s="46" t="s">
        <v>112</v>
      </c>
      <c r="O24" s="52" t="s">
        <v>19</v>
      </c>
      <c r="P24" s="10"/>
      <c r="Q24" s="10"/>
      <c r="R24" s="8"/>
    </row>
    <row r="25" spans="1:18">
      <c r="A25" s="49" t="s">
        <v>123</v>
      </c>
      <c r="B25" s="9">
        <f t="shared" si="10"/>
        <v>1517</v>
      </c>
      <c r="C25" s="35">
        <v>1050</v>
      </c>
      <c r="D25" s="33">
        <v>260</v>
      </c>
      <c r="E25" s="35">
        <v>207</v>
      </c>
      <c r="F25" s="35" t="s">
        <v>112</v>
      </c>
      <c r="G25" s="28">
        <f t="shared" si="11"/>
        <v>68530</v>
      </c>
      <c r="H25" s="35">
        <v>3</v>
      </c>
      <c r="I25" s="33">
        <v>68527</v>
      </c>
      <c r="J25" s="35" t="s">
        <v>112</v>
      </c>
      <c r="K25" s="27">
        <f t="shared" si="12"/>
        <v>33803</v>
      </c>
      <c r="L25" s="35">
        <v>244</v>
      </c>
      <c r="M25" s="33">
        <v>33559</v>
      </c>
      <c r="N25" s="46" t="s">
        <v>112</v>
      </c>
      <c r="O25" s="52" t="s">
        <v>20</v>
      </c>
      <c r="P25" s="10"/>
      <c r="Q25" s="10"/>
      <c r="R25" s="8"/>
    </row>
    <row r="26" spans="1:18">
      <c r="A26" s="49" t="s">
        <v>124</v>
      </c>
      <c r="B26" s="9">
        <f t="shared" si="10"/>
        <v>12943</v>
      </c>
      <c r="C26" s="35">
        <v>7938</v>
      </c>
      <c r="D26" s="33">
        <v>2295</v>
      </c>
      <c r="E26" s="35">
        <v>2710</v>
      </c>
      <c r="F26" s="35" t="s">
        <v>112</v>
      </c>
      <c r="G26" s="28">
        <f t="shared" si="11"/>
        <v>194510</v>
      </c>
      <c r="H26" s="35">
        <v>540</v>
      </c>
      <c r="I26" s="33">
        <v>193970</v>
      </c>
      <c r="J26" s="35" t="s">
        <v>112</v>
      </c>
      <c r="K26" s="27">
        <f t="shared" si="12"/>
        <v>101698</v>
      </c>
      <c r="L26" s="35">
        <v>783</v>
      </c>
      <c r="M26" s="33">
        <v>100915</v>
      </c>
      <c r="N26" s="46" t="s">
        <v>112</v>
      </c>
      <c r="O26" s="52" t="s">
        <v>21</v>
      </c>
      <c r="P26" s="10"/>
      <c r="Q26" s="10"/>
      <c r="R26" s="8"/>
    </row>
    <row r="27" spans="1:18">
      <c r="A27" s="49" t="s">
        <v>125</v>
      </c>
      <c r="B27" s="9">
        <f t="shared" si="10"/>
        <v>1903</v>
      </c>
      <c r="C27" s="35">
        <v>1292</v>
      </c>
      <c r="D27" s="33">
        <v>279</v>
      </c>
      <c r="E27" s="35">
        <v>332</v>
      </c>
      <c r="F27" s="35" t="s">
        <v>112</v>
      </c>
      <c r="G27" s="28">
        <f t="shared" si="11"/>
        <v>54853</v>
      </c>
      <c r="H27" s="35">
        <v>477</v>
      </c>
      <c r="I27" s="33">
        <v>54376</v>
      </c>
      <c r="J27" s="35" t="s">
        <v>112</v>
      </c>
      <c r="K27" s="27">
        <f t="shared" si="12"/>
        <v>74227</v>
      </c>
      <c r="L27" s="35">
        <v>1218</v>
      </c>
      <c r="M27" s="33">
        <v>73009</v>
      </c>
      <c r="N27" s="46" t="s">
        <v>112</v>
      </c>
      <c r="O27" s="52" t="s">
        <v>22</v>
      </c>
      <c r="P27" s="10"/>
      <c r="Q27" s="10"/>
      <c r="R27" s="8"/>
    </row>
    <row r="28" spans="1:18" ht="21" customHeight="1">
      <c r="A28" s="31" t="s">
        <v>180</v>
      </c>
      <c r="B28" s="47">
        <f>SUM(B29:B32)</f>
        <v>9306</v>
      </c>
      <c r="C28" s="39">
        <f>SUM(C29:C32)</f>
        <v>5418</v>
      </c>
      <c r="D28" s="38">
        <f t="shared" ref="D28:F28" si="13">SUM(D29:D32)</f>
        <v>124</v>
      </c>
      <c r="E28" s="39">
        <f t="shared" si="13"/>
        <v>3764</v>
      </c>
      <c r="F28" s="39">
        <f t="shared" si="13"/>
        <v>0</v>
      </c>
      <c r="G28" s="39">
        <f>SUM(G29:G32)</f>
        <v>288239</v>
      </c>
      <c r="H28" s="38">
        <f>SUM(H29:H32)</f>
        <v>515</v>
      </c>
      <c r="I28" s="39">
        <f t="shared" ref="I28:J28" si="14">SUM(I29:I32)</f>
        <v>285008</v>
      </c>
      <c r="J28" s="38">
        <f t="shared" si="14"/>
        <v>2716</v>
      </c>
      <c r="K28" s="39">
        <f t="shared" ref="K28:L28" si="15">SUM(K29:K32)</f>
        <v>105951</v>
      </c>
      <c r="L28" s="38">
        <f t="shared" si="15"/>
        <v>1624</v>
      </c>
      <c r="M28" s="39">
        <f t="shared" ref="M28" si="16">SUM(M29:M32)</f>
        <v>103464</v>
      </c>
      <c r="N28" s="40">
        <f t="shared" ref="N28" si="17">SUM(N29:N32)</f>
        <v>863</v>
      </c>
      <c r="O28" s="32" t="s">
        <v>179</v>
      </c>
      <c r="P28" s="10"/>
      <c r="Q28" s="10"/>
      <c r="R28" s="8"/>
    </row>
    <row r="29" spans="1:18">
      <c r="A29" s="49" t="s">
        <v>126</v>
      </c>
      <c r="B29" s="9">
        <f t="shared" ref="B29:B32" si="18">SUM(C29:E29)</f>
        <v>3649</v>
      </c>
      <c r="C29" s="35">
        <v>3213</v>
      </c>
      <c r="D29" s="33">
        <v>119</v>
      </c>
      <c r="E29" s="35">
        <v>317</v>
      </c>
      <c r="F29" s="35" t="s">
        <v>112</v>
      </c>
      <c r="G29" s="28">
        <f t="shared" ref="G29:G32" si="19">SUM(H29:J29)</f>
        <v>102495</v>
      </c>
      <c r="H29" s="35">
        <v>241</v>
      </c>
      <c r="I29" s="33">
        <v>99538</v>
      </c>
      <c r="J29" s="35">
        <v>2716</v>
      </c>
      <c r="K29" s="27">
        <f t="shared" ref="K29:K32" si="20">SUM(L29:N29)</f>
        <v>43364</v>
      </c>
      <c r="L29" s="35">
        <v>323</v>
      </c>
      <c r="M29" s="33">
        <v>42178</v>
      </c>
      <c r="N29" s="46">
        <v>863</v>
      </c>
      <c r="O29" s="52" t="s">
        <v>23</v>
      </c>
      <c r="P29" s="10"/>
      <c r="Q29" s="10"/>
      <c r="R29" s="8"/>
    </row>
    <row r="30" spans="1:18">
      <c r="A30" s="49" t="s">
        <v>127</v>
      </c>
      <c r="B30" s="9">
        <f t="shared" si="18"/>
        <v>1100</v>
      </c>
      <c r="C30" s="35">
        <v>1074</v>
      </c>
      <c r="D30" s="33" t="s">
        <v>112</v>
      </c>
      <c r="E30" s="35">
        <v>26</v>
      </c>
      <c r="F30" s="35" t="s">
        <v>112</v>
      </c>
      <c r="G30" s="28">
        <f t="shared" si="19"/>
        <v>58090</v>
      </c>
      <c r="H30" s="35">
        <v>191</v>
      </c>
      <c r="I30" s="33">
        <v>57899</v>
      </c>
      <c r="J30" s="35" t="s">
        <v>112</v>
      </c>
      <c r="K30" s="27">
        <f t="shared" si="20"/>
        <v>34646</v>
      </c>
      <c r="L30" s="35">
        <v>917</v>
      </c>
      <c r="M30" s="33">
        <v>33729</v>
      </c>
      <c r="N30" s="46" t="s">
        <v>112</v>
      </c>
      <c r="O30" s="52" t="s">
        <v>24</v>
      </c>
      <c r="P30" s="10"/>
      <c r="Q30" s="10"/>
      <c r="R30" s="8"/>
    </row>
    <row r="31" spans="1:18">
      <c r="A31" s="49" t="s">
        <v>128</v>
      </c>
      <c r="B31" s="9">
        <f t="shared" si="18"/>
        <v>314</v>
      </c>
      <c r="C31" s="35">
        <v>116</v>
      </c>
      <c r="D31" s="33">
        <v>5</v>
      </c>
      <c r="E31" s="35">
        <v>193</v>
      </c>
      <c r="F31" s="35" t="s">
        <v>112</v>
      </c>
      <c r="G31" s="28">
        <f t="shared" si="19"/>
        <v>48682</v>
      </c>
      <c r="H31" s="35">
        <v>8</v>
      </c>
      <c r="I31" s="33">
        <v>48674</v>
      </c>
      <c r="J31" s="35" t="s">
        <v>112</v>
      </c>
      <c r="K31" s="27">
        <f t="shared" si="20"/>
        <v>10048</v>
      </c>
      <c r="L31" s="35">
        <v>24</v>
      </c>
      <c r="M31" s="33">
        <v>10024</v>
      </c>
      <c r="N31" s="46" t="s">
        <v>112</v>
      </c>
      <c r="O31" s="52" t="s">
        <v>25</v>
      </c>
      <c r="P31" s="10"/>
      <c r="Q31" s="10"/>
      <c r="R31" s="8"/>
    </row>
    <row r="32" spans="1:18">
      <c r="A32" s="49" t="s">
        <v>129</v>
      </c>
      <c r="B32" s="9">
        <f t="shared" si="18"/>
        <v>4243</v>
      </c>
      <c r="C32" s="35">
        <v>1015</v>
      </c>
      <c r="D32" s="33" t="s">
        <v>112</v>
      </c>
      <c r="E32" s="35">
        <v>3228</v>
      </c>
      <c r="F32" s="35" t="s">
        <v>112</v>
      </c>
      <c r="G32" s="28">
        <f t="shared" si="19"/>
        <v>78972</v>
      </c>
      <c r="H32" s="35">
        <v>75</v>
      </c>
      <c r="I32" s="33">
        <v>78897</v>
      </c>
      <c r="J32" s="35" t="s">
        <v>112</v>
      </c>
      <c r="K32" s="27">
        <f t="shared" si="20"/>
        <v>17893</v>
      </c>
      <c r="L32" s="35">
        <v>360</v>
      </c>
      <c r="M32" s="33">
        <v>17533</v>
      </c>
      <c r="N32" s="46" t="s">
        <v>112</v>
      </c>
      <c r="O32" s="52" t="s">
        <v>26</v>
      </c>
      <c r="P32" s="10"/>
      <c r="Q32" s="10"/>
      <c r="R32" s="8"/>
    </row>
    <row r="33" spans="1:18">
      <c r="A33" s="87" t="s">
        <v>27</v>
      </c>
      <c r="B33" s="88">
        <f>SUM(B35:B38)</f>
        <v>12309</v>
      </c>
      <c r="C33" s="81">
        <f>SUM(C35:C38)</f>
        <v>5839</v>
      </c>
      <c r="D33" s="82">
        <f t="shared" ref="D33:E33" si="21">SUM(D35:D38)</f>
        <v>358</v>
      </c>
      <c r="E33" s="81">
        <f t="shared" si="21"/>
        <v>6112</v>
      </c>
      <c r="F33" s="81">
        <f t="shared" ref="F33" si="22">SUM(F35:F38)</f>
        <v>0</v>
      </c>
      <c r="G33" s="81">
        <f>SUM(G35:G38)</f>
        <v>467242</v>
      </c>
      <c r="H33" s="82">
        <f>SUM(H35:H38)</f>
        <v>11463</v>
      </c>
      <c r="I33" s="81">
        <f t="shared" ref="I33:K33" si="23">SUM(I35:I38)</f>
        <v>417316</v>
      </c>
      <c r="J33" s="82">
        <f t="shared" si="23"/>
        <v>38463</v>
      </c>
      <c r="K33" s="81">
        <f t="shared" si="23"/>
        <v>127362</v>
      </c>
      <c r="L33" s="82">
        <f t="shared" ref="L33:N33" si="24">SUM(L35:L38)</f>
        <v>5763</v>
      </c>
      <c r="M33" s="81">
        <f t="shared" si="24"/>
        <v>111857</v>
      </c>
      <c r="N33" s="85">
        <f t="shared" si="24"/>
        <v>9742</v>
      </c>
      <c r="O33" s="80" t="s">
        <v>28</v>
      </c>
      <c r="P33" s="80"/>
      <c r="Q33" s="80"/>
      <c r="R33" s="8"/>
    </row>
    <row r="34" spans="1:18">
      <c r="A34" s="87"/>
      <c r="B34" s="88"/>
      <c r="C34" s="81"/>
      <c r="D34" s="82"/>
      <c r="E34" s="81"/>
      <c r="F34" s="81"/>
      <c r="G34" s="81"/>
      <c r="H34" s="82"/>
      <c r="I34" s="81"/>
      <c r="J34" s="82"/>
      <c r="K34" s="81"/>
      <c r="L34" s="82"/>
      <c r="M34" s="81"/>
      <c r="N34" s="85"/>
      <c r="O34" s="80"/>
      <c r="P34" s="80"/>
      <c r="Q34" s="80"/>
      <c r="R34" s="8"/>
    </row>
    <row r="35" spans="1:18">
      <c r="A35" s="49" t="s">
        <v>130</v>
      </c>
      <c r="B35" s="9">
        <f t="shared" ref="B35:B38" si="25">SUM(C35:E35)</f>
        <v>4503</v>
      </c>
      <c r="C35" s="35">
        <v>944</v>
      </c>
      <c r="D35" s="33">
        <v>58</v>
      </c>
      <c r="E35" s="35">
        <v>3501</v>
      </c>
      <c r="F35" s="35" t="s">
        <v>112</v>
      </c>
      <c r="G35" s="28">
        <f t="shared" ref="G35:G38" si="26">SUM(H35:J35)</f>
        <v>142636</v>
      </c>
      <c r="H35" s="35">
        <v>4395</v>
      </c>
      <c r="I35" s="33">
        <v>137381</v>
      </c>
      <c r="J35" s="35">
        <v>860</v>
      </c>
      <c r="K35" s="27">
        <f t="shared" ref="K35:K38" si="27">SUM(L35:N35)</f>
        <v>35441</v>
      </c>
      <c r="L35" s="35">
        <v>1714</v>
      </c>
      <c r="M35" s="33">
        <v>33137</v>
      </c>
      <c r="N35" s="46">
        <v>590</v>
      </c>
      <c r="O35" s="52" t="s">
        <v>29</v>
      </c>
      <c r="P35" s="10"/>
      <c r="Q35" s="10"/>
      <c r="R35" s="8"/>
    </row>
    <row r="36" spans="1:18">
      <c r="A36" s="49" t="s">
        <v>131</v>
      </c>
      <c r="B36" s="9">
        <f t="shared" si="25"/>
        <v>1918</v>
      </c>
      <c r="C36" s="35">
        <v>1075</v>
      </c>
      <c r="D36" s="33">
        <v>242</v>
      </c>
      <c r="E36" s="35">
        <v>601</v>
      </c>
      <c r="F36" s="35" t="s">
        <v>112</v>
      </c>
      <c r="G36" s="28">
        <f t="shared" si="26"/>
        <v>117505</v>
      </c>
      <c r="H36" s="35">
        <v>6709</v>
      </c>
      <c r="I36" s="33">
        <v>84015</v>
      </c>
      <c r="J36" s="35">
        <v>26781</v>
      </c>
      <c r="K36" s="27">
        <f t="shared" si="27"/>
        <v>20816</v>
      </c>
      <c r="L36" s="35">
        <v>3824</v>
      </c>
      <c r="M36" s="33">
        <v>14303</v>
      </c>
      <c r="N36" s="46">
        <v>2689</v>
      </c>
      <c r="O36" s="52" t="s">
        <v>30</v>
      </c>
      <c r="P36" s="10"/>
      <c r="Q36" s="10"/>
      <c r="R36" s="8"/>
    </row>
    <row r="37" spans="1:18">
      <c r="A37" s="49" t="s">
        <v>132</v>
      </c>
      <c r="B37" s="9">
        <f t="shared" si="25"/>
        <v>139</v>
      </c>
      <c r="C37" s="35">
        <v>126</v>
      </c>
      <c r="D37" s="33" t="s">
        <v>112</v>
      </c>
      <c r="E37" s="35">
        <v>13</v>
      </c>
      <c r="F37" s="35" t="s">
        <v>112</v>
      </c>
      <c r="G37" s="28">
        <f t="shared" si="26"/>
        <v>90185</v>
      </c>
      <c r="H37" s="35">
        <v>359</v>
      </c>
      <c r="I37" s="33">
        <v>79004</v>
      </c>
      <c r="J37" s="35">
        <v>10822</v>
      </c>
      <c r="K37" s="27">
        <f t="shared" si="27"/>
        <v>41156</v>
      </c>
      <c r="L37" s="35">
        <v>225</v>
      </c>
      <c r="M37" s="33">
        <v>34468</v>
      </c>
      <c r="N37" s="46">
        <v>6463</v>
      </c>
      <c r="O37" s="52" t="s">
        <v>31</v>
      </c>
      <c r="P37" s="10"/>
      <c r="Q37" s="10"/>
      <c r="R37" s="8"/>
    </row>
    <row r="38" spans="1:18">
      <c r="A38" s="49" t="s">
        <v>133</v>
      </c>
      <c r="B38" s="9">
        <f t="shared" si="25"/>
        <v>5749</v>
      </c>
      <c r="C38" s="35">
        <v>3694</v>
      </c>
      <c r="D38" s="33">
        <v>58</v>
      </c>
      <c r="E38" s="35">
        <v>1997</v>
      </c>
      <c r="F38" s="35" t="s">
        <v>112</v>
      </c>
      <c r="G38" s="28">
        <f t="shared" si="26"/>
        <v>116916</v>
      </c>
      <c r="H38" s="35" t="s">
        <v>112</v>
      </c>
      <c r="I38" s="33">
        <v>116916</v>
      </c>
      <c r="J38" s="35" t="s">
        <v>112</v>
      </c>
      <c r="K38" s="27">
        <f t="shared" si="27"/>
        <v>29949</v>
      </c>
      <c r="L38" s="35" t="s">
        <v>112</v>
      </c>
      <c r="M38" s="33">
        <v>29949</v>
      </c>
      <c r="N38" s="46" t="s">
        <v>112</v>
      </c>
      <c r="O38" s="52" t="s">
        <v>32</v>
      </c>
      <c r="P38" s="10"/>
      <c r="Q38" s="10"/>
      <c r="R38" s="8"/>
    </row>
    <row r="39" spans="1:18">
      <c r="A39" s="87" t="s">
        <v>33</v>
      </c>
      <c r="B39" s="88">
        <f>SUM(B41:B45)</f>
        <v>20588</v>
      </c>
      <c r="C39" s="81">
        <f>SUM(C41:C45)</f>
        <v>15975</v>
      </c>
      <c r="D39" s="82">
        <f t="shared" ref="D39:E39" si="28">SUM(D41:D45)</f>
        <v>539</v>
      </c>
      <c r="E39" s="81">
        <f t="shared" si="28"/>
        <v>4074</v>
      </c>
      <c r="F39" s="81">
        <f t="shared" ref="F39" si="29">SUM(F41:F45)</f>
        <v>0</v>
      </c>
      <c r="G39" s="81">
        <f>SUM(G41:G45)</f>
        <v>983513</v>
      </c>
      <c r="H39" s="82">
        <f>SUM(H41:H45)</f>
        <v>6567</v>
      </c>
      <c r="I39" s="81">
        <f t="shared" ref="I39:K39" si="30">SUM(I41:I45)</f>
        <v>820926</v>
      </c>
      <c r="J39" s="82">
        <f t="shared" si="30"/>
        <v>156020</v>
      </c>
      <c r="K39" s="81">
        <f t="shared" si="30"/>
        <v>432772</v>
      </c>
      <c r="L39" s="82">
        <f t="shared" ref="L39:N39" si="31">SUM(L41:L45)</f>
        <v>8511</v>
      </c>
      <c r="M39" s="81">
        <f t="shared" si="31"/>
        <v>281399</v>
      </c>
      <c r="N39" s="85">
        <f t="shared" si="31"/>
        <v>142862</v>
      </c>
      <c r="O39" s="80" t="s">
        <v>34</v>
      </c>
      <c r="P39" s="80"/>
      <c r="Q39" s="80"/>
      <c r="R39" s="8"/>
    </row>
    <row r="40" spans="1:18">
      <c r="A40" s="87"/>
      <c r="B40" s="88"/>
      <c r="C40" s="81"/>
      <c r="D40" s="82"/>
      <c r="E40" s="81"/>
      <c r="F40" s="81"/>
      <c r="G40" s="81"/>
      <c r="H40" s="82"/>
      <c r="I40" s="81"/>
      <c r="J40" s="82"/>
      <c r="K40" s="81"/>
      <c r="L40" s="82"/>
      <c r="M40" s="81"/>
      <c r="N40" s="85"/>
      <c r="O40" s="80"/>
      <c r="P40" s="80"/>
      <c r="Q40" s="80"/>
      <c r="R40" s="8"/>
    </row>
    <row r="41" spans="1:18">
      <c r="A41" s="49" t="s">
        <v>134</v>
      </c>
      <c r="B41" s="9">
        <f t="shared" ref="B41:B45" si="32">SUM(C41:E41)</f>
        <v>12835</v>
      </c>
      <c r="C41" s="35">
        <v>11093</v>
      </c>
      <c r="D41" s="33">
        <v>282</v>
      </c>
      <c r="E41" s="35">
        <v>1460</v>
      </c>
      <c r="F41" s="35" t="s">
        <v>112</v>
      </c>
      <c r="G41" s="28">
        <f t="shared" ref="G41:G45" si="33">SUM(H41:J41)</f>
        <v>564817</v>
      </c>
      <c r="H41" s="35">
        <v>1396</v>
      </c>
      <c r="I41" s="33">
        <v>450402</v>
      </c>
      <c r="J41" s="35">
        <v>113019</v>
      </c>
      <c r="K41" s="27">
        <f t="shared" ref="K41:K45" si="34">SUM(L41:N41)</f>
        <v>266773</v>
      </c>
      <c r="L41" s="35">
        <v>3779</v>
      </c>
      <c r="M41" s="33">
        <v>137938</v>
      </c>
      <c r="N41" s="46">
        <v>125056</v>
      </c>
      <c r="O41" s="52" t="s">
        <v>35</v>
      </c>
      <c r="P41" s="10"/>
      <c r="Q41" s="10"/>
      <c r="R41" s="8"/>
    </row>
    <row r="42" spans="1:18">
      <c r="A42" s="49" t="s">
        <v>135</v>
      </c>
      <c r="B42" s="9">
        <f t="shared" si="32"/>
        <v>1090</v>
      </c>
      <c r="C42" s="35">
        <v>700</v>
      </c>
      <c r="D42" s="33">
        <v>153</v>
      </c>
      <c r="E42" s="35">
        <v>237</v>
      </c>
      <c r="F42" s="35" t="s">
        <v>112</v>
      </c>
      <c r="G42" s="28">
        <f t="shared" si="33"/>
        <v>140384</v>
      </c>
      <c r="H42" s="35">
        <v>1211</v>
      </c>
      <c r="I42" s="33">
        <v>124277</v>
      </c>
      <c r="J42" s="35">
        <v>14896</v>
      </c>
      <c r="K42" s="27">
        <f t="shared" si="34"/>
        <v>29996</v>
      </c>
      <c r="L42" s="35">
        <v>1286</v>
      </c>
      <c r="M42" s="33">
        <v>21703</v>
      </c>
      <c r="N42" s="46">
        <v>7007</v>
      </c>
      <c r="O42" s="52" t="s">
        <v>36</v>
      </c>
      <c r="P42" s="10"/>
      <c r="Q42" s="10"/>
      <c r="R42" s="8"/>
    </row>
    <row r="43" spans="1:18">
      <c r="A43" s="49" t="s">
        <v>136</v>
      </c>
      <c r="B43" s="9">
        <f t="shared" si="32"/>
        <v>1675</v>
      </c>
      <c r="C43" s="35">
        <v>1214</v>
      </c>
      <c r="D43" s="33">
        <v>1</v>
      </c>
      <c r="E43" s="35">
        <v>460</v>
      </c>
      <c r="F43" s="35" t="s">
        <v>112</v>
      </c>
      <c r="G43" s="28">
        <f t="shared" si="33"/>
        <v>103650</v>
      </c>
      <c r="H43" s="35">
        <v>2325</v>
      </c>
      <c r="I43" s="33">
        <v>101317</v>
      </c>
      <c r="J43" s="35">
        <v>8</v>
      </c>
      <c r="K43" s="27">
        <f t="shared" si="34"/>
        <v>65947</v>
      </c>
      <c r="L43" s="35">
        <v>2368</v>
      </c>
      <c r="M43" s="33">
        <v>63579</v>
      </c>
      <c r="N43" s="46" t="s">
        <v>112</v>
      </c>
      <c r="O43" s="52" t="s">
        <v>37</v>
      </c>
      <c r="P43" s="10"/>
      <c r="Q43" s="10"/>
      <c r="R43" s="8"/>
    </row>
    <row r="44" spans="1:18">
      <c r="A44" s="49" t="s">
        <v>137</v>
      </c>
      <c r="B44" s="9">
        <f t="shared" si="32"/>
        <v>0</v>
      </c>
      <c r="C44" s="35" t="s">
        <v>112</v>
      </c>
      <c r="D44" s="33" t="s">
        <v>112</v>
      </c>
      <c r="E44" s="35" t="s">
        <v>112</v>
      </c>
      <c r="F44" s="35" t="s">
        <v>112</v>
      </c>
      <c r="G44" s="28">
        <f t="shared" si="33"/>
        <v>622</v>
      </c>
      <c r="H44" s="35">
        <v>62</v>
      </c>
      <c r="I44" s="33">
        <v>560</v>
      </c>
      <c r="J44" s="35" t="s">
        <v>112</v>
      </c>
      <c r="K44" s="27">
        <f t="shared" si="34"/>
        <v>5528</v>
      </c>
      <c r="L44" s="35">
        <v>68</v>
      </c>
      <c r="M44" s="33">
        <v>5460</v>
      </c>
      <c r="N44" s="46" t="s">
        <v>112</v>
      </c>
      <c r="O44" s="52" t="s">
        <v>38</v>
      </c>
      <c r="P44" s="10"/>
      <c r="Q44" s="10"/>
      <c r="R44" s="8"/>
    </row>
    <row r="45" spans="1:18">
      <c r="A45" s="49" t="s">
        <v>138</v>
      </c>
      <c r="B45" s="9">
        <f t="shared" si="32"/>
        <v>4988</v>
      </c>
      <c r="C45" s="35">
        <v>2968</v>
      </c>
      <c r="D45" s="33">
        <v>103</v>
      </c>
      <c r="E45" s="35">
        <v>1917</v>
      </c>
      <c r="F45" s="35" t="s">
        <v>112</v>
      </c>
      <c r="G45" s="28">
        <f t="shared" si="33"/>
        <v>174040</v>
      </c>
      <c r="H45" s="35">
        <v>1573</v>
      </c>
      <c r="I45" s="33">
        <v>144370</v>
      </c>
      <c r="J45" s="35">
        <v>28097</v>
      </c>
      <c r="K45" s="27">
        <f t="shared" si="34"/>
        <v>64528</v>
      </c>
      <c r="L45" s="35">
        <v>1010</v>
      </c>
      <c r="M45" s="33">
        <v>52719</v>
      </c>
      <c r="N45" s="46">
        <v>10799</v>
      </c>
      <c r="O45" s="52" t="s">
        <v>39</v>
      </c>
      <c r="P45" s="10"/>
      <c r="Q45" s="10"/>
      <c r="R45" s="8"/>
    </row>
    <row r="46" spans="1:18">
      <c r="A46" s="87" t="s">
        <v>40</v>
      </c>
      <c r="B46" s="88">
        <f>SUM(B48:B52)</f>
        <v>7675</v>
      </c>
      <c r="C46" s="81">
        <f>SUM(C48:C52)</f>
        <v>1629</v>
      </c>
      <c r="D46" s="82">
        <f t="shared" ref="D46:E46" si="35">SUM(D48:D52)</f>
        <v>1196</v>
      </c>
      <c r="E46" s="81">
        <f t="shared" si="35"/>
        <v>4850</v>
      </c>
      <c r="F46" s="81">
        <f>SUM(F48:F52)</f>
        <v>25</v>
      </c>
      <c r="G46" s="81">
        <f>SUM(G48:G52)</f>
        <v>421145</v>
      </c>
      <c r="H46" s="82">
        <f>SUM(H48:H52)</f>
        <v>40206</v>
      </c>
      <c r="I46" s="81">
        <f t="shared" ref="I46:K46" si="36">SUM(I48:I52)</f>
        <v>362558</v>
      </c>
      <c r="J46" s="82">
        <f t="shared" si="36"/>
        <v>18381</v>
      </c>
      <c r="K46" s="81">
        <f t="shared" si="36"/>
        <v>277251</v>
      </c>
      <c r="L46" s="82">
        <f t="shared" ref="L46:N46" si="37">SUM(L48:L52)</f>
        <v>28740</v>
      </c>
      <c r="M46" s="81">
        <f t="shared" si="37"/>
        <v>242342</v>
      </c>
      <c r="N46" s="85">
        <f t="shared" si="37"/>
        <v>6169</v>
      </c>
      <c r="O46" s="80" t="s">
        <v>41</v>
      </c>
      <c r="P46" s="80"/>
      <c r="Q46" s="80"/>
      <c r="R46" s="8"/>
    </row>
    <row r="47" spans="1:18">
      <c r="A47" s="87"/>
      <c r="B47" s="88"/>
      <c r="C47" s="81"/>
      <c r="D47" s="82"/>
      <c r="E47" s="81"/>
      <c r="F47" s="81"/>
      <c r="G47" s="81"/>
      <c r="H47" s="82"/>
      <c r="I47" s="81"/>
      <c r="J47" s="82"/>
      <c r="K47" s="81"/>
      <c r="L47" s="82"/>
      <c r="M47" s="81"/>
      <c r="N47" s="85"/>
      <c r="O47" s="80"/>
      <c r="P47" s="80"/>
      <c r="Q47" s="80"/>
      <c r="R47" s="8"/>
    </row>
    <row r="48" spans="1:18">
      <c r="A48" s="49" t="s">
        <v>139</v>
      </c>
      <c r="B48" s="9">
        <f t="shared" ref="B48:B52" si="38">SUM(C48:E48)</f>
        <v>3527</v>
      </c>
      <c r="C48" s="35">
        <v>129</v>
      </c>
      <c r="D48" s="33">
        <v>908</v>
      </c>
      <c r="E48" s="35">
        <v>2490</v>
      </c>
      <c r="F48" s="35">
        <v>25</v>
      </c>
      <c r="G48" s="28">
        <f t="shared" ref="G48:G52" si="39">SUM(H48:J48)</f>
        <v>135806</v>
      </c>
      <c r="H48" s="35">
        <v>13078</v>
      </c>
      <c r="I48" s="33">
        <v>118099</v>
      </c>
      <c r="J48" s="35">
        <v>4629</v>
      </c>
      <c r="K48" s="27">
        <f t="shared" ref="K48:K52" si="40">SUM(L48:N48)</f>
        <v>70581</v>
      </c>
      <c r="L48" s="35">
        <v>8493</v>
      </c>
      <c r="M48" s="33">
        <v>61086</v>
      </c>
      <c r="N48" s="46">
        <v>1002</v>
      </c>
      <c r="O48" s="52" t="s">
        <v>42</v>
      </c>
      <c r="P48" s="10"/>
      <c r="Q48" s="10"/>
      <c r="R48" s="8"/>
    </row>
    <row r="49" spans="1:18">
      <c r="A49" s="49" t="s">
        <v>140</v>
      </c>
      <c r="B49" s="9">
        <f t="shared" si="38"/>
        <v>3419</v>
      </c>
      <c r="C49" s="35">
        <v>1330</v>
      </c>
      <c r="D49" s="33">
        <v>161</v>
      </c>
      <c r="E49" s="35">
        <v>1928</v>
      </c>
      <c r="F49" s="35" t="s">
        <v>112</v>
      </c>
      <c r="G49" s="28">
        <f t="shared" si="39"/>
        <v>89409</v>
      </c>
      <c r="H49" s="35">
        <v>4601</v>
      </c>
      <c r="I49" s="33">
        <v>80636</v>
      </c>
      <c r="J49" s="35">
        <v>4172</v>
      </c>
      <c r="K49" s="27">
        <f t="shared" si="40"/>
        <v>62644</v>
      </c>
      <c r="L49" s="35">
        <v>2594</v>
      </c>
      <c r="M49" s="33">
        <v>59020</v>
      </c>
      <c r="N49" s="46">
        <v>1030</v>
      </c>
      <c r="O49" s="52" t="s">
        <v>43</v>
      </c>
      <c r="P49" s="10"/>
      <c r="Q49" s="10"/>
      <c r="R49" s="8"/>
    </row>
    <row r="50" spans="1:18">
      <c r="A50" s="49" t="s">
        <v>141</v>
      </c>
      <c r="B50" s="9">
        <f t="shared" si="38"/>
        <v>582</v>
      </c>
      <c r="C50" s="35">
        <v>76</v>
      </c>
      <c r="D50" s="33">
        <v>127</v>
      </c>
      <c r="E50" s="35">
        <v>379</v>
      </c>
      <c r="F50" s="35" t="s">
        <v>112</v>
      </c>
      <c r="G50" s="28">
        <f t="shared" si="39"/>
        <v>123524</v>
      </c>
      <c r="H50" s="35">
        <v>19282</v>
      </c>
      <c r="I50" s="33">
        <v>95312</v>
      </c>
      <c r="J50" s="35">
        <v>8930</v>
      </c>
      <c r="K50" s="27">
        <f t="shared" si="40"/>
        <v>92598</v>
      </c>
      <c r="L50" s="35">
        <v>14640</v>
      </c>
      <c r="M50" s="33">
        <v>74178</v>
      </c>
      <c r="N50" s="46">
        <v>3780</v>
      </c>
      <c r="O50" s="52" t="s">
        <v>44</v>
      </c>
      <c r="P50" s="10"/>
      <c r="Q50" s="10"/>
      <c r="R50" s="8"/>
    </row>
    <row r="51" spans="1:18">
      <c r="A51" s="49" t="s">
        <v>142</v>
      </c>
      <c r="B51" s="9">
        <f t="shared" si="38"/>
        <v>6</v>
      </c>
      <c r="C51" s="35">
        <v>2</v>
      </c>
      <c r="D51" s="33" t="s">
        <v>112</v>
      </c>
      <c r="E51" s="35">
        <v>4</v>
      </c>
      <c r="F51" s="35" t="s">
        <v>112</v>
      </c>
      <c r="G51" s="28">
        <f t="shared" si="39"/>
        <v>24920</v>
      </c>
      <c r="H51" s="35">
        <v>1288</v>
      </c>
      <c r="I51" s="33">
        <v>23632</v>
      </c>
      <c r="J51" s="35" t="s">
        <v>112</v>
      </c>
      <c r="K51" s="27">
        <f t="shared" si="40"/>
        <v>20512</v>
      </c>
      <c r="L51" s="35">
        <v>1707</v>
      </c>
      <c r="M51" s="33">
        <v>18805</v>
      </c>
      <c r="N51" s="46" t="s">
        <v>112</v>
      </c>
      <c r="O51" s="52" t="s">
        <v>45</v>
      </c>
      <c r="P51" s="10"/>
      <c r="Q51" s="10"/>
      <c r="R51" s="8"/>
    </row>
    <row r="52" spans="1:18">
      <c r="A52" s="49" t="s">
        <v>143</v>
      </c>
      <c r="B52" s="9">
        <f t="shared" si="38"/>
        <v>141</v>
      </c>
      <c r="C52" s="35">
        <v>92</v>
      </c>
      <c r="D52" s="33" t="s">
        <v>112</v>
      </c>
      <c r="E52" s="35">
        <v>49</v>
      </c>
      <c r="F52" s="35" t="s">
        <v>112</v>
      </c>
      <c r="G52" s="28">
        <f t="shared" si="39"/>
        <v>47486</v>
      </c>
      <c r="H52" s="35">
        <v>1957</v>
      </c>
      <c r="I52" s="33">
        <v>44879</v>
      </c>
      <c r="J52" s="35">
        <v>650</v>
      </c>
      <c r="K52" s="27">
        <f t="shared" si="40"/>
        <v>30916</v>
      </c>
      <c r="L52" s="35">
        <v>1306</v>
      </c>
      <c r="M52" s="33">
        <v>29253</v>
      </c>
      <c r="N52" s="46">
        <v>357</v>
      </c>
      <c r="O52" s="52" t="s">
        <v>46</v>
      </c>
      <c r="P52" s="10"/>
      <c r="Q52" s="10"/>
      <c r="R52" s="8"/>
    </row>
    <row r="53" spans="1:18">
      <c r="A53" s="87" t="s">
        <v>47</v>
      </c>
      <c r="B53" s="88">
        <f>SUM(B55:B59)</f>
        <v>625</v>
      </c>
      <c r="C53" s="81">
        <f>SUM(C55:C59)</f>
        <v>102</v>
      </c>
      <c r="D53" s="82">
        <f t="shared" ref="D53:F53" si="41">SUM(D55:D59)</f>
        <v>373</v>
      </c>
      <c r="E53" s="81">
        <f t="shared" si="41"/>
        <v>150</v>
      </c>
      <c r="F53" s="81">
        <f t="shared" si="41"/>
        <v>0</v>
      </c>
      <c r="G53" s="81">
        <f>SUM(G55:G59)</f>
        <v>100800</v>
      </c>
      <c r="H53" s="82">
        <f>SUM(H55:H59)</f>
        <v>11429</v>
      </c>
      <c r="I53" s="81">
        <f t="shared" ref="I53:K53" si="42">SUM(I55:I59)</f>
        <v>89371</v>
      </c>
      <c r="J53" s="82">
        <f t="shared" si="42"/>
        <v>0</v>
      </c>
      <c r="K53" s="81">
        <f t="shared" si="42"/>
        <v>73243</v>
      </c>
      <c r="L53" s="82">
        <f t="shared" ref="L53:N53" si="43">SUM(L55:L59)</f>
        <v>9227</v>
      </c>
      <c r="M53" s="81">
        <f t="shared" si="43"/>
        <v>64016</v>
      </c>
      <c r="N53" s="85">
        <f t="shared" si="43"/>
        <v>0</v>
      </c>
      <c r="O53" s="80" t="s">
        <v>48</v>
      </c>
      <c r="P53" s="80"/>
      <c r="Q53" s="80"/>
      <c r="R53" s="8"/>
    </row>
    <row r="54" spans="1:18">
      <c r="A54" s="87"/>
      <c r="B54" s="88"/>
      <c r="C54" s="81"/>
      <c r="D54" s="82"/>
      <c r="E54" s="81"/>
      <c r="F54" s="81"/>
      <c r="G54" s="81"/>
      <c r="H54" s="82"/>
      <c r="I54" s="81"/>
      <c r="J54" s="82"/>
      <c r="K54" s="81"/>
      <c r="L54" s="82"/>
      <c r="M54" s="81"/>
      <c r="N54" s="85"/>
      <c r="O54" s="80"/>
      <c r="P54" s="80"/>
      <c r="Q54" s="80"/>
      <c r="R54" s="8"/>
    </row>
    <row r="55" spans="1:18">
      <c r="A55" s="49" t="s">
        <v>144</v>
      </c>
      <c r="B55" s="9">
        <f t="shared" ref="B55:B59" si="44">SUM(C55:E55)</f>
        <v>158</v>
      </c>
      <c r="C55" s="35">
        <v>53</v>
      </c>
      <c r="D55" s="33">
        <v>99</v>
      </c>
      <c r="E55" s="35">
        <v>6</v>
      </c>
      <c r="F55" s="35" t="s">
        <v>112</v>
      </c>
      <c r="G55" s="28">
        <f t="shared" ref="G55:G59" si="45">SUM(H55:J55)</f>
        <v>7901</v>
      </c>
      <c r="H55" s="35">
        <v>4871</v>
      </c>
      <c r="I55" s="33">
        <v>3030</v>
      </c>
      <c r="J55" s="35" t="s">
        <v>112</v>
      </c>
      <c r="K55" s="27">
        <f t="shared" ref="K55:K59" si="46">SUM(L55:N55)</f>
        <v>3554</v>
      </c>
      <c r="L55" s="35">
        <v>2567</v>
      </c>
      <c r="M55" s="33">
        <v>987</v>
      </c>
      <c r="N55" s="46" t="s">
        <v>112</v>
      </c>
      <c r="O55" s="52" t="s">
        <v>49</v>
      </c>
      <c r="P55" s="10"/>
      <c r="Q55" s="10"/>
      <c r="R55" s="8"/>
    </row>
    <row r="56" spans="1:18">
      <c r="A56" s="49" t="s">
        <v>145</v>
      </c>
      <c r="B56" s="9">
        <f t="shared" si="44"/>
        <v>222</v>
      </c>
      <c r="C56" s="35">
        <v>37</v>
      </c>
      <c r="D56" s="33">
        <v>110</v>
      </c>
      <c r="E56" s="35">
        <v>75</v>
      </c>
      <c r="F56" s="35" t="s">
        <v>112</v>
      </c>
      <c r="G56" s="28">
        <f t="shared" si="45"/>
        <v>6594</v>
      </c>
      <c r="H56" s="35">
        <v>2470</v>
      </c>
      <c r="I56" s="33">
        <v>4124</v>
      </c>
      <c r="J56" s="35" t="s">
        <v>112</v>
      </c>
      <c r="K56" s="27">
        <f t="shared" si="46"/>
        <v>7529</v>
      </c>
      <c r="L56" s="35">
        <v>3511</v>
      </c>
      <c r="M56" s="33">
        <v>4018</v>
      </c>
      <c r="N56" s="46" t="s">
        <v>112</v>
      </c>
      <c r="O56" s="52" t="s">
        <v>50</v>
      </c>
      <c r="P56" s="10"/>
      <c r="Q56" s="10"/>
      <c r="R56" s="8"/>
    </row>
    <row r="57" spans="1:18">
      <c r="A57" s="49" t="s">
        <v>146</v>
      </c>
      <c r="B57" s="9">
        <f t="shared" si="44"/>
        <v>0</v>
      </c>
      <c r="C57" s="35" t="s">
        <v>112</v>
      </c>
      <c r="D57" s="33" t="s">
        <v>112</v>
      </c>
      <c r="E57" s="35" t="s">
        <v>112</v>
      </c>
      <c r="F57" s="35" t="s">
        <v>112</v>
      </c>
      <c r="G57" s="28">
        <f t="shared" si="45"/>
        <v>2417</v>
      </c>
      <c r="H57" s="35">
        <v>23</v>
      </c>
      <c r="I57" s="33">
        <v>2394</v>
      </c>
      <c r="J57" s="35" t="s">
        <v>112</v>
      </c>
      <c r="K57" s="27">
        <f t="shared" si="46"/>
        <v>1197</v>
      </c>
      <c r="L57" s="35">
        <v>9</v>
      </c>
      <c r="M57" s="33">
        <v>1188</v>
      </c>
      <c r="N57" s="46" t="s">
        <v>112</v>
      </c>
      <c r="O57" s="52" t="s">
        <v>51</v>
      </c>
      <c r="P57" s="10"/>
      <c r="Q57" s="10"/>
      <c r="R57" s="8"/>
    </row>
    <row r="58" spans="1:18">
      <c r="A58" s="49" t="s">
        <v>147</v>
      </c>
      <c r="B58" s="9">
        <f t="shared" si="44"/>
        <v>245</v>
      </c>
      <c r="C58" s="35">
        <v>12</v>
      </c>
      <c r="D58" s="33">
        <v>164</v>
      </c>
      <c r="E58" s="35">
        <v>69</v>
      </c>
      <c r="F58" s="35" t="s">
        <v>112</v>
      </c>
      <c r="G58" s="28">
        <f t="shared" si="45"/>
        <v>78498</v>
      </c>
      <c r="H58" s="35">
        <v>3537</v>
      </c>
      <c r="I58" s="33">
        <v>74961</v>
      </c>
      <c r="J58" s="35" t="s">
        <v>112</v>
      </c>
      <c r="K58" s="27">
        <f t="shared" si="46"/>
        <v>56374</v>
      </c>
      <c r="L58" s="35">
        <v>2829</v>
      </c>
      <c r="M58" s="33">
        <v>53545</v>
      </c>
      <c r="N58" s="46" t="s">
        <v>112</v>
      </c>
      <c r="O58" s="52" t="s">
        <v>52</v>
      </c>
      <c r="P58" s="10"/>
      <c r="Q58" s="10"/>
      <c r="R58" s="8"/>
    </row>
    <row r="59" spans="1:18">
      <c r="A59" s="49" t="s">
        <v>148</v>
      </c>
      <c r="B59" s="9">
        <f t="shared" si="44"/>
        <v>0</v>
      </c>
      <c r="C59" s="35" t="s">
        <v>112</v>
      </c>
      <c r="D59" s="33" t="s">
        <v>112</v>
      </c>
      <c r="E59" s="35" t="s">
        <v>112</v>
      </c>
      <c r="F59" s="35" t="s">
        <v>112</v>
      </c>
      <c r="G59" s="28">
        <f t="shared" si="45"/>
        <v>5390</v>
      </c>
      <c r="H59" s="35">
        <v>528</v>
      </c>
      <c r="I59" s="33">
        <v>4862</v>
      </c>
      <c r="J59" s="35" t="s">
        <v>112</v>
      </c>
      <c r="K59" s="27">
        <f t="shared" si="46"/>
        <v>4589</v>
      </c>
      <c r="L59" s="35">
        <v>311</v>
      </c>
      <c r="M59" s="33">
        <v>4278</v>
      </c>
      <c r="N59" s="46" t="s">
        <v>112</v>
      </c>
      <c r="O59" s="52" t="s">
        <v>53</v>
      </c>
      <c r="P59" s="10"/>
      <c r="Q59" s="10"/>
      <c r="R59" s="8"/>
    </row>
    <row r="60" spans="1:18">
      <c r="A60" s="87" t="s">
        <v>54</v>
      </c>
      <c r="B60" s="88">
        <f>SUM(B62:B64)</f>
        <v>6006</v>
      </c>
      <c r="C60" s="81">
        <f>SUM(C62:C64)</f>
        <v>3079</v>
      </c>
      <c r="D60" s="82">
        <f t="shared" ref="D60:F60" si="47">SUM(D62:D64)</f>
        <v>1009</v>
      </c>
      <c r="E60" s="81">
        <f t="shared" si="47"/>
        <v>1918</v>
      </c>
      <c r="F60" s="81">
        <f t="shared" si="47"/>
        <v>0</v>
      </c>
      <c r="G60" s="81">
        <f>SUM(G62:G64)</f>
        <v>1037340</v>
      </c>
      <c r="H60" s="82">
        <f>SUM(H62:H64)</f>
        <v>60714</v>
      </c>
      <c r="I60" s="81">
        <f t="shared" ref="I60:K60" si="48">SUM(I62:I64)</f>
        <v>929791</v>
      </c>
      <c r="J60" s="82">
        <f t="shared" si="48"/>
        <v>46835</v>
      </c>
      <c r="K60" s="81">
        <f t="shared" si="48"/>
        <v>364487</v>
      </c>
      <c r="L60" s="82">
        <f t="shared" ref="L60:N60" si="49">SUM(L62:L64)</f>
        <v>42212</v>
      </c>
      <c r="M60" s="81">
        <f t="shared" si="49"/>
        <v>310843</v>
      </c>
      <c r="N60" s="85">
        <f t="shared" si="49"/>
        <v>11432</v>
      </c>
      <c r="O60" s="80" t="s">
        <v>55</v>
      </c>
      <c r="P60" s="80"/>
      <c r="Q60" s="80"/>
      <c r="R60" s="8"/>
    </row>
    <row r="61" spans="1:18">
      <c r="A61" s="87"/>
      <c r="B61" s="88"/>
      <c r="C61" s="81"/>
      <c r="D61" s="82"/>
      <c r="E61" s="81"/>
      <c r="F61" s="81"/>
      <c r="G61" s="81"/>
      <c r="H61" s="82"/>
      <c r="I61" s="81"/>
      <c r="J61" s="82"/>
      <c r="K61" s="81"/>
      <c r="L61" s="82"/>
      <c r="M61" s="81"/>
      <c r="N61" s="85"/>
      <c r="O61" s="80"/>
      <c r="P61" s="80"/>
      <c r="Q61" s="80"/>
      <c r="R61" s="8"/>
    </row>
    <row r="62" spans="1:18">
      <c r="A62" s="49" t="s">
        <v>149</v>
      </c>
      <c r="B62" s="9">
        <f t="shared" ref="B62:B64" si="50">SUM(C62:E62)</f>
        <v>2368</v>
      </c>
      <c r="C62" s="35">
        <v>1139</v>
      </c>
      <c r="D62" s="33">
        <v>442</v>
      </c>
      <c r="E62" s="35">
        <v>787</v>
      </c>
      <c r="F62" s="35" t="s">
        <v>112</v>
      </c>
      <c r="G62" s="28">
        <f t="shared" ref="G62:G64" si="51">SUM(H62:J62)</f>
        <v>294209</v>
      </c>
      <c r="H62" s="35">
        <v>20202</v>
      </c>
      <c r="I62" s="33">
        <v>273957</v>
      </c>
      <c r="J62" s="35">
        <v>50</v>
      </c>
      <c r="K62" s="27">
        <f t="shared" ref="K62:K64" si="52">SUM(L62:N62)</f>
        <v>110666</v>
      </c>
      <c r="L62" s="35">
        <v>8257</v>
      </c>
      <c r="M62" s="33">
        <v>102183</v>
      </c>
      <c r="N62" s="46">
        <v>226</v>
      </c>
      <c r="O62" s="52" t="s">
        <v>56</v>
      </c>
      <c r="P62" s="10"/>
      <c r="Q62" s="10"/>
      <c r="R62" s="8"/>
    </row>
    <row r="63" spans="1:18">
      <c r="A63" s="49" t="s">
        <v>150</v>
      </c>
      <c r="B63" s="9">
        <f t="shared" si="50"/>
        <v>1316</v>
      </c>
      <c r="C63" s="35">
        <v>426</v>
      </c>
      <c r="D63" s="33">
        <v>512</v>
      </c>
      <c r="E63" s="35">
        <v>378</v>
      </c>
      <c r="F63" s="35" t="s">
        <v>112</v>
      </c>
      <c r="G63" s="28">
        <f t="shared" si="51"/>
        <v>505218</v>
      </c>
      <c r="H63" s="35">
        <v>21665</v>
      </c>
      <c r="I63" s="33">
        <v>441388</v>
      </c>
      <c r="J63" s="35">
        <v>42165</v>
      </c>
      <c r="K63" s="27">
        <f t="shared" si="52"/>
        <v>200935</v>
      </c>
      <c r="L63" s="35">
        <v>26740</v>
      </c>
      <c r="M63" s="33">
        <v>167598</v>
      </c>
      <c r="N63" s="46">
        <v>6597</v>
      </c>
      <c r="O63" s="52" t="s">
        <v>57</v>
      </c>
      <c r="P63" s="10"/>
      <c r="Q63" s="10"/>
      <c r="R63" s="8"/>
    </row>
    <row r="64" spans="1:18">
      <c r="A64" s="49" t="s">
        <v>151</v>
      </c>
      <c r="B64" s="9">
        <f t="shared" si="50"/>
        <v>2322</v>
      </c>
      <c r="C64" s="35">
        <v>1514</v>
      </c>
      <c r="D64" s="33">
        <v>55</v>
      </c>
      <c r="E64" s="35">
        <v>753</v>
      </c>
      <c r="F64" s="35" t="s">
        <v>112</v>
      </c>
      <c r="G64" s="28">
        <f t="shared" si="51"/>
        <v>237913</v>
      </c>
      <c r="H64" s="35">
        <v>18847</v>
      </c>
      <c r="I64" s="33">
        <v>214446</v>
      </c>
      <c r="J64" s="35">
        <v>4620</v>
      </c>
      <c r="K64" s="27">
        <f t="shared" si="52"/>
        <v>52886</v>
      </c>
      <c r="L64" s="35">
        <v>7215</v>
      </c>
      <c r="M64" s="33">
        <v>41062</v>
      </c>
      <c r="N64" s="46">
        <v>4609</v>
      </c>
      <c r="O64" s="52" t="s">
        <v>58</v>
      </c>
      <c r="P64" s="10"/>
      <c r="Q64" s="10"/>
      <c r="R64" s="8"/>
    </row>
    <row r="65" spans="1:18">
      <c r="A65" s="87" t="s">
        <v>59</v>
      </c>
      <c r="B65" s="88">
        <f>SUM(B67:B71)</f>
        <v>2530</v>
      </c>
      <c r="C65" s="81">
        <f>SUM(C67:C71)</f>
        <v>742</v>
      </c>
      <c r="D65" s="82">
        <f t="shared" ref="D65:F65" si="53">SUM(D67:D71)</f>
        <v>928</v>
      </c>
      <c r="E65" s="81">
        <f t="shared" si="53"/>
        <v>860</v>
      </c>
      <c r="F65" s="81">
        <f t="shared" si="53"/>
        <v>0</v>
      </c>
      <c r="G65" s="81">
        <f>SUM(G67:G71)</f>
        <v>383348</v>
      </c>
      <c r="H65" s="82">
        <f>SUM(H67:H71)</f>
        <v>26367</v>
      </c>
      <c r="I65" s="81">
        <f t="shared" ref="I65:K65" si="54">SUM(I67:I71)</f>
        <v>332887</v>
      </c>
      <c r="J65" s="82">
        <f t="shared" si="54"/>
        <v>24094</v>
      </c>
      <c r="K65" s="81">
        <f t="shared" si="54"/>
        <v>393147</v>
      </c>
      <c r="L65" s="82">
        <f t="shared" ref="L65:N65" si="55">SUM(L67:L71)</f>
        <v>34991</v>
      </c>
      <c r="M65" s="81">
        <f t="shared" si="55"/>
        <v>323822</v>
      </c>
      <c r="N65" s="85">
        <f t="shared" si="55"/>
        <v>34334</v>
      </c>
      <c r="O65" s="80" t="s">
        <v>60</v>
      </c>
      <c r="P65" s="80"/>
      <c r="Q65" s="80"/>
      <c r="R65" s="8"/>
    </row>
    <row r="66" spans="1:18">
      <c r="A66" s="87"/>
      <c r="B66" s="88"/>
      <c r="C66" s="81"/>
      <c r="D66" s="82"/>
      <c r="E66" s="81"/>
      <c r="F66" s="81"/>
      <c r="G66" s="81"/>
      <c r="H66" s="82"/>
      <c r="I66" s="81"/>
      <c r="J66" s="82"/>
      <c r="K66" s="81"/>
      <c r="L66" s="82"/>
      <c r="M66" s="81"/>
      <c r="N66" s="85"/>
      <c r="O66" s="80"/>
      <c r="P66" s="80"/>
      <c r="Q66" s="80"/>
      <c r="R66" s="8"/>
    </row>
    <row r="67" spans="1:18">
      <c r="A67" s="49" t="s">
        <v>152</v>
      </c>
      <c r="B67" s="9">
        <f t="shared" ref="B67:B71" si="56">SUM(C67:E67)</f>
        <v>32</v>
      </c>
      <c r="C67" s="35" t="s">
        <v>112</v>
      </c>
      <c r="D67" s="33">
        <v>30</v>
      </c>
      <c r="E67" s="35">
        <v>2</v>
      </c>
      <c r="F67" s="35" t="s">
        <v>112</v>
      </c>
      <c r="G67" s="28">
        <f t="shared" ref="G67:G71" si="57">SUM(H67:J67)</f>
        <v>104051</v>
      </c>
      <c r="H67" s="35">
        <v>4148</v>
      </c>
      <c r="I67" s="33">
        <v>96874</v>
      </c>
      <c r="J67" s="35">
        <v>3029</v>
      </c>
      <c r="K67" s="27">
        <f t="shared" ref="K67:K71" si="58">SUM(L67:N67)</f>
        <v>81495</v>
      </c>
      <c r="L67" s="35">
        <v>5521</v>
      </c>
      <c r="M67" s="33">
        <v>70290</v>
      </c>
      <c r="N67" s="46">
        <v>5684</v>
      </c>
      <c r="O67" s="52" t="s">
        <v>61</v>
      </c>
      <c r="P67" s="10"/>
      <c r="Q67" s="10"/>
      <c r="R67" s="8"/>
    </row>
    <row r="68" spans="1:18">
      <c r="A68" s="49" t="s">
        <v>153</v>
      </c>
      <c r="B68" s="9">
        <f t="shared" si="56"/>
        <v>373</v>
      </c>
      <c r="C68" s="35">
        <v>46</v>
      </c>
      <c r="D68" s="33">
        <v>290</v>
      </c>
      <c r="E68" s="35">
        <v>37</v>
      </c>
      <c r="F68" s="35" t="s">
        <v>112</v>
      </c>
      <c r="G68" s="28">
        <f t="shared" si="57"/>
        <v>86018</v>
      </c>
      <c r="H68" s="35">
        <v>4635</v>
      </c>
      <c r="I68" s="33">
        <v>74443</v>
      </c>
      <c r="J68" s="35">
        <v>6940</v>
      </c>
      <c r="K68" s="27">
        <f t="shared" si="58"/>
        <v>85867</v>
      </c>
      <c r="L68" s="35">
        <v>4693</v>
      </c>
      <c r="M68" s="33">
        <v>69624</v>
      </c>
      <c r="N68" s="46">
        <v>11550</v>
      </c>
      <c r="O68" s="52" t="s">
        <v>62</v>
      </c>
      <c r="P68" s="10"/>
      <c r="Q68" s="10"/>
      <c r="R68" s="8"/>
    </row>
    <row r="69" spans="1:18">
      <c r="A69" s="49" t="s">
        <v>154</v>
      </c>
      <c r="B69" s="9">
        <f t="shared" si="56"/>
        <v>84</v>
      </c>
      <c r="C69" s="35">
        <v>68</v>
      </c>
      <c r="D69" s="33">
        <v>16</v>
      </c>
      <c r="E69" s="35" t="s">
        <v>112</v>
      </c>
      <c r="F69" s="35" t="s">
        <v>112</v>
      </c>
      <c r="G69" s="28">
        <f t="shared" si="57"/>
        <v>58844</v>
      </c>
      <c r="H69" s="35">
        <v>2207</v>
      </c>
      <c r="I69" s="33">
        <v>52512</v>
      </c>
      <c r="J69" s="35">
        <v>4125</v>
      </c>
      <c r="K69" s="27">
        <f t="shared" si="58"/>
        <v>50001</v>
      </c>
      <c r="L69" s="35">
        <v>2944</v>
      </c>
      <c r="M69" s="33">
        <v>43367</v>
      </c>
      <c r="N69" s="46">
        <v>3690</v>
      </c>
      <c r="O69" s="52" t="s">
        <v>63</v>
      </c>
      <c r="P69" s="10"/>
      <c r="Q69" s="10"/>
      <c r="R69" s="8"/>
    </row>
    <row r="70" spans="1:18">
      <c r="A70" s="49" t="s">
        <v>155</v>
      </c>
      <c r="B70" s="9">
        <f t="shared" si="56"/>
        <v>1528</v>
      </c>
      <c r="C70" s="35">
        <v>571</v>
      </c>
      <c r="D70" s="33">
        <v>450</v>
      </c>
      <c r="E70" s="35">
        <v>507</v>
      </c>
      <c r="F70" s="35" t="s">
        <v>112</v>
      </c>
      <c r="G70" s="28">
        <f t="shared" si="57"/>
        <v>57413</v>
      </c>
      <c r="H70" s="35">
        <v>6269</v>
      </c>
      <c r="I70" s="33">
        <v>43218</v>
      </c>
      <c r="J70" s="35">
        <v>7926</v>
      </c>
      <c r="K70" s="27">
        <f t="shared" si="58"/>
        <v>128043</v>
      </c>
      <c r="L70" s="35">
        <v>11541</v>
      </c>
      <c r="M70" s="33">
        <v>104726</v>
      </c>
      <c r="N70" s="46">
        <v>11776</v>
      </c>
      <c r="O70" s="52" t="s">
        <v>64</v>
      </c>
      <c r="P70" s="10"/>
      <c r="Q70" s="10"/>
      <c r="R70" s="8"/>
    </row>
    <row r="71" spans="1:18">
      <c r="A71" s="49" t="s">
        <v>156</v>
      </c>
      <c r="B71" s="9">
        <f t="shared" si="56"/>
        <v>513</v>
      </c>
      <c r="C71" s="35">
        <v>57</v>
      </c>
      <c r="D71" s="33">
        <v>142</v>
      </c>
      <c r="E71" s="35">
        <v>314</v>
      </c>
      <c r="F71" s="35" t="s">
        <v>112</v>
      </c>
      <c r="G71" s="28">
        <f t="shared" si="57"/>
        <v>77022</v>
      </c>
      <c r="H71" s="35">
        <v>9108</v>
      </c>
      <c r="I71" s="33">
        <v>65840</v>
      </c>
      <c r="J71" s="35">
        <v>2074</v>
      </c>
      <c r="K71" s="27">
        <f t="shared" si="58"/>
        <v>47741</v>
      </c>
      <c r="L71" s="35">
        <v>10292</v>
      </c>
      <c r="M71" s="33">
        <v>35815</v>
      </c>
      <c r="N71" s="46">
        <v>1634</v>
      </c>
      <c r="O71" s="52" t="s">
        <v>65</v>
      </c>
      <c r="P71" s="10"/>
      <c r="Q71" s="10"/>
      <c r="R71" s="8"/>
    </row>
    <row r="72" spans="1:18">
      <c r="A72" s="87" t="s">
        <v>66</v>
      </c>
      <c r="B72" s="88">
        <f>SUM(B74:B81)</f>
        <v>2683</v>
      </c>
      <c r="C72" s="81">
        <f>SUM(C74:C81)</f>
        <v>2193</v>
      </c>
      <c r="D72" s="82">
        <f t="shared" ref="D72:F72" si="59">SUM(D74:D81)</f>
        <v>350</v>
      </c>
      <c r="E72" s="81">
        <f t="shared" si="59"/>
        <v>140</v>
      </c>
      <c r="F72" s="81">
        <f t="shared" si="59"/>
        <v>0</v>
      </c>
      <c r="G72" s="81">
        <f>SUM(G74:G81)</f>
        <v>94676</v>
      </c>
      <c r="H72" s="82">
        <f>SUM(H74:H81)</f>
        <v>3199</v>
      </c>
      <c r="I72" s="81">
        <f t="shared" ref="I72:K72" si="60">SUM(I74:I81)</f>
        <v>88297</v>
      </c>
      <c r="J72" s="82">
        <f t="shared" si="60"/>
        <v>3180</v>
      </c>
      <c r="K72" s="81">
        <f t="shared" si="60"/>
        <v>45850</v>
      </c>
      <c r="L72" s="82">
        <f t="shared" ref="L72:N72" si="61">SUM(L74:L81)</f>
        <v>4873</v>
      </c>
      <c r="M72" s="81">
        <f t="shared" si="61"/>
        <v>40184</v>
      </c>
      <c r="N72" s="85">
        <f t="shared" si="61"/>
        <v>793</v>
      </c>
      <c r="O72" s="80" t="s">
        <v>67</v>
      </c>
      <c r="P72" s="80"/>
      <c r="Q72" s="80"/>
      <c r="R72" s="8"/>
    </row>
    <row r="73" spans="1:18">
      <c r="A73" s="87"/>
      <c r="B73" s="88"/>
      <c r="C73" s="81"/>
      <c r="D73" s="82"/>
      <c r="E73" s="81"/>
      <c r="F73" s="81"/>
      <c r="G73" s="81"/>
      <c r="H73" s="82"/>
      <c r="I73" s="81"/>
      <c r="J73" s="82"/>
      <c r="K73" s="81"/>
      <c r="L73" s="82"/>
      <c r="M73" s="81"/>
      <c r="N73" s="85"/>
      <c r="O73" s="80"/>
      <c r="P73" s="80"/>
      <c r="Q73" s="80"/>
      <c r="R73" s="8"/>
    </row>
    <row r="74" spans="1:18">
      <c r="A74" s="50" t="s">
        <v>68</v>
      </c>
      <c r="B74" s="9">
        <f t="shared" ref="B74:B81" si="62">SUM(C74:E74)</f>
        <v>0</v>
      </c>
      <c r="C74" s="35" t="s">
        <v>112</v>
      </c>
      <c r="D74" s="33" t="s">
        <v>112</v>
      </c>
      <c r="E74" s="35" t="s">
        <v>112</v>
      </c>
      <c r="F74" s="35" t="s">
        <v>112</v>
      </c>
      <c r="G74" s="28">
        <f t="shared" ref="G74:G81" si="63">SUM(H74:J74)</f>
        <v>0</v>
      </c>
      <c r="H74" s="35" t="s">
        <v>112</v>
      </c>
      <c r="I74" s="33" t="s">
        <v>112</v>
      </c>
      <c r="J74" s="35" t="s">
        <v>112</v>
      </c>
      <c r="K74" s="27">
        <f t="shared" ref="K74:K81" si="64">SUM(L74:N74)</f>
        <v>0</v>
      </c>
      <c r="L74" s="35" t="s">
        <v>112</v>
      </c>
      <c r="M74" s="33" t="s">
        <v>112</v>
      </c>
      <c r="N74" s="46" t="s">
        <v>112</v>
      </c>
      <c r="O74" s="52" t="s">
        <v>69</v>
      </c>
      <c r="P74" s="10"/>
      <c r="Q74" s="10"/>
      <c r="R74" s="8"/>
    </row>
    <row r="75" spans="1:18">
      <c r="A75" s="50" t="s">
        <v>70</v>
      </c>
      <c r="B75" s="9">
        <f t="shared" si="62"/>
        <v>0</v>
      </c>
      <c r="C75" s="35" t="s">
        <v>112</v>
      </c>
      <c r="D75" s="33" t="s">
        <v>112</v>
      </c>
      <c r="E75" s="35" t="s">
        <v>112</v>
      </c>
      <c r="F75" s="35" t="s">
        <v>112</v>
      </c>
      <c r="G75" s="28">
        <f t="shared" si="63"/>
        <v>0</v>
      </c>
      <c r="H75" s="35" t="s">
        <v>112</v>
      </c>
      <c r="I75" s="33" t="s">
        <v>112</v>
      </c>
      <c r="J75" s="35" t="s">
        <v>112</v>
      </c>
      <c r="K75" s="27">
        <f t="shared" si="64"/>
        <v>0</v>
      </c>
      <c r="L75" s="35" t="s">
        <v>112</v>
      </c>
      <c r="M75" s="33" t="s">
        <v>112</v>
      </c>
      <c r="N75" s="46" t="s">
        <v>112</v>
      </c>
      <c r="O75" s="52" t="s">
        <v>71</v>
      </c>
      <c r="P75" s="10"/>
      <c r="Q75" s="10"/>
      <c r="R75" s="8"/>
    </row>
    <row r="76" spans="1:18">
      <c r="A76" s="50" t="s">
        <v>72</v>
      </c>
      <c r="B76" s="9">
        <f t="shared" si="62"/>
        <v>0</v>
      </c>
      <c r="C76" s="35" t="s">
        <v>112</v>
      </c>
      <c r="D76" s="33" t="s">
        <v>112</v>
      </c>
      <c r="E76" s="35" t="s">
        <v>112</v>
      </c>
      <c r="F76" s="35" t="s">
        <v>112</v>
      </c>
      <c r="G76" s="28">
        <f t="shared" si="63"/>
        <v>0</v>
      </c>
      <c r="H76" s="35" t="s">
        <v>112</v>
      </c>
      <c r="I76" s="33" t="s">
        <v>112</v>
      </c>
      <c r="J76" s="35" t="s">
        <v>112</v>
      </c>
      <c r="K76" s="27">
        <f t="shared" si="64"/>
        <v>0</v>
      </c>
      <c r="L76" s="35" t="s">
        <v>112</v>
      </c>
      <c r="M76" s="33" t="s">
        <v>112</v>
      </c>
      <c r="N76" s="46" t="s">
        <v>112</v>
      </c>
      <c r="O76" s="52" t="s">
        <v>73</v>
      </c>
      <c r="P76" s="10"/>
      <c r="Q76" s="10"/>
      <c r="R76" s="8"/>
    </row>
    <row r="77" spans="1:18">
      <c r="A77" s="50" t="s">
        <v>74</v>
      </c>
      <c r="B77" s="9">
        <f t="shared" si="62"/>
        <v>0</v>
      </c>
      <c r="C77" s="35" t="s">
        <v>112</v>
      </c>
      <c r="D77" s="33" t="s">
        <v>112</v>
      </c>
      <c r="E77" s="35" t="s">
        <v>112</v>
      </c>
      <c r="F77" s="35" t="s">
        <v>112</v>
      </c>
      <c r="G77" s="28">
        <f t="shared" si="63"/>
        <v>0</v>
      </c>
      <c r="H77" s="35" t="s">
        <v>112</v>
      </c>
      <c r="I77" s="33" t="s">
        <v>112</v>
      </c>
      <c r="J77" s="35" t="s">
        <v>112</v>
      </c>
      <c r="K77" s="27">
        <f t="shared" si="64"/>
        <v>0</v>
      </c>
      <c r="L77" s="35" t="s">
        <v>112</v>
      </c>
      <c r="M77" s="33" t="s">
        <v>112</v>
      </c>
      <c r="N77" s="46" t="s">
        <v>112</v>
      </c>
      <c r="O77" s="52" t="s">
        <v>75</v>
      </c>
      <c r="P77" s="10"/>
      <c r="Q77" s="10"/>
      <c r="R77" s="8"/>
    </row>
    <row r="78" spans="1:18">
      <c r="A78" s="50" t="s">
        <v>76</v>
      </c>
      <c r="B78" s="9">
        <f t="shared" si="62"/>
        <v>313</v>
      </c>
      <c r="C78" s="35">
        <v>293</v>
      </c>
      <c r="D78" s="33" t="s">
        <v>112</v>
      </c>
      <c r="E78" s="35">
        <v>20</v>
      </c>
      <c r="F78" s="35" t="s">
        <v>112</v>
      </c>
      <c r="G78" s="28">
        <f t="shared" si="63"/>
        <v>43667</v>
      </c>
      <c r="H78" s="35">
        <v>1582</v>
      </c>
      <c r="I78" s="33">
        <v>42020</v>
      </c>
      <c r="J78" s="35">
        <v>65</v>
      </c>
      <c r="K78" s="27">
        <f t="shared" si="64"/>
        <v>9898</v>
      </c>
      <c r="L78" s="35">
        <v>2312</v>
      </c>
      <c r="M78" s="33">
        <v>7564</v>
      </c>
      <c r="N78" s="46">
        <v>22</v>
      </c>
      <c r="O78" s="52" t="s">
        <v>77</v>
      </c>
      <c r="P78" s="10"/>
      <c r="Q78" s="10"/>
      <c r="R78" s="8"/>
    </row>
    <row r="79" spans="1:18">
      <c r="A79" s="50" t="s">
        <v>78</v>
      </c>
      <c r="B79" s="9">
        <f t="shared" si="62"/>
        <v>2370</v>
      </c>
      <c r="C79" s="35">
        <v>1900</v>
      </c>
      <c r="D79" s="33">
        <v>350</v>
      </c>
      <c r="E79" s="35">
        <v>120</v>
      </c>
      <c r="F79" s="35" t="s">
        <v>112</v>
      </c>
      <c r="G79" s="28">
        <f t="shared" si="63"/>
        <v>42098</v>
      </c>
      <c r="H79" s="35">
        <v>1097</v>
      </c>
      <c r="I79" s="33">
        <v>38538</v>
      </c>
      <c r="J79" s="35">
        <v>2463</v>
      </c>
      <c r="K79" s="27">
        <f t="shared" si="64"/>
        <v>27454</v>
      </c>
      <c r="L79" s="35">
        <v>1653</v>
      </c>
      <c r="M79" s="33">
        <v>25411</v>
      </c>
      <c r="N79" s="46">
        <v>390</v>
      </c>
      <c r="O79" s="52" t="s">
        <v>79</v>
      </c>
      <c r="P79" s="10"/>
      <c r="Q79" s="10"/>
      <c r="R79" s="8"/>
    </row>
    <row r="80" spans="1:18">
      <c r="A80" s="50" t="s">
        <v>80</v>
      </c>
      <c r="B80" s="9">
        <f t="shared" si="62"/>
        <v>0</v>
      </c>
      <c r="C80" s="35" t="s">
        <v>112</v>
      </c>
      <c r="D80" s="33" t="s">
        <v>112</v>
      </c>
      <c r="E80" s="35" t="s">
        <v>112</v>
      </c>
      <c r="F80" s="35" t="s">
        <v>112</v>
      </c>
      <c r="G80" s="28">
        <f t="shared" si="63"/>
        <v>141</v>
      </c>
      <c r="H80" s="35" t="s">
        <v>112</v>
      </c>
      <c r="I80" s="33">
        <v>141</v>
      </c>
      <c r="J80" s="35" t="s">
        <v>112</v>
      </c>
      <c r="K80" s="27">
        <f t="shared" si="64"/>
        <v>0</v>
      </c>
      <c r="L80" s="35" t="s">
        <v>112</v>
      </c>
      <c r="M80" s="33" t="s">
        <v>112</v>
      </c>
      <c r="N80" s="46" t="s">
        <v>112</v>
      </c>
      <c r="O80" s="52" t="s">
        <v>81</v>
      </c>
      <c r="P80" s="10"/>
      <c r="Q80" s="10"/>
      <c r="R80" s="8"/>
    </row>
    <row r="81" spans="1:18">
      <c r="A81" s="50" t="s">
        <v>82</v>
      </c>
      <c r="B81" s="9">
        <f t="shared" si="62"/>
        <v>0</v>
      </c>
      <c r="C81" s="35" t="s">
        <v>112</v>
      </c>
      <c r="D81" s="33" t="s">
        <v>112</v>
      </c>
      <c r="E81" s="35" t="s">
        <v>112</v>
      </c>
      <c r="F81" s="35" t="s">
        <v>112</v>
      </c>
      <c r="G81" s="28">
        <f t="shared" si="63"/>
        <v>8770</v>
      </c>
      <c r="H81" s="35">
        <v>520</v>
      </c>
      <c r="I81" s="33">
        <v>7598</v>
      </c>
      <c r="J81" s="35">
        <v>652</v>
      </c>
      <c r="K81" s="27">
        <f t="shared" si="64"/>
        <v>8498</v>
      </c>
      <c r="L81" s="35">
        <v>908</v>
      </c>
      <c r="M81" s="33">
        <v>7209</v>
      </c>
      <c r="N81" s="46">
        <v>381</v>
      </c>
      <c r="O81" s="52" t="s">
        <v>83</v>
      </c>
      <c r="P81" s="10"/>
      <c r="Q81" s="10"/>
      <c r="R81" s="8"/>
    </row>
    <row r="82" spans="1:18">
      <c r="A82" s="87" t="s">
        <v>84</v>
      </c>
      <c r="B82" s="88">
        <f>SUM(B84:B88)</f>
        <v>1128</v>
      </c>
      <c r="C82" s="81">
        <f>SUM(C84:C88)</f>
        <v>529</v>
      </c>
      <c r="D82" s="82">
        <f t="shared" ref="D82:F82" si="65">SUM(D84:D88)</f>
        <v>100</v>
      </c>
      <c r="E82" s="81">
        <f t="shared" si="65"/>
        <v>499</v>
      </c>
      <c r="F82" s="81">
        <f t="shared" si="65"/>
        <v>0</v>
      </c>
      <c r="G82" s="81">
        <f>SUM(G84:G88)</f>
        <v>370880</v>
      </c>
      <c r="H82" s="82">
        <f>SUM(H84:H88)</f>
        <v>10817</v>
      </c>
      <c r="I82" s="81">
        <f t="shared" ref="I82:K82" si="66">SUM(I84:I88)</f>
        <v>359373</v>
      </c>
      <c r="J82" s="82">
        <f t="shared" si="66"/>
        <v>690</v>
      </c>
      <c r="K82" s="81">
        <f t="shared" si="66"/>
        <v>78662</v>
      </c>
      <c r="L82" s="82">
        <f t="shared" ref="L82:N82" si="67">SUM(L84:L88)</f>
        <v>13828</v>
      </c>
      <c r="M82" s="81">
        <f t="shared" si="67"/>
        <v>62704</v>
      </c>
      <c r="N82" s="85">
        <f t="shared" si="67"/>
        <v>2130</v>
      </c>
      <c r="O82" s="80" t="s">
        <v>85</v>
      </c>
      <c r="P82" s="80"/>
      <c r="Q82" s="80"/>
      <c r="R82" s="8"/>
    </row>
    <row r="83" spans="1:18">
      <c r="A83" s="87"/>
      <c r="B83" s="88"/>
      <c r="C83" s="81"/>
      <c r="D83" s="82"/>
      <c r="E83" s="81"/>
      <c r="F83" s="81"/>
      <c r="G83" s="81"/>
      <c r="H83" s="82"/>
      <c r="I83" s="81"/>
      <c r="J83" s="82"/>
      <c r="K83" s="81"/>
      <c r="L83" s="82"/>
      <c r="M83" s="81"/>
      <c r="N83" s="85"/>
      <c r="O83" s="80"/>
      <c r="P83" s="80"/>
      <c r="Q83" s="80"/>
      <c r="R83" s="8"/>
    </row>
    <row r="84" spans="1:18">
      <c r="A84" s="49" t="s">
        <v>157</v>
      </c>
      <c r="B84" s="9">
        <f t="shared" ref="B84:B88" si="68">SUM(C84:E84)</f>
        <v>205</v>
      </c>
      <c r="C84" s="35">
        <v>2</v>
      </c>
      <c r="D84" s="33" t="s">
        <v>112</v>
      </c>
      <c r="E84" s="35">
        <v>203</v>
      </c>
      <c r="F84" s="35" t="s">
        <v>112</v>
      </c>
      <c r="G84" s="28">
        <f t="shared" ref="G84:G88" si="69">SUM(H84:J84)</f>
        <v>305060</v>
      </c>
      <c r="H84" s="35">
        <v>8060</v>
      </c>
      <c r="I84" s="33">
        <v>297000</v>
      </c>
      <c r="J84" s="35" t="s">
        <v>112</v>
      </c>
      <c r="K84" s="27">
        <f t="shared" ref="K84:K88" si="70">SUM(L84:N84)</f>
        <v>30231</v>
      </c>
      <c r="L84" s="35">
        <v>8671</v>
      </c>
      <c r="M84" s="33">
        <v>21560</v>
      </c>
      <c r="N84" s="46" t="s">
        <v>112</v>
      </c>
      <c r="O84" s="52" t="s">
        <v>86</v>
      </c>
      <c r="P84" s="10"/>
      <c r="Q84" s="10"/>
      <c r="R84" s="8"/>
    </row>
    <row r="85" spans="1:18">
      <c r="A85" s="49" t="s">
        <v>158</v>
      </c>
      <c r="B85" s="9">
        <f t="shared" si="68"/>
        <v>46</v>
      </c>
      <c r="C85" s="35">
        <v>1</v>
      </c>
      <c r="D85" s="33">
        <v>20</v>
      </c>
      <c r="E85" s="35">
        <v>25</v>
      </c>
      <c r="F85" s="35" t="s">
        <v>112</v>
      </c>
      <c r="G85" s="28">
        <f t="shared" si="69"/>
        <v>1097</v>
      </c>
      <c r="H85" s="35">
        <v>367</v>
      </c>
      <c r="I85" s="33">
        <v>730</v>
      </c>
      <c r="J85" s="35" t="s">
        <v>112</v>
      </c>
      <c r="K85" s="27">
        <f t="shared" si="70"/>
        <v>4980</v>
      </c>
      <c r="L85" s="35">
        <v>2800</v>
      </c>
      <c r="M85" s="33">
        <v>2180</v>
      </c>
      <c r="N85" s="46" t="s">
        <v>112</v>
      </c>
      <c r="O85" s="52" t="s">
        <v>87</v>
      </c>
      <c r="P85" s="10"/>
      <c r="Q85" s="10"/>
      <c r="R85" s="8"/>
    </row>
    <row r="86" spans="1:18">
      <c r="A86" s="49" t="s">
        <v>159</v>
      </c>
      <c r="B86" s="9">
        <f t="shared" si="68"/>
        <v>17</v>
      </c>
      <c r="C86" s="35" t="s">
        <v>112</v>
      </c>
      <c r="D86" s="33">
        <v>8</v>
      </c>
      <c r="E86" s="35">
        <v>9</v>
      </c>
      <c r="F86" s="35" t="s">
        <v>112</v>
      </c>
      <c r="G86" s="28">
        <f t="shared" si="69"/>
        <v>56160</v>
      </c>
      <c r="H86" s="35">
        <v>1751</v>
      </c>
      <c r="I86" s="33">
        <v>54409</v>
      </c>
      <c r="J86" s="35" t="s">
        <v>112</v>
      </c>
      <c r="K86" s="27">
        <f t="shared" si="70"/>
        <v>11752</v>
      </c>
      <c r="L86" s="35">
        <v>444</v>
      </c>
      <c r="M86" s="33">
        <v>11308</v>
      </c>
      <c r="N86" s="46" t="s">
        <v>112</v>
      </c>
      <c r="O86" s="52" t="s">
        <v>88</v>
      </c>
      <c r="P86" s="10"/>
      <c r="Q86" s="10"/>
      <c r="R86" s="8"/>
    </row>
    <row r="87" spans="1:18">
      <c r="A87" s="49" t="s">
        <v>160</v>
      </c>
      <c r="B87" s="9">
        <f t="shared" si="68"/>
        <v>82</v>
      </c>
      <c r="C87" s="35">
        <v>68</v>
      </c>
      <c r="D87" s="33" t="s">
        <v>112</v>
      </c>
      <c r="E87" s="35">
        <v>14</v>
      </c>
      <c r="F87" s="35" t="s">
        <v>112</v>
      </c>
      <c r="G87" s="28">
        <f t="shared" si="69"/>
        <v>1559</v>
      </c>
      <c r="H87" s="35">
        <v>73</v>
      </c>
      <c r="I87" s="33">
        <v>1486</v>
      </c>
      <c r="J87" s="35" t="s">
        <v>112</v>
      </c>
      <c r="K87" s="27">
        <f t="shared" si="70"/>
        <v>6721</v>
      </c>
      <c r="L87" s="35">
        <v>259</v>
      </c>
      <c r="M87" s="33">
        <v>6462</v>
      </c>
      <c r="N87" s="46" t="s">
        <v>112</v>
      </c>
      <c r="O87" s="52" t="s">
        <v>89</v>
      </c>
      <c r="P87" s="10"/>
      <c r="Q87" s="10"/>
      <c r="R87" s="8"/>
    </row>
    <row r="88" spans="1:18">
      <c r="A88" s="49" t="s">
        <v>161</v>
      </c>
      <c r="B88" s="9">
        <f t="shared" si="68"/>
        <v>778</v>
      </c>
      <c r="C88" s="35">
        <v>458</v>
      </c>
      <c r="D88" s="33">
        <v>72</v>
      </c>
      <c r="E88" s="35">
        <v>248</v>
      </c>
      <c r="F88" s="35" t="s">
        <v>112</v>
      </c>
      <c r="G88" s="28">
        <f t="shared" si="69"/>
        <v>7004</v>
      </c>
      <c r="H88" s="35">
        <v>566</v>
      </c>
      <c r="I88" s="33">
        <v>5748</v>
      </c>
      <c r="J88" s="35">
        <v>690</v>
      </c>
      <c r="K88" s="27">
        <f t="shared" si="70"/>
        <v>24978</v>
      </c>
      <c r="L88" s="35">
        <v>1654</v>
      </c>
      <c r="M88" s="33">
        <v>21194</v>
      </c>
      <c r="N88" s="46">
        <v>2130</v>
      </c>
      <c r="O88" s="52" t="s">
        <v>90</v>
      </c>
      <c r="P88" s="10"/>
      <c r="Q88" s="10"/>
      <c r="R88" s="8"/>
    </row>
    <row r="89" spans="1:18">
      <c r="A89" s="87" t="s">
        <v>91</v>
      </c>
      <c r="B89" s="88">
        <f>SUM(B91:B103)</f>
        <v>6636</v>
      </c>
      <c r="C89" s="81">
        <f>SUM(C91:C103)</f>
        <v>1900</v>
      </c>
      <c r="D89" s="82">
        <f t="shared" ref="D89:F89" si="71">SUM(D91:D103)</f>
        <v>1576</v>
      </c>
      <c r="E89" s="81">
        <f t="shared" si="71"/>
        <v>3160</v>
      </c>
      <c r="F89" s="81">
        <f t="shared" si="71"/>
        <v>0</v>
      </c>
      <c r="G89" s="81">
        <f>SUM(G91:G103)</f>
        <v>86275</v>
      </c>
      <c r="H89" s="82">
        <f>SUM(H91:H103)</f>
        <v>12441</v>
      </c>
      <c r="I89" s="81">
        <f t="shared" ref="I89:K89" si="72">SUM(I91:I103)</f>
        <v>73772</v>
      </c>
      <c r="J89" s="82">
        <f t="shared" si="72"/>
        <v>62</v>
      </c>
      <c r="K89" s="81">
        <f t="shared" si="72"/>
        <v>137606</v>
      </c>
      <c r="L89" s="82">
        <f t="shared" ref="L89:N89" si="73">SUM(L91:L103)</f>
        <v>19832</v>
      </c>
      <c r="M89" s="81">
        <f t="shared" si="73"/>
        <v>117686</v>
      </c>
      <c r="N89" s="85">
        <f t="shared" si="73"/>
        <v>88</v>
      </c>
      <c r="O89" s="80" t="s">
        <v>92</v>
      </c>
      <c r="P89" s="80"/>
      <c r="Q89" s="80"/>
      <c r="R89" s="8"/>
    </row>
    <row r="90" spans="1:18">
      <c r="A90" s="87"/>
      <c r="B90" s="88"/>
      <c r="C90" s="81"/>
      <c r="D90" s="82"/>
      <c r="E90" s="81"/>
      <c r="F90" s="81"/>
      <c r="G90" s="81"/>
      <c r="H90" s="82"/>
      <c r="I90" s="81"/>
      <c r="J90" s="82"/>
      <c r="K90" s="81"/>
      <c r="L90" s="82"/>
      <c r="M90" s="81"/>
      <c r="N90" s="85"/>
      <c r="O90" s="80"/>
      <c r="P90" s="80"/>
      <c r="Q90" s="80"/>
      <c r="R90" s="8"/>
    </row>
    <row r="91" spans="1:18">
      <c r="A91" s="49" t="s">
        <v>162</v>
      </c>
      <c r="B91" s="9">
        <f t="shared" ref="B91:B103" si="74">SUM(C91:E91)</f>
        <v>189</v>
      </c>
      <c r="C91" s="35">
        <v>91</v>
      </c>
      <c r="D91" s="33">
        <v>38</v>
      </c>
      <c r="E91" s="35">
        <v>60</v>
      </c>
      <c r="F91" s="35" t="s">
        <v>112</v>
      </c>
      <c r="G91" s="28">
        <f t="shared" ref="G91:G103" si="75">SUM(H91:J91)</f>
        <v>2239</v>
      </c>
      <c r="H91" s="35">
        <v>444</v>
      </c>
      <c r="I91" s="33">
        <v>1795</v>
      </c>
      <c r="J91" s="35" t="s">
        <v>112</v>
      </c>
      <c r="K91" s="27">
        <f t="shared" ref="K91:K103" si="76">SUM(L91:N91)</f>
        <v>1338</v>
      </c>
      <c r="L91" s="35">
        <v>458</v>
      </c>
      <c r="M91" s="33">
        <v>880</v>
      </c>
      <c r="N91" s="46" t="s">
        <v>112</v>
      </c>
      <c r="O91" s="52" t="s">
        <v>93</v>
      </c>
      <c r="P91" s="10"/>
      <c r="Q91" s="10"/>
      <c r="R91" s="8"/>
    </row>
    <row r="92" spans="1:18">
      <c r="A92" s="49" t="s">
        <v>163</v>
      </c>
      <c r="B92" s="9">
        <f t="shared" si="74"/>
        <v>386</v>
      </c>
      <c r="C92" s="35">
        <v>35</v>
      </c>
      <c r="D92" s="33" t="s">
        <v>112</v>
      </c>
      <c r="E92" s="35">
        <v>351</v>
      </c>
      <c r="F92" s="35" t="s">
        <v>112</v>
      </c>
      <c r="G92" s="28">
        <f t="shared" si="75"/>
        <v>100</v>
      </c>
      <c r="H92" s="35" t="s">
        <v>112</v>
      </c>
      <c r="I92" s="33">
        <v>100</v>
      </c>
      <c r="J92" s="35" t="s">
        <v>112</v>
      </c>
      <c r="K92" s="27">
        <f t="shared" si="76"/>
        <v>3530</v>
      </c>
      <c r="L92" s="35" t="s">
        <v>112</v>
      </c>
      <c r="M92" s="33">
        <v>3530</v>
      </c>
      <c r="N92" s="46" t="s">
        <v>112</v>
      </c>
      <c r="O92" s="52" t="s">
        <v>94</v>
      </c>
      <c r="P92" s="10"/>
      <c r="Q92" s="10"/>
      <c r="R92" s="8"/>
    </row>
    <row r="93" spans="1:18">
      <c r="A93" s="49" t="s">
        <v>164</v>
      </c>
      <c r="B93" s="9">
        <f t="shared" si="74"/>
        <v>67</v>
      </c>
      <c r="C93" s="35">
        <v>43</v>
      </c>
      <c r="D93" s="33">
        <v>10</v>
      </c>
      <c r="E93" s="35">
        <v>14</v>
      </c>
      <c r="F93" s="35" t="s">
        <v>112</v>
      </c>
      <c r="G93" s="28">
        <f t="shared" si="75"/>
        <v>219</v>
      </c>
      <c r="H93" s="35">
        <v>154</v>
      </c>
      <c r="I93" s="33">
        <v>65</v>
      </c>
      <c r="J93" s="35" t="s">
        <v>112</v>
      </c>
      <c r="K93" s="27">
        <f t="shared" si="76"/>
        <v>781</v>
      </c>
      <c r="L93" s="35">
        <v>561</v>
      </c>
      <c r="M93" s="33">
        <v>220</v>
      </c>
      <c r="N93" s="46" t="s">
        <v>112</v>
      </c>
      <c r="O93" s="52" t="s">
        <v>95</v>
      </c>
      <c r="P93" s="10"/>
      <c r="Q93" s="10"/>
      <c r="R93" s="8"/>
    </row>
    <row r="94" spans="1:18">
      <c r="A94" s="49" t="s">
        <v>165</v>
      </c>
      <c r="B94" s="9">
        <f t="shared" si="74"/>
        <v>15</v>
      </c>
      <c r="C94" s="35">
        <v>5</v>
      </c>
      <c r="D94" s="33" t="s">
        <v>112</v>
      </c>
      <c r="E94" s="35">
        <v>10</v>
      </c>
      <c r="F94" s="35" t="s">
        <v>112</v>
      </c>
      <c r="G94" s="28">
        <f t="shared" si="75"/>
        <v>2348</v>
      </c>
      <c r="H94" s="35">
        <v>220</v>
      </c>
      <c r="I94" s="33">
        <v>2128</v>
      </c>
      <c r="J94" s="35" t="s">
        <v>112</v>
      </c>
      <c r="K94" s="27">
        <f t="shared" si="76"/>
        <v>8310</v>
      </c>
      <c r="L94" s="35">
        <v>970</v>
      </c>
      <c r="M94" s="33">
        <v>7340</v>
      </c>
      <c r="N94" s="46" t="s">
        <v>112</v>
      </c>
      <c r="O94" s="52" t="s">
        <v>96</v>
      </c>
      <c r="P94" s="10"/>
      <c r="Q94" s="10"/>
      <c r="R94" s="8"/>
    </row>
    <row r="95" spans="1:18">
      <c r="A95" s="49" t="s">
        <v>166</v>
      </c>
      <c r="B95" s="9">
        <f t="shared" si="74"/>
        <v>0</v>
      </c>
      <c r="C95" s="35" t="s">
        <v>112</v>
      </c>
      <c r="D95" s="33" t="s">
        <v>112</v>
      </c>
      <c r="E95" s="35" t="s">
        <v>112</v>
      </c>
      <c r="F95" s="35" t="s">
        <v>112</v>
      </c>
      <c r="G95" s="28">
        <f t="shared" si="75"/>
        <v>2809</v>
      </c>
      <c r="H95" s="35">
        <v>176</v>
      </c>
      <c r="I95" s="33">
        <v>2633</v>
      </c>
      <c r="J95" s="35" t="s">
        <v>112</v>
      </c>
      <c r="K95" s="27">
        <f t="shared" si="76"/>
        <v>1783</v>
      </c>
      <c r="L95" s="35">
        <v>288</v>
      </c>
      <c r="M95" s="33">
        <v>1495</v>
      </c>
      <c r="N95" s="46" t="s">
        <v>112</v>
      </c>
      <c r="O95" s="52" t="s">
        <v>97</v>
      </c>
      <c r="P95" s="10"/>
      <c r="Q95" s="10"/>
      <c r="R95" s="8"/>
    </row>
    <row r="96" spans="1:18">
      <c r="A96" s="49" t="s">
        <v>167</v>
      </c>
      <c r="B96" s="9">
        <f t="shared" si="74"/>
        <v>0</v>
      </c>
      <c r="C96" s="35" t="s">
        <v>112</v>
      </c>
      <c r="D96" s="33" t="s">
        <v>112</v>
      </c>
      <c r="E96" s="35" t="s">
        <v>112</v>
      </c>
      <c r="F96" s="35" t="s">
        <v>112</v>
      </c>
      <c r="G96" s="28">
        <f t="shared" si="75"/>
        <v>2625</v>
      </c>
      <c r="H96" s="35">
        <v>92</v>
      </c>
      <c r="I96" s="33">
        <v>2533</v>
      </c>
      <c r="J96" s="35" t="s">
        <v>112</v>
      </c>
      <c r="K96" s="27">
        <f t="shared" si="76"/>
        <v>5883</v>
      </c>
      <c r="L96" s="35">
        <v>183</v>
      </c>
      <c r="M96" s="33">
        <v>5700</v>
      </c>
      <c r="N96" s="46" t="s">
        <v>112</v>
      </c>
      <c r="O96" s="52" t="s">
        <v>98</v>
      </c>
      <c r="P96" s="10"/>
      <c r="Q96" s="10"/>
      <c r="R96" s="8"/>
    </row>
    <row r="97" spans="1:18">
      <c r="A97" s="49" t="s">
        <v>168</v>
      </c>
      <c r="B97" s="9">
        <f t="shared" si="74"/>
        <v>499</v>
      </c>
      <c r="C97" s="35">
        <v>161</v>
      </c>
      <c r="D97" s="33">
        <v>86</v>
      </c>
      <c r="E97" s="35">
        <v>252</v>
      </c>
      <c r="F97" s="35" t="s">
        <v>112</v>
      </c>
      <c r="G97" s="28">
        <f t="shared" si="75"/>
        <v>11924</v>
      </c>
      <c r="H97" s="35">
        <v>676</v>
      </c>
      <c r="I97" s="33">
        <v>11248</v>
      </c>
      <c r="J97" s="35" t="s">
        <v>112</v>
      </c>
      <c r="K97" s="27">
        <f t="shared" si="76"/>
        <v>13620</v>
      </c>
      <c r="L97" s="35">
        <v>875</v>
      </c>
      <c r="M97" s="33">
        <v>12745</v>
      </c>
      <c r="N97" s="46" t="s">
        <v>112</v>
      </c>
      <c r="O97" s="52" t="s">
        <v>99</v>
      </c>
      <c r="P97" s="10"/>
      <c r="Q97" s="10"/>
      <c r="R97" s="8"/>
    </row>
    <row r="98" spans="1:18">
      <c r="A98" s="49" t="s">
        <v>169</v>
      </c>
      <c r="B98" s="9">
        <f t="shared" si="74"/>
        <v>31</v>
      </c>
      <c r="C98" s="35">
        <v>4</v>
      </c>
      <c r="D98" s="33">
        <v>4</v>
      </c>
      <c r="E98" s="35">
        <v>23</v>
      </c>
      <c r="F98" s="35" t="s">
        <v>112</v>
      </c>
      <c r="G98" s="28">
        <f t="shared" si="75"/>
        <v>3772</v>
      </c>
      <c r="H98" s="35">
        <v>532</v>
      </c>
      <c r="I98" s="33">
        <v>3240</v>
      </c>
      <c r="J98" s="35" t="s">
        <v>112</v>
      </c>
      <c r="K98" s="27">
        <f t="shared" si="76"/>
        <v>4333</v>
      </c>
      <c r="L98" s="35">
        <v>623</v>
      </c>
      <c r="M98" s="33">
        <v>3710</v>
      </c>
      <c r="N98" s="46" t="s">
        <v>112</v>
      </c>
      <c r="O98" s="52" t="s">
        <v>100</v>
      </c>
      <c r="P98" s="10"/>
      <c r="Q98" s="10"/>
      <c r="R98" s="8"/>
    </row>
    <row r="99" spans="1:18">
      <c r="A99" s="49" t="s">
        <v>170</v>
      </c>
      <c r="B99" s="9">
        <f t="shared" si="74"/>
        <v>397</v>
      </c>
      <c r="C99" s="35">
        <v>139</v>
      </c>
      <c r="D99" s="33">
        <v>28</v>
      </c>
      <c r="E99" s="35">
        <v>230</v>
      </c>
      <c r="F99" s="35" t="s">
        <v>112</v>
      </c>
      <c r="G99" s="28">
        <f t="shared" si="75"/>
        <v>2120</v>
      </c>
      <c r="H99" s="35">
        <v>620</v>
      </c>
      <c r="I99" s="33">
        <v>1500</v>
      </c>
      <c r="J99" s="35" t="s">
        <v>112</v>
      </c>
      <c r="K99" s="27">
        <f t="shared" si="76"/>
        <v>870</v>
      </c>
      <c r="L99" s="35">
        <v>200</v>
      </c>
      <c r="M99" s="33">
        <v>670</v>
      </c>
      <c r="N99" s="46" t="s">
        <v>112</v>
      </c>
      <c r="O99" s="52" t="s">
        <v>101</v>
      </c>
      <c r="P99" s="10"/>
      <c r="Q99" s="10"/>
      <c r="R99" s="8"/>
    </row>
    <row r="100" spans="1:18">
      <c r="A100" s="49" t="s">
        <v>171</v>
      </c>
      <c r="B100" s="9">
        <f t="shared" si="74"/>
        <v>3199</v>
      </c>
      <c r="C100" s="35">
        <v>1266</v>
      </c>
      <c r="D100" s="33">
        <v>1383</v>
      </c>
      <c r="E100" s="35">
        <v>550</v>
      </c>
      <c r="F100" s="35" t="s">
        <v>112</v>
      </c>
      <c r="G100" s="28">
        <f t="shared" si="75"/>
        <v>42079</v>
      </c>
      <c r="H100" s="35">
        <v>6761</v>
      </c>
      <c r="I100" s="33">
        <v>35318</v>
      </c>
      <c r="J100" s="35" t="s">
        <v>112</v>
      </c>
      <c r="K100" s="27">
        <f t="shared" si="76"/>
        <v>74769</v>
      </c>
      <c r="L100" s="35">
        <v>12339</v>
      </c>
      <c r="M100" s="33">
        <v>62430</v>
      </c>
      <c r="N100" s="46" t="s">
        <v>112</v>
      </c>
      <c r="O100" s="52" t="s">
        <v>102</v>
      </c>
      <c r="P100" s="10"/>
      <c r="Q100" s="10"/>
      <c r="R100" s="8"/>
    </row>
    <row r="101" spans="1:18">
      <c r="A101" s="49" t="s">
        <v>172</v>
      </c>
      <c r="B101" s="9">
        <f t="shared" si="74"/>
        <v>747</v>
      </c>
      <c r="C101" s="35" t="s">
        <v>112</v>
      </c>
      <c r="D101" s="33" t="s">
        <v>112</v>
      </c>
      <c r="E101" s="35">
        <v>747</v>
      </c>
      <c r="F101" s="35" t="s">
        <v>112</v>
      </c>
      <c r="G101" s="28">
        <f t="shared" si="75"/>
        <v>3389</v>
      </c>
      <c r="H101" s="35" t="s">
        <v>112</v>
      </c>
      <c r="I101" s="33">
        <v>3389</v>
      </c>
      <c r="J101" s="35" t="s">
        <v>112</v>
      </c>
      <c r="K101" s="27">
        <f t="shared" si="76"/>
        <v>4085</v>
      </c>
      <c r="L101" s="35" t="s">
        <v>112</v>
      </c>
      <c r="M101" s="33">
        <v>4085</v>
      </c>
      <c r="N101" s="46" t="s">
        <v>112</v>
      </c>
      <c r="O101" s="52" t="s">
        <v>103</v>
      </c>
      <c r="P101" s="10"/>
      <c r="Q101" s="10"/>
      <c r="R101" s="8"/>
    </row>
    <row r="102" spans="1:18">
      <c r="A102" s="49" t="s">
        <v>173</v>
      </c>
      <c r="B102" s="9">
        <f t="shared" si="74"/>
        <v>477</v>
      </c>
      <c r="C102" s="35">
        <v>137</v>
      </c>
      <c r="D102" s="33">
        <v>11</v>
      </c>
      <c r="E102" s="35">
        <v>329</v>
      </c>
      <c r="F102" s="35" t="s">
        <v>112</v>
      </c>
      <c r="G102" s="28">
        <f t="shared" si="75"/>
        <v>8231</v>
      </c>
      <c r="H102" s="35">
        <v>2766</v>
      </c>
      <c r="I102" s="33">
        <v>5403</v>
      </c>
      <c r="J102" s="35">
        <v>62</v>
      </c>
      <c r="K102" s="27">
        <f t="shared" si="76"/>
        <v>12084</v>
      </c>
      <c r="L102" s="35">
        <v>3275</v>
      </c>
      <c r="M102" s="33">
        <v>8721</v>
      </c>
      <c r="N102" s="46">
        <v>88</v>
      </c>
      <c r="O102" s="52" t="s">
        <v>104</v>
      </c>
      <c r="P102" s="10"/>
      <c r="Q102" s="10"/>
      <c r="R102" s="8"/>
    </row>
    <row r="103" spans="1:18">
      <c r="A103" s="49" t="s">
        <v>174</v>
      </c>
      <c r="B103" s="9">
        <f t="shared" si="74"/>
        <v>629</v>
      </c>
      <c r="C103" s="35">
        <v>19</v>
      </c>
      <c r="D103" s="33">
        <v>16</v>
      </c>
      <c r="E103" s="35">
        <v>594</v>
      </c>
      <c r="F103" s="35" t="s">
        <v>112</v>
      </c>
      <c r="G103" s="28">
        <f t="shared" si="75"/>
        <v>4420</v>
      </c>
      <c r="H103" s="35" t="s">
        <v>112</v>
      </c>
      <c r="I103" s="33">
        <v>4420</v>
      </c>
      <c r="J103" s="35" t="s">
        <v>112</v>
      </c>
      <c r="K103" s="27">
        <f t="shared" si="76"/>
        <v>6220</v>
      </c>
      <c r="L103" s="35">
        <v>60</v>
      </c>
      <c r="M103" s="33">
        <v>6160</v>
      </c>
      <c r="N103" s="46" t="s">
        <v>112</v>
      </c>
      <c r="O103" s="52" t="s">
        <v>105</v>
      </c>
      <c r="P103" s="10"/>
      <c r="Q103" s="10"/>
      <c r="R103" s="8"/>
    </row>
    <row r="104" spans="1:18">
      <c r="A104" s="87" t="s">
        <v>106</v>
      </c>
      <c r="B104" s="88">
        <f>SUM(B106:B109)</f>
        <v>229</v>
      </c>
      <c r="C104" s="81">
        <f>SUM(C106:C109)</f>
        <v>63</v>
      </c>
      <c r="D104" s="82">
        <f t="shared" ref="D104:F104" si="77">SUM(D106:D109)</f>
        <v>63</v>
      </c>
      <c r="E104" s="81">
        <f t="shared" si="77"/>
        <v>103</v>
      </c>
      <c r="F104" s="81">
        <f t="shared" si="77"/>
        <v>1</v>
      </c>
      <c r="G104" s="81">
        <f>SUM(G106:G109)</f>
        <v>922583</v>
      </c>
      <c r="H104" s="82">
        <f>SUM(H106:H109)</f>
        <v>40988</v>
      </c>
      <c r="I104" s="81">
        <f t="shared" ref="I104:K104" si="78">SUM(I106:I109)</f>
        <v>845397</v>
      </c>
      <c r="J104" s="82">
        <f t="shared" si="78"/>
        <v>36198</v>
      </c>
      <c r="K104" s="81">
        <f t="shared" si="78"/>
        <v>318154</v>
      </c>
      <c r="L104" s="82">
        <f t="shared" ref="L104:N104" si="79">SUM(L106:L109)</f>
        <v>38717</v>
      </c>
      <c r="M104" s="81">
        <f t="shared" si="79"/>
        <v>264268</v>
      </c>
      <c r="N104" s="85">
        <f t="shared" si="79"/>
        <v>15169</v>
      </c>
      <c r="O104" s="80" t="s">
        <v>107</v>
      </c>
      <c r="P104" s="80"/>
      <c r="Q104" s="80"/>
      <c r="R104" s="8"/>
    </row>
    <row r="105" spans="1:18">
      <c r="A105" s="87"/>
      <c r="B105" s="88"/>
      <c r="C105" s="81"/>
      <c r="D105" s="82"/>
      <c r="E105" s="81"/>
      <c r="F105" s="81"/>
      <c r="G105" s="81"/>
      <c r="H105" s="82"/>
      <c r="I105" s="81"/>
      <c r="J105" s="82"/>
      <c r="K105" s="81"/>
      <c r="L105" s="82"/>
      <c r="M105" s="81"/>
      <c r="N105" s="85"/>
      <c r="O105" s="80"/>
      <c r="P105" s="80"/>
      <c r="Q105" s="80"/>
      <c r="R105" s="8"/>
    </row>
    <row r="106" spans="1:18">
      <c r="A106" s="49" t="s">
        <v>175</v>
      </c>
      <c r="B106" s="9">
        <f t="shared" ref="B106:B109" si="80">SUM(C106:E106)</f>
        <v>95</v>
      </c>
      <c r="C106" s="35">
        <v>6</v>
      </c>
      <c r="D106" s="33">
        <v>58</v>
      </c>
      <c r="E106" s="35">
        <v>31</v>
      </c>
      <c r="F106" s="35" t="s">
        <v>112</v>
      </c>
      <c r="G106" s="28">
        <f t="shared" ref="G106:G109" si="81">SUM(H106:J106)</f>
        <v>332572</v>
      </c>
      <c r="H106" s="35">
        <v>13818</v>
      </c>
      <c r="I106" s="33">
        <v>304954</v>
      </c>
      <c r="J106" s="35">
        <v>13800</v>
      </c>
      <c r="K106" s="27">
        <f t="shared" ref="K106:K109" si="82">SUM(L106:N106)</f>
        <v>117151</v>
      </c>
      <c r="L106" s="35">
        <v>14973</v>
      </c>
      <c r="M106" s="33">
        <v>95578</v>
      </c>
      <c r="N106" s="46">
        <v>6600</v>
      </c>
      <c r="O106" s="52" t="s">
        <v>108</v>
      </c>
      <c r="P106" s="10"/>
      <c r="Q106" s="10"/>
      <c r="R106" s="8"/>
    </row>
    <row r="107" spans="1:18">
      <c r="A107" s="49" t="s">
        <v>176</v>
      </c>
      <c r="B107" s="9">
        <f t="shared" si="80"/>
        <v>2</v>
      </c>
      <c r="C107" s="35">
        <v>1</v>
      </c>
      <c r="D107" s="33">
        <v>1</v>
      </c>
      <c r="E107" s="35" t="s">
        <v>112</v>
      </c>
      <c r="F107" s="35" t="s">
        <v>112</v>
      </c>
      <c r="G107" s="28">
        <f t="shared" si="81"/>
        <v>88443</v>
      </c>
      <c r="H107" s="35">
        <v>2348</v>
      </c>
      <c r="I107" s="33">
        <v>79495</v>
      </c>
      <c r="J107" s="35">
        <v>6600</v>
      </c>
      <c r="K107" s="27">
        <f t="shared" si="82"/>
        <v>39023</v>
      </c>
      <c r="L107" s="35">
        <v>5176</v>
      </c>
      <c r="M107" s="33">
        <v>30147</v>
      </c>
      <c r="N107" s="46">
        <v>3700</v>
      </c>
      <c r="O107" s="52" t="s">
        <v>109</v>
      </c>
      <c r="P107" s="10"/>
      <c r="Q107" s="10"/>
      <c r="R107" s="8"/>
    </row>
    <row r="108" spans="1:18">
      <c r="A108" s="49" t="s">
        <v>177</v>
      </c>
      <c r="B108" s="9">
        <f t="shared" si="80"/>
        <v>43</v>
      </c>
      <c r="C108" s="35">
        <v>43</v>
      </c>
      <c r="D108" s="33" t="s">
        <v>112</v>
      </c>
      <c r="E108" s="35" t="s">
        <v>112</v>
      </c>
      <c r="F108" s="35" t="s">
        <v>112</v>
      </c>
      <c r="G108" s="28">
        <f t="shared" si="81"/>
        <v>314378</v>
      </c>
      <c r="H108" s="35">
        <v>7456</v>
      </c>
      <c r="I108" s="33">
        <v>294732</v>
      </c>
      <c r="J108" s="35">
        <v>12190</v>
      </c>
      <c r="K108" s="27">
        <f t="shared" si="82"/>
        <v>76430</v>
      </c>
      <c r="L108" s="35">
        <v>7305</v>
      </c>
      <c r="M108" s="33">
        <v>66615</v>
      </c>
      <c r="N108" s="46">
        <v>2510</v>
      </c>
      <c r="O108" s="52" t="s">
        <v>110</v>
      </c>
      <c r="P108" s="10"/>
      <c r="Q108" s="10"/>
      <c r="R108" s="8"/>
    </row>
    <row r="109" spans="1:18" ht="10.8" thickBot="1">
      <c r="A109" s="51" t="s">
        <v>178</v>
      </c>
      <c r="B109" s="11">
        <f t="shared" si="80"/>
        <v>89</v>
      </c>
      <c r="C109" s="36">
        <v>13</v>
      </c>
      <c r="D109" s="34">
        <v>4</v>
      </c>
      <c r="E109" s="36">
        <v>72</v>
      </c>
      <c r="F109" s="36">
        <v>1</v>
      </c>
      <c r="G109" s="30">
        <f t="shared" si="81"/>
        <v>187190</v>
      </c>
      <c r="H109" s="36">
        <v>17366</v>
      </c>
      <c r="I109" s="34">
        <v>166216</v>
      </c>
      <c r="J109" s="36">
        <v>3608</v>
      </c>
      <c r="K109" s="29">
        <f t="shared" si="82"/>
        <v>85550</v>
      </c>
      <c r="L109" s="36">
        <v>11263</v>
      </c>
      <c r="M109" s="34">
        <v>71928</v>
      </c>
      <c r="N109" s="48">
        <v>2359</v>
      </c>
      <c r="O109" s="53" t="s">
        <v>111</v>
      </c>
      <c r="P109" s="12"/>
      <c r="Q109" s="12"/>
      <c r="R109" s="8"/>
    </row>
    <row r="110" spans="1:18">
      <c r="A110" s="13"/>
      <c r="B110" s="14"/>
      <c r="C110" s="14"/>
      <c r="D110" s="14"/>
      <c r="E110" s="14"/>
      <c r="F110" s="14"/>
      <c r="P110" s="89"/>
      <c r="Q110" s="89"/>
    </row>
    <row r="111" spans="1:18">
      <c r="A111" s="14"/>
      <c r="B111" s="14"/>
      <c r="C111" s="14"/>
      <c r="D111" s="14"/>
      <c r="E111" s="14"/>
      <c r="F111" s="14"/>
      <c r="O111" s="14"/>
      <c r="P111" s="14"/>
      <c r="Q111" s="14"/>
    </row>
    <row r="112" spans="1:18" ht="10.199999999999999" customHeight="1">
      <c r="A112" s="15"/>
      <c r="B112" s="15"/>
      <c r="C112" s="15"/>
      <c r="D112" s="15"/>
      <c r="E112" s="15"/>
      <c r="F112" s="15"/>
      <c r="G112" s="16"/>
      <c r="H112" s="16"/>
      <c r="I112" s="16"/>
      <c r="J112" s="16"/>
      <c r="O112" s="16"/>
      <c r="P112" s="16"/>
      <c r="Q112" s="16"/>
    </row>
    <row r="113" spans="1:17" ht="10.199999999999999" customHeight="1">
      <c r="A113" s="15"/>
      <c r="B113" s="15"/>
      <c r="C113" s="15"/>
      <c r="D113" s="15"/>
      <c r="E113" s="15"/>
      <c r="F113" s="15"/>
      <c r="G113" s="16"/>
      <c r="H113" s="16"/>
      <c r="I113" s="16"/>
      <c r="J113" s="16"/>
      <c r="O113" s="16"/>
      <c r="P113" s="16"/>
      <c r="Q113" s="16"/>
    </row>
    <row r="114" spans="1:17" ht="10.199999999999999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O114" s="90"/>
      <c r="P114" s="90"/>
      <c r="Q114" s="90"/>
    </row>
    <row r="115" spans="1:17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O115" s="90"/>
      <c r="P115" s="90"/>
      <c r="Q115" s="90"/>
    </row>
    <row r="116" spans="1:17">
      <c r="A116" s="8"/>
      <c r="B116" s="8"/>
      <c r="C116" s="8"/>
      <c r="D116" s="8"/>
      <c r="E116" s="8"/>
      <c r="F116" s="8"/>
    </row>
    <row r="117" spans="1:17">
      <c r="A117" s="8"/>
      <c r="B117" s="8"/>
      <c r="C117" s="8"/>
      <c r="D117" s="8"/>
      <c r="E117" s="8"/>
      <c r="F117" s="8"/>
    </row>
    <row r="118" spans="1:17">
      <c r="A118" s="8"/>
      <c r="B118" s="8"/>
      <c r="C118" s="8"/>
      <c r="D118" s="8"/>
      <c r="E118" s="8"/>
      <c r="F118" s="8"/>
    </row>
    <row r="119" spans="1:17">
      <c r="A119" s="8"/>
      <c r="B119" s="8"/>
      <c r="C119" s="8"/>
      <c r="D119" s="8"/>
      <c r="E119" s="8"/>
      <c r="F119" s="8"/>
    </row>
    <row r="120" spans="1:17">
      <c r="A120" s="8"/>
      <c r="B120" s="8"/>
      <c r="C120" s="8"/>
      <c r="D120" s="8"/>
      <c r="E120" s="8"/>
      <c r="F120" s="8"/>
    </row>
    <row r="121" spans="1:17">
      <c r="A121" s="8"/>
      <c r="B121" s="8"/>
      <c r="C121" s="8"/>
      <c r="D121" s="8"/>
      <c r="E121" s="8"/>
      <c r="F121" s="8"/>
    </row>
    <row r="122" spans="1:17">
      <c r="A122" s="8"/>
      <c r="B122" s="8"/>
      <c r="C122" s="8"/>
      <c r="D122" s="8"/>
      <c r="E122" s="8"/>
      <c r="F122" s="8"/>
    </row>
    <row r="123" spans="1:17">
      <c r="A123" s="8"/>
      <c r="B123" s="8"/>
      <c r="C123" s="8"/>
      <c r="D123" s="8"/>
      <c r="E123" s="8"/>
      <c r="F123" s="8"/>
    </row>
    <row r="124" spans="1:17">
      <c r="A124" s="17"/>
      <c r="B124" s="17"/>
      <c r="C124" s="17"/>
      <c r="D124" s="17"/>
      <c r="E124" s="17"/>
      <c r="F124" s="17"/>
    </row>
    <row r="125" spans="1:17" s="8" customFormat="1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6"/>
      <c r="M125" s="106"/>
      <c r="N125" s="106"/>
    </row>
    <row r="126" spans="1:17" s="8" customFormat="1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6"/>
      <c r="M126" s="106"/>
      <c r="N126" s="106"/>
    </row>
    <row r="127" spans="1:17" s="8" customFormat="1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6"/>
      <c r="M127" s="106"/>
      <c r="N127" s="106"/>
    </row>
    <row r="128" spans="1:17" s="8" customFormat="1">
      <c r="A128" s="18"/>
      <c r="B128" s="18"/>
      <c r="C128" s="18"/>
      <c r="D128" s="18"/>
      <c r="E128" s="18"/>
      <c r="F128" s="18"/>
      <c r="K128" s="107"/>
      <c r="L128" s="107"/>
      <c r="M128" s="107"/>
      <c r="N128" s="107"/>
    </row>
    <row r="129" spans="1:14" s="8" customFormat="1">
      <c r="A129" s="108"/>
      <c r="B129" s="26"/>
      <c r="C129" s="26"/>
      <c r="D129" s="26"/>
      <c r="E129" s="26"/>
      <c r="F129" s="26"/>
      <c r="G129" s="104"/>
      <c r="H129" s="104"/>
      <c r="I129" s="104"/>
      <c r="J129" s="104"/>
      <c r="K129" s="104"/>
      <c r="L129" s="104"/>
      <c r="M129" s="104"/>
      <c r="N129" s="104"/>
    </row>
    <row r="130" spans="1:14" s="8" customFormat="1">
      <c r="A130" s="108"/>
      <c r="B130" s="26"/>
      <c r="C130" s="26"/>
      <c r="D130" s="26"/>
      <c r="E130" s="26"/>
      <c r="F130" s="26"/>
      <c r="G130" s="104"/>
      <c r="H130" s="104"/>
      <c r="I130" s="104"/>
      <c r="J130" s="104"/>
      <c r="K130" s="104"/>
      <c r="L130" s="104"/>
      <c r="M130" s="104"/>
      <c r="N130" s="104"/>
    </row>
    <row r="131" spans="1:14" s="8" customFormat="1">
      <c r="A131" s="108"/>
      <c r="B131" s="26"/>
      <c r="C131" s="26"/>
      <c r="D131" s="26"/>
      <c r="E131" s="26"/>
      <c r="F131" s="26"/>
      <c r="G131" s="104"/>
      <c r="H131" s="104"/>
      <c r="I131" s="104"/>
      <c r="J131" s="104"/>
      <c r="K131" s="104"/>
      <c r="L131" s="104"/>
      <c r="M131" s="104"/>
      <c r="N131" s="104"/>
    </row>
    <row r="132" spans="1:14" s="8" customFormat="1">
      <c r="A132" s="108"/>
      <c r="B132" s="26"/>
      <c r="C132" s="26"/>
      <c r="D132" s="26"/>
      <c r="E132" s="26"/>
      <c r="F132" s="26"/>
      <c r="G132" s="19"/>
      <c r="H132" s="19"/>
      <c r="I132" s="19"/>
      <c r="J132" s="19"/>
      <c r="K132" s="19"/>
      <c r="L132" s="19"/>
      <c r="M132" s="19"/>
      <c r="N132" s="19"/>
    </row>
    <row r="133" spans="1:14" s="8" customFormat="1">
      <c r="A133" s="20"/>
      <c r="B133" s="20"/>
      <c r="C133" s="20"/>
      <c r="D133" s="20"/>
      <c r="E133" s="20"/>
      <c r="F133" s="20"/>
    </row>
    <row r="134" spans="1:14" s="8" customFormat="1">
      <c r="A134" s="21"/>
      <c r="B134" s="21"/>
      <c r="C134" s="21"/>
      <c r="D134" s="21"/>
      <c r="E134" s="21"/>
      <c r="F134" s="21"/>
    </row>
    <row r="135" spans="1:14" s="8" customFormat="1">
      <c r="A135" s="103"/>
      <c r="B135" s="25"/>
      <c r="C135" s="25"/>
      <c r="D135" s="25"/>
      <c r="E135" s="25"/>
      <c r="F135" s="25"/>
      <c r="G135" s="102"/>
      <c r="H135" s="102"/>
      <c r="I135" s="102"/>
      <c r="J135" s="102"/>
      <c r="K135" s="102"/>
      <c r="L135" s="102"/>
      <c r="M135" s="102"/>
      <c r="N135" s="102"/>
    </row>
    <row r="136" spans="1:14" s="8" customFormat="1">
      <c r="A136" s="103"/>
      <c r="B136" s="25"/>
      <c r="C136" s="25"/>
      <c r="D136" s="25"/>
      <c r="E136" s="25"/>
      <c r="F136" s="25"/>
      <c r="G136" s="102"/>
      <c r="H136" s="102"/>
      <c r="I136" s="102"/>
      <c r="J136" s="102"/>
      <c r="K136" s="102"/>
      <c r="L136" s="102"/>
      <c r="M136" s="102"/>
      <c r="N136" s="102"/>
    </row>
    <row r="137" spans="1:14" s="8" customFormat="1">
      <c r="A137" s="103"/>
      <c r="B137" s="25"/>
      <c r="C137" s="25"/>
      <c r="D137" s="25"/>
      <c r="E137" s="25"/>
      <c r="F137" s="25"/>
      <c r="G137" s="102"/>
      <c r="H137" s="102"/>
      <c r="I137" s="102"/>
      <c r="J137" s="102"/>
      <c r="K137" s="102"/>
      <c r="L137" s="102"/>
      <c r="M137" s="102"/>
      <c r="N137" s="102"/>
    </row>
    <row r="138" spans="1:14" s="8" customFormat="1">
      <c r="A138" s="21"/>
      <c r="B138" s="21"/>
      <c r="C138" s="21"/>
      <c r="D138" s="21"/>
      <c r="E138" s="21"/>
      <c r="F138" s="21"/>
      <c r="K138" s="22"/>
      <c r="L138" s="22"/>
    </row>
    <row r="139" spans="1:14" s="8" customFormat="1">
      <c r="A139" s="21"/>
      <c r="B139" s="21"/>
      <c r="C139" s="21"/>
      <c r="D139" s="21"/>
      <c r="E139" s="21"/>
      <c r="F139" s="21"/>
      <c r="K139" s="22"/>
      <c r="L139" s="22"/>
    </row>
    <row r="140" spans="1:14" s="8" customFormat="1">
      <c r="A140" s="21"/>
      <c r="B140" s="21"/>
      <c r="C140" s="21"/>
      <c r="D140" s="21"/>
      <c r="E140" s="21"/>
      <c r="F140" s="21"/>
      <c r="K140" s="22"/>
      <c r="L140" s="22"/>
    </row>
    <row r="141" spans="1:14" s="8" customFormat="1">
      <c r="A141" s="21"/>
      <c r="B141" s="21"/>
      <c r="C141" s="21"/>
      <c r="D141" s="21"/>
      <c r="E141" s="21"/>
      <c r="F141" s="21"/>
      <c r="K141" s="22"/>
      <c r="L141" s="22"/>
    </row>
    <row r="142" spans="1:14" s="8" customFormat="1">
      <c r="A142" s="21"/>
      <c r="B142" s="21"/>
      <c r="C142" s="21"/>
      <c r="D142" s="21"/>
      <c r="E142" s="21"/>
      <c r="F142" s="21"/>
      <c r="K142" s="22"/>
      <c r="L142" s="22"/>
    </row>
    <row r="143" spans="1:14" s="8" customFormat="1">
      <c r="A143" s="21"/>
      <c r="B143" s="21"/>
      <c r="C143" s="21"/>
      <c r="D143" s="21"/>
      <c r="E143" s="21"/>
      <c r="F143" s="21"/>
      <c r="K143" s="22"/>
      <c r="L143" s="22"/>
    </row>
    <row r="144" spans="1:14" s="8" customFormat="1">
      <c r="A144" s="103"/>
      <c r="B144" s="25"/>
      <c r="C144" s="25"/>
      <c r="D144" s="25"/>
      <c r="E144" s="25"/>
      <c r="F144" s="25"/>
    </row>
    <row r="145" spans="1:12" s="8" customFormat="1">
      <c r="A145" s="103"/>
      <c r="B145" s="25"/>
      <c r="C145" s="25"/>
      <c r="D145" s="25"/>
      <c r="E145" s="25"/>
      <c r="F145" s="25"/>
    </row>
    <row r="146" spans="1:12" s="8" customFormat="1">
      <c r="A146" s="21"/>
      <c r="B146" s="21"/>
      <c r="C146" s="21"/>
      <c r="D146" s="21"/>
      <c r="E146" s="21"/>
      <c r="F146" s="21"/>
      <c r="K146" s="22"/>
      <c r="L146" s="22"/>
    </row>
    <row r="147" spans="1:12" s="8" customFormat="1">
      <c r="A147" s="21"/>
      <c r="B147" s="21"/>
      <c r="C147" s="21"/>
      <c r="D147" s="21"/>
      <c r="E147" s="21"/>
      <c r="F147" s="21"/>
      <c r="K147" s="22"/>
      <c r="L147" s="22"/>
    </row>
    <row r="148" spans="1:12" s="8" customFormat="1">
      <c r="A148" s="21"/>
      <c r="B148" s="21"/>
      <c r="C148" s="21"/>
      <c r="D148" s="21"/>
      <c r="E148" s="21"/>
      <c r="F148" s="21"/>
      <c r="K148" s="22"/>
      <c r="L148" s="22"/>
    </row>
    <row r="149" spans="1:12" s="8" customFormat="1">
      <c r="A149" s="21"/>
      <c r="B149" s="21"/>
      <c r="C149" s="21"/>
      <c r="D149" s="21"/>
      <c r="E149" s="21"/>
      <c r="F149" s="21"/>
      <c r="K149" s="22"/>
      <c r="L149" s="22"/>
    </row>
    <row r="150" spans="1:12" s="8" customFormat="1">
      <c r="A150" s="21"/>
      <c r="B150" s="21"/>
      <c r="C150" s="21"/>
      <c r="D150" s="21"/>
      <c r="E150" s="21"/>
      <c r="F150" s="21"/>
      <c r="K150" s="22"/>
      <c r="L150" s="22"/>
    </row>
    <row r="151" spans="1:12" s="8" customFormat="1">
      <c r="A151" s="21"/>
      <c r="B151" s="21"/>
      <c r="C151" s="21"/>
      <c r="D151" s="21"/>
      <c r="E151" s="21"/>
      <c r="F151" s="21"/>
      <c r="K151" s="22"/>
      <c r="L151" s="22"/>
    </row>
    <row r="152" spans="1:12" s="8" customFormat="1">
      <c r="A152" s="21"/>
      <c r="B152" s="21"/>
      <c r="C152" s="21"/>
      <c r="D152" s="21"/>
      <c r="E152" s="21"/>
      <c r="F152" s="21"/>
      <c r="K152" s="22"/>
      <c r="L152" s="22"/>
    </row>
    <row r="153" spans="1:12" s="8" customFormat="1">
      <c r="A153" s="21"/>
      <c r="B153" s="21"/>
      <c r="C153" s="21"/>
      <c r="D153" s="21"/>
      <c r="E153" s="21"/>
      <c r="F153" s="21"/>
      <c r="K153" s="22"/>
      <c r="L153" s="22"/>
    </row>
    <row r="154" spans="1:12" s="8" customFormat="1">
      <c r="A154" s="21"/>
      <c r="B154" s="21"/>
      <c r="C154" s="21"/>
      <c r="D154" s="21"/>
      <c r="E154" s="21"/>
      <c r="F154" s="21"/>
      <c r="K154" s="22"/>
      <c r="L154" s="22"/>
    </row>
    <row r="155" spans="1:12" s="8" customFormat="1">
      <c r="A155" s="21"/>
      <c r="B155" s="21"/>
      <c r="C155" s="21"/>
      <c r="D155" s="21"/>
      <c r="E155" s="21"/>
      <c r="F155" s="21"/>
      <c r="K155" s="22"/>
      <c r="L155" s="22"/>
    </row>
    <row r="156" spans="1:12" s="8" customFormat="1">
      <c r="A156" s="21"/>
      <c r="B156" s="21"/>
      <c r="C156" s="21"/>
      <c r="D156" s="21"/>
      <c r="E156" s="21"/>
      <c r="F156" s="21"/>
      <c r="K156" s="22"/>
      <c r="L156" s="22"/>
    </row>
    <row r="157" spans="1:12" s="8" customFormat="1">
      <c r="A157" s="109"/>
      <c r="B157" s="24"/>
      <c r="C157" s="24"/>
      <c r="D157" s="24"/>
      <c r="E157" s="24"/>
      <c r="F157" s="24"/>
    </row>
    <row r="158" spans="1:12" s="8" customFormat="1">
      <c r="A158" s="109"/>
      <c r="B158" s="24"/>
      <c r="C158" s="24"/>
      <c r="D158" s="24"/>
      <c r="E158" s="24"/>
      <c r="F158" s="24"/>
    </row>
    <row r="159" spans="1:12" s="8" customFormat="1">
      <c r="A159" s="21"/>
      <c r="B159" s="21"/>
      <c r="C159" s="21"/>
      <c r="D159" s="21"/>
      <c r="E159" s="21"/>
      <c r="F159" s="21"/>
      <c r="K159" s="22"/>
      <c r="L159" s="22"/>
    </row>
    <row r="160" spans="1:12" s="8" customFormat="1">
      <c r="A160" s="21"/>
      <c r="B160" s="21"/>
      <c r="C160" s="21"/>
      <c r="D160" s="21"/>
      <c r="E160" s="21"/>
      <c r="F160" s="21"/>
      <c r="K160" s="22"/>
      <c r="L160" s="22"/>
    </row>
    <row r="161" spans="1:12" s="8" customFormat="1">
      <c r="A161" s="21"/>
      <c r="B161" s="21"/>
      <c r="C161" s="21"/>
      <c r="D161" s="21"/>
      <c r="E161" s="21"/>
      <c r="F161" s="21"/>
      <c r="K161" s="22"/>
      <c r="L161" s="22"/>
    </row>
    <row r="162" spans="1:12" s="8" customFormat="1">
      <c r="A162" s="21"/>
      <c r="B162" s="21"/>
      <c r="C162" s="21"/>
      <c r="D162" s="21"/>
      <c r="E162" s="21"/>
      <c r="F162" s="21"/>
      <c r="K162" s="22"/>
      <c r="L162" s="22"/>
    </row>
    <row r="163" spans="1:12" s="8" customFormat="1">
      <c r="A163" s="109"/>
      <c r="B163" s="24"/>
      <c r="C163" s="24"/>
      <c r="D163" s="24"/>
      <c r="E163" s="24"/>
      <c r="F163" s="24"/>
    </row>
    <row r="164" spans="1:12" s="8" customFormat="1">
      <c r="A164" s="109"/>
      <c r="B164" s="24"/>
      <c r="C164" s="24"/>
      <c r="D164" s="24"/>
      <c r="E164" s="24"/>
      <c r="F164" s="24"/>
    </row>
    <row r="165" spans="1:12" s="8" customFormat="1">
      <c r="A165" s="21"/>
      <c r="B165" s="21"/>
      <c r="C165" s="21"/>
      <c r="D165" s="21"/>
      <c r="E165" s="21"/>
      <c r="F165" s="21"/>
      <c r="K165" s="22"/>
      <c r="L165" s="22"/>
    </row>
    <row r="166" spans="1:12" s="8" customFormat="1">
      <c r="A166" s="21"/>
      <c r="B166" s="21"/>
      <c r="C166" s="21"/>
      <c r="D166" s="21"/>
      <c r="E166" s="21"/>
      <c r="F166" s="21"/>
      <c r="K166" s="22"/>
      <c r="L166" s="22"/>
    </row>
    <row r="167" spans="1:12" s="8" customFormat="1">
      <c r="A167" s="21"/>
      <c r="B167" s="21"/>
      <c r="C167" s="21"/>
      <c r="D167" s="21"/>
      <c r="E167" s="21"/>
      <c r="F167" s="21"/>
      <c r="K167" s="22"/>
      <c r="L167" s="22"/>
    </row>
    <row r="168" spans="1:12" s="8" customFormat="1">
      <c r="A168" s="21"/>
      <c r="B168" s="21"/>
      <c r="C168" s="21"/>
      <c r="D168" s="21"/>
      <c r="E168" s="21"/>
      <c r="F168" s="21"/>
      <c r="K168" s="22"/>
      <c r="L168" s="22"/>
    </row>
    <row r="169" spans="1:12" s="8" customFormat="1">
      <c r="A169" s="21"/>
      <c r="B169" s="21"/>
      <c r="C169" s="21"/>
      <c r="D169" s="21"/>
      <c r="E169" s="21"/>
      <c r="F169" s="21"/>
      <c r="K169" s="22"/>
      <c r="L169" s="22"/>
    </row>
    <row r="170" spans="1:12" s="8" customFormat="1">
      <c r="A170" s="109"/>
      <c r="B170" s="24"/>
      <c r="C170" s="24"/>
      <c r="D170" s="24"/>
      <c r="E170" s="24"/>
      <c r="F170" s="24"/>
    </row>
    <row r="171" spans="1:12" s="8" customFormat="1">
      <c r="A171" s="109"/>
      <c r="B171" s="24"/>
      <c r="C171" s="24"/>
      <c r="D171" s="24"/>
      <c r="E171" s="24"/>
      <c r="F171" s="24"/>
    </row>
    <row r="172" spans="1:12" s="8" customFormat="1">
      <c r="A172" s="21"/>
      <c r="B172" s="21"/>
      <c r="C172" s="21"/>
      <c r="D172" s="21"/>
      <c r="E172" s="21"/>
      <c r="F172" s="21"/>
      <c r="K172" s="22"/>
      <c r="L172" s="22"/>
    </row>
    <row r="173" spans="1:12" s="8" customFormat="1">
      <c r="A173" s="21"/>
      <c r="B173" s="21"/>
      <c r="C173" s="21"/>
      <c r="D173" s="21"/>
      <c r="E173" s="21"/>
      <c r="F173" s="21"/>
      <c r="K173" s="22"/>
      <c r="L173" s="22"/>
    </row>
    <row r="174" spans="1:12" s="8" customFormat="1">
      <c r="A174" s="21"/>
      <c r="B174" s="21"/>
      <c r="C174" s="21"/>
      <c r="D174" s="21"/>
      <c r="E174" s="21"/>
      <c r="F174" s="21"/>
      <c r="K174" s="22"/>
      <c r="L174" s="22"/>
    </row>
    <row r="175" spans="1:12" s="8" customFormat="1">
      <c r="A175" s="21"/>
      <c r="B175" s="21"/>
      <c r="C175" s="21"/>
      <c r="D175" s="21"/>
      <c r="E175" s="21"/>
      <c r="F175" s="21"/>
      <c r="K175" s="22"/>
      <c r="L175" s="22"/>
    </row>
    <row r="176" spans="1:12" s="8" customFormat="1">
      <c r="A176" s="21"/>
      <c r="B176" s="21"/>
      <c r="C176" s="21"/>
      <c r="D176" s="21"/>
      <c r="E176" s="21"/>
      <c r="F176" s="21"/>
      <c r="K176" s="22"/>
      <c r="L176" s="22"/>
    </row>
    <row r="177" spans="1:12" s="8" customFormat="1">
      <c r="A177" s="109"/>
      <c r="B177" s="24"/>
      <c r="C177" s="24"/>
      <c r="D177" s="24"/>
      <c r="E177" s="24"/>
      <c r="F177" s="24"/>
    </row>
    <row r="178" spans="1:12" s="8" customFormat="1">
      <c r="A178" s="109"/>
      <c r="B178" s="24"/>
      <c r="C178" s="24"/>
      <c r="D178" s="24"/>
      <c r="E178" s="24"/>
      <c r="F178" s="24"/>
    </row>
    <row r="179" spans="1:12" s="8" customFormat="1">
      <c r="A179" s="21"/>
      <c r="B179" s="21"/>
      <c r="C179" s="21"/>
      <c r="D179" s="21"/>
      <c r="E179" s="21"/>
      <c r="F179" s="21"/>
      <c r="K179" s="22"/>
      <c r="L179" s="22"/>
    </row>
    <row r="180" spans="1:12" s="8" customFormat="1">
      <c r="A180" s="21"/>
      <c r="B180" s="21"/>
      <c r="C180" s="21"/>
      <c r="D180" s="21"/>
      <c r="E180" s="21"/>
      <c r="F180" s="21"/>
      <c r="K180" s="22"/>
      <c r="L180" s="22"/>
    </row>
    <row r="181" spans="1:12" s="8" customFormat="1">
      <c r="A181" s="21"/>
      <c r="B181" s="21"/>
      <c r="C181" s="21"/>
      <c r="D181" s="21"/>
      <c r="E181" s="21"/>
      <c r="F181" s="21"/>
      <c r="K181" s="22"/>
      <c r="L181" s="22"/>
    </row>
    <row r="182" spans="1:12" s="8" customFormat="1">
      <c r="A182" s="21"/>
      <c r="B182" s="21"/>
      <c r="C182" s="21"/>
      <c r="D182" s="21"/>
      <c r="E182" s="21"/>
      <c r="F182" s="21"/>
      <c r="K182" s="22"/>
      <c r="L182" s="22"/>
    </row>
    <row r="183" spans="1:12" s="8" customFormat="1">
      <c r="A183" s="21"/>
      <c r="B183" s="21"/>
      <c r="C183" s="21"/>
      <c r="D183" s="21"/>
      <c r="E183" s="21"/>
      <c r="F183" s="21"/>
      <c r="K183" s="22"/>
      <c r="L183" s="22"/>
    </row>
    <row r="184" spans="1:12" s="8" customFormat="1">
      <c r="A184" s="109"/>
      <c r="B184" s="24"/>
      <c r="C184" s="24"/>
      <c r="D184" s="24"/>
      <c r="E184" s="24"/>
      <c r="F184" s="24"/>
    </row>
    <row r="185" spans="1:12" s="8" customFormat="1">
      <c r="A185" s="109"/>
      <c r="B185" s="24"/>
      <c r="C185" s="24"/>
      <c r="D185" s="24"/>
      <c r="E185" s="24"/>
      <c r="F185" s="24"/>
    </row>
    <row r="186" spans="1:12" s="8" customFormat="1">
      <c r="A186" s="21"/>
      <c r="B186" s="21"/>
      <c r="C186" s="21"/>
      <c r="D186" s="21"/>
      <c r="E186" s="21"/>
      <c r="F186" s="21"/>
      <c r="K186" s="22"/>
      <c r="L186" s="22"/>
    </row>
    <row r="187" spans="1:12" s="8" customFormat="1">
      <c r="A187" s="21"/>
      <c r="B187" s="21"/>
      <c r="C187" s="21"/>
      <c r="D187" s="21"/>
      <c r="E187" s="21"/>
      <c r="F187" s="21"/>
      <c r="K187" s="22"/>
      <c r="L187" s="22"/>
    </row>
    <row r="188" spans="1:12" s="8" customFormat="1">
      <c r="A188" s="21"/>
      <c r="B188" s="21"/>
      <c r="C188" s="21"/>
      <c r="D188" s="21"/>
      <c r="E188" s="21"/>
      <c r="F188" s="21"/>
      <c r="K188" s="22"/>
      <c r="L188" s="22"/>
    </row>
    <row r="189" spans="1:12" s="8" customFormat="1">
      <c r="A189" s="109"/>
      <c r="B189" s="24"/>
      <c r="C189" s="24"/>
      <c r="D189" s="24"/>
      <c r="E189" s="24"/>
      <c r="F189" s="24"/>
    </row>
    <row r="190" spans="1:12" s="8" customFormat="1">
      <c r="A190" s="109"/>
      <c r="B190" s="24"/>
      <c r="C190" s="24"/>
      <c r="D190" s="24"/>
      <c r="E190" s="24"/>
      <c r="F190" s="24"/>
    </row>
    <row r="191" spans="1:12" s="8" customFormat="1">
      <c r="A191" s="21"/>
      <c r="B191" s="21"/>
      <c r="C191" s="21"/>
      <c r="D191" s="21"/>
      <c r="E191" s="21"/>
      <c r="F191" s="21"/>
      <c r="K191" s="22"/>
      <c r="L191" s="22"/>
    </row>
    <row r="192" spans="1:12" s="8" customFormat="1">
      <c r="A192" s="21"/>
      <c r="B192" s="21"/>
      <c r="C192" s="21"/>
      <c r="D192" s="21"/>
      <c r="E192" s="21"/>
      <c r="F192" s="21"/>
      <c r="K192" s="22"/>
      <c r="L192" s="22"/>
    </row>
    <row r="193" spans="1:12" s="8" customFormat="1">
      <c r="A193" s="21"/>
      <c r="B193" s="21"/>
      <c r="C193" s="21"/>
      <c r="D193" s="21"/>
      <c r="E193" s="21"/>
      <c r="F193" s="21"/>
      <c r="K193" s="22"/>
      <c r="L193" s="22"/>
    </row>
    <row r="194" spans="1:12" s="8" customFormat="1">
      <c r="A194" s="21"/>
      <c r="B194" s="21"/>
      <c r="C194" s="21"/>
      <c r="D194" s="21"/>
      <c r="E194" s="21"/>
      <c r="F194" s="21"/>
      <c r="K194" s="22"/>
      <c r="L194" s="22"/>
    </row>
    <row r="195" spans="1:12" s="8" customFormat="1">
      <c r="A195" s="21"/>
      <c r="B195" s="21"/>
      <c r="C195" s="21"/>
      <c r="D195" s="21"/>
      <c r="E195" s="21"/>
      <c r="F195" s="21"/>
      <c r="K195" s="22"/>
      <c r="L195" s="22"/>
    </row>
    <row r="196" spans="1:12" s="8" customFormat="1">
      <c r="A196" s="109"/>
      <c r="B196" s="24"/>
      <c r="C196" s="24"/>
      <c r="D196" s="24"/>
      <c r="E196" s="24"/>
      <c r="F196" s="24"/>
    </row>
    <row r="197" spans="1:12" s="8" customFormat="1">
      <c r="A197" s="109"/>
      <c r="B197" s="24"/>
      <c r="C197" s="24"/>
      <c r="D197" s="24"/>
      <c r="E197" s="24"/>
      <c r="F197" s="24"/>
    </row>
    <row r="198" spans="1:12" s="8" customFormat="1">
      <c r="A198" s="21"/>
      <c r="B198" s="21"/>
      <c r="C198" s="21"/>
      <c r="D198" s="21"/>
      <c r="E198" s="21"/>
      <c r="F198" s="21"/>
      <c r="K198" s="22"/>
      <c r="L198" s="22"/>
    </row>
    <row r="199" spans="1:12" s="8" customFormat="1">
      <c r="A199" s="21"/>
      <c r="B199" s="21"/>
      <c r="C199" s="21"/>
      <c r="D199" s="21"/>
      <c r="E199" s="21"/>
      <c r="F199" s="21"/>
      <c r="K199" s="22"/>
      <c r="L199" s="22"/>
    </row>
    <row r="200" spans="1:12" s="8" customFormat="1">
      <c r="A200" s="21"/>
      <c r="B200" s="21"/>
      <c r="C200" s="21"/>
      <c r="D200" s="21"/>
      <c r="E200" s="21"/>
      <c r="F200" s="21"/>
      <c r="K200" s="22"/>
      <c r="L200" s="22"/>
    </row>
    <row r="201" spans="1:12" s="8" customFormat="1">
      <c r="A201" s="21"/>
      <c r="B201" s="21"/>
      <c r="C201" s="21"/>
      <c r="D201" s="21"/>
      <c r="E201" s="21"/>
      <c r="F201" s="21"/>
      <c r="K201" s="22"/>
      <c r="L201" s="22"/>
    </row>
    <row r="202" spans="1:12" s="8" customFormat="1">
      <c r="A202" s="21"/>
      <c r="B202" s="21"/>
      <c r="C202" s="21"/>
      <c r="D202" s="21"/>
      <c r="E202" s="21"/>
      <c r="F202" s="21"/>
      <c r="K202" s="22"/>
      <c r="L202" s="22"/>
    </row>
    <row r="203" spans="1:12" s="8" customFormat="1">
      <c r="A203" s="21"/>
      <c r="B203" s="21"/>
      <c r="C203" s="21"/>
      <c r="D203" s="21"/>
      <c r="E203" s="21"/>
      <c r="F203" s="21"/>
      <c r="K203" s="22"/>
      <c r="L203" s="22"/>
    </row>
    <row r="204" spans="1:12" s="8" customFormat="1">
      <c r="A204" s="21"/>
      <c r="B204" s="21"/>
      <c r="C204" s="21"/>
      <c r="D204" s="21"/>
      <c r="E204" s="21"/>
      <c r="F204" s="21"/>
      <c r="K204" s="22"/>
      <c r="L204" s="22"/>
    </row>
    <row r="205" spans="1:12" s="8" customFormat="1">
      <c r="A205" s="21"/>
      <c r="B205" s="21"/>
      <c r="C205" s="21"/>
      <c r="D205" s="21"/>
      <c r="E205" s="21"/>
      <c r="F205" s="21"/>
      <c r="K205" s="22"/>
      <c r="L205" s="22"/>
    </row>
    <row r="206" spans="1:12" s="8" customFormat="1">
      <c r="A206" s="109"/>
      <c r="B206" s="24"/>
      <c r="C206" s="24"/>
      <c r="D206" s="24"/>
      <c r="E206" s="24"/>
      <c r="F206" s="24"/>
    </row>
    <row r="207" spans="1:12" s="8" customFormat="1">
      <c r="A207" s="109"/>
      <c r="B207" s="24"/>
      <c r="C207" s="24"/>
      <c r="D207" s="24"/>
      <c r="E207" s="24"/>
      <c r="F207" s="24"/>
    </row>
    <row r="208" spans="1:12" s="8" customFormat="1">
      <c r="A208" s="21"/>
      <c r="B208" s="21"/>
      <c r="C208" s="21"/>
      <c r="D208" s="21"/>
      <c r="E208" s="21"/>
      <c r="F208" s="21"/>
      <c r="K208" s="22"/>
      <c r="L208" s="22"/>
    </row>
    <row r="209" spans="1:12" s="8" customFormat="1">
      <c r="A209" s="21"/>
      <c r="B209" s="21"/>
      <c r="C209" s="21"/>
      <c r="D209" s="21"/>
      <c r="E209" s="21"/>
      <c r="F209" s="21"/>
      <c r="K209" s="22"/>
      <c r="L209" s="22"/>
    </row>
    <row r="210" spans="1:12" s="8" customFormat="1">
      <c r="A210" s="21"/>
      <c r="B210" s="21"/>
      <c r="C210" s="21"/>
      <c r="D210" s="21"/>
      <c r="E210" s="21"/>
      <c r="F210" s="21"/>
      <c r="K210" s="22"/>
      <c r="L210" s="22"/>
    </row>
    <row r="211" spans="1:12" s="8" customFormat="1">
      <c r="A211" s="21"/>
      <c r="B211" s="21"/>
      <c r="C211" s="21"/>
      <c r="D211" s="21"/>
      <c r="E211" s="21"/>
      <c r="F211" s="21"/>
      <c r="K211" s="22"/>
      <c r="L211" s="22"/>
    </row>
    <row r="212" spans="1:12" s="8" customFormat="1">
      <c r="A212" s="21"/>
      <c r="B212" s="21"/>
      <c r="C212" s="21"/>
      <c r="D212" s="21"/>
      <c r="E212" s="21"/>
      <c r="F212" s="21"/>
      <c r="K212" s="22"/>
      <c r="L212" s="22"/>
    </row>
    <row r="213" spans="1:12" s="8" customFormat="1">
      <c r="A213" s="109"/>
      <c r="B213" s="24"/>
      <c r="C213" s="24"/>
      <c r="D213" s="24"/>
      <c r="E213" s="24"/>
      <c r="F213" s="24"/>
    </row>
    <row r="214" spans="1:12" s="8" customFormat="1">
      <c r="A214" s="109"/>
      <c r="B214" s="24"/>
      <c r="C214" s="24"/>
      <c r="D214" s="24"/>
      <c r="E214" s="24"/>
      <c r="F214" s="24"/>
    </row>
    <row r="215" spans="1:12" s="8" customFormat="1">
      <c r="A215" s="21"/>
      <c r="B215" s="21"/>
      <c r="C215" s="21"/>
      <c r="D215" s="21"/>
      <c r="E215" s="21"/>
      <c r="F215" s="21"/>
      <c r="K215" s="22"/>
      <c r="L215" s="22"/>
    </row>
    <row r="216" spans="1:12" s="8" customFormat="1">
      <c r="A216" s="21"/>
      <c r="B216" s="21"/>
      <c r="C216" s="21"/>
      <c r="D216" s="21"/>
      <c r="E216" s="21"/>
      <c r="F216" s="21"/>
      <c r="K216" s="22"/>
      <c r="L216" s="22"/>
    </row>
    <row r="217" spans="1:12" s="8" customFormat="1">
      <c r="A217" s="21"/>
      <c r="B217" s="21"/>
      <c r="C217" s="21"/>
      <c r="D217" s="21"/>
      <c r="E217" s="21"/>
      <c r="F217" s="21"/>
      <c r="K217" s="22"/>
      <c r="L217" s="22"/>
    </row>
    <row r="218" spans="1:12" s="8" customFormat="1">
      <c r="A218" s="21"/>
      <c r="B218" s="21"/>
      <c r="C218" s="21"/>
      <c r="D218" s="21"/>
      <c r="E218" s="21"/>
      <c r="F218" s="21"/>
      <c r="K218" s="22"/>
      <c r="L218" s="22"/>
    </row>
    <row r="219" spans="1:12" s="8" customFormat="1">
      <c r="A219" s="21"/>
      <c r="B219" s="21"/>
      <c r="C219" s="21"/>
      <c r="D219" s="21"/>
      <c r="E219" s="21"/>
      <c r="F219" s="21"/>
      <c r="K219" s="22"/>
      <c r="L219" s="22"/>
    </row>
    <row r="220" spans="1:12" s="8" customFormat="1">
      <c r="A220" s="21"/>
      <c r="B220" s="21"/>
      <c r="C220" s="21"/>
      <c r="D220" s="21"/>
      <c r="E220" s="21"/>
      <c r="F220" s="21"/>
      <c r="K220" s="22"/>
      <c r="L220" s="22"/>
    </row>
    <row r="221" spans="1:12" s="8" customFormat="1">
      <c r="A221" s="21"/>
      <c r="B221" s="21"/>
      <c r="C221" s="21"/>
      <c r="D221" s="21"/>
      <c r="E221" s="21"/>
      <c r="F221" s="21"/>
      <c r="K221" s="22"/>
      <c r="L221" s="22"/>
    </row>
    <row r="222" spans="1:12" s="8" customFormat="1">
      <c r="A222" s="21"/>
      <c r="B222" s="21"/>
      <c r="C222" s="21"/>
      <c r="D222" s="21"/>
      <c r="E222" s="21"/>
      <c r="F222" s="21"/>
      <c r="K222" s="22"/>
      <c r="L222" s="22"/>
    </row>
    <row r="223" spans="1:12" s="8" customFormat="1">
      <c r="A223" s="21"/>
      <c r="B223" s="21"/>
      <c r="C223" s="21"/>
      <c r="D223" s="21"/>
      <c r="E223" s="21"/>
      <c r="F223" s="21"/>
      <c r="K223" s="22"/>
      <c r="L223" s="22"/>
    </row>
    <row r="224" spans="1:12" s="8" customFormat="1">
      <c r="A224" s="21"/>
      <c r="B224" s="21"/>
      <c r="C224" s="21"/>
      <c r="D224" s="21"/>
      <c r="E224" s="21"/>
      <c r="F224" s="21"/>
      <c r="K224" s="22"/>
      <c r="L224" s="22"/>
    </row>
    <row r="225" spans="1:12" s="8" customFormat="1">
      <c r="A225" s="21"/>
      <c r="B225" s="21"/>
      <c r="C225" s="21"/>
      <c r="D225" s="21"/>
      <c r="E225" s="21"/>
      <c r="F225" s="21"/>
      <c r="K225" s="22"/>
      <c r="L225" s="22"/>
    </row>
    <row r="226" spans="1:12" s="8" customFormat="1">
      <c r="A226" s="21"/>
      <c r="B226" s="21"/>
      <c r="C226" s="21"/>
      <c r="D226" s="21"/>
      <c r="E226" s="21"/>
      <c r="F226" s="21"/>
      <c r="K226" s="22"/>
      <c r="L226" s="22"/>
    </row>
    <row r="227" spans="1:12" s="8" customFormat="1">
      <c r="A227" s="21"/>
      <c r="B227" s="21"/>
      <c r="C227" s="21"/>
      <c r="D227" s="21"/>
      <c r="E227" s="21"/>
      <c r="F227" s="21"/>
      <c r="K227" s="22"/>
      <c r="L227" s="22"/>
    </row>
    <row r="228" spans="1:12" s="8" customFormat="1">
      <c r="A228" s="109"/>
      <c r="B228" s="24"/>
      <c r="C228" s="24"/>
      <c r="D228" s="24"/>
      <c r="E228" s="24"/>
      <c r="F228" s="24"/>
    </row>
    <row r="229" spans="1:12" s="8" customFormat="1">
      <c r="A229" s="109"/>
      <c r="B229" s="24"/>
      <c r="C229" s="24"/>
      <c r="D229" s="24"/>
      <c r="E229" s="24"/>
      <c r="F229" s="24"/>
    </row>
    <row r="230" spans="1:12" s="8" customFormat="1">
      <c r="A230" s="21"/>
      <c r="B230" s="21"/>
      <c r="C230" s="21"/>
      <c r="D230" s="21"/>
      <c r="E230" s="21"/>
      <c r="F230" s="21"/>
      <c r="K230" s="22"/>
      <c r="L230" s="22"/>
    </row>
    <row r="231" spans="1:12" s="8" customFormat="1">
      <c r="A231" s="21"/>
      <c r="B231" s="21"/>
      <c r="C231" s="21"/>
      <c r="D231" s="21"/>
      <c r="E231" s="21"/>
      <c r="F231" s="21"/>
      <c r="K231" s="22"/>
      <c r="L231" s="22"/>
    </row>
    <row r="232" spans="1:12" s="8" customFormat="1">
      <c r="A232" s="21"/>
      <c r="B232" s="21"/>
      <c r="C232" s="21"/>
      <c r="D232" s="21"/>
      <c r="E232" s="21"/>
      <c r="F232" s="21"/>
      <c r="K232" s="22"/>
      <c r="L232" s="22"/>
    </row>
    <row r="233" spans="1:12" s="8" customFormat="1">
      <c r="A233" s="21"/>
      <c r="B233" s="21"/>
      <c r="C233" s="21"/>
      <c r="D233" s="21"/>
      <c r="E233" s="21"/>
      <c r="F233" s="21"/>
      <c r="K233" s="22"/>
      <c r="L233" s="22"/>
    </row>
    <row r="234" spans="1:12" s="8" customFormat="1">
      <c r="A234" s="21"/>
      <c r="B234" s="21"/>
      <c r="C234" s="21"/>
      <c r="D234" s="21"/>
      <c r="E234" s="21"/>
      <c r="F234" s="21"/>
    </row>
    <row r="235" spans="1:12">
      <c r="A235" s="23"/>
      <c r="B235" s="23"/>
      <c r="C235" s="23"/>
      <c r="D235" s="23"/>
      <c r="E235" s="23"/>
      <c r="F235" s="23"/>
    </row>
  </sheetData>
  <mergeCells count="251">
    <mergeCell ref="A9:A10"/>
    <mergeCell ref="B39:B40"/>
    <mergeCell ref="C39:C40"/>
    <mergeCell ref="N19:N20"/>
    <mergeCell ref="B19:B20"/>
    <mergeCell ref="B33:B34"/>
    <mergeCell ref="C33:C34"/>
    <mergeCell ref="D33:D34"/>
    <mergeCell ref="E33:E34"/>
    <mergeCell ref="E9:E10"/>
    <mergeCell ref="D9:D10"/>
    <mergeCell ref="C9:C10"/>
    <mergeCell ref="E11:E12"/>
    <mergeCell ref="B89:B90"/>
    <mergeCell ref="C89:C90"/>
    <mergeCell ref="D89:D90"/>
    <mergeCell ref="E89:E90"/>
    <mergeCell ref="F89:F90"/>
    <mergeCell ref="B46:B47"/>
    <mergeCell ref="C46:C47"/>
    <mergeCell ref="D46:D47"/>
    <mergeCell ref="M19:M20"/>
    <mergeCell ref="A206:A207"/>
    <mergeCell ref="B104:B105"/>
    <mergeCell ref="C104:C105"/>
    <mergeCell ref="D104:D105"/>
    <mergeCell ref="E104:E105"/>
    <mergeCell ref="A213:A214"/>
    <mergeCell ref="A228:A229"/>
    <mergeCell ref="A184:A185"/>
    <mergeCell ref="A189:A190"/>
    <mergeCell ref="A196:A197"/>
    <mergeCell ref="A170:A171"/>
    <mergeCell ref="A177:A178"/>
    <mergeCell ref="A157:A158"/>
    <mergeCell ref="A163:A164"/>
    <mergeCell ref="K129:L131"/>
    <mergeCell ref="M129:N131"/>
    <mergeCell ref="G131:H131"/>
    <mergeCell ref="I131:J131"/>
    <mergeCell ref="M65:M66"/>
    <mergeCell ref="N65:N66"/>
    <mergeCell ref="M46:M47"/>
    <mergeCell ref="N46:N47"/>
    <mergeCell ref="N53:N54"/>
    <mergeCell ref="A125:K127"/>
    <mergeCell ref="L125:N127"/>
    <mergeCell ref="K128:N128"/>
    <mergeCell ref="A129:A132"/>
    <mergeCell ref="G129:J130"/>
    <mergeCell ref="A82:A83"/>
    <mergeCell ref="H104:H105"/>
    <mergeCell ref="I104:I105"/>
    <mergeCell ref="N72:N73"/>
    <mergeCell ref="L89:L90"/>
    <mergeCell ref="K82:K83"/>
    <mergeCell ref="L82:L83"/>
    <mergeCell ref="I89:I90"/>
    <mergeCell ref="J89:J90"/>
    <mergeCell ref="K89:K90"/>
    <mergeCell ref="L135:L137"/>
    <mergeCell ref="M135:M137"/>
    <mergeCell ref="A144:A145"/>
    <mergeCell ref="K135:K137"/>
    <mergeCell ref="G135:G137"/>
    <mergeCell ref="H135:H137"/>
    <mergeCell ref="I135:I137"/>
    <mergeCell ref="J135:J137"/>
    <mergeCell ref="N135:N137"/>
    <mergeCell ref="A135:A137"/>
    <mergeCell ref="A11:A12"/>
    <mergeCell ref="E19:E20"/>
    <mergeCell ref="B72:B73"/>
    <mergeCell ref="C72:C73"/>
    <mergeCell ref="D72:D73"/>
    <mergeCell ref="E72:E73"/>
    <mergeCell ref="B65:B66"/>
    <mergeCell ref="C65:C66"/>
    <mergeCell ref="D65:D66"/>
    <mergeCell ref="E65:E66"/>
    <mergeCell ref="D11:D12"/>
    <mergeCell ref="A72:A73"/>
    <mergeCell ref="A65:A66"/>
    <mergeCell ref="A60:A61"/>
    <mergeCell ref="B60:B61"/>
    <mergeCell ref="C60:C61"/>
    <mergeCell ref="D60:D61"/>
    <mergeCell ref="E60:E61"/>
    <mergeCell ref="A33:A34"/>
    <mergeCell ref="D19:D20"/>
    <mergeCell ref="C19:C20"/>
    <mergeCell ref="A19:A20"/>
    <mergeCell ref="P110:Q110"/>
    <mergeCell ref="A114:J114"/>
    <mergeCell ref="O114:Q114"/>
    <mergeCell ref="F104:F105"/>
    <mergeCell ref="A104:A105"/>
    <mergeCell ref="G104:G105"/>
    <mergeCell ref="A115:J115"/>
    <mergeCell ref="O115:Q115"/>
    <mergeCell ref="F6:F8"/>
    <mergeCell ref="F33:F34"/>
    <mergeCell ref="F9:F10"/>
    <mergeCell ref="F65:F66"/>
    <mergeCell ref="F72:F73"/>
    <mergeCell ref="B6:E6"/>
    <mergeCell ref="B7:B8"/>
    <mergeCell ref="C7:C8"/>
    <mergeCell ref="C11:C12"/>
    <mergeCell ref="B11:B12"/>
    <mergeCell ref="D7:D8"/>
    <mergeCell ref="E7:E8"/>
    <mergeCell ref="B9:B10"/>
    <mergeCell ref="E46:E47"/>
    <mergeCell ref="F46:F47"/>
    <mergeCell ref="B53:B54"/>
    <mergeCell ref="O82:Q83"/>
    <mergeCell ref="A89:A90"/>
    <mergeCell ref="G89:G90"/>
    <mergeCell ref="K104:K105"/>
    <mergeCell ref="L104:L105"/>
    <mergeCell ref="M104:M105"/>
    <mergeCell ref="J104:J105"/>
    <mergeCell ref="O104:Q105"/>
    <mergeCell ref="N104:N105"/>
    <mergeCell ref="M89:M90"/>
    <mergeCell ref="N89:N90"/>
    <mergeCell ref="O89:Q90"/>
    <mergeCell ref="H89:H90"/>
    <mergeCell ref="B82:B83"/>
    <mergeCell ref="C82:C83"/>
    <mergeCell ref="G82:G83"/>
    <mergeCell ref="H82:H83"/>
    <mergeCell ref="I82:I83"/>
    <mergeCell ref="J82:J83"/>
    <mergeCell ref="D82:D83"/>
    <mergeCell ref="E82:E83"/>
    <mergeCell ref="F82:F83"/>
    <mergeCell ref="M82:M83"/>
    <mergeCell ref="N82:N83"/>
    <mergeCell ref="G72:G73"/>
    <mergeCell ref="H72:H73"/>
    <mergeCell ref="I72:I73"/>
    <mergeCell ref="J72:J73"/>
    <mergeCell ref="O72:Q73"/>
    <mergeCell ref="K72:K73"/>
    <mergeCell ref="L72:L73"/>
    <mergeCell ref="M72:M73"/>
    <mergeCell ref="O60:Q61"/>
    <mergeCell ref="G65:G66"/>
    <mergeCell ref="H65:H66"/>
    <mergeCell ref="I65:I66"/>
    <mergeCell ref="J65:J66"/>
    <mergeCell ref="K65:K66"/>
    <mergeCell ref="L65:L66"/>
    <mergeCell ref="G60:G61"/>
    <mergeCell ref="O65:Q66"/>
    <mergeCell ref="L60:L61"/>
    <mergeCell ref="M60:M61"/>
    <mergeCell ref="N60:N61"/>
    <mergeCell ref="F60:F61"/>
    <mergeCell ref="H60:H61"/>
    <mergeCell ref="I60:I61"/>
    <mergeCell ref="J60:J61"/>
    <mergeCell ref="K60:K61"/>
    <mergeCell ref="O46:Q47"/>
    <mergeCell ref="A53:A54"/>
    <mergeCell ref="G53:G54"/>
    <mergeCell ref="H53:H54"/>
    <mergeCell ref="I53:I54"/>
    <mergeCell ref="J53:J54"/>
    <mergeCell ref="O53:Q54"/>
    <mergeCell ref="K53:K54"/>
    <mergeCell ref="L53:L54"/>
    <mergeCell ref="M53:M54"/>
    <mergeCell ref="C53:C54"/>
    <mergeCell ref="D53:D54"/>
    <mergeCell ref="E53:E54"/>
    <mergeCell ref="F53:F54"/>
    <mergeCell ref="A46:A47"/>
    <mergeCell ref="G46:G47"/>
    <mergeCell ref="H46:H47"/>
    <mergeCell ref="I46:I47"/>
    <mergeCell ref="J46:J47"/>
    <mergeCell ref="K46:K47"/>
    <mergeCell ref="L46:L47"/>
    <mergeCell ref="A39:A40"/>
    <mergeCell ref="G39:G40"/>
    <mergeCell ref="L39:L40"/>
    <mergeCell ref="M39:M40"/>
    <mergeCell ref="N39:N40"/>
    <mergeCell ref="F39:F40"/>
    <mergeCell ref="H39:H40"/>
    <mergeCell ref="I39:I40"/>
    <mergeCell ref="J39:J40"/>
    <mergeCell ref="K39:K40"/>
    <mergeCell ref="D39:D40"/>
    <mergeCell ref="E39:E40"/>
    <mergeCell ref="O39:Q40"/>
    <mergeCell ref="G19:G20"/>
    <mergeCell ref="H19:H20"/>
    <mergeCell ref="I19:I20"/>
    <mergeCell ref="J19:J20"/>
    <mergeCell ref="K19:K20"/>
    <mergeCell ref="F19:F20"/>
    <mergeCell ref="G11:G12"/>
    <mergeCell ref="O19:Q20"/>
    <mergeCell ref="G33:G34"/>
    <mergeCell ref="H33:H34"/>
    <mergeCell ref="I33:I34"/>
    <mergeCell ref="J33:J34"/>
    <mergeCell ref="O33:Q34"/>
    <mergeCell ref="K33:K34"/>
    <mergeCell ref="L33:L34"/>
    <mergeCell ref="M33:M34"/>
    <mergeCell ref="N33:N34"/>
    <mergeCell ref="O11:Q12"/>
    <mergeCell ref="L19:L20"/>
    <mergeCell ref="N11:N12"/>
    <mergeCell ref="L11:L12"/>
    <mergeCell ref="M11:M12"/>
    <mergeCell ref="F11:F12"/>
    <mergeCell ref="H11:H12"/>
    <mergeCell ref="I11:I12"/>
    <mergeCell ref="J11:J12"/>
    <mergeCell ref="K11:K12"/>
    <mergeCell ref="G9:G10"/>
    <mergeCell ref="H9:H10"/>
    <mergeCell ref="I9:I10"/>
    <mergeCell ref="J9:J10"/>
    <mergeCell ref="L5:N5"/>
    <mergeCell ref="A6:A8"/>
    <mergeCell ref="O6:Q8"/>
    <mergeCell ref="G6:J6"/>
    <mergeCell ref="K6:N6"/>
    <mergeCell ref="G7:G8"/>
    <mergeCell ref="H7:H8"/>
    <mergeCell ref="I7:I8"/>
    <mergeCell ref="J7:J8"/>
    <mergeCell ref="K7:K8"/>
    <mergeCell ref="L7:L8"/>
    <mergeCell ref="O9:Q10"/>
    <mergeCell ref="K9:K10"/>
    <mergeCell ref="L9:L10"/>
    <mergeCell ref="M9:M10"/>
    <mergeCell ref="N9:N10"/>
    <mergeCell ref="M7:M8"/>
    <mergeCell ref="N7:N8"/>
    <mergeCell ref="B2:L2"/>
    <mergeCell ref="B3:L3"/>
    <mergeCell ref="P5:Q5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G13:G18 H11:J12 L11:N12 G21:G27 H19:J20 G29:G32 H28:J28 G35:G38 H33:J34 G41:G45 H39:J40 G48:G52 H46:J47 G55:G59 H53:J54 G62:G64 H60:J61 G67:G71 H65:J66 G74:G81 H72:J73 G84:G88 H82:J83 G91:G103 H89:J90 G106:G109 H104:J105 L19:N20 L28:N28 L33:N34 L39:N40 L46:N47 L53:N54 L60:N61 L65:N66 L72:N73 L82:N83 L89:N90 L104:N105 B28" formula="1"/>
    <ignoredError sqref="B24:B27 B29:B32 C28:F28 B35:B38 C33:F34 B41:B45 C39:F40 B48:B52 C46:F47 B55:B59 C53:F54 B62:B64 C60:F61 B67:B71 C65:F66 B74:B81 C72:F73 B84:B88 C82:F83 B91:B103 C89:F90 B106:B109 C104:F105 B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2017-02-21T10:33:46Z</dcterms:modified>
</cp:coreProperties>
</file>