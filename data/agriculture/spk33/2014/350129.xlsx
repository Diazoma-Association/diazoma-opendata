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16" i="1"/>
  <c r="I75" l="1"/>
  <c r="N42"/>
  <c r="M36"/>
  <c r="D31"/>
  <c r="D22"/>
  <c r="M14"/>
  <c r="D14"/>
  <c r="C16"/>
  <c r="D68"/>
  <c r="E68"/>
  <c r="F68"/>
  <c r="G68"/>
  <c r="C112"/>
  <c r="C111"/>
  <c r="C110"/>
  <c r="C109"/>
  <c r="C107" s="1"/>
  <c r="C106"/>
  <c r="C105"/>
  <c r="C104"/>
  <c r="C103"/>
  <c r="C102"/>
  <c r="C101"/>
  <c r="C100"/>
  <c r="C99"/>
  <c r="C98"/>
  <c r="C97"/>
  <c r="C96"/>
  <c r="C95"/>
  <c r="C92" s="1"/>
  <c r="C94"/>
  <c r="C91"/>
  <c r="C90"/>
  <c r="C89"/>
  <c r="C88"/>
  <c r="C87"/>
  <c r="C85" s="1"/>
  <c r="C84"/>
  <c r="C83"/>
  <c r="C82"/>
  <c r="C81"/>
  <c r="C80"/>
  <c r="C79"/>
  <c r="C78"/>
  <c r="C77"/>
  <c r="C75" s="1"/>
  <c r="C74"/>
  <c r="C73"/>
  <c r="C72"/>
  <c r="C71"/>
  <c r="C70"/>
  <c r="C68" s="1"/>
  <c r="C67"/>
  <c r="C66"/>
  <c r="C65"/>
  <c r="C62"/>
  <c r="C61"/>
  <c r="C60"/>
  <c r="C59"/>
  <c r="C56" s="1"/>
  <c r="C58"/>
  <c r="C55"/>
  <c r="C54"/>
  <c r="C53"/>
  <c r="C52"/>
  <c r="C51"/>
  <c r="C49" s="1"/>
  <c r="C48"/>
  <c r="C47"/>
  <c r="C46"/>
  <c r="C45"/>
  <c r="C42" s="1"/>
  <c r="C44"/>
  <c r="C41"/>
  <c r="C40"/>
  <c r="C39"/>
  <c r="C38"/>
  <c r="C36" s="1"/>
  <c r="C35"/>
  <c r="C34"/>
  <c r="C33"/>
  <c r="C32"/>
  <c r="C30"/>
  <c r="C29"/>
  <c r="C28"/>
  <c r="C27"/>
  <c r="C26"/>
  <c r="C25"/>
  <c r="C24"/>
  <c r="C22" s="1"/>
  <c r="C21"/>
  <c r="C20"/>
  <c r="C19"/>
  <c r="C18"/>
  <c r="C17"/>
  <c r="O107"/>
  <c r="N107"/>
  <c r="M107"/>
  <c r="K107"/>
  <c r="J107"/>
  <c r="I107"/>
  <c r="O92"/>
  <c r="N92"/>
  <c r="M92"/>
  <c r="K92"/>
  <c r="J92"/>
  <c r="I92"/>
  <c r="O85"/>
  <c r="N85"/>
  <c r="M85"/>
  <c r="K85"/>
  <c r="J85"/>
  <c r="I85"/>
  <c r="O75"/>
  <c r="N75"/>
  <c r="M75"/>
  <c r="K75"/>
  <c r="J75"/>
  <c r="O68"/>
  <c r="N68"/>
  <c r="M68"/>
  <c r="K68"/>
  <c r="J68"/>
  <c r="I68"/>
  <c r="O63"/>
  <c r="N63"/>
  <c r="M63"/>
  <c r="K63"/>
  <c r="J63"/>
  <c r="I63"/>
  <c r="O56"/>
  <c r="N56"/>
  <c r="M56"/>
  <c r="K56"/>
  <c r="J56"/>
  <c r="I56"/>
  <c r="O49"/>
  <c r="N49"/>
  <c r="M49"/>
  <c r="K49"/>
  <c r="J49"/>
  <c r="I49"/>
  <c r="O42"/>
  <c r="M42"/>
  <c r="K42"/>
  <c r="J42"/>
  <c r="I42"/>
  <c r="O36"/>
  <c r="N36"/>
  <c r="K36"/>
  <c r="J36"/>
  <c r="I36"/>
  <c r="O31"/>
  <c r="N31"/>
  <c r="M31"/>
  <c r="K31"/>
  <c r="J31"/>
  <c r="I31"/>
  <c r="O22"/>
  <c r="N22"/>
  <c r="M22"/>
  <c r="K22"/>
  <c r="J22"/>
  <c r="I22"/>
  <c r="L112"/>
  <c r="L111"/>
  <c r="L110"/>
  <c r="L109"/>
  <c r="L107" s="1"/>
  <c r="L106"/>
  <c r="L105"/>
  <c r="L104"/>
  <c r="B104" s="1"/>
  <c r="L103"/>
  <c r="L102"/>
  <c r="L101"/>
  <c r="L100"/>
  <c r="B100" s="1"/>
  <c r="L99"/>
  <c r="L98"/>
  <c r="L97"/>
  <c r="L96"/>
  <c r="B96" s="1"/>
  <c r="L95"/>
  <c r="L94"/>
  <c r="L92" s="1"/>
  <c r="L91"/>
  <c r="L90"/>
  <c r="L89"/>
  <c r="L88"/>
  <c r="L87"/>
  <c r="L85" s="1"/>
  <c r="L84"/>
  <c r="L83"/>
  <c r="L82"/>
  <c r="L81"/>
  <c r="L80"/>
  <c r="L79"/>
  <c r="L78"/>
  <c r="L77"/>
  <c r="L75" s="1"/>
  <c r="L74"/>
  <c r="B74" s="1"/>
  <c r="L73"/>
  <c r="L72"/>
  <c r="L71"/>
  <c r="L70"/>
  <c r="B70" s="1"/>
  <c r="L67"/>
  <c r="L66"/>
  <c r="L65"/>
  <c r="L63" s="1"/>
  <c r="L62"/>
  <c r="L61"/>
  <c r="L60"/>
  <c r="L59"/>
  <c r="L58"/>
  <c r="L56" s="1"/>
  <c r="L55"/>
  <c r="L54"/>
  <c r="L53"/>
  <c r="L52"/>
  <c r="L51"/>
  <c r="L48"/>
  <c r="L47"/>
  <c r="L46"/>
  <c r="L45"/>
  <c r="L44"/>
  <c r="L42" s="1"/>
  <c r="L41"/>
  <c r="L40"/>
  <c r="L39"/>
  <c r="L38"/>
  <c r="L36" s="1"/>
  <c r="L35"/>
  <c r="L34"/>
  <c r="L33"/>
  <c r="L32"/>
  <c r="L31" s="1"/>
  <c r="L30"/>
  <c r="L29"/>
  <c r="L28"/>
  <c r="L27"/>
  <c r="L26"/>
  <c r="L25"/>
  <c r="L24"/>
  <c r="L22" s="1"/>
  <c r="L21"/>
  <c r="L20"/>
  <c r="L19"/>
  <c r="L18"/>
  <c r="L17"/>
  <c r="L14" s="1"/>
  <c r="H112"/>
  <c r="H111"/>
  <c r="H110"/>
  <c r="H109"/>
  <c r="H107" s="1"/>
  <c r="H106"/>
  <c r="H105"/>
  <c r="H104"/>
  <c r="H103"/>
  <c r="H102"/>
  <c r="H101"/>
  <c r="H100"/>
  <c r="H99"/>
  <c r="H98"/>
  <c r="H97"/>
  <c r="H96"/>
  <c r="H95"/>
  <c r="H94"/>
  <c r="H92" s="1"/>
  <c r="H91"/>
  <c r="H90"/>
  <c r="H89"/>
  <c r="H88"/>
  <c r="H87"/>
  <c r="H85" s="1"/>
  <c r="H84"/>
  <c r="H83"/>
  <c r="H82"/>
  <c r="H81"/>
  <c r="H80"/>
  <c r="H79"/>
  <c r="H78"/>
  <c r="H77"/>
  <c r="H75" s="1"/>
  <c r="H74"/>
  <c r="H73"/>
  <c r="H72"/>
  <c r="H71"/>
  <c r="H70"/>
  <c r="H68" s="1"/>
  <c r="H67"/>
  <c r="H66"/>
  <c r="H65"/>
  <c r="H63" s="1"/>
  <c r="H62"/>
  <c r="H61"/>
  <c r="H60"/>
  <c r="H59"/>
  <c r="H58"/>
  <c r="H56" s="1"/>
  <c r="H55"/>
  <c r="H54"/>
  <c r="H53"/>
  <c r="H52"/>
  <c r="H51"/>
  <c r="H49" s="1"/>
  <c r="H48"/>
  <c r="H47"/>
  <c r="H46"/>
  <c r="H45"/>
  <c r="H44"/>
  <c r="H42" s="1"/>
  <c r="H41"/>
  <c r="H40"/>
  <c r="H39"/>
  <c r="H38"/>
  <c r="H36" s="1"/>
  <c r="H35"/>
  <c r="H34"/>
  <c r="H33"/>
  <c r="H32"/>
  <c r="H31" s="1"/>
  <c r="H30"/>
  <c r="H29"/>
  <c r="H28"/>
  <c r="H27"/>
  <c r="H26"/>
  <c r="H25"/>
  <c r="H24"/>
  <c r="H22" s="1"/>
  <c r="H21"/>
  <c r="H20"/>
  <c r="H19"/>
  <c r="H18"/>
  <c r="H17"/>
  <c r="H14" s="1"/>
  <c r="J14"/>
  <c r="O14"/>
  <c r="N14"/>
  <c r="K14"/>
  <c r="I14"/>
  <c r="E107"/>
  <c r="F107"/>
  <c r="G107"/>
  <c r="D107"/>
  <c r="E92"/>
  <c r="F92"/>
  <c r="G92"/>
  <c r="D92"/>
  <c r="E85"/>
  <c r="F85"/>
  <c r="D85"/>
  <c r="E75"/>
  <c r="F75"/>
  <c r="G75"/>
  <c r="D75"/>
  <c r="E63"/>
  <c r="F63"/>
  <c r="G63"/>
  <c r="D63"/>
  <c r="E56"/>
  <c r="F56"/>
  <c r="G56"/>
  <c r="D56"/>
  <c r="E49"/>
  <c r="F49"/>
  <c r="G49"/>
  <c r="D49"/>
  <c r="E42"/>
  <c r="F42"/>
  <c r="G42"/>
  <c r="D42"/>
  <c r="G36"/>
  <c r="E36"/>
  <c r="F36"/>
  <c r="D36"/>
  <c r="G14"/>
  <c r="G22"/>
  <c r="G31"/>
  <c r="E31"/>
  <c r="F31"/>
  <c r="E22"/>
  <c r="F22"/>
  <c r="E14"/>
  <c r="F14"/>
  <c r="B109"/>
  <c r="B106"/>
  <c r="B102"/>
  <c r="B98"/>
  <c r="B94"/>
  <c r="B82"/>
  <c r="B72"/>
  <c r="B62"/>
  <c r="B60"/>
  <c r="B58"/>
  <c r="B55"/>
  <c r="B54"/>
  <c r="B53"/>
  <c r="B52"/>
  <c r="B51"/>
  <c r="B48"/>
  <c r="B47"/>
  <c r="B46"/>
  <c r="B45"/>
  <c r="B44"/>
  <c r="B40"/>
  <c r="B38"/>
  <c r="B35"/>
  <c r="B30"/>
  <c r="B26"/>
  <c r="B19"/>
  <c r="L16"/>
  <c r="L49" l="1"/>
  <c r="L68"/>
  <c r="B39"/>
  <c r="B41"/>
  <c r="B36" s="1"/>
  <c r="B28"/>
  <c r="B33"/>
  <c r="B65"/>
  <c r="B111"/>
  <c r="B17"/>
  <c r="B21"/>
  <c r="C31"/>
  <c r="C63"/>
  <c r="B24"/>
  <c r="B42"/>
  <c r="B59"/>
  <c r="B61"/>
  <c r="B71"/>
  <c r="B73"/>
  <c r="B87"/>
  <c r="B89"/>
  <c r="B91"/>
  <c r="B18"/>
  <c r="B20"/>
  <c r="C14"/>
  <c r="O12"/>
  <c r="B79"/>
  <c r="B77"/>
  <c r="N12"/>
  <c r="B67"/>
  <c r="B49"/>
  <c r="B32"/>
  <c r="B34"/>
  <c r="B25"/>
  <c r="B27"/>
  <c r="B29"/>
  <c r="B16"/>
  <c r="B95"/>
  <c r="B97"/>
  <c r="B99"/>
  <c r="B101"/>
  <c r="B103"/>
  <c r="B105"/>
  <c r="B66"/>
  <c r="B63" s="1"/>
  <c r="M12"/>
  <c r="B110"/>
  <c r="B112"/>
  <c r="B81"/>
  <c r="B83"/>
  <c r="B78"/>
  <c r="B80"/>
  <c r="B84"/>
  <c r="K12"/>
  <c r="J12"/>
  <c r="I12"/>
  <c r="G12"/>
  <c r="D12"/>
  <c r="E12"/>
  <c r="F12"/>
  <c r="B88"/>
  <c r="B90"/>
  <c r="B107" l="1"/>
  <c r="B92"/>
  <c r="B56"/>
  <c r="B31"/>
  <c r="B75"/>
  <c r="B85"/>
  <c r="B68"/>
  <c r="B22"/>
  <c r="B12" s="1"/>
  <c r="B14"/>
  <c r="L12"/>
  <c r="H12"/>
  <c r="C12"/>
</calcChain>
</file>

<file path=xl/sharedStrings.xml><?xml version="1.0" encoding="utf-8"?>
<sst xmlns="http://schemas.openxmlformats.org/spreadsheetml/2006/main" count="446" uniqueCount="198">
  <si>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</si>
  <si>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</si>
  <si>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</si>
  <si>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</si>
  <si>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</si>
  <si>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</si>
  <si>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</si>
  <si>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</si>
  <si>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</si>
  <si>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</si>
  <si>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</si>
  <si>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</si>
  <si>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</si>
  <si>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</si>
  <si>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</si>
  <si>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</si>
  <si>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</si>
  <si>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</si>
  <si>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</si>
  <si>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</si>
  <si>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</si>
  <si>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</si>
  <si>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</si>
  <si>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</si>
  <si>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</si>
  <si>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</si>
  <si>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</si>
  <si>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</si>
  <si>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</si>
  <si>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</si>
  <si>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</si>
  <si>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</si>
  <si>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</si>
  <si>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</si>
  <si>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</si>
  <si>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</si>
  <si>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</si>
  <si>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</si>
  <si>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</si>
  <si>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</si>
  <si>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</si>
  <si>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</si>
  <si>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</si>
  <si>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</si>
  <si>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</si>
  <si>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</si>
  <si>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</si>
  <si>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</si>
  <si>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</si>
  <si>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</si>
  <si>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</si>
  <si>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</si>
  <si>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</si>
  <si>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</si>
  <si>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</si>
  <si>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</si>
  <si>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</si>
  <si>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</si>
  <si>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</si>
  <si>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</si>
  <si>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</si>
  <si>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</si>
  <si>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</si>
  <si>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</si>
  <si>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</si>
  <si>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</si>
  <si>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</si>
  <si>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</si>
  <si>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</si>
  <si>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</si>
  <si>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</si>
  <si>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</si>
  <si>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</si>
  <si>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</si>
  <si>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</si>
  <si>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</si>
  <si>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</si>
  <si>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</si>
  <si>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</si>
  <si>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</si>
  <si>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</si>
  <si>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</si>
  <si>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</si>
  <si>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</si>
  <si>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</si>
  <si>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</si>
  <si>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</si>
  <si>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</si>
  <si>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</si>
  <si>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</si>
  <si>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</si>
  <si>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</si>
  <si>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</si>
  <si>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</si>
  <si>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</si>
  <si>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</si>
  <si>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</si>
  <si>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</si>
  <si>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</si>
  <si>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</si>
  <si>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</si>
  <si>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</si>
  <si>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</si>
  <si>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</si>
  <si>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</si>
  <si>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</si>
  <si>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</si>
  <si>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</si>
  <si>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</si>
  <si>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</si>
  <si>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</si>
  <si>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</si>
  <si>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</si>
  <si>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</si>
  <si>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</si>
  <si>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</si>
  <si>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</si>
  <si>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</si>
  <si>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</si>
  <si>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</si>
  <si>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</si>
  <si>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</si>
  <si>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</si>
  <si>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</si>
  <si>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</si>
  <si>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</si>
  <si>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</si>
  <si>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</si>
  <si>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</si>
  <si>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</si>
  <si>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</si>
  <si>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</si>
  <si>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</si>
  <si>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</si>
  <si>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</si>
  <si>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</si>
  <si>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</si>
  <si>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</si>
  <si>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</si>
  <si>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</si>
  <si>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</si>
  <si>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</si>
  <si>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</si>
  <si>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</si>
  <si>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</si>
  <si>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</si>
  <si>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</si>
  <si>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</si>
  <si>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</si>
  <si>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</si>
  <si>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</si>
  <si>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</si>
  <si>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</si>
  <si>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</si>
  <si>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</si>
  <si>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</si>
  <si>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</si>
  <si>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</si>
  <si>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</si>
  <si>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</si>
  <si>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</si>
  <si>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</si>
  <si>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</si>
  <si>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</si>
  <si>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</si>
  <si>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</si>
  <si>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</si>
  <si>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</si>
  <si>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</si>
  <si>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</si>
  <si>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</si>
  <si>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</si>
  <si>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</si>
  <si>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</si>
  <si>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</si>
  <si>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</si>
  <si>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</si>
  <si>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</si>
  <si>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</si>
  <si>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</si>
  <si>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</si>
  <si>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</si>
  <si>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</si>
  <si>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Πίνακας 7α. Παραγωγή γάλακτος, κατά Περιφέρεια και Περιφερειακή Ενότητα, 2014</t>
  </si>
  <si>
    <t>Table 7a. Milk production, by Region and Regional Unities, 2014</t>
  </si>
  <si>
    <t>Γενικό σύνολο γάλακτος
Grand Total of milk</t>
  </si>
  <si>
    <r>
      <t>Σύνολο</t>
    </r>
    <r>
      <rPr>
        <b/>
        <vertAlign val="superscript"/>
        <sz val="8"/>
        <rFont val="Arial"/>
        <family val="2"/>
        <charset val="161"/>
      </rPr>
      <t xml:space="preserve">(1)
</t>
    </r>
    <r>
      <rPr>
        <b/>
        <sz val="8"/>
        <rFont val="Arial"/>
        <family val="2"/>
        <charset val="161"/>
      </rPr>
      <t>Total</t>
    </r>
  </si>
  <si>
    <t>Γάλα αγελάδων
Milk from cows</t>
  </si>
  <si>
    <t>Γάλα βουβαλιών
Milk from buffaloes</t>
  </si>
  <si>
    <t>Γάλα προβάτων
Milk from sheep</t>
  </si>
  <si>
    <t>Γάλα αιγών
Milk from goats</t>
  </si>
  <si>
    <t>Οικόσιτων
Domestic</t>
  </si>
  <si>
    <t>Κοπαδιάρικων
In flock</t>
  </si>
  <si>
    <t>Νομαδικών
Nomadic</t>
  </si>
  <si>
    <t>Γαλακτοπαρα-γωγής
Milk productive</t>
  </si>
  <si>
    <t>Αναπαραγωγής
Reproductive</t>
  </si>
  <si>
    <t>Μικτής χρήσης
Mixed use</t>
  </si>
  <si>
    <t>—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</si>
</sst>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b/>
      <vertAlign val="superscript"/>
      <sz val="8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7" fillId="0" borderId="0" xfId="0" applyFont="1"/>
    <xf numFmtId="0" fontId="7" fillId="0" borderId="0" xfId="0" applyFont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7" fillId="0" borderId="0" xfId="0" applyFont="1" applyBorder="1"/>
    <xf numFmtId="3" fontId="3" fillId="0" borderId="2" xfId="0" applyNumberFormat="1" applyFont="1" applyFill="1" applyBorder="1" applyAlignment="1" applyProtection="1">
      <alignment horizontal="right" vertical="center" wrapText="1"/>
    </xf>
    <xf numFmtId="3" fontId="3" fillId="0" borderId="3" xfId="0" quotePrefix="1" applyNumberFormat="1" applyFont="1" applyFill="1" applyBorder="1" applyAlignment="1" applyProtection="1">
      <alignment horizontal="right"/>
    </xf>
    <xf numFmtId="3" fontId="3" fillId="0" borderId="4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3" fillId="0" borderId="7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9" fillId="0" borderId="0" xfId="0" applyFont="1" applyBorder="1"/>
    <xf numFmtId="0" fontId="6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7" fillId="0" borderId="0" xfId="0" applyNumberFormat="1" applyFont="1" applyBorder="1"/>
    <xf numFmtId="0" fontId="5" fillId="0" borderId="0" xfId="0" applyNumberFormat="1" applyFont="1" applyFill="1" applyBorder="1" applyAlignment="1" applyProtection="1"/>
    <xf numFmtId="49" fontId="7" fillId="0" borderId="0" xfId="0" applyNumberFormat="1" applyFont="1"/>
    <xf numFmtId="0" fontId="10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vertical="center" wrapText="1"/>
    </xf>
    <xf numFmtId="0" fontId="11" fillId="0" borderId="5" xfId="0" applyFont="1" applyBorder="1" applyAlignment="1">
      <alignment vertical="center"/>
    </xf>
    <xf numFmtId="3" fontId="3" fillId="0" borderId="3" xfId="0" quotePrefix="1" applyNumberFormat="1" applyFont="1" applyFill="1" applyBorder="1" applyAlignment="1" applyProtection="1">
      <alignment horizontal="right" vertical="center"/>
    </xf>
    <xf numFmtId="3" fontId="3" fillId="0" borderId="4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28" xfId="0" applyNumberFormat="1" applyFont="1" applyFill="1" applyBorder="1" applyAlignment="1" applyProtection="1">
      <alignment horizontal="right" vertical="center" wrapText="1"/>
    </xf>
    <xf numFmtId="3" fontId="3" fillId="0" borderId="29" xfId="0" quotePrefix="1" applyNumberFormat="1" applyFont="1" applyFill="1" applyBorder="1" applyAlignment="1" applyProtection="1">
      <alignment horizontal="right"/>
    </xf>
    <xf numFmtId="3" fontId="3" fillId="0" borderId="30" xfId="0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2" fillId="0" borderId="27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3" fontId="12" fillId="0" borderId="4" xfId="0" applyNumberFormat="1" applyFont="1" applyBorder="1" applyAlignment="1">
      <alignment horizontal="right" vertical="top" wrapText="1"/>
    </xf>
    <xf numFmtId="3" fontId="12" fillId="0" borderId="0" xfId="0" applyNumberFormat="1" applyFont="1" applyBorder="1" applyAlignment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left" wrapText="1" indent="1"/>
    </xf>
    <xf numFmtId="0" fontId="7" fillId="0" borderId="5" xfId="0" applyFont="1" applyBorder="1" applyAlignment="1">
      <alignment horizontal="left" indent="1"/>
    </xf>
    <xf numFmtId="3" fontId="2" fillId="0" borderId="31" xfId="0" applyNumberFormat="1" applyFont="1" applyFill="1" applyBorder="1" applyAlignment="1" applyProtection="1">
      <alignment horizontal="right" vertical="center"/>
    </xf>
    <xf numFmtId="3" fontId="12" fillId="0" borderId="31" xfId="0" applyNumberFormat="1" applyFont="1" applyBorder="1" applyAlignment="1">
      <alignment horizontal="right" vertical="top" wrapTex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3" fontId="12" fillId="0" borderId="10" xfId="0" applyNumberFormat="1" applyFont="1" applyBorder="1" applyAlignment="1">
      <alignment horizontal="right" vertical="top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12" fillId="0" borderId="30" xfId="0" applyNumberFormat="1" applyFont="1" applyBorder="1" applyAlignment="1">
      <alignment horizontal="right" vertical="top" wrapText="1"/>
    </xf>
    <xf numFmtId="3" fontId="12" fillId="0" borderId="1" xfId="0" applyNumberFormat="1" applyFont="1" applyBorder="1" applyAlignment="1">
      <alignment horizontal="right" vertical="top" wrapText="1"/>
    </xf>
    <xf numFmtId="3" fontId="12" fillId="0" borderId="32" xfId="0" applyNumberFormat="1" applyFont="1" applyBorder="1" applyAlignment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left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25" xfId="0" applyNumberFormat="1" applyFont="1" applyFill="1" applyBorder="1" applyAlignment="1" applyProtection="1">
      <alignment horizontal="left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26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 wrapText="1"/>
    </xf>
    <xf numFmtId="0" fontId="2" fillId="0" borderId="27" xfId="0" applyNumberFormat="1" applyFont="1" applyFill="1" applyBorder="1" applyAlignment="1" applyProtection="1">
      <alignment horizontal="right" vertical="center" wrapText="1"/>
    </xf>
    <xf numFmtId="0" fontId="2" fillId="0" borderId="12" xfId="0" applyNumberFormat="1" applyFont="1" applyFill="1" applyBorder="1" applyAlignment="1" applyProtection="1">
      <alignment horizontal="left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3" fontId="2" fillId="0" borderId="13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right" vertical="center" wrapText="1"/>
    </xf>
    <xf numFmtId="3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3" fontId="2" fillId="0" borderId="27" xfId="0" applyNumberFormat="1" applyFont="1" applyFill="1" applyBorder="1" applyAlignment="1" applyProtection="1">
      <alignment horizontal="right" vertical="center"/>
    </xf>
    <xf numFmtId="3" fontId="4" fillId="0" borderId="31" xfId="0" applyNumberFormat="1" applyFont="1" applyBorder="1" applyAlignment="1">
      <alignment horizontal="right" vertical="center"/>
    </xf>
    <xf numFmtId="3" fontId="4" fillId="0" borderId="27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3" fontId="2" fillId="0" borderId="31" xfId="0" applyNumberFormat="1" applyFont="1" applyFill="1" applyBorder="1" applyAlignment="1" applyProtection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left" vertical="center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/>
    </xf>
    <xf numFmtId="49" fontId="2" fillId="0" borderId="11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7" fillId="0" borderId="6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233"/>
  <sheetViews>
    <sheetView showGridLines="0" tabSelected="1" zoomScale="110" zoomScaleNormal="110" workbookViewId="0">
      <selection activeCell="B17" sqref="B17"/>
    </sheetView>
  </sheetViews>
  <sheetFormatPr defaultRowHeight="10.199999999999999"/>
  <cols>
    <col min="1" max="1" width="37.77734375" style="1" customWidth="1"/>
    <col min="2" max="2" width="9.5546875" style="1" bestFit="1" customWidth="1"/>
    <col min="3" max="3" width="7.33203125" style="1" bestFit="1" customWidth="1"/>
    <col min="4" max="4" width="10.5546875" style="1" customWidth="1"/>
    <col min="5" max="5" width="11" style="1" bestFit="1" customWidth="1"/>
    <col min="6" max="6" width="10.21875" style="1" bestFit="1" customWidth="1"/>
    <col min="7" max="7" width="9" style="1" customWidth="1"/>
    <col min="8" max="8" width="7.33203125" style="1" bestFit="1" customWidth="1"/>
    <col min="9" max="9" width="7.44140625" style="1" bestFit="1" customWidth="1"/>
    <col min="10" max="10" width="10.33203125" style="1" bestFit="1" customWidth="1"/>
    <col min="11" max="11" width="8.109375" style="1" bestFit="1" customWidth="1"/>
    <col min="12" max="12" width="7.33203125" style="1" bestFit="1" customWidth="1"/>
    <col min="13" max="13" width="7.44140625" style="1" bestFit="1" customWidth="1"/>
    <col min="14" max="14" width="10.33203125" style="1" bestFit="1" customWidth="1"/>
    <col min="15" max="15" width="8.109375" style="1" bestFit="1" customWidth="1"/>
    <col min="16" max="16" width="9.6640625" style="1" customWidth="1"/>
    <col min="17" max="17" width="10.44140625" style="1" customWidth="1"/>
    <col min="18" max="19" width="10.109375" style="1" customWidth="1"/>
    <col min="20" max="16384" width="8.88671875" style="1"/>
  </cols>
  <sheetData>
    <row r="2" spans="1:19" ht="13.8">
      <c r="B2" s="53" t="s">
        <v>111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36"/>
      <c r="Q2" s="36"/>
      <c r="R2" s="36"/>
      <c r="S2" s="2"/>
    </row>
    <row r="3" spans="1:19" ht="13.2">
      <c r="B3" s="118" t="s">
        <v>183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39"/>
      <c r="Q3" s="39"/>
      <c r="R3" s="39"/>
      <c r="S3" s="2"/>
    </row>
    <row r="4" spans="1:19" ht="18" customHeight="1">
      <c r="B4" s="53" t="s">
        <v>113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39"/>
      <c r="Q4" s="39"/>
      <c r="R4" s="39"/>
      <c r="S4" s="2"/>
    </row>
    <row r="5" spans="1:19" ht="13.2">
      <c r="B5" s="119" t="s">
        <v>184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39"/>
      <c r="Q5" s="39"/>
      <c r="R5" s="39"/>
      <c r="S5" s="2"/>
    </row>
    <row r="6" spans="1:19" ht="18.600000000000001" customHeight="1">
      <c r="B6" s="38"/>
      <c r="C6" s="38"/>
      <c r="D6" s="38"/>
      <c r="E6" s="38"/>
      <c r="F6" s="38"/>
      <c r="G6" s="38"/>
      <c r="H6" s="38"/>
      <c r="I6" s="37"/>
      <c r="J6" s="40"/>
      <c r="K6" s="40"/>
      <c r="L6" s="40"/>
      <c r="M6" s="40"/>
      <c r="N6" s="40"/>
      <c r="O6" s="40"/>
      <c r="P6" s="39"/>
      <c r="Q6" s="39"/>
      <c r="R6" s="39"/>
      <c r="S6" s="2"/>
    </row>
    <row r="7" spans="1:19" ht="10.8" thickBot="1">
      <c r="A7" s="3" t="s">
        <v>182</v>
      </c>
      <c r="B7" s="3"/>
      <c r="C7" s="3"/>
      <c r="D7" s="3"/>
      <c r="E7" s="3"/>
      <c r="F7" s="3"/>
      <c r="G7" s="3"/>
      <c r="H7" s="54"/>
      <c r="I7" s="55"/>
      <c r="J7" s="55"/>
      <c r="K7" s="55"/>
      <c r="L7" s="56"/>
      <c r="M7" s="56"/>
      <c r="N7" s="56"/>
      <c r="O7" s="56"/>
      <c r="P7" s="4"/>
      <c r="Q7" s="55" t="s">
        <v>112</v>
      </c>
      <c r="R7" s="55"/>
      <c r="S7" s="5"/>
    </row>
    <row r="8" spans="1:19" ht="14.4" customHeight="1">
      <c r="A8" s="63" t="s">
        <v>0</v>
      </c>
      <c r="B8" s="66" t="s">
        <v>185</v>
      </c>
      <c r="C8" s="57" t="s">
        <v>187</v>
      </c>
      <c r="D8" s="58"/>
      <c r="E8" s="58"/>
      <c r="F8" s="76"/>
      <c r="G8" s="108" t="s">
        <v>188</v>
      </c>
      <c r="H8" s="57" t="s">
        <v>189</v>
      </c>
      <c r="I8" s="58"/>
      <c r="J8" s="58"/>
      <c r="K8" s="58"/>
      <c r="L8" s="57" t="s">
        <v>190</v>
      </c>
      <c r="M8" s="58"/>
      <c r="N8" s="58"/>
      <c r="O8" s="61"/>
      <c r="P8" s="71" t="s">
        <v>1</v>
      </c>
      <c r="Q8" s="63"/>
      <c r="R8" s="63"/>
      <c r="S8" s="6"/>
    </row>
    <row r="9" spans="1:19">
      <c r="A9" s="64"/>
      <c r="B9" s="67"/>
      <c r="C9" s="59"/>
      <c r="D9" s="60"/>
      <c r="E9" s="60"/>
      <c r="F9" s="75"/>
      <c r="G9" s="109"/>
      <c r="H9" s="59"/>
      <c r="I9" s="60"/>
      <c r="J9" s="60"/>
      <c r="K9" s="60"/>
      <c r="L9" s="59"/>
      <c r="M9" s="60"/>
      <c r="N9" s="60"/>
      <c r="O9" s="62"/>
      <c r="P9" s="72"/>
      <c r="Q9" s="64"/>
      <c r="R9" s="64"/>
      <c r="S9" s="6"/>
    </row>
    <row r="10" spans="1:19" ht="30.6" customHeight="1">
      <c r="A10" s="64"/>
      <c r="B10" s="67"/>
      <c r="C10" s="69" t="s">
        <v>186</v>
      </c>
      <c r="D10" s="77" t="s">
        <v>194</v>
      </c>
      <c r="E10" s="77" t="s">
        <v>195</v>
      </c>
      <c r="F10" s="77" t="s">
        <v>196</v>
      </c>
      <c r="G10" s="109"/>
      <c r="H10" s="69" t="s">
        <v>186</v>
      </c>
      <c r="I10" s="74" t="s">
        <v>191</v>
      </c>
      <c r="J10" s="74" t="s">
        <v>192</v>
      </c>
      <c r="K10" s="74" t="s">
        <v>193</v>
      </c>
      <c r="L10" s="69" t="s">
        <v>186</v>
      </c>
      <c r="M10" s="74" t="s">
        <v>191</v>
      </c>
      <c r="N10" s="74" t="s">
        <v>192</v>
      </c>
      <c r="O10" s="79" t="s">
        <v>193</v>
      </c>
      <c r="P10" s="72"/>
      <c r="Q10" s="64"/>
      <c r="R10" s="64"/>
      <c r="S10" s="6"/>
    </row>
    <row r="11" spans="1:19" ht="36.6" customHeight="1">
      <c r="A11" s="65"/>
      <c r="B11" s="68"/>
      <c r="C11" s="70"/>
      <c r="D11" s="78"/>
      <c r="E11" s="78"/>
      <c r="F11" s="78"/>
      <c r="G11" s="78"/>
      <c r="H11" s="70"/>
      <c r="I11" s="75"/>
      <c r="J11" s="75"/>
      <c r="K11" s="75"/>
      <c r="L11" s="70"/>
      <c r="M11" s="75"/>
      <c r="N11" s="75"/>
      <c r="O11" s="62"/>
      <c r="P11" s="73"/>
      <c r="Q11" s="65"/>
      <c r="R11" s="65"/>
      <c r="S11" s="6"/>
    </row>
    <row r="12" spans="1:19" ht="11.4" customHeight="1">
      <c r="A12" s="120" t="s">
        <v>2</v>
      </c>
      <c r="B12" s="95">
        <f>SUM(B14,B22,B31,B36,B42,B49,B56,B63,B68,B75,B85,B92,B107)</f>
        <v>2017828.3330000003</v>
      </c>
      <c r="C12" s="80">
        <f>SUM(C14,C22,C31,C36,C42,C49,C56,C63,C68,C75,C85,C92,C107)</f>
        <v>725631.18299999996</v>
      </c>
      <c r="D12" s="80">
        <f t="shared" ref="D12:O12" si="0">SUM(D14,D22,D31,D36,D42,D49,D56,D63,D68,D75,D85,D92,D107)</f>
        <v>575517.29599999997</v>
      </c>
      <c r="E12" s="80">
        <f t="shared" si="0"/>
        <v>55940.275000000009</v>
      </c>
      <c r="F12" s="80">
        <f t="shared" si="0"/>
        <v>94173.611999999994</v>
      </c>
      <c r="G12" s="80">
        <f t="shared" si="0"/>
        <v>265.2</v>
      </c>
      <c r="H12" s="80">
        <f t="shared" si="0"/>
        <v>847124.26199999987</v>
      </c>
      <c r="I12" s="80">
        <f t="shared" si="0"/>
        <v>31124.402000000002</v>
      </c>
      <c r="J12" s="80">
        <f t="shared" si="0"/>
        <v>770403.87199999997</v>
      </c>
      <c r="K12" s="80">
        <f t="shared" si="0"/>
        <v>45595.988000000005</v>
      </c>
      <c r="L12" s="86">
        <f t="shared" si="0"/>
        <v>444807.68799999997</v>
      </c>
      <c r="M12" s="88">
        <f t="shared" si="0"/>
        <v>37101.334999999999</v>
      </c>
      <c r="N12" s="80">
        <f t="shared" si="0"/>
        <v>367190.67599999998</v>
      </c>
      <c r="O12" s="82">
        <f t="shared" si="0"/>
        <v>40515.677000000003</v>
      </c>
      <c r="P12" s="84" t="s">
        <v>3</v>
      </c>
      <c r="Q12" s="85"/>
      <c r="R12" s="85"/>
      <c r="S12" s="6"/>
    </row>
    <row r="13" spans="1:19">
      <c r="A13" s="121"/>
      <c r="B13" s="96"/>
      <c r="C13" s="81"/>
      <c r="D13" s="81"/>
      <c r="E13" s="81"/>
      <c r="F13" s="81"/>
      <c r="G13" s="81"/>
      <c r="H13" s="81"/>
      <c r="I13" s="81"/>
      <c r="J13" s="81"/>
      <c r="K13" s="81"/>
      <c r="L13" s="87"/>
      <c r="M13" s="89"/>
      <c r="N13" s="81"/>
      <c r="O13" s="83"/>
      <c r="P13" s="72"/>
      <c r="Q13" s="64"/>
      <c r="R13" s="64"/>
      <c r="S13" s="6"/>
    </row>
    <row r="14" spans="1:19" ht="14.4" customHeight="1">
      <c r="A14" s="121" t="s">
        <v>4</v>
      </c>
      <c r="B14" s="94">
        <f t="shared" ref="B14:C14" si="1">SUM(B16:B21)</f>
        <v>157095.91399999999</v>
      </c>
      <c r="C14" s="93">
        <f t="shared" si="1"/>
        <v>71460.39</v>
      </c>
      <c r="D14" s="93">
        <f>SUM(D16:D21)</f>
        <v>59963.840000000004</v>
      </c>
      <c r="E14" s="93">
        <f t="shared" ref="E14:F14" si="2">SUM(E16:E21)</f>
        <v>2339</v>
      </c>
      <c r="F14" s="93">
        <f t="shared" si="2"/>
        <v>9157.5499999999993</v>
      </c>
      <c r="G14" s="93">
        <f t="shared" ref="G14" si="3">SUM(G16:G21)</f>
        <v>0</v>
      </c>
      <c r="H14" s="93">
        <f>SUM(H16:H21)</f>
        <v>51623.210000000006</v>
      </c>
      <c r="I14" s="93">
        <f t="shared" ref="I14:K14" si="4">SUM(I16:I21)</f>
        <v>942.39999999999986</v>
      </c>
      <c r="J14" s="93">
        <f>SUM(J16:J21)</f>
        <v>50680.81</v>
      </c>
      <c r="K14" s="93">
        <f t="shared" si="4"/>
        <v>0</v>
      </c>
      <c r="L14" s="93">
        <f>SUM(L16:L21)</f>
        <v>34012.313999999998</v>
      </c>
      <c r="M14" s="98">
        <f>SUM(M16:M21)</f>
        <v>419.99000000000007</v>
      </c>
      <c r="N14" s="93">
        <f t="shared" ref="N14:O14" si="5">SUM(N16:N21)</f>
        <v>33592.323999999993</v>
      </c>
      <c r="O14" s="99">
        <f t="shared" si="5"/>
        <v>0</v>
      </c>
      <c r="P14" s="72" t="s">
        <v>5</v>
      </c>
      <c r="Q14" s="64"/>
      <c r="R14" s="64"/>
      <c r="S14" s="6"/>
    </row>
    <row r="15" spans="1:19" ht="12" customHeight="1">
      <c r="A15" s="121"/>
      <c r="B15" s="94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8"/>
      <c r="N15" s="93"/>
      <c r="O15" s="99"/>
      <c r="P15" s="72"/>
      <c r="Q15" s="64"/>
      <c r="R15" s="64"/>
      <c r="S15" s="6"/>
    </row>
    <row r="16" spans="1:19">
      <c r="A16" s="43" t="s">
        <v>114</v>
      </c>
      <c r="B16" s="7">
        <f>SUM(C16,G16,H16,L16)</f>
        <v>37824.959999999999</v>
      </c>
      <c r="C16" s="8">
        <f>SUM(D16:F16)</f>
        <v>16030</v>
      </c>
      <c r="D16" s="41">
        <v>11375.5</v>
      </c>
      <c r="E16" s="42">
        <v>2191</v>
      </c>
      <c r="F16" s="41">
        <v>2463.5</v>
      </c>
      <c r="G16" s="42" t="s">
        <v>197</v>
      </c>
      <c r="H16" s="9">
        <f>SUM(I16:K16)</f>
        <v>12263.619999999999</v>
      </c>
      <c r="I16" s="41">
        <v>60.3</v>
      </c>
      <c r="J16" s="42">
        <v>12203.32</v>
      </c>
      <c r="K16" s="41" t="s">
        <v>197</v>
      </c>
      <c r="L16" s="9">
        <f>SUM(M16:O16)</f>
        <v>9531.34</v>
      </c>
      <c r="M16" s="42">
        <v>58.92</v>
      </c>
      <c r="N16" s="41">
        <v>9472.42</v>
      </c>
      <c r="O16" s="48" t="s">
        <v>197</v>
      </c>
      <c r="P16" s="44" t="s">
        <v>7</v>
      </c>
      <c r="Q16" s="11"/>
      <c r="R16" s="11"/>
      <c r="S16" s="6"/>
    </row>
    <row r="17" spans="1:19">
      <c r="A17" s="43" t="s">
        <v>115</v>
      </c>
      <c r="B17" s="7">
        <f t="shared" ref="B17:B21" si="6">SUM(C17,G17,H17,L17)</f>
        <v>27381.88</v>
      </c>
      <c r="C17" s="8">
        <f t="shared" ref="C17:C21" si="7">SUM(D17:F17)</f>
        <v>7533.7</v>
      </c>
      <c r="D17" s="41">
        <v>7387.2</v>
      </c>
      <c r="E17" s="42" t="s">
        <v>197</v>
      </c>
      <c r="F17" s="41">
        <v>146.5</v>
      </c>
      <c r="G17" s="42" t="s">
        <v>197</v>
      </c>
      <c r="H17" s="9">
        <f t="shared" ref="H17:H21" si="8">SUM(I17:K17)</f>
        <v>12971.03</v>
      </c>
      <c r="I17" s="41">
        <v>700.91</v>
      </c>
      <c r="J17" s="42">
        <v>12270.12</v>
      </c>
      <c r="K17" s="41" t="s">
        <v>197</v>
      </c>
      <c r="L17" s="9">
        <f t="shared" ref="L17:L21" si="9">SUM(M17:O17)</f>
        <v>6877.1500000000005</v>
      </c>
      <c r="M17" s="42">
        <v>178.05</v>
      </c>
      <c r="N17" s="41">
        <v>6699.1</v>
      </c>
      <c r="O17" s="48" t="s">
        <v>197</v>
      </c>
      <c r="P17" s="44" t="s">
        <v>8</v>
      </c>
      <c r="Q17" s="11"/>
      <c r="R17" s="11"/>
      <c r="S17" s="6"/>
    </row>
    <row r="18" spans="1:19">
      <c r="A18" s="43" t="s">
        <v>116</v>
      </c>
      <c r="B18" s="7">
        <f t="shared" si="6"/>
        <v>31922.639000000003</v>
      </c>
      <c r="C18" s="8">
        <f t="shared" si="7"/>
        <v>14972.84</v>
      </c>
      <c r="D18" s="41">
        <v>10850.04</v>
      </c>
      <c r="E18" s="42">
        <v>120</v>
      </c>
      <c r="F18" s="41">
        <v>4002.8</v>
      </c>
      <c r="G18" s="42" t="s">
        <v>197</v>
      </c>
      <c r="H18" s="9">
        <f t="shared" si="8"/>
        <v>9822.7200000000012</v>
      </c>
      <c r="I18" s="41">
        <v>80.94</v>
      </c>
      <c r="J18" s="42">
        <v>9741.7800000000007</v>
      </c>
      <c r="K18" s="41" t="s">
        <v>197</v>
      </c>
      <c r="L18" s="9">
        <f t="shared" si="9"/>
        <v>7127.0789999999997</v>
      </c>
      <c r="M18" s="42">
        <v>119.84</v>
      </c>
      <c r="N18" s="41">
        <v>7007.2389999999996</v>
      </c>
      <c r="O18" s="48" t="s">
        <v>197</v>
      </c>
      <c r="P18" s="44" t="s">
        <v>9</v>
      </c>
      <c r="Q18" s="11"/>
      <c r="R18" s="11"/>
      <c r="S18" s="6"/>
    </row>
    <row r="19" spans="1:19">
      <c r="A19" s="43" t="s">
        <v>117</v>
      </c>
      <c r="B19" s="7">
        <f t="shared" si="6"/>
        <v>2843.5299999999997</v>
      </c>
      <c r="C19" s="8">
        <f t="shared" si="7"/>
        <v>0</v>
      </c>
      <c r="D19" s="41" t="s">
        <v>197</v>
      </c>
      <c r="E19" s="42" t="s">
        <v>197</v>
      </c>
      <c r="F19" s="41" t="s">
        <v>197</v>
      </c>
      <c r="G19" s="42" t="s">
        <v>197</v>
      </c>
      <c r="H19" s="9">
        <f t="shared" si="8"/>
        <v>1753.57</v>
      </c>
      <c r="I19" s="41">
        <v>11.22</v>
      </c>
      <c r="J19" s="42">
        <v>1742.35</v>
      </c>
      <c r="K19" s="41" t="s">
        <v>197</v>
      </c>
      <c r="L19" s="9">
        <f t="shared" si="9"/>
        <v>1089.9599999999998</v>
      </c>
      <c r="M19" s="42">
        <v>9.86</v>
      </c>
      <c r="N19" s="41">
        <v>1080.0999999999999</v>
      </c>
      <c r="O19" s="48" t="s">
        <v>197</v>
      </c>
      <c r="P19" s="44" t="s">
        <v>10</v>
      </c>
      <c r="Q19" s="11"/>
      <c r="R19" s="11"/>
      <c r="S19" s="6"/>
    </row>
    <row r="20" spans="1:19">
      <c r="A20" s="43" t="s">
        <v>118</v>
      </c>
      <c r="B20" s="7">
        <f t="shared" si="6"/>
        <v>12073.184999999999</v>
      </c>
      <c r="C20" s="8">
        <f t="shared" si="7"/>
        <v>2828.1499999999996</v>
      </c>
      <c r="D20" s="41">
        <v>685.2</v>
      </c>
      <c r="E20" s="42">
        <v>28</v>
      </c>
      <c r="F20" s="41">
        <v>2114.9499999999998</v>
      </c>
      <c r="G20" s="42" t="s">
        <v>197</v>
      </c>
      <c r="H20" s="9">
        <f t="shared" si="8"/>
        <v>5739.52</v>
      </c>
      <c r="I20" s="41">
        <v>88.81</v>
      </c>
      <c r="J20" s="42">
        <v>5650.71</v>
      </c>
      <c r="K20" s="41" t="s">
        <v>197</v>
      </c>
      <c r="L20" s="9">
        <f t="shared" si="9"/>
        <v>3505.5149999999999</v>
      </c>
      <c r="M20" s="42">
        <v>52.48</v>
      </c>
      <c r="N20" s="41">
        <v>3453.0349999999999</v>
      </c>
      <c r="O20" s="48" t="s">
        <v>197</v>
      </c>
      <c r="P20" s="44" t="s">
        <v>11</v>
      </c>
      <c r="Q20" s="11"/>
      <c r="R20" s="11"/>
      <c r="S20" s="6"/>
    </row>
    <row r="21" spans="1:19">
      <c r="A21" s="43" t="s">
        <v>119</v>
      </c>
      <c r="B21" s="7">
        <f t="shared" si="6"/>
        <v>45049.72</v>
      </c>
      <c r="C21" s="8">
        <f t="shared" si="7"/>
        <v>30095.7</v>
      </c>
      <c r="D21" s="41">
        <v>29665.9</v>
      </c>
      <c r="E21" s="42" t="s">
        <v>197</v>
      </c>
      <c r="F21" s="41">
        <v>429.8</v>
      </c>
      <c r="G21" s="42" t="s">
        <v>197</v>
      </c>
      <c r="H21" s="9">
        <f t="shared" si="8"/>
        <v>9072.75</v>
      </c>
      <c r="I21" s="41">
        <v>0.22</v>
      </c>
      <c r="J21" s="42">
        <v>9072.5300000000007</v>
      </c>
      <c r="K21" s="41" t="s">
        <v>197</v>
      </c>
      <c r="L21" s="9">
        <f t="shared" si="9"/>
        <v>5881.27</v>
      </c>
      <c r="M21" s="42">
        <v>0.84</v>
      </c>
      <c r="N21" s="41">
        <v>5880.43</v>
      </c>
      <c r="O21" s="48" t="s">
        <v>197</v>
      </c>
      <c r="P21" s="44" t="s">
        <v>12</v>
      </c>
      <c r="Q21" s="11"/>
      <c r="R21" s="11"/>
      <c r="S21" s="6"/>
    </row>
    <row r="22" spans="1:19">
      <c r="A22" s="90" t="s">
        <v>13</v>
      </c>
      <c r="B22" s="91">
        <f>SUM(B24:B30)</f>
        <v>593382.72400000016</v>
      </c>
      <c r="C22" s="92">
        <f>SUM(C24:C30)</f>
        <v>383833.33</v>
      </c>
      <c r="D22" s="92">
        <f>SUM(D24:D30)</f>
        <v>316337.89999999997</v>
      </c>
      <c r="E22" s="92">
        <f t="shared" ref="E22:F22" si="10">SUM(E24:E30)</f>
        <v>40748.879999999997</v>
      </c>
      <c r="F22" s="92">
        <f t="shared" si="10"/>
        <v>26746.55</v>
      </c>
      <c r="G22" s="92">
        <f t="shared" ref="G22" si="11">SUM(G24:G30)</f>
        <v>261.2</v>
      </c>
      <c r="H22" s="92">
        <f>SUM(H24:H30)</f>
        <v>123694.21500000001</v>
      </c>
      <c r="I22" s="92">
        <f>SUM(I24:I30)</f>
        <v>407.32</v>
      </c>
      <c r="J22" s="92">
        <f t="shared" ref="J22:K22" si="12">SUM(J24:J30)</f>
        <v>123085.44500000001</v>
      </c>
      <c r="K22" s="92">
        <f t="shared" si="12"/>
        <v>201.45</v>
      </c>
      <c r="L22" s="92">
        <f>SUM(L24:L30)</f>
        <v>85593.979000000007</v>
      </c>
      <c r="M22" s="103">
        <f t="shared" ref="M22:O22" si="13">SUM(M24:M30)</f>
        <v>930.21899999999994</v>
      </c>
      <c r="N22" s="92">
        <f t="shared" si="13"/>
        <v>82890.02</v>
      </c>
      <c r="O22" s="97">
        <f t="shared" si="13"/>
        <v>1773.74</v>
      </c>
      <c r="P22" s="100" t="s">
        <v>14</v>
      </c>
      <c r="Q22" s="101"/>
      <c r="R22" s="101"/>
      <c r="S22" s="6"/>
    </row>
    <row r="23" spans="1:19">
      <c r="A23" s="90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103"/>
      <c r="N23" s="92"/>
      <c r="O23" s="97"/>
      <c r="P23" s="102"/>
      <c r="Q23" s="101"/>
      <c r="R23" s="101"/>
      <c r="S23" s="6"/>
    </row>
    <row r="24" spans="1:19">
      <c r="A24" s="43" t="s">
        <v>120</v>
      </c>
      <c r="B24" s="7">
        <f t="shared" ref="B24:B30" si="14">SUM(C24,G24,H24,L24)</f>
        <v>209552.61400000003</v>
      </c>
      <c r="C24" s="8">
        <f t="shared" ref="C24:C30" si="15">SUM(D24:F24)</f>
        <v>171698</v>
      </c>
      <c r="D24" s="41">
        <v>170627</v>
      </c>
      <c r="E24" s="42">
        <v>87.5</v>
      </c>
      <c r="F24" s="41">
        <v>983.5</v>
      </c>
      <c r="G24" s="42">
        <v>261.2</v>
      </c>
      <c r="H24" s="9">
        <f t="shared" ref="H24:H30" si="16">SUM(I24:K24)</f>
        <v>20134.7</v>
      </c>
      <c r="I24" s="41">
        <v>55.75</v>
      </c>
      <c r="J24" s="42">
        <v>20070.7</v>
      </c>
      <c r="K24" s="41">
        <v>8.25</v>
      </c>
      <c r="L24" s="9">
        <f t="shared" ref="L24:L30" si="17">SUM(M24:O24)</f>
        <v>17458.714</v>
      </c>
      <c r="M24" s="42">
        <v>156.374</v>
      </c>
      <c r="N24" s="41">
        <v>16051.04</v>
      </c>
      <c r="O24" s="48">
        <v>1251.3</v>
      </c>
      <c r="P24" s="44" t="s">
        <v>15</v>
      </c>
      <c r="Q24" s="11"/>
      <c r="R24" s="11"/>
      <c r="S24" s="6"/>
    </row>
    <row r="25" spans="1:19">
      <c r="A25" s="43" t="s">
        <v>121</v>
      </c>
      <c r="B25" s="7">
        <f t="shared" si="14"/>
        <v>57780.450000000004</v>
      </c>
      <c r="C25" s="8">
        <f t="shared" si="15"/>
        <v>41743.25</v>
      </c>
      <c r="D25" s="41">
        <v>10384.049999999999</v>
      </c>
      <c r="E25" s="42">
        <v>21184</v>
      </c>
      <c r="F25" s="41">
        <v>10175.200000000001</v>
      </c>
      <c r="G25" s="42" t="s">
        <v>197</v>
      </c>
      <c r="H25" s="9">
        <f t="shared" si="16"/>
        <v>10573.44</v>
      </c>
      <c r="I25" s="41">
        <v>56.14</v>
      </c>
      <c r="J25" s="42">
        <v>10324.1</v>
      </c>
      <c r="K25" s="41">
        <v>193.2</v>
      </c>
      <c r="L25" s="9">
        <f t="shared" si="17"/>
        <v>5463.76</v>
      </c>
      <c r="M25" s="42">
        <v>47.82</v>
      </c>
      <c r="N25" s="41">
        <v>4893.5</v>
      </c>
      <c r="O25" s="48">
        <v>522.44000000000005</v>
      </c>
      <c r="P25" s="44" t="s">
        <v>16</v>
      </c>
      <c r="Q25" s="11"/>
      <c r="R25" s="11"/>
      <c r="S25" s="6"/>
    </row>
    <row r="26" spans="1:19">
      <c r="A26" s="43" t="s">
        <v>122</v>
      </c>
      <c r="B26" s="7">
        <f t="shared" si="14"/>
        <v>67739.710000000006</v>
      </c>
      <c r="C26" s="8">
        <f t="shared" si="15"/>
        <v>46575</v>
      </c>
      <c r="D26" s="41">
        <v>44095</v>
      </c>
      <c r="E26" s="42">
        <v>1371.5</v>
      </c>
      <c r="F26" s="41">
        <v>1108.5</v>
      </c>
      <c r="G26" s="42" t="s">
        <v>197</v>
      </c>
      <c r="H26" s="9">
        <f t="shared" si="16"/>
        <v>15631.455</v>
      </c>
      <c r="I26" s="41" t="s">
        <v>197</v>
      </c>
      <c r="J26" s="42">
        <v>15631.455</v>
      </c>
      <c r="K26" s="41" t="s">
        <v>197</v>
      </c>
      <c r="L26" s="9">
        <f t="shared" si="17"/>
        <v>5533.2550000000001</v>
      </c>
      <c r="M26" s="42" t="s">
        <v>197</v>
      </c>
      <c r="N26" s="41">
        <v>5533.2550000000001</v>
      </c>
      <c r="O26" s="48" t="s">
        <v>197</v>
      </c>
      <c r="P26" s="44" t="s">
        <v>17</v>
      </c>
      <c r="Q26" s="11"/>
      <c r="R26" s="11"/>
      <c r="S26" s="6"/>
    </row>
    <row r="27" spans="1:19">
      <c r="A27" s="43" t="s">
        <v>123</v>
      </c>
      <c r="B27" s="7">
        <f t="shared" si="14"/>
        <v>55211.205000000002</v>
      </c>
      <c r="C27" s="8">
        <f t="shared" si="15"/>
        <v>25914.850000000002</v>
      </c>
      <c r="D27" s="41">
        <v>14864.9</v>
      </c>
      <c r="E27" s="42">
        <v>7477.8</v>
      </c>
      <c r="F27" s="41">
        <v>3572.15</v>
      </c>
      <c r="G27" s="42" t="s">
        <v>197</v>
      </c>
      <c r="H27" s="9">
        <f t="shared" si="16"/>
        <v>21948.514999999999</v>
      </c>
      <c r="I27" s="41">
        <v>122.01</v>
      </c>
      <c r="J27" s="42">
        <v>21826.505000000001</v>
      </c>
      <c r="K27" s="41" t="s">
        <v>197</v>
      </c>
      <c r="L27" s="9">
        <f t="shared" si="17"/>
        <v>7347.84</v>
      </c>
      <c r="M27" s="42">
        <v>193.995</v>
      </c>
      <c r="N27" s="41">
        <v>7153.8450000000003</v>
      </c>
      <c r="O27" s="48" t="s">
        <v>197</v>
      </c>
      <c r="P27" s="44" t="s">
        <v>18</v>
      </c>
      <c r="Q27" s="11"/>
      <c r="R27" s="11"/>
      <c r="S27" s="6"/>
    </row>
    <row r="28" spans="1:19">
      <c r="A28" s="43" t="s">
        <v>124</v>
      </c>
      <c r="B28" s="7">
        <f t="shared" si="14"/>
        <v>31793.644999999997</v>
      </c>
      <c r="C28" s="8">
        <f t="shared" si="15"/>
        <v>11412.15</v>
      </c>
      <c r="D28" s="41">
        <v>9708.65</v>
      </c>
      <c r="E28" s="42">
        <v>650</v>
      </c>
      <c r="F28" s="41">
        <v>1053.5</v>
      </c>
      <c r="G28" s="42" t="s">
        <v>197</v>
      </c>
      <c r="H28" s="9">
        <f t="shared" si="16"/>
        <v>12238.035</v>
      </c>
      <c r="I28" s="41">
        <v>0.75</v>
      </c>
      <c r="J28" s="42">
        <v>12237.285</v>
      </c>
      <c r="K28" s="41" t="s">
        <v>197</v>
      </c>
      <c r="L28" s="9">
        <f t="shared" si="17"/>
        <v>8143.46</v>
      </c>
      <c r="M28" s="42">
        <v>67.45</v>
      </c>
      <c r="N28" s="41">
        <v>8076.01</v>
      </c>
      <c r="O28" s="48" t="s">
        <v>197</v>
      </c>
      <c r="P28" s="44" t="s">
        <v>19</v>
      </c>
      <c r="Q28" s="11"/>
      <c r="R28" s="11"/>
      <c r="S28" s="6"/>
    </row>
    <row r="29" spans="1:19">
      <c r="A29" s="43" t="s">
        <v>125</v>
      </c>
      <c r="B29" s="7">
        <f t="shared" si="14"/>
        <v>131686.655</v>
      </c>
      <c r="C29" s="8">
        <f t="shared" si="15"/>
        <v>81123.08</v>
      </c>
      <c r="D29" s="41">
        <v>62288.3</v>
      </c>
      <c r="E29" s="42">
        <v>9391.8799999999992</v>
      </c>
      <c r="F29" s="41">
        <v>9442.9</v>
      </c>
      <c r="G29" s="42" t="s">
        <v>197</v>
      </c>
      <c r="H29" s="9">
        <f t="shared" si="16"/>
        <v>30649.895</v>
      </c>
      <c r="I29" s="41">
        <v>86.8</v>
      </c>
      <c r="J29" s="42">
        <v>30563.095000000001</v>
      </c>
      <c r="K29" s="41" t="s">
        <v>197</v>
      </c>
      <c r="L29" s="9">
        <f t="shared" si="17"/>
        <v>19913.68</v>
      </c>
      <c r="M29" s="42">
        <v>139.6</v>
      </c>
      <c r="N29" s="41">
        <v>19774.080000000002</v>
      </c>
      <c r="O29" s="48" t="s">
        <v>197</v>
      </c>
      <c r="P29" s="44" t="s">
        <v>20</v>
      </c>
      <c r="Q29" s="11"/>
      <c r="R29" s="11"/>
      <c r="S29" s="6"/>
    </row>
    <row r="30" spans="1:19">
      <c r="A30" s="43" t="s">
        <v>126</v>
      </c>
      <c r="B30" s="7">
        <f t="shared" si="14"/>
        <v>39618.445000000007</v>
      </c>
      <c r="C30" s="8">
        <f t="shared" si="15"/>
        <v>5367</v>
      </c>
      <c r="D30" s="41">
        <v>4370</v>
      </c>
      <c r="E30" s="42">
        <v>586.20000000000005</v>
      </c>
      <c r="F30" s="41">
        <v>410.8</v>
      </c>
      <c r="G30" s="42" t="s">
        <v>197</v>
      </c>
      <c r="H30" s="9">
        <f t="shared" si="16"/>
        <v>12518.175000000001</v>
      </c>
      <c r="I30" s="41">
        <v>85.87</v>
      </c>
      <c r="J30" s="42">
        <v>12432.305</v>
      </c>
      <c r="K30" s="41" t="s">
        <v>197</v>
      </c>
      <c r="L30" s="9">
        <f t="shared" si="17"/>
        <v>21733.27</v>
      </c>
      <c r="M30" s="42">
        <v>324.98</v>
      </c>
      <c r="N30" s="41">
        <v>21408.29</v>
      </c>
      <c r="O30" s="48" t="s">
        <v>197</v>
      </c>
      <c r="P30" s="44" t="s">
        <v>21</v>
      </c>
      <c r="Q30" s="11"/>
      <c r="R30" s="11"/>
      <c r="S30" s="6"/>
    </row>
    <row r="31" spans="1:19" ht="24" customHeight="1">
      <c r="A31" s="25" t="s">
        <v>180</v>
      </c>
      <c r="B31" s="49">
        <f>SUM(B32:B35)</f>
        <v>101975.38499999999</v>
      </c>
      <c r="C31" s="34">
        <f>SUM(C32:C35)</f>
        <v>40729.491000000002</v>
      </c>
      <c r="D31" s="34">
        <f>SUM(D32:D35)</f>
        <v>25888.407999999999</v>
      </c>
      <c r="E31" s="34">
        <f t="shared" ref="E31:F31" si="18">SUM(E32:E35)</f>
        <v>569</v>
      </c>
      <c r="F31" s="34">
        <f t="shared" si="18"/>
        <v>14272.083000000001</v>
      </c>
      <c r="G31" s="34">
        <f>SUM(G32:G35)</f>
        <v>0</v>
      </c>
      <c r="H31" s="34">
        <f>SUM(H32:H35)</f>
        <v>41928.745000000003</v>
      </c>
      <c r="I31" s="34">
        <f>SUM(I32:I35)</f>
        <v>74.22</v>
      </c>
      <c r="J31" s="34">
        <f t="shared" ref="J31:K31" si="19">SUM(J32:J35)</f>
        <v>41202.684999999998</v>
      </c>
      <c r="K31" s="34">
        <f t="shared" si="19"/>
        <v>651.84</v>
      </c>
      <c r="L31" s="34">
        <f>SUM(L32:L35)</f>
        <v>19317.149000000001</v>
      </c>
      <c r="M31" s="45">
        <f t="shared" ref="M31:O31" si="20">SUM(M32:M35)</f>
        <v>291.67600000000004</v>
      </c>
      <c r="N31" s="34">
        <f t="shared" si="20"/>
        <v>18835.612999999998</v>
      </c>
      <c r="O31" s="35">
        <f t="shared" si="20"/>
        <v>189.86</v>
      </c>
      <c r="P31" s="26" t="s">
        <v>181</v>
      </c>
      <c r="Q31" s="11"/>
      <c r="R31" s="11"/>
      <c r="S31" s="6"/>
    </row>
    <row r="32" spans="1:19">
      <c r="A32" s="43" t="s">
        <v>127</v>
      </c>
      <c r="B32" s="7">
        <f t="shared" ref="B32:B35" si="21">SUM(C32,G32,H32,L32)</f>
        <v>41961.659</v>
      </c>
      <c r="C32" s="8">
        <f t="shared" ref="C32:C35" si="22">SUM(D32:F32)</f>
        <v>18415.5</v>
      </c>
      <c r="D32" s="41">
        <v>16708.099999999999</v>
      </c>
      <c r="E32" s="42">
        <v>563</v>
      </c>
      <c r="F32" s="41">
        <v>1144.4000000000001</v>
      </c>
      <c r="G32" s="42" t="s">
        <v>197</v>
      </c>
      <c r="H32" s="9">
        <f t="shared" ref="H32:H35" si="23">SUM(I32:K32)</f>
        <v>14964.655000000001</v>
      </c>
      <c r="I32" s="41">
        <v>30.12</v>
      </c>
      <c r="J32" s="42">
        <v>14282.695</v>
      </c>
      <c r="K32" s="41">
        <v>651.84</v>
      </c>
      <c r="L32" s="9">
        <f t="shared" ref="L32:L35" si="24">SUM(M32:O32)</f>
        <v>8581.5040000000008</v>
      </c>
      <c r="M32" s="42">
        <v>55.716000000000001</v>
      </c>
      <c r="N32" s="41">
        <v>8335.9279999999999</v>
      </c>
      <c r="O32" s="48">
        <v>189.86</v>
      </c>
      <c r="P32" s="44" t="s">
        <v>22</v>
      </c>
      <c r="Q32" s="11"/>
      <c r="R32" s="11"/>
      <c r="S32" s="6"/>
    </row>
    <row r="33" spans="1:19">
      <c r="A33" s="43" t="s">
        <v>128</v>
      </c>
      <c r="B33" s="7">
        <f t="shared" si="21"/>
        <v>19218.904999999999</v>
      </c>
      <c r="C33" s="8">
        <f t="shared" si="22"/>
        <v>4491.2</v>
      </c>
      <c r="D33" s="41">
        <v>4454</v>
      </c>
      <c r="E33" s="42" t="s">
        <v>197</v>
      </c>
      <c r="F33" s="41">
        <v>37.200000000000003</v>
      </c>
      <c r="G33" s="42" t="s">
        <v>197</v>
      </c>
      <c r="H33" s="9">
        <f t="shared" si="23"/>
        <v>8749.56</v>
      </c>
      <c r="I33" s="41">
        <v>28.65</v>
      </c>
      <c r="J33" s="42">
        <v>8720.91</v>
      </c>
      <c r="K33" s="41" t="s">
        <v>197</v>
      </c>
      <c r="L33" s="9">
        <f t="shared" si="24"/>
        <v>5978.1449999999995</v>
      </c>
      <c r="M33" s="42">
        <v>159.4</v>
      </c>
      <c r="N33" s="41">
        <v>5818.7449999999999</v>
      </c>
      <c r="O33" s="48" t="s">
        <v>197</v>
      </c>
      <c r="P33" s="44" t="s">
        <v>23</v>
      </c>
      <c r="Q33" s="11"/>
      <c r="R33" s="11"/>
      <c r="S33" s="6"/>
    </row>
    <row r="34" spans="1:19">
      <c r="A34" s="43" t="s">
        <v>129</v>
      </c>
      <c r="B34" s="7">
        <f t="shared" si="21"/>
        <v>7915.5399999999991</v>
      </c>
      <c r="C34" s="8">
        <f t="shared" si="22"/>
        <v>1349</v>
      </c>
      <c r="D34" s="41">
        <v>571</v>
      </c>
      <c r="E34" s="42">
        <v>6</v>
      </c>
      <c r="F34" s="41">
        <v>772</v>
      </c>
      <c r="G34" s="42" t="s">
        <v>197</v>
      </c>
      <c r="H34" s="9">
        <f t="shared" si="23"/>
        <v>5018.7699999999995</v>
      </c>
      <c r="I34" s="41">
        <v>1.2</v>
      </c>
      <c r="J34" s="42">
        <v>5017.57</v>
      </c>
      <c r="K34" s="41" t="s">
        <v>197</v>
      </c>
      <c r="L34" s="9">
        <f t="shared" si="24"/>
        <v>1547.77</v>
      </c>
      <c r="M34" s="42">
        <v>4.5599999999999996</v>
      </c>
      <c r="N34" s="41">
        <v>1543.21</v>
      </c>
      <c r="O34" s="48" t="s">
        <v>197</v>
      </c>
      <c r="P34" s="44" t="s">
        <v>24</v>
      </c>
      <c r="Q34" s="11"/>
      <c r="R34" s="11"/>
      <c r="S34" s="6"/>
    </row>
    <row r="35" spans="1:19">
      <c r="A35" s="43" t="s">
        <v>130</v>
      </c>
      <c r="B35" s="7">
        <f t="shared" si="21"/>
        <v>32879.281000000003</v>
      </c>
      <c r="C35" s="8">
        <f t="shared" si="22"/>
        <v>16473.791000000001</v>
      </c>
      <c r="D35" s="41">
        <v>4155.308</v>
      </c>
      <c r="E35" s="42" t="s">
        <v>197</v>
      </c>
      <c r="F35" s="41">
        <v>12318.483</v>
      </c>
      <c r="G35" s="42" t="s">
        <v>197</v>
      </c>
      <c r="H35" s="9">
        <f t="shared" si="23"/>
        <v>13195.76</v>
      </c>
      <c r="I35" s="41">
        <v>14.25</v>
      </c>
      <c r="J35" s="42">
        <v>13181.51</v>
      </c>
      <c r="K35" s="41" t="s">
        <v>197</v>
      </c>
      <c r="L35" s="9">
        <f t="shared" si="24"/>
        <v>3209.73</v>
      </c>
      <c r="M35" s="42">
        <v>72</v>
      </c>
      <c r="N35" s="41">
        <v>3137.73</v>
      </c>
      <c r="O35" s="48" t="s">
        <v>197</v>
      </c>
      <c r="P35" s="44" t="s">
        <v>25</v>
      </c>
      <c r="Q35" s="11"/>
      <c r="R35" s="11"/>
      <c r="S35" s="6"/>
    </row>
    <row r="36" spans="1:19">
      <c r="A36" s="90" t="s">
        <v>26</v>
      </c>
      <c r="B36" s="91">
        <f>SUM(B38:B41)</f>
        <v>160389.77499999999</v>
      </c>
      <c r="C36" s="92">
        <f>SUM(C38:C41)</f>
        <v>39451.700000000004</v>
      </c>
      <c r="D36" s="92">
        <f>SUM(D38:D41)</f>
        <v>30827.300000000003</v>
      </c>
      <c r="E36" s="92">
        <f t="shared" ref="E36:F36" si="25">SUM(E38:E41)</f>
        <v>542.4</v>
      </c>
      <c r="F36" s="92">
        <f t="shared" si="25"/>
        <v>8082</v>
      </c>
      <c r="G36" s="92">
        <f>SUM(G38:G41)</f>
        <v>0</v>
      </c>
      <c r="H36" s="92">
        <f>SUM(H38:H41)</f>
        <v>98456.07</v>
      </c>
      <c r="I36" s="92">
        <f>SUM(I38:I41)</f>
        <v>1811.0800000000002</v>
      </c>
      <c r="J36" s="92">
        <f t="shared" ref="J36:K36" si="26">SUM(J38:J41)</f>
        <v>90619.28</v>
      </c>
      <c r="K36" s="92">
        <f t="shared" si="26"/>
        <v>6025.7099999999991</v>
      </c>
      <c r="L36" s="92">
        <f>SUM(L38:L41)</f>
        <v>22482.004999999997</v>
      </c>
      <c r="M36" s="103">
        <f>SUM(M38:M41)</f>
        <v>1045.96</v>
      </c>
      <c r="N36" s="92">
        <f t="shared" ref="N36:O36" si="27">SUM(N38:N41)</f>
        <v>19864.584999999999</v>
      </c>
      <c r="O36" s="97">
        <f t="shared" si="27"/>
        <v>1571.46</v>
      </c>
      <c r="P36" s="104" t="s">
        <v>27</v>
      </c>
      <c r="Q36" s="105"/>
      <c r="R36" s="105"/>
      <c r="S36" s="6"/>
    </row>
    <row r="37" spans="1:19">
      <c r="A37" s="90"/>
      <c r="B37" s="91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103"/>
      <c r="N37" s="92"/>
      <c r="O37" s="97"/>
      <c r="P37" s="104"/>
      <c r="Q37" s="105"/>
      <c r="R37" s="105"/>
      <c r="S37" s="6"/>
    </row>
    <row r="38" spans="1:19">
      <c r="A38" s="43" t="s">
        <v>131</v>
      </c>
      <c r="B38" s="7">
        <f t="shared" ref="B38:B41" si="28">SUM(C38,G38,H38,L38)</f>
        <v>29708.555</v>
      </c>
      <c r="C38" s="8">
        <f t="shared" ref="C38:C41" si="29">SUM(D38:F38)</f>
        <v>6231.3</v>
      </c>
      <c r="D38" s="41">
        <v>4152.8</v>
      </c>
      <c r="E38" s="42">
        <v>32</v>
      </c>
      <c r="F38" s="41">
        <v>2046.5</v>
      </c>
      <c r="G38" s="42" t="s">
        <v>197</v>
      </c>
      <c r="H38" s="9">
        <f t="shared" ref="H38:H41" si="30">SUM(I38:K38)</f>
        <v>17985.715</v>
      </c>
      <c r="I38" s="41">
        <v>582.57000000000005</v>
      </c>
      <c r="J38" s="42">
        <v>17307.945</v>
      </c>
      <c r="K38" s="41">
        <v>95.2</v>
      </c>
      <c r="L38" s="9">
        <f t="shared" ref="L38:L41" si="31">SUM(M38:O38)</f>
        <v>5491.54</v>
      </c>
      <c r="M38" s="42">
        <v>305.5</v>
      </c>
      <c r="N38" s="41">
        <v>5127.04</v>
      </c>
      <c r="O38" s="48">
        <v>59</v>
      </c>
      <c r="P38" s="44" t="s">
        <v>28</v>
      </c>
      <c r="Q38" s="11"/>
      <c r="R38" s="11"/>
      <c r="S38" s="6"/>
    </row>
    <row r="39" spans="1:19">
      <c r="A39" s="43" t="s">
        <v>132</v>
      </c>
      <c r="B39" s="7">
        <f t="shared" si="28"/>
        <v>23854.729999999996</v>
      </c>
      <c r="C39" s="8">
        <f t="shared" si="29"/>
        <v>3780.6</v>
      </c>
      <c r="D39" s="41">
        <v>3005.1</v>
      </c>
      <c r="E39" s="42">
        <v>36.4</v>
      </c>
      <c r="F39" s="41">
        <v>739.1</v>
      </c>
      <c r="G39" s="42" t="s">
        <v>197</v>
      </c>
      <c r="H39" s="9">
        <f t="shared" si="30"/>
        <v>17120.62</v>
      </c>
      <c r="I39" s="41">
        <v>1185.23</v>
      </c>
      <c r="J39" s="42">
        <v>12163.08</v>
      </c>
      <c r="K39" s="41">
        <v>3772.31</v>
      </c>
      <c r="L39" s="9">
        <f t="shared" si="31"/>
        <v>2953.51</v>
      </c>
      <c r="M39" s="42">
        <v>715.32</v>
      </c>
      <c r="N39" s="41">
        <v>1897.94</v>
      </c>
      <c r="O39" s="48">
        <v>340.25</v>
      </c>
      <c r="P39" s="44" t="s">
        <v>29</v>
      </c>
      <c r="Q39" s="11"/>
      <c r="R39" s="11"/>
      <c r="S39" s="6"/>
    </row>
    <row r="40" spans="1:19">
      <c r="A40" s="43" t="s">
        <v>133</v>
      </c>
      <c r="B40" s="7">
        <f t="shared" si="28"/>
        <v>25003.949999999997</v>
      </c>
      <c r="C40" s="8">
        <f t="shared" si="29"/>
        <v>562.5</v>
      </c>
      <c r="D40" s="41">
        <v>526.5</v>
      </c>
      <c r="E40" s="42" t="s">
        <v>197</v>
      </c>
      <c r="F40" s="41">
        <v>36</v>
      </c>
      <c r="G40" s="42" t="s">
        <v>197</v>
      </c>
      <c r="H40" s="9">
        <f t="shared" si="30"/>
        <v>17537.78</v>
      </c>
      <c r="I40" s="41">
        <v>43.28</v>
      </c>
      <c r="J40" s="42">
        <v>15336.3</v>
      </c>
      <c r="K40" s="41">
        <v>2158.1999999999998</v>
      </c>
      <c r="L40" s="9">
        <f t="shared" si="31"/>
        <v>6903.67</v>
      </c>
      <c r="M40" s="42">
        <v>25.14</v>
      </c>
      <c r="N40" s="41">
        <v>5706.32</v>
      </c>
      <c r="O40" s="48">
        <v>1172.21</v>
      </c>
      <c r="P40" s="44" t="s">
        <v>30</v>
      </c>
      <c r="Q40" s="11"/>
      <c r="R40" s="11"/>
      <c r="S40" s="6"/>
    </row>
    <row r="41" spans="1:19">
      <c r="A41" s="43" t="s">
        <v>134</v>
      </c>
      <c r="B41" s="7">
        <f t="shared" si="28"/>
        <v>81822.540000000008</v>
      </c>
      <c r="C41" s="8">
        <f t="shared" si="29"/>
        <v>28877.300000000003</v>
      </c>
      <c r="D41" s="41">
        <v>23142.9</v>
      </c>
      <c r="E41" s="42">
        <v>474</v>
      </c>
      <c r="F41" s="41">
        <v>5260.4</v>
      </c>
      <c r="G41" s="42" t="s">
        <v>197</v>
      </c>
      <c r="H41" s="9">
        <f t="shared" si="30"/>
        <v>45811.955000000002</v>
      </c>
      <c r="I41" s="41" t="s">
        <v>197</v>
      </c>
      <c r="J41" s="42">
        <v>45811.955000000002</v>
      </c>
      <c r="K41" s="41" t="s">
        <v>197</v>
      </c>
      <c r="L41" s="9">
        <f t="shared" si="31"/>
        <v>7133.2849999999999</v>
      </c>
      <c r="M41" s="42" t="s">
        <v>197</v>
      </c>
      <c r="N41" s="41">
        <v>7133.2849999999999</v>
      </c>
      <c r="O41" s="48" t="s">
        <v>197</v>
      </c>
      <c r="P41" s="44" t="s">
        <v>31</v>
      </c>
      <c r="Q41" s="11"/>
      <c r="R41" s="11"/>
      <c r="S41" s="6"/>
    </row>
    <row r="42" spans="1:19">
      <c r="A42" s="90" t="s">
        <v>32</v>
      </c>
      <c r="B42" s="91">
        <f t="shared" ref="B42:C42" si="32">SUM(B44:B48)</f>
        <v>330438.6050000001</v>
      </c>
      <c r="C42" s="92">
        <f t="shared" si="32"/>
        <v>118184.63800000001</v>
      </c>
      <c r="D42" s="92">
        <f>SUM(D44:D48)</f>
        <v>106637.478</v>
      </c>
      <c r="E42" s="92">
        <f t="shared" ref="E42:G42" si="33">SUM(E44:E48)</f>
        <v>1014</v>
      </c>
      <c r="F42" s="92">
        <f t="shared" si="33"/>
        <v>10533.16</v>
      </c>
      <c r="G42" s="92">
        <f t="shared" si="33"/>
        <v>0</v>
      </c>
      <c r="H42" s="92">
        <f>SUM(H44:H48)</f>
        <v>140426.74600000001</v>
      </c>
      <c r="I42" s="92">
        <f>SUM(I44:I48)</f>
        <v>938.07100000000003</v>
      </c>
      <c r="J42" s="92">
        <f t="shared" ref="J42:L42" si="34">SUM(J44:J48)</f>
        <v>113887.005</v>
      </c>
      <c r="K42" s="92">
        <f t="shared" si="34"/>
        <v>25601.67</v>
      </c>
      <c r="L42" s="92">
        <f t="shared" si="34"/>
        <v>71827.221000000005</v>
      </c>
      <c r="M42" s="103">
        <f t="shared" ref="M42:O42" si="35">SUM(M44:M48)</f>
        <v>1257.873</v>
      </c>
      <c r="N42" s="92">
        <f>SUM(N44:N48)</f>
        <v>41384.337999999996</v>
      </c>
      <c r="O42" s="97">
        <f t="shared" si="35"/>
        <v>29185.010000000002</v>
      </c>
      <c r="P42" s="104" t="s">
        <v>33</v>
      </c>
      <c r="Q42" s="105"/>
      <c r="R42" s="105"/>
      <c r="S42" s="6"/>
    </row>
    <row r="43" spans="1:19">
      <c r="A43" s="90"/>
      <c r="B43" s="91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103"/>
      <c r="N43" s="92"/>
      <c r="O43" s="97"/>
      <c r="P43" s="104"/>
      <c r="Q43" s="105"/>
      <c r="R43" s="105"/>
      <c r="S43" s="6"/>
    </row>
    <row r="44" spans="1:19">
      <c r="A44" s="43" t="s">
        <v>135</v>
      </c>
      <c r="B44" s="7">
        <f t="shared" ref="B44:B48" si="36">SUM(C44,G44,H44,L44)</f>
        <v>222885.83900000004</v>
      </c>
      <c r="C44" s="8">
        <f t="shared" ref="C44:C48" si="37">SUM(D44:F44)</f>
        <v>81070.506000000008</v>
      </c>
      <c r="D44" s="41">
        <v>75606.846000000005</v>
      </c>
      <c r="E44" s="42">
        <v>608</v>
      </c>
      <c r="F44" s="41">
        <v>4855.66</v>
      </c>
      <c r="G44" s="42" t="s">
        <v>197</v>
      </c>
      <c r="H44" s="9">
        <f t="shared" ref="H44:H48" si="38">SUM(I44:K44)</f>
        <v>91552.915000000008</v>
      </c>
      <c r="I44" s="41">
        <v>231.36</v>
      </c>
      <c r="J44" s="42">
        <v>70544.115000000005</v>
      </c>
      <c r="K44" s="41">
        <v>20777.439999999999</v>
      </c>
      <c r="L44" s="9">
        <f t="shared" ref="L44:L48" si="39">SUM(M44:O44)</f>
        <v>50262.417999999998</v>
      </c>
      <c r="M44" s="46">
        <v>577.29999999999995</v>
      </c>
      <c r="N44" s="41">
        <v>22494.317999999999</v>
      </c>
      <c r="O44" s="48">
        <v>27190.799999999999</v>
      </c>
      <c r="P44" s="44" t="s">
        <v>34</v>
      </c>
      <c r="Q44" s="11"/>
      <c r="R44" s="11"/>
      <c r="S44" s="6"/>
    </row>
    <row r="45" spans="1:19">
      <c r="A45" s="43" t="s">
        <v>136</v>
      </c>
      <c r="B45" s="7">
        <f t="shared" si="36"/>
        <v>22401.515000000003</v>
      </c>
      <c r="C45" s="8">
        <f t="shared" si="37"/>
        <v>5214.5</v>
      </c>
      <c r="D45" s="41">
        <v>4215.5</v>
      </c>
      <c r="E45" s="42">
        <v>199</v>
      </c>
      <c r="F45" s="41">
        <v>800</v>
      </c>
      <c r="G45" s="42" t="s">
        <v>197</v>
      </c>
      <c r="H45" s="9">
        <f t="shared" si="38"/>
        <v>14250.795000000002</v>
      </c>
      <c r="I45" s="41">
        <v>114.80500000000001</v>
      </c>
      <c r="J45" s="42">
        <v>12615.61</v>
      </c>
      <c r="K45" s="41">
        <v>1520.38</v>
      </c>
      <c r="L45" s="9">
        <f t="shared" si="39"/>
        <v>2936.2200000000003</v>
      </c>
      <c r="M45" s="46">
        <v>119.735</v>
      </c>
      <c r="N45" s="41">
        <v>2108.855</v>
      </c>
      <c r="O45" s="48">
        <v>707.63</v>
      </c>
      <c r="P45" s="44" t="s">
        <v>35</v>
      </c>
      <c r="Q45" s="11"/>
      <c r="R45" s="11"/>
      <c r="S45" s="6"/>
    </row>
    <row r="46" spans="1:19">
      <c r="A46" s="43" t="s">
        <v>137</v>
      </c>
      <c r="B46" s="7">
        <f t="shared" si="36"/>
        <v>27413.780999999999</v>
      </c>
      <c r="C46" s="8">
        <f t="shared" si="37"/>
        <v>6688.232</v>
      </c>
      <c r="D46" s="41">
        <v>5223.232</v>
      </c>
      <c r="E46" s="42">
        <v>6</v>
      </c>
      <c r="F46" s="41">
        <v>1459</v>
      </c>
      <c r="G46" s="42" t="s">
        <v>197</v>
      </c>
      <c r="H46" s="9">
        <f t="shared" si="38"/>
        <v>12886.696</v>
      </c>
      <c r="I46" s="41">
        <v>356.09100000000001</v>
      </c>
      <c r="J46" s="42">
        <v>12530.605</v>
      </c>
      <c r="K46" s="41" t="s">
        <v>197</v>
      </c>
      <c r="L46" s="9">
        <f t="shared" si="39"/>
        <v>7838.8530000000001</v>
      </c>
      <c r="M46" s="46">
        <v>380.71800000000002</v>
      </c>
      <c r="N46" s="41">
        <v>7458.1350000000002</v>
      </c>
      <c r="O46" s="48" t="s">
        <v>197</v>
      </c>
      <c r="P46" s="44" t="s">
        <v>36</v>
      </c>
      <c r="Q46" s="11"/>
      <c r="R46" s="11"/>
      <c r="S46" s="6"/>
    </row>
    <row r="47" spans="1:19">
      <c r="A47" s="43" t="s">
        <v>138</v>
      </c>
      <c r="B47" s="7">
        <f t="shared" si="36"/>
        <v>1860.14</v>
      </c>
      <c r="C47" s="8">
        <f t="shared" si="37"/>
        <v>0</v>
      </c>
      <c r="D47" s="41" t="s">
        <v>197</v>
      </c>
      <c r="E47" s="42" t="s">
        <v>197</v>
      </c>
      <c r="F47" s="41" t="s">
        <v>197</v>
      </c>
      <c r="G47" s="42" t="s">
        <v>197</v>
      </c>
      <c r="H47" s="9">
        <f t="shared" si="38"/>
        <v>106.74000000000001</v>
      </c>
      <c r="I47" s="41">
        <v>10.54</v>
      </c>
      <c r="J47" s="42">
        <v>96.2</v>
      </c>
      <c r="K47" s="41" t="s">
        <v>197</v>
      </c>
      <c r="L47" s="9">
        <f t="shared" si="39"/>
        <v>1753.4</v>
      </c>
      <c r="M47" s="46">
        <v>21.4</v>
      </c>
      <c r="N47" s="41">
        <v>1732</v>
      </c>
      <c r="O47" s="48" t="s">
        <v>197</v>
      </c>
      <c r="P47" s="44" t="s">
        <v>37</v>
      </c>
      <c r="Q47" s="11"/>
      <c r="R47" s="11"/>
      <c r="S47" s="6"/>
    </row>
    <row r="48" spans="1:19">
      <c r="A48" s="43" t="s">
        <v>139</v>
      </c>
      <c r="B48" s="7">
        <f t="shared" si="36"/>
        <v>55877.33</v>
      </c>
      <c r="C48" s="8">
        <f t="shared" si="37"/>
        <v>25211.4</v>
      </c>
      <c r="D48" s="41">
        <v>21591.9</v>
      </c>
      <c r="E48" s="42">
        <v>201</v>
      </c>
      <c r="F48" s="41">
        <v>3418.5</v>
      </c>
      <c r="G48" s="42" t="s">
        <v>197</v>
      </c>
      <c r="H48" s="9">
        <f t="shared" si="38"/>
        <v>21629.599999999999</v>
      </c>
      <c r="I48" s="41">
        <v>225.27500000000001</v>
      </c>
      <c r="J48" s="42">
        <v>18100.474999999999</v>
      </c>
      <c r="K48" s="41">
        <v>3303.85</v>
      </c>
      <c r="L48" s="9">
        <f t="shared" si="39"/>
        <v>9036.33</v>
      </c>
      <c r="M48" s="46">
        <v>158.72</v>
      </c>
      <c r="N48" s="41">
        <v>7591.03</v>
      </c>
      <c r="O48" s="48">
        <v>1286.58</v>
      </c>
      <c r="P48" s="44" t="s">
        <v>38</v>
      </c>
      <c r="Q48" s="11"/>
      <c r="R48" s="11"/>
      <c r="S48" s="6"/>
    </row>
    <row r="49" spans="1:19">
      <c r="A49" s="90" t="s">
        <v>39</v>
      </c>
      <c r="B49" s="91">
        <f t="shared" ref="B49:C49" si="40">SUM(B51:B55)</f>
        <v>101376.69300000001</v>
      </c>
      <c r="C49" s="92">
        <f t="shared" si="40"/>
        <v>14687.675999999999</v>
      </c>
      <c r="D49" s="92">
        <f>SUM(D51:D55)</f>
        <v>4205.9960000000001</v>
      </c>
      <c r="E49" s="92">
        <f t="shared" ref="E49:G49" si="41">SUM(E51:E55)</f>
        <v>1685.98</v>
      </c>
      <c r="F49" s="92">
        <f t="shared" si="41"/>
        <v>8795.6999999999989</v>
      </c>
      <c r="G49" s="92">
        <f t="shared" si="41"/>
        <v>3</v>
      </c>
      <c r="H49" s="92">
        <f>SUM(H51:H55)</f>
        <v>51867.635000000002</v>
      </c>
      <c r="I49" s="92">
        <f>SUM(I51:I55)</f>
        <v>5626.875</v>
      </c>
      <c r="J49" s="92">
        <f t="shared" ref="J49:L49" si="42">SUM(J51:J55)</f>
        <v>43936.31</v>
      </c>
      <c r="K49" s="92">
        <f t="shared" si="42"/>
        <v>2304.4499999999998</v>
      </c>
      <c r="L49" s="92">
        <f t="shared" si="42"/>
        <v>34818.381999999998</v>
      </c>
      <c r="M49" s="92">
        <f t="shared" ref="M49:O49" si="43">SUM(M51:M55)</f>
        <v>4893.1289999999999</v>
      </c>
      <c r="N49" s="92">
        <f t="shared" si="43"/>
        <v>28900.303</v>
      </c>
      <c r="O49" s="97">
        <f t="shared" si="43"/>
        <v>1024.9499999999998</v>
      </c>
      <c r="P49" s="104" t="s">
        <v>40</v>
      </c>
      <c r="Q49" s="105"/>
      <c r="R49" s="105"/>
      <c r="S49" s="6"/>
    </row>
    <row r="50" spans="1:19">
      <c r="A50" s="90"/>
      <c r="B50" s="91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7"/>
      <c r="P50" s="104"/>
      <c r="Q50" s="105"/>
      <c r="R50" s="105"/>
      <c r="S50" s="6"/>
    </row>
    <row r="51" spans="1:19">
      <c r="A51" s="43" t="s">
        <v>140</v>
      </c>
      <c r="B51" s="7">
        <f t="shared" ref="B51:B55" si="44">SUM(C51,G51,H51,L51)</f>
        <v>28791.715000000004</v>
      </c>
      <c r="C51" s="8">
        <f t="shared" ref="C51:C55" si="45">SUM(D51:F51)</f>
        <v>4646.24</v>
      </c>
      <c r="D51" s="41">
        <v>400.5</v>
      </c>
      <c r="E51" s="42">
        <v>1114.53</v>
      </c>
      <c r="F51" s="41">
        <v>3131.21</v>
      </c>
      <c r="G51" s="42">
        <v>3</v>
      </c>
      <c r="H51" s="9">
        <f t="shared" ref="H51:H55" si="46">SUM(I51:K51)</f>
        <v>14949.630000000001</v>
      </c>
      <c r="I51" s="41">
        <v>1692.45</v>
      </c>
      <c r="J51" s="42">
        <v>12765.53</v>
      </c>
      <c r="K51" s="41">
        <v>491.65</v>
      </c>
      <c r="L51" s="10">
        <f t="shared" ref="L51:L55" si="47">SUM(M51:O51)</f>
        <v>9192.8449999999993</v>
      </c>
      <c r="M51" s="41">
        <v>1165.6099999999999</v>
      </c>
      <c r="N51" s="41">
        <v>7854.835</v>
      </c>
      <c r="O51" s="48">
        <v>172.4</v>
      </c>
      <c r="P51" s="44" t="s">
        <v>41</v>
      </c>
      <c r="Q51" s="11"/>
      <c r="R51" s="11"/>
      <c r="S51" s="6"/>
    </row>
    <row r="52" spans="1:19">
      <c r="A52" s="43" t="s">
        <v>141</v>
      </c>
      <c r="B52" s="7">
        <f t="shared" si="44"/>
        <v>22593.589</v>
      </c>
      <c r="C52" s="8">
        <f t="shared" si="45"/>
        <v>8690.2759999999998</v>
      </c>
      <c r="D52" s="41">
        <v>3296.576</v>
      </c>
      <c r="E52" s="42">
        <v>397.5</v>
      </c>
      <c r="F52" s="41">
        <v>4996.2</v>
      </c>
      <c r="G52" s="42" t="s">
        <v>197</v>
      </c>
      <c r="H52" s="9">
        <f t="shared" si="46"/>
        <v>9094.869999999999</v>
      </c>
      <c r="I52" s="41">
        <v>588.35</v>
      </c>
      <c r="J52" s="42">
        <v>8085.22</v>
      </c>
      <c r="K52" s="41">
        <v>421.3</v>
      </c>
      <c r="L52" s="10">
        <f t="shared" si="47"/>
        <v>4808.4430000000002</v>
      </c>
      <c r="M52" s="41">
        <v>495.44</v>
      </c>
      <c r="N52" s="41">
        <v>4247.9530000000004</v>
      </c>
      <c r="O52" s="48">
        <v>65.05</v>
      </c>
      <c r="P52" s="44" t="s">
        <v>42</v>
      </c>
      <c r="Q52" s="11"/>
      <c r="R52" s="11"/>
      <c r="S52" s="6"/>
    </row>
    <row r="53" spans="1:19">
      <c r="A53" s="43" t="s">
        <v>142</v>
      </c>
      <c r="B53" s="7">
        <f t="shared" si="44"/>
        <v>35286.048999999999</v>
      </c>
      <c r="C53" s="8">
        <f t="shared" si="45"/>
        <v>944.66</v>
      </c>
      <c r="D53" s="41">
        <v>207.72</v>
      </c>
      <c r="E53" s="42">
        <v>173.95</v>
      </c>
      <c r="F53" s="41">
        <v>562.99</v>
      </c>
      <c r="G53" s="42" t="s">
        <v>197</v>
      </c>
      <c r="H53" s="9">
        <f t="shared" si="46"/>
        <v>19943.5</v>
      </c>
      <c r="I53" s="41">
        <v>2867.6</v>
      </c>
      <c r="J53" s="42">
        <v>15736.4</v>
      </c>
      <c r="K53" s="41">
        <v>1339.5</v>
      </c>
      <c r="L53" s="10">
        <f t="shared" si="47"/>
        <v>14397.888999999999</v>
      </c>
      <c r="M53" s="41">
        <v>2687.1489999999999</v>
      </c>
      <c r="N53" s="41">
        <v>11035.34</v>
      </c>
      <c r="O53" s="48">
        <v>675.4</v>
      </c>
      <c r="P53" s="44" t="s">
        <v>43</v>
      </c>
      <c r="Q53" s="11"/>
      <c r="R53" s="11"/>
      <c r="S53" s="6"/>
    </row>
    <row r="54" spans="1:19">
      <c r="A54" s="43" t="s">
        <v>143</v>
      </c>
      <c r="B54" s="7">
        <f t="shared" si="44"/>
        <v>5570.5850000000009</v>
      </c>
      <c r="C54" s="8">
        <f t="shared" si="45"/>
        <v>22.5</v>
      </c>
      <c r="D54" s="41">
        <v>12</v>
      </c>
      <c r="E54" s="42" t="s">
        <v>197</v>
      </c>
      <c r="F54" s="41">
        <v>10.5</v>
      </c>
      <c r="G54" s="42" t="s">
        <v>197</v>
      </c>
      <c r="H54" s="9">
        <f t="shared" si="46"/>
        <v>2796.9</v>
      </c>
      <c r="I54" s="41">
        <v>178.39500000000001</v>
      </c>
      <c r="J54" s="42">
        <v>2618.5050000000001</v>
      </c>
      <c r="K54" s="41" t="s">
        <v>197</v>
      </c>
      <c r="L54" s="10">
        <f t="shared" si="47"/>
        <v>2751.1850000000004</v>
      </c>
      <c r="M54" s="41">
        <v>301.01</v>
      </c>
      <c r="N54" s="41">
        <v>2450.1750000000002</v>
      </c>
      <c r="O54" s="48" t="s">
        <v>197</v>
      </c>
      <c r="P54" s="44" t="s">
        <v>44</v>
      </c>
      <c r="Q54" s="11"/>
      <c r="R54" s="11"/>
      <c r="S54" s="6"/>
    </row>
    <row r="55" spans="1:19">
      <c r="A55" s="43" t="s">
        <v>144</v>
      </c>
      <c r="B55" s="7">
        <f t="shared" si="44"/>
        <v>9134.7549999999992</v>
      </c>
      <c r="C55" s="8">
        <f t="shared" si="45"/>
        <v>384</v>
      </c>
      <c r="D55" s="41">
        <v>289.2</v>
      </c>
      <c r="E55" s="42" t="s">
        <v>197</v>
      </c>
      <c r="F55" s="41">
        <v>94.8</v>
      </c>
      <c r="G55" s="42" t="s">
        <v>197</v>
      </c>
      <c r="H55" s="9">
        <f t="shared" si="46"/>
        <v>5082.7349999999997</v>
      </c>
      <c r="I55" s="41">
        <v>300.08</v>
      </c>
      <c r="J55" s="42">
        <v>4730.6549999999997</v>
      </c>
      <c r="K55" s="41">
        <v>52</v>
      </c>
      <c r="L55" s="10">
        <f t="shared" si="47"/>
        <v>3668.02</v>
      </c>
      <c r="M55" s="41">
        <v>243.92</v>
      </c>
      <c r="N55" s="41">
        <v>3312</v>
      </c>
      <c r="O55" s="48">
        <v>112.1</v>
      </c>
      <c r="P55" s="44" t="s">
        <v>45</v>
      </c>
      <c r="Q55" s="11"/>
      <c r="R55" s="11"/>
      <c r="S55" s="6"/>
    </row>
    <row r="56" spans="1:19">
      <c r="A56" s="90" t="s">
        <v>46</v>
      </c>
      <c r="B56" s="91">
        <f t="shared" ref="B56:C56" si="48">SUM(B58:B62)</f>
        <v>16712.36</v>
      </c>
      <c r="C56" s="92">
        <f t="shared" si="48"/>
        <v>819.87999999999988</v>
      </c>
      <c r="D56" s="92">
        <f>SUM(D58:D62)</f>
        <v>229.6</v>
      </c>
      <c r="E56" s="92">
        <f t="shared" ref="E56:G56" si="49">SUM(E58:E62)</f>
        <v>314.60000000000002</v>
      </c>
      <c r="F56" s="92">
        <f t="shared" si="49"/>
        <v>275.68</v>
      </c>
      <c r="G56" s="92">
        <f t="shared" si="49"/>
        <v>0</v>
      </c>
      <c r="H56" s="92">
        <f>SUM(H58:H62)</f>
        <v>9185.9150000000009</v>
      </c>
      <c r="I56" s="92">
        <f>SUM(I58:I62)</f>
        <v>1112.835</v>
      </c>
      <c r="J56" s="92">
        <f t="shared" ref="J56:L56" si="50">SUM(J58:J62)</f>
        <v>8073.079999999999</v>
      </c>
      <c r="K56" s="92">
        <f t="shared" si="50"/>
        <v>0</v>
      </c>
      <c r="L56" s="92">
        <f t="shared" si="50"/>
        <v>6706.5649999999996</v>
      </c>
      <c r="M56" s="92">
        <f t="shared" ref="M56:O56" si="51">SUM(M58:M62)</f>
        <v>1213.8050000000001</v>
      </c>
      <c r="N56" s="92">
        <f t="shared" si="51"/>
        <v>5492.76</v>
      </c>
      <c r="O56" s="97">
        <f t="shared" si="51"/>
        <v>0</v>
      </c>
      <c r="P56" s="104" t="s">
        <v>47</v>
      </c>
      <c r="Q56" s="105"/>
      <c r="R56" s="105"/>
      <c r="S56" s="6"/>
    </row>
    <row r="57" spans="1:19">
      <c r="A57" s="90"/>
      <c r="B57" s="91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7"/>
      <c r="P57" s="104"/>
      <c r="Q57" s="105"/>
      <c r="R57" s="105"/>
      <c r="S57" s="6"/>
    </row>
    <row r="58" spans="1:19">
      <c r="A58" s="43" t="s">
        <v>145</v>
      </c>
      <c r="B58" s="7">
        <f t="shared" ref="B58:B62" si="52">SUM(C58,G58,H58,L58)</f>
        <v>1370.7399999999998</v>
      </c>
      <c r="C58" s="8">
        <f t="shared" ref="C58:C62" si="53">SUM(D58:F58)</f>
        <v>110.17999999999999</v>
      </c>
      <c r="D58" s="41">
        <v>46.6</v>
      </c>
      <c r="E58" s="42">
        <v>59.5</v>
      </c>
      <c r="F58" s="41">
        <v>4.08</v>
      </c>
      <c r="G58" s="42" t="s">
        <v>197</v>
      </c>
      <c r="H58" s="9">
        <f t="shared" ref="H58:H62" si="54">SUM(I58:K58)</f>
        <v>710.97</v>
      </c>
      <c r="I58" s="41">
        <v>504.91</v>
      </c>
      <c r="J58" s="42">
        <v>206.06</v>
      </c>
      <c r="K58" s="41" t="s">
        <v>197</v>
      </c>
      <c r="L58" s="10">
        <f t="shared" ref="L58:L62" si="55">SUM(M58:O58)</f>
        <v>549.58999999999992</v>
      </c>
      <c r="M58" s="41">
        <v>376.34</v>
      </c>
      <c r="N58" s="41">
        <v>173.25</v>
      </c>
      <c r="O58" s="48" t="s">
        <v>197</v>
      </c>
      <c r="P58" s="44" t="s">
        <v>48</v>
      </c>
      <c r="Q58" s="11"/>
      <c r="R58" s="11"/>
      <c r="S58" s="6"/>
    </row>
    <row r="59" spans="1:19">
      <c r="A59" s="43" t="s">
        <v>146</v>
      </c>
      <c r="B59" s="7">
        <f t="shared" si="52"/>
        <v>2443.2399999999998</v>
      </c>
      <c r="C59" s="8">
        <f t="shared" si="53"/>
        <v>481</v>
      </c>
      <c r="D59" s="41">
        <v>111</v>
      </c>
      <c r="E59" s="42">
        <v>220</v>
      </c>
      <c r="F59" s="41">
        <v>150</v>
      </c>
      <c r="G59" s="42" t="s">
        <v>197</v>
      </c>
      <c r="H59" s="9">
        <f t="shared" si="54"/>
        <v>884.99</v>
      </c>
      <c r="I59" s="41">
        <v>275.58999999999997</v>
      </c>
      <c r="J59" s="42">
        <v>609.4</v>
      </c>
      <c r="K59" s="41" t="s">
        <v>197</v>
      </c>
      <c r="L59" s="10">
        <f t="shared" si="55"/>
        <v>1077.25</v>
      </c>
      <c r="M59" s="41">
        <v>500.37</v>
      </c>
      <c r="N59" s="41">
        <v>576.88</v>
      </c>
      <c r="O59" s="48" t="s">
        <v>197</v>
      </c>
      <c r="P59" s="44" t="s">
        <v>49</v>
      </c>
      <c r="Q59" s="11"/>
      <c r="R59" s="11"/>
      <c r="S59" s="6"/>
    </row>
    <row r="60" spans="1:19">
      <c r="A60" s="43" t="s">
        <v>147</v>
      </c>
      <c r="B60" s="7">
        <f t="shared" si="52"/>
        <v>387.86</v>
      </c>
      <c r="C60" s="8">
        <f t="shared" si="53"/>
        <v>0</v>
      </c>
      <c r="D60" s="41" t="s">
        <v>197</v>
      </c>
      <c r="E60" s="42" t="s">
        <v>197</v>
      </c>
      <c r="F60" s="41" t="s">
        <v>197</v>
      </c>
      <c r="G60" s="42" t="s">
        <v>197</v>
      </c>
      <c r="H60" s="9">
        <f t="shared" si="54"/>
        <v>265.29000000000002</v>
      </c>
      <c r="I60" s="41">
        <v>2.69</v>
      </c>
      <c r="J60" s="42">
        <v>262.60000000000002</v>
      </c>
      <c r="K60" s="41" t="s">
        <v>197</v>
      </c>
      <c r="L60" s="10">
        <f t="shared" si="55"/>
        <v>122.57000000000001</v>
      </c>
      <c r="M60" s="41">
        <v>1.17</v>
      </c>
      <c r="N60" s="41">
        <v>121.4</v>
      </c>
      <c r="O60" s="48" t="s">
        <v>197</v>
      </c>
      <c r="P60" s="44" t="s">
        <v>50</v>
      </c>
      <c r="Q60" s="11"/>
      <c r="R60" s="11"/>
      <c r="S60" s="6"/>
    </row>
    <row r="61" spans="1:19">
      <c r="A61" s="43" t="s">
        <v>148</v>
      </c>
      <c r="B61" s="7">
        <f t="shared" si="52"/>
        <v>11440.39</v>
      </c>
      <c r="C61" s="8">
        <f t="shared" si="53"/>
        <v>228.7</v>
      </c>
      <c r="D61" s="41">
        <v>72</v>
      </c>
      <c r="E61" s="42">
        <v>35.1</v>
      </c>
      <c r="F61" s="41">
        <v>121.6</v>
      </c>
      <c r="G61" s="42" t="s">
        <v>197</v>
      </c>
      <c r="H61" s="9">
        <f t="shared" si="54"/>
        <v>6785.665</v>
      </c>
      <c r="I61" s="41">
        <v>276.84500000000003</v>
      </c>
      <c r="J61" s="42">
        <v>6508.82</v>
      </c>
      <c r="K61" s="41" t="s">
        <v>197</v>
      </c>
      <c r="L61" s="10">
        <f t="shared" si="55"/>
        <v>4426.0249999999996</v>
      </c>
      <c r="M61" s="41">
        <v>298.39499999999998</v>
      </c>
      <c r="N61" s="41">
        <v>4127.63</v>
      </c>
      <c r="O61" s="48" t="s">
        <v>197</v>
      </c>
      <c r="P61" s="44" t="s">
        <v>51</v>
      </c>
      <c r="Q61" s="11"/>
      <c r="R61" s="11"/>
      <c r="S61" s="6"/>
    </row>
    <row r="62" spans="1:19">
      <c r="A62" s="43" t="s">
        <v>149</v>
      </c>
      <c r="B62" s="7">
        <f t="shared" si="52"/>
        <v>1070.1300000000001</v>
      </c>
      <c r="C62" s="8">
        <f t="shared" si="53"/>
        <v>0</v>
      </c>
      <c r="D62" s="41" t="s">
        <v>197</v>
      </c>
      <c r="E62" s="42" t="s">
        <v>197</v>
      </c>
      <c r="F62" s="41" t="s">
        <v>197</v>
      </c>
      <c r="G62" s="42" t="s">
        <v>197</v>
      </c>
      <c r="H62" s="9">
        <f t="shared" si="54"/>
        <v>539</v>
      </c>
      <c r="I62" s="41">
        <v>52.8</v>
      </c>
      <c r="J62" s="42">
        <v>486.2</v>
      </c>
      <c r="K62" s="41" t="s">
        <v>197</v>
      </c>
      <c r="L62" s="10">
        <f t="shared" si="55"/>
        <v>531.13</v>
      </c>
      <c r="M62" s="41">
        <v>37.53</v>
      </c>
      <c r="N62" s="41">
        <v>493.6</v>
      </c>
      <c r="O62" s="48" t="s">
        <v>197</v>
      </c>
      <c r="P62" s="44" t="s">
        <v>52</v>
      </c>
      <c r="Q62" s="11"/>
      <c r="R62" s="11"/>
      <c r="S62" s="6"/>
    </row>
    <row r="63" spans="1:19">
      <c r="A63" s="90" t="s">
        <v>53</v>
      </c>
      <c r="B63" s="91">
        <f>SUM(B65:B67)</f>
        <v>198320.58900000001</v>
      </c>
      <c r="C63" s="92">
        <f t="shared" ref="C63" si="56">SUM(C65:C67)</f>
        <v>22618.843999999997</v>
      </c>
      <c r="D63" s="92">
        <f>SUM(D65:D67)</f>
        <v>13444.205</v>
      </c>
      <c r="E63" s="92">
        <f t="shared" ref="E63:G63" si="57">SUM(E65:E67)</f>
        <v>1623.0650000000001</v>
      </c>
      <c r="F63" s="92">
        <f t="shared" si="57"/>
        <v>7551.5740000000005</v>
      </c>
      <c r="G63" s="92">
        <f t="shared" si="57"/>
        <v>0</v>
      </c>
      <c r="H63" s="92">
        <f>SUM(H65:H67)</f>
        <v>131340.861</v>
      </c>
      <c r="I63" s="92">
        <f>SUM(I65:I67)</f>
        <v>8640.2559999999994</v>
      </c>
      <c r="J63" s="92">
        <f t="shared" ref="J63:L63" si="58">SUM(J65:J67)</f>
        <v>118001.20499999999</v>
      </c>
      <c r="K63" s="92">
        <f t="shared" si="58"/>
        <v>4699.3999999999996</v>
      </c>
      <c r="L63" s="92">
        <f t="shared" si="58"/>
        <v>44360.884000000005</v>
      </c>
      <c r="M63" s="92">
        <f t="shared" ref="M63:O63" si="59">SUM(M65:M67)</f>
        <v>8012.1179999999995</v>
      </c>
      <c r="N63" s="92">
        <f t="shared" si="59"/>
        <v>35180.180999999997</v>
      </c>
      <c r="O63" s="97">
        <f t="shared" si="59"/>
        <v>1168.585</v>
      </c>
      <c r="P63" s="104" t="s">
        <v>54</v>
      </c>
      <c r="Q63" s="105"/>
      <c r="R63" s="105"/>
      <c r="S63" s="6"/>
    </row>
    <row r="64" spans="1:19">
      <c r="A64" s="90"/>
      <c r="B64" s="91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7"/>
      <c r="P64" s="104"/>
      <c r="Q64" s="105"/>
      <c r="R64" s="105"/>
      <c r="S64" s="6"/>
    </row>
    <row r="65" spans="1:19">
      <c r="A65" s="43" t="s">
        <v>150</v>
      </c>
      <c r="B65" s="7">
        <f>SUM(C65,G65,H65,L65)</f>
        <v>63517.076000000008</v>
      </c>
      <c r="C65" s="8">
        <f t="shared" ref="C65:C67" si="60">SUM(D65:F65)</f>
        <v>9318.4249999999993</v>
      </c>
      <c r="D65" s="41">
        <v>5784.2</v>
      </c>
      <c r="E65" s="42">
        <v>579.02499999999998</v>
      </c>
      <c r="F65" s="41">
        <v>2955.2</v>
      </c>
      <c r="G65" s="42" t="s">
        <v>197</v>
      </c>
      <c r="H65" s="9">
        <f t="shared" ref="H65:H67" si="61">SUM(I65:K65)</f>
        <v>39573.751000000004</v>
      </c>
      <c r="I65" s="41">
        <v>2926.3510000000001</v>
      </c>
      <c r="J65" s="42">
        <v>36642.9</v>
      </c>
      <c r="K65" s="41">
        <v>4.5</v>
      </c>
      <c r="L65" s="10">
        <f t="shared" ref="L65:L67" si="62">SUM(M65:O65)</f>
        <v>14624.9</v>
      </c>
      <c r="M65" s="41">
        <v>2111.75</v>
      </c>
      <c r="N65" s="41">
        <v>12494.15</v>
      </c>
      <c r="O65" s="48">
        <v>19</v>
      </c>
      <c r="P65" s="44" t="s">
        <v>55</v>
      </c>
      <c r="Q65" s="11"/>
      <c r="R65" s="11"/>
      <c r="S65" s="6"/>
    </row>
    <row r="66" spans="1:19">
      <c r="A66" s="43" t="s">
        <v>151</v>
      </c>
      <c r="B66" s="7">
        <f t="shared" ref="B66:B67" si="63">SUM(C66,G66,H66,L66)</f>
        <v>79048.092000000004</v>
      </c>
      <c r="C66" s="8">
        <f t="shared" si="60"/>
        <v>3683.34</v>
      </c>
      <c r="D66" s="41">
        <v>1331</v>
      </c>
      <c r="E66" s="42">
        <v>835.04</v>
      </c>
      <c r="F66" s="41">
        <v>1517.3</v>
      </c>
      <c r="G66" s="42" t="s">
        <v>197</v>
      </c>
      <c r="H66" s="9">
        <f t="shared" si="61"/>
        <v>54194.447</v>
      </c>
      <c r="I66" s="41">
        <v>3155.9520000000002</v>
      </c>
      <c r="J66" s="42">
        <v>47032.595000000001</v>
      </c>
      <c r="K66" s="41">
        <v>4005.9</v>
      </c>
      <c r="L66" s="10">
        <f t="shared" si="62"/>
        <v>21170.305</v>
      </c>
      <c r="M66" s="41">
        <v>4679.6099999999997</v>
      </c>
      <c r="N66" s="41">
        <v>15899.035</v>
      </c>
      <c r="O66" s="48">
        <v>591.66</v>
      </c>
      <c r="P66" s="44" t="s">
        <v>56</v>
      </c>
      <c r="Q66" s="11"/>
      <c r="R66" s="11"/>
      <c r="S66" s="6"/>
    </row>
    <row r="67" spans="1:19">
      <c r="A67" s="43" t="s">
        <v>152</v>
      </c>
      <c r="B67" s="7">
        <f t="shared" si="63"/>
        <v>55755.421000000002</v>
      </c>
      <c r="C67" s="8">
        <f t="shared" si="60"/>
        <v>9617.0789999999997</v>
      </c>
      <c r="D67" s="41">
        <v>6329.0050000000001</v>
      </c>
      <c r="E67" s="42">
        <v>209</v>
      </c>
      <c r="F67" s="41">
        <v>3079.0740000000001</v>
      </c>
      <c r="G67" s="42" t="s">
        <v>197</v>
      </c>
      <c r="H67" s="9">
        <f t="shared" si="61"/>
        <v>37572.663</v>
      </c>
      <c r="I67" s="41">
        <v>2557.953</v>
      </c>
      <c r="J67" s="42">
        <v>34325.71</v>
      </c>
      <c r="K67" s="41">
        <v>689</v>
      </c>
      <c r="L67" s="10">
        <f t="shared" si="62"/>
        <v>8565.6790000000001</v>
      </c>
      <c r="M67" s="41">
        <v>1220.758</v>
      </c>
      <c r="N67" s="41">
        <v>6786.9960000000001</v>
      </c>
      <c r="O67" s="48">
        <v>557.92499999999995</v>
      </c>
      <c r="P67" s="44" t="s">
        <v>57</v>
      </c>
      <c r="Q67" s="11"/>
      <c r="R67" s="11"/>
      <c r="S67" s="6"/>
    </row>
    <row r="68" spans="1:19">
      <c r="A68" s="90" t="s">
        <v>58</v>
      </c>
      <c r="B68" s="91">
        <f t="shared" ref="B68:C68" si="64">SUM(B70:B74)</f>
        <v>103630.37400000001</v>
      </c>
      <c r="C68" s="92">
        <f t="shared" si="64"/>
        <v>7494.2249999999995</v>
      </c>
      <c r="D68" s="92">
        <f>SUM(D70:D74)</f>
        <v>4543.3</v>
      </c>
      <c r="E68" s="92">
        <f t="shared" ref="E68:G68" si="65">SUM(E70:E74)</f>
        <v>1901.8000000000002</v>
      </c>
      <c r="F68" s="92">
        <f t="shared" si="65"/>
        <v>1049.125</v>
      </c>
      <c r="G68" s="92">
        <f t="shared" si="65"/>
        <v>0</v>
      </c>
      <c r="H68" s="92">
        <f>SUM(H70:H74)</f>
        <v>44973.743999999999</v>
      </c>
      <c r="I68" s="92">
        <f>SUM(I70:I74)</f>
        <v>3569.6440000000002</v>
      </c>
      <c r="J68" s="92">
        <f t="shared" ref="J68:L68" si="66">SUM(J70:J74)</f>
        <v>38802.89</v>
      </c>
      <c r="K68" s="92">
        <f t="shared" si="66"/>
        <v>2601.21</v>
      </c>
      <c r="L68" s="92">
        <f t="shared" si="66"/>
        <v>51162.404999999999</v>
      </c>
      <c r="M68" s="92">
        <f t="shared" ref="M68:O68" si="67">SUM(M70:M74)</f>
        <v>6307.45</v>
      </c>
      <c r="N68" s="92">
        <f t="shared" si="67"/>
        <v>40999.285000000003</v>
      </c>
      <c r="O68" s="97">
        <f t="shared" si="67"/>
        <v>3855.67</v>
      </c>
      <c r="P68" s="104" t="s">
        <v>59</v>
      </c>
      <c r="Q68" s="105"/>
      <c r="R68" s="105"/>
      <c r="S68" s="6"/>
    </row>
    <row r="69" spans="1:19">
      <c r="A69" s="90"/>
      <c r="B69" s="91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7"/>
      <c r="P69" s="104"/>
      <c r="Q69" s="105"/>
      <c r="R69" s="105"/>
      <c r="S69" s="6"/>
    </row>
    <row r="70" spans="1:19">
      <c r="A70" s="43" t="s">
        <v>153</v>
      </c>
      <c r="B70" s="7">
        <f t="shared" ref="B70:B74" si="68">SUM(C70,G70,H70,L70)</f>
        <v>21117.86</v>
      </c>
      <c r="C70" s="8">
        <f t="shared" ref="C70:C74" si="69">SUM(D70:F70)</f>
        <v>32</v>
      </c>
      <c r="D70" s="41" t="s">
        <v>197</v>
      </c>
      <c r="E70" s="42">
        <v>30</v>
      </c>
      <c r="F70" s="41">
        <v>2</v>
      </c>
      <c r="G70" s="42" t="s">
        <v>197</v>
      </c>
      <c r="H70" s="9">
        <f t="shared" ref="H70:H74" si="70">SUM(I70:K70)</f>
        <v>11912.96</v>
      </c>
      <c r="I70" s="41">
        <v>486.26</v>
      </c>
      <c r="J70" s="42">
        <v>11063.22</v>
      </c>
      <c r="K70" s="41">
        <v>363.48</v>
      </c>
      <c r="L70" s="10">
        <f t="shared" ref="L70:L74" si="71">SUM(M70:O70)</f>
        <v>9172.9</v>
      </c>
      <c r="M70" s="41">
        <v>692.48</v>
      </c>
      <c r="N70" s="41">
        <v>7912.02</v>
      </c>
      <c r="O70" s="48">
        <v>568.4</v>
      </c>
      <c r="P70" s="44" t="s">
        <v>60</v>
      </c>
      <c r="Q70" s="11"/>
      <c r="R70" s="11"/>
      <c r="S70" s="6"/>
    </row>
    <row r="71" spans="1:19">
      <c r="A71" s="43" t="s">
        <v>154</v>
      </c>
      <c r="B71" s="7">
        <f t="shared" si="68"/>
        <v>21473.65</v>
      </c>
      <c r="C71" s="8">
        <f t="shared" si="69"/>
        <v>1328.5</v>
      </c>
      <c r="D71" s="41">
        <v>175</v>
      </c>
      <c r="E71" s="42">
        <v>1050</v>
      </c>
      <c r="F71" s="41">
        <v>103.5</v>
      </c>
      <c r="G71" s="42" t="s">
        <v>197</v>
      </c>
      <c r="H71" s="9">
        <f t="shared" si="70"/>
        <v>10226.084999999999</v>
      </c>
      <c r="I71" s="41">
        <v>548.63499999999999</v>
      </c>
      <c r="J71" s="42">
        <v>8880.0499999999993</v>
      </c>
      <c r="K71" s="41">
        <v>797.4</v>
      </c>
      <c r="L71" s="10">
        <f t="shared" si="71"/>
        <v>9919.0650000000005</v>
      </c>
      <c r="M71" s="41">
        <v>667.1</v>
      </c>
      <c r="N71" s="41">
        <v>8177.1149999999998</v>
      </c>
      <c r="O71" s="48">
        <v>1074.8499999999999</v>
      </c>
      <c r="P71" s="44" t="s">
        <v>61</v>
      </c>
      <c r="Q71" s="11"/>
      <c r="R71" s="11"/>
      <c r="S71" s="6"/>
    </row>
    <row r="72" spans="1:19">
      <c r="A72" s="43" t="s">
        <v>155</v>
      </c>
      <c r="B72" s="7">
        <f t="shared" si="68"/>
        <v>11172.313999999998</v>
      </c>
      <c r="C72" s="8">
        <f t="shared" si="69"/>
        <v>137.19999999999999</v>
      </c>
      <c r="D72" s="41">
        <v>126</v>
      </c>
      <c r="E72" s="42">
        <v>11.2</v>
      </c>
      <c r="F72" s="41" t="s">
        <v>197</v>
      </c>
      <c r="G72" s="42" t="s">
        <v>197</v>
      </c>
      <c r="H72" s="9">
        <f t="shared" si="70"/>
        <v>5748.7640000000001</v>
      </c>
      <c r="I72" s="41">
        <v>288.09399999999999</v>
      </c>
      <c r="J72" s="42">
        <v>5142.87</v>
      </c>
      <c r="K72" s="41">
        <v>317.8</v>
      </c>
      <c r="L72" s="10">
        <f t="shared" si="71"/>
        <v>5286.3499999999995</v>
      </c>
      <c r="M72" s="41">
        <v>524.53</v>
      </c>
      <c r="N72" s="41">
        <v>4463.42</v>
      </c>
      <c r="O72" s="48">
        <v>298.39999999999998</v>
      </c>
      <c r="P72" s="44" t="s">
        <v>62</v>
      </c>
      <c r="Q72" s="11"/>
      <c r="R72" s="11"/>
      <c r="S72" s="6"/>
    </row>
    <row r="73" spans="1:19">
      <c r="A73" s="43" t="s">
        <v>156</v>
      </c>
      <c r="B73" s="7">
        <f t="shared" si="68"/>
        <v>33447.395000000004</v>
      </c>
      <c r="C73" s="8">
        <f t="shared" si="69"/>
        <v>5584</v>
      </c>
      <c r="D73" s="41">
        <v>4196.7</v>
      </c>
      <c r="E73" s="42">
        <v>633.1</v>
      </c>
      <c r="F73" s="41">
        <v>754.2</v>
      </c>
      <c r="G73" s="42" t="s">
        <v>197</v>
      </c>
      <c r="H73" s="9">
        <f t="shared" si="70"/>
        <v>7322.255000000001</v>
      </c>
      <c r="I73" s="41">
        <v>926.85</v>
      </c>
      <c r="J73" s="42">
        <v>5518.9650000000001</v>
      </c>
      <c r="K73" s="41">
        <v>876.44</v>
      </c>
      <c r="L73" s="10">
        <f t="shared" si="71"/>
        <v>20541.14</v>
      </c>
      <c r="M73" s="41">
        <v>2372.64</v>
      </c>
      <c r="N73" s="41">
        <v>16478.080000000002</v>
      </c>
      <c r="O73" s="48">
        <v>1690.42</v>
      </c>
      <c r="P73" s="44" t="s">
        <v>63</v>
      </c>
      <c r="Q73" s="11"/>
      <c r="R73" s="11"/>
      <c r="S73" s="6"/>
    </row>
    <row r="74" spans="1:19">
      <c r="A74" s="43" t="s">
        <v>157</v>
      </c>
      <c r="B74" s="7">
        <f t="shared" si="68"/>
        <v>16419.154999999999</v>
      </c>
      <c r="C74" s="8">
        <f t="shared" si="69"/>
        <v>412.52499999999998</v>
      </c>
      <c r="D74" s="41">
        <v>45.6</v>
      </c>
      <c r="E74" s="42">
        <v>177.5</v>
      </c>
      <c r="F74" s="41">
        <v>189.42500000000001</v>
      </c>
      <c r="G74" s="42" t="s">
        <v>197</v>
      </c>
      <c r="H74" s="9">
        <f t="shared" si="70"/>
        <v>9763.68</v>
      </c>
      <c r="I74" s="41">
        <v>1319.8050000000001</v>
      </c>
      <c r="J74" s="42">
        <v>8197.7849999999999</v>
      </c>
      <c r="K74" s="41">
        <v>246.09</v>
      </c>
      <c r="L74" s="10">
        <f t="shared" si="71"/>
        <v>6242.9500000000007</v>
      </c>
      <c r="M74" s="41">
        <v>2050.6999999999998</v>
      </c>
      <c r="N74" s="41">
        <v>3968.65</v>
      </c>
      <c r="O74" s="48">
        <v>223.6</v>
      </c>
      <c r="P74" s="44" t="s">
        <v>64</v>
      </c>
      <c r="Q74" s="11"/>
      <c r="R74" s="11"/>
      <c r="S74" s="6"/>
    </row>
    <row r="75" spans="1:19">
      <c r="A75" s="90" t="s">
        <v>65</v>
      </c>
      <c r="B75" s="91">
        <f t="shared" ref="B75:C75" si="72">SUM(B77:B84)</f>
        <v>28000.990999999998</v>
      </c>
      <c r="C75" s="92">
        <f t="shared" si="72"/>
        <v>7937.2690000000002</v>
      </c>
      <c r="D75" s="92">
        <f>SUM(D77:D84)</f>
        <v>6797.2690000000002</v>
      </c>
      <c r="E75" s="92">
        <f t="shared" ref="E75:I75" si="73">SUM(E77:E84)</f>
        <v>900</v>
      </c>
      <c r="F75" s="92">
        <f t="shared" si="73"/>
        <v>240</v>
      </c>
      <c r="G75" s="92">
        <f t="shared" si="73"/>
        <v>0</v>
      </c>
      <c r="H75" s="92">
        <f>SUM(H77:H84)</f>
        <v>14022.996999999999</v>
      </c>
      <c r="I75" s="92">
        <f t="shared" si="73"/>
        <v>523.476</v>
      </c>
      <c r="J75" s="92">
        <f t="shared" ref="J75:L75" si="74">SUM(J77:J84)</f>
        <v>13083.842999999999</v>
      </c>
      <c r="K75" s="92">
        <f t="shared" si="74"/>
        <v>415.678</v>
      </c>
      <c r="L75" s="92">
        <f t="shared" si="74"/>
        <v>6040.7249999999995</v>
      </c>
      <c r="M75" s="92">
        <f t="shared" ref="M75:O75" si="75">SUM(M77:M84)</f>
        <v>959.06999999999994</v>
      </c>
      <c r="N75" s="92">
        <f t="shared" si="75"/>
        <v>5003.1850000000004</v>
      </c>
      <c r="O75" s="97">
        <f t="shared" si="75"/>
        <v>78.47</v>
      </c>
      <c r="P75" s="104" t="s">
        <v>66</v>
      </c>
      <c r="Q75" s="105"/>
      <c r="R75" s="105"/>
      <c r="S75" s="6"/>
    </row>
    <row r="76" spans="1:19">
      <c r="A76" s="90"/>
      <c r="B76" s="91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7"/>
      <c r="P76" s="104"/>
      <c r="Q76" s="105"/>
      <c r="R76" s="105"/>
      <c r="S76" s="6"/>
    </row>
    <row r="77" spans="1:19">
      <c r="A77" s="47" t="s">
        <v>67</v>
      </c>
      <c r="B77" s="7">
        <f t="shared" ref="B77:B84" si="76">SUM(C77,G77,H77,L77)</f>
        <v>0</v>
      </c>
      <c r="C77" s="27">
        <f t="shared" ref="C77:C84" si="77">SUM(D77:F77)</f>
        <v>0</v>
      </c>
      <c r="D77" s="41" t="s">
        <v>197</v>
      </c>
      <c r="E77" s="42" t="s">
        <v>197</v>
      </c>
      <c r="F77" s="41" t="s">
        <v>197</v>
      </c>
      <c r="G77" s="42" t="s">
        <v>197</v>
      </c>
      <c r="H77" s="28">
        <f t="shared" ref="H77:H84" si="78">SUM(I77:K77)</f>
        <v>0</v>
      </c>
      <c r="I77" s="41" t="s">
        <v>197</v>
      </c>
      <c r="J77" s="42" t="s">
        <v>197</v>
      </c>
      <c r="K77" s="41" t="s">
        <v>197</v>
      </c>
      <c r="L77" s="29">
        <f t="shared" ref="L77:L84" si="79">SUM(M77:O77)</f>
        <v>0</v>
      </c>
      <c r="M77" s="41" t="s">
        <v>197</v>
      </c>
      <c r="N77" s="41" t="s">
        <v>197</v>
      </c>
      <c r="O77" s="48" t="s">
        <v>197</v>
      </c>
      <c r="P77" s="44" t="s">
        <v>68</v>
      </c>
      <c r="Q77" s="11"/>
      <c r="R77" s="11"/>
      <c r="S77" s="6"/>
    </row>
    <row r="78" spans="1:19">
      <c r="A78" s="47" t="s">
        <v>69</v>
      </c>
      <c r="B78" s="7">
        <f t="shared" si="76"/>
        <v>0</v>
      </c>
      <c r="C78" s="8">
        <f t="shared" si="77"/>
        <v>0</v>
      </c>
      <c r="D78" s="41" t="s">
        <v>197</v>
      </c>
      <c r="E78" s="42" t="s">
        <v>197</v>
      </c>
      <c r="F78" s="41" t="s">
        <v>197</v>
      </c>
      <c r="G78" s="42" t="s">
        <v>197</v>
      </c>
      <c r="H78" s="9">
        <f t="shared" si="78"/>
        <v>0</v>
      </c>
      <c r="I78" s="41" t="s">
        <v>197</v>
      </c>
      <c r="J78" s="42" t="s">
        <v>197</v>
      </c>
      <c r="K78" s="41" t="s">
        <v>197</v>
      </c>
      <c r="L78" s="10">
        <f t="shared" si="79"/>
        <v>0</v>
      </c>
      <c r="M78" s="41" t="s">
        <v>197</v>
      </c>
      <c r="N78" s="41" t="s">
        <v>197</v>
      </c>
      <c r="O78" s="48" t="s">
        <v>197</v>
      </c>
      <c r="P78" s="44" t="s">
        <v>70</v>
      </c>
      <c r="Q78" s="11"/>
      <c r="R78" s="11"/>
      <c r="S78" s="6"/>
    </row>
    <row r="79" spans="1:19">
      <c r="A79" s="47" t="s">
        <v>71</v>
      </c>
      <c r="B79" s="7">
        <f t="shared" si="76"/>
        <v>0</v>
      </c>
      <c r="C79" s="8">
        <f t="shared" si="77"/>
        <v>0</v>
      </c>
      <c r="D79" s="41" t="s">
        <v>197</v>
      </c>
      <c r="E79" s="42" t="s">
        <v>197</v>
      </c>
      <c r="F79" s="41" t="s">
        <v>197</v>
      </c>
      <c r="G79" s="42" t="s">
        <v>197</v>
      </c>
      <c r="H79" s="9">
        <f t="shared" si="78"/>
        <v>0</v>
      </c>
      <c r="I79" s="41" t="s">
        <v>197</v>
      </c>
      <c r="J79" s="42" t="s">
        <v>197</v>
      </c>
      <c r="K79" s="41" t="s">
        <v>197</v>
      </c>
      <c r="L79" s="10">
        <f t="shared" si="79"/>
        <v>0</v>
      </c>
      <c r="M79" s="41" t="s">
        <v>197</v>
      </c>
      <c r="N79" s="41" t="s">
        <v>197</v>
      </c>
      <c r="O79" s="48" t="s">
        <v>197</v>
      </c>
      <c r="P79" s="44" t="s">
        <v>72</v>
      </c>
      <c r="Q79" s="11"/>
      <c r="R79" s="11"/>
      <c r="S79" s="6"/>
    </row>
    <row r="80" spans="1:19">
      <c r="A80" s="47" t="s">
        <v>73</v>
      </c>
      <c r="B80" s="7">
        <f t="shared" si="76"/>
        <v>0</v>
      </c>
      <c r="C80" s="8">
        <f t="shared" si="77"/>
        <v>0</v>
      </c>
      <c r="D80" s="41" t="s">
        <v>197</v>
      </c>
      <c r="E80" s="42" t="s">
        <v>197</v>
      </c>
      <c r="F80" s="41" t="s">
        <v>197</v>
      </c>
      <c r="G80" s="42" t="s">
        <v>197</v>
      </c>
      <c r="H80" s="9">
        <f t="shared" si="78"/>
        <v>0</v>
      </c>
      <c r="I80" s="41" t="s">
        <v>197</v>
      </c>
      <c r="J80" s="42" t="s">
        <v>197</v>
      </c>
      <c r="K80" s="41" t="s">
        <v>197</v>
      </c>
      <c r="L80" s="10">
        <f t="shared" si="79"/>
        <v>0</v>
      </c>
      <c r="M80" s="41" t="s">
        <v>197</v>
      </c>
      <c r="N80" s="41" t="s">
        <v>197</v>
      </c>
      <c r="O80" s="48" t="s">
        <v>197</v>
      </c>
      <c r="P80" s="44" t="s">
        <v>74</v>
      </c>
      <c r="Q80" s="11"/>
      <c r="R80" s="11"/>
      <c r="S80" s="6"/>
    </row>
    <row r="81" spans="1:19">
      <c r="A81" s="47" t="s">
        <v>75</v>
      </c>
      <c r="B81" s="7">
        <f t="shared" si="76"/>
        <v>11077.614</v>
      </c>
      <c r="C81" s="8">
        <f t="shared" si="77"/>
        <v>1537.269</v>
      </c>
      <c r="D81" s="41">
        <v>1477.269</v>
      </c>
      <c r="E81" s="42" t="s">
        <v>197</v>
      </c>
      <c r="F81" s="41">
        <v>60</v>
      </c>
      <c r="G81" s="42" t="s">
        <v>197</v>
      </c>
      <c r="H81" s="9">
        <f t="shared" si="78"/>
        <v>7906.8149999999996</v>
      </c>
      <c r="I81" s="41">
        <v>273.70800000000003</v>
      </c>
      <c r="J81" s="42">
        <v>7610.357</v>
      </c>
      <c r="K81" s="41">
        <v>22.75</v>
      </c>
      <c r="L81" s="10">
        <f t="shared" si="79"/>
        <v>1633.5300000000002</v>
      </c>
      <c r="M81" s="41">
        <v>431.95</v>
      </c>
      <c r="N81" s="41">
        <v>1197.18</v>
      </c>
      <c r="O81" s="48">
        <v>4.4000000000000004</v>
      </c>
      <c r="P81" s="44" t="s">
        <v>76</v>
      </c>
      <c r="Q81" s="11"/>
      <c r="R81" s="11"/>
      <c r="S81" s="6"/>
    </row>
    <row r="82" spans="1:19">
      <c r="A82" s="47" t="s">
        <v>77</v>
      </c>
      <c r="B82" s="7">
        <f t="shared" si="76"/>
        <v>14264.003000000001</v>
      </c>
      <c r="C82" s="8">
        <f t="shared" si="77"/>
        <v>6400</v>
      </c>
      <c r="D82" s="41">
        <v>5320</v>
      </c>
      <c r="E82" s="42">
        <v>900</v>
      </c>
      <c r="F82" s="41">
        <v>180</v>
      </c>
      <c r="G82" s="42" t="s">
        <v>197</v>
      </c>
      <c r="H82" s="9">
        <f t="shared" si="78"/>
        <v>4674.6329999999998</v>
      </c>
      <c r="I82" s="41">
        <v>182.2</v>
      </c>
      <c r="J82" s="42">
        <v>4242.2330000000002</v>
      </c>
      <c r="K82" s="41">
        <v>250.2</v>
      </c>
      <c r="L82" s="10">
        <f t="shared" si="79"/>
        <v>3189.37</v>
      </c>
      <c r="M82" s="41">
        <v>389.92</v>
      </c>
      <c r="N82" s="41">
        <v>2760.45</v>
      </c>
      <c r="O82" s="48">
        <v>39</v>
      </c>
      <c r="P82" s="44" t="s">
        <v>78</v>
      </c>
      <c r="Q82" s="11"/>
      <c r="R82" s="11"/>
      <c r="S82" s="6"/>
    </row>
    <row r="83" spans="1:19">
      <c r="A83" s="47" t="s">
        <v>79</v>
      </c>
      <c r="B83" s="7">
        <f t="shared" si="76"/>
        <v>12.72</v>
      </c>
      <c r="C83" s="8">
        <f t="shared" si="77"/>
        <v>0</v>
      </c>
      <c r="D83" s="41" t="s">
        <v>197</v>
      </c>
      <c r="E83" s="42" t="s">
        <v>197</v>
      </c>
      <c r="F83" s="41" t="s">
        <v>197</v>
      </c>
      <c r="G83" s="42" t="s">
        <v>197</v>
      </c>
      <c r="H83" s="9">
        <f t="shared" si="78"/>
        <v>12.72</v>
      </c>
      <c r="I83" s="41" t="s">
        <v>197</v>
      </c>
      <c r="J83" s="42">
        <v>12.72</v>
      </c>
      <c r="K83" s="41" t="s">
        <v>197</v>
      </c>
      <c r="L83" s="10">
        <f t="shared" si="79"/>
        <v>0</v>
      </c>
      <c r="M83" s="41" t="s">
        <v>197</v>
      </c>
      <c r="N83" s="41" t="s">
        <v>197</v>
      </c>
      <c r="O83" s="48" t="s">
        <v>197</v>
      </c>
      <c r="P83" s="44" t="s">
        <v>80</v>
      </c>
      <c r="Q83" s="11"/>
      <c r="R83" s="11"/>
      <c r="S83" s="6"/>
    </row>
    <row r="84" spans="1:19">
      <c r="A84" s="47" t="s">
        <v>81</v>
      </c>
      <c r="B84" s="7">
        <f t="shared" si="76"/>
        <v>2646.654</v>
      </c>
      <c r="C84" s="8">
        <f t="shared" si="77"/>
        <v>0</v>
      </c>
      <c r="D84" s="41" t="s">
        <v>197</v>
      </c>
      <c r="E84" s="42" t="s">
        <v>197</v>
      </c>
      <c r="F84" s="41" t="s">
        <v>197</v>
      </c>
      <c r="G84" s="42" t="s">
        <v>197</v>
      </c>
      <c r="H84" s="9">
        <f t="shared" si="78"/>
        <v>1428.829</v>
      </c>
      <c r="I84" s="41">
        <v>67.567999999999998</v>
      </c>
      <c r="J84" s="42">
        <v>1218.5329999999999</v>
      </c>
      <c r="K84" s="41">
        <v>142.72800000000001</v>
      </c>
      <c r="L84" s="10">
        <f t="shared" si="79"/>
        <v>1217.825</v>
      </c>
      <c r="M84" s="41">
        <v>137.19999999999999</v>
      </c>
      <c r="N84" s="41">
        <v>1045.5550000000001</v>
      </c>
      <c r="O84" s="48">
        <v>35.07</v>
      </c>
      <c r="P84" s="44" t="s">
        <v>82</v>
      </c>
      <c r="Q84" s="11"/>
      <c r="R84" s="11"/>
      <c r="S84" s="6"/>
    </row>
    <row r="85" spans="1:19">
      <c r="A85" s="90" t="s">
        <v>83</v>
      </c>
      <c r="B85" s="91">
        <f>SUM(B87:B91)</f>
        <v>61134.072000000015</v>
      </c>
      <c r="C85" s="92">
        <f t="shared" ref="C85" si="80">SUM(C87:C91)</f>
        <v>2540.4499999999998</v>
      </c>
      <c r="D85" s="92">
        <f>SUM(D87:D91)</f>
        <v>1413.1</v>
      </c>
      <c r="E85" s="92">
        <f t="shared" ref="E85:F85" si="81">SUM(E87:E91)</f>
        <v>182.79999999999998</v>
      </c>
      <c r="F85" s="92">
        <f t="shared" si="81"/>
        <v>944.55</v>
      </c>
      <c r="G85" s="92">
        <v>0</v>
      </c>
      <c r="H85" s="92">
        <f>SUM(H87:H91)</f>
        <v>48023</v>
      </c>
      <c r="I85" s="92">
        <f>SUM(I87:I91)</f>
        <v>1408.0750000000003</v>
      </c>
      <c r="J85" s="92">
        <f t="shared" ref="J85:L85" si="82">SUM(J87:J91)</f>
        <v>46572.125</v>
      </c>
      <c r="K85" s="92">
        <f t="shared" si="82"/>
        <v>42.8</v>
      </c>
      <c r="L85" s="92">
        <f t="shared" si="82"/>
        <v>10570.621999999999</v>
      </c>
      <c r="M85" s="92">
        <f t="shared" ref="M85:O85" si="83">SUM(M87:M91)</f>
        <v>2307.0049999999997</v>
      </c>
      <c r="N85" s="92">
        <f t="shared" si="83"/>
        <v>8051.6170000000002</v>
      </c>
      <c r="O85" s="97">
        <f t="shared" si="83"/>
        <v>212</v>
      </c>
      <c r="P85" s="104" t="s">
        <v>84</v>
      </c>
      <c r="Q85" s="105"/>
      <c r="R85" s="105"/>
      <c r="S85" s="6"/>
    </row>
    <row r="86" spans="1:19">
      <c r="A86" s="90"/>
      <c r="B86" s="91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7"/>
      <c r="P86" s="104"/>
      <c r="Q86" s="105"/>
      <c r="R86" s="105"/>
      <c r="S86" s="6"/>
    </row>
    <row r="87" spans="1:19">
      <c r="A87" s="43" t="s">
        <v>158</v>
      </c>
      <c r="B87" s="7">
        <f t="shared" ref="B87:B91" si="84">SUM(C87,G87,H87,L87)</f>
        <v>45978.752000000008</v>
      </c>
      <c r="C87" s="8">
        <f t="shared" ref="C87:C91" si="85">SUM(D87:F87)</f>
        <v>207.8</v>
      </c>
      <c r="D87" s="41">
        <v>4</v>
      </c>
      <c r="E87" s="42" t="s">
        <v>197</v>
      </c>
      <c r="F87" s="41">
        <v>203.8</v>
      </c>
      <c r="G87" s="42" t="s">
        <v>197</v>
      </c>
      <c r="H87" s="9">
        <f t="shared" ref="H87:H91" si="86">SUM(I87:K87)</f>
        <v>40473.735000000001</v>
      </c>
      <c r="I87" s="41">
        <v>1137.075</v>
      </c>
      <c r="J87" s="42">
        <v>39336.660000000003</v>
      </c>
      <c r="K87" s="41" t="s">
        <v>197</v>
      </c>
      <c r="L87" s="10">
        <f t="shared" ref="L87:L91" si="87">SUM(M87:O87)</f>
        <v>5297.2170000000006</v>
      </c>
      <c r="M87" s="41">
        <v>1603.85</v>
      </c>
      <c r="N87" s="41">
        <v>3693.3670000000002</v>
      </c>
      <c r="O87" s="48" t="s">
        <v>197</v>
      </c>
      <c r="P87" s="44" t="s">
        <v>85</v>
      </c>
      <c r="Q87" s="11"/>
      <c r="R87" s="11"/>
      <c r="S87" s="6"/>
    </row>
    <row r="88" spans="1:19">
      <c r="A88" s="43" t="s">
        <v>159</v>
      </c>
      <c r="B88" s="7">
        <f t="shared" si="84"/>
        <v>783.91</v>
      </c>
      <c r="C88" s="8">
        <f t="shared" si="85"/>
        <v>46.95</v>
      </c>
      <c r="D88" s="41">
        <v>0.3</v>
      </c>
      <c r="E88" s="42">
        <v>18</v>
      </c>
      <c r="F88" s="41">
        <v>28.65</v>
      </c>
      <c r="G88" s="42" t="s">
        <v>197</v>
      </c>
      <c r="H88" s="9">
        <f t="shared" si="86"/>
        <v>85.66</v>
      </c>
      <c r="I88" s="41">
        <v>35.659999999999997</v>
      </c>
      <c r="J88" s="42">
        <v>50</v>
      </c>
      <c r="K88" s="41" t="s">
        <v>197</v>
      </c>
      <c r="L88" s="10">
        <f t="shared" si="87"/>
        <v>651.29999999999995</v>
      </c>
      <c r="M88" s="41">
        <v>329.3</v>
      </c>
      <c r="N88" s="41">
        <v>322</v>
      </c>
      <c r="O88" s="48" t="s">
        <v>197</v>
      </c>
      <c r="P88" s="44" t="s">
        <v>86</v>
      </c>
      <c r="Q88" s="11"/>
      <c r="R88" s="11"/>
      <c r="S88" s="6"/>
    </row>
    <row r="89" spans="1:19">
      <c r="A89" s="43" t="s">
        <v>160</v>
      </c>
      <c r="B89" s="7">
        <f t="shared" si="84"/>
        <v>8155.5999999999995</v>
      </c>
      <c r="C89" s="8">
        <f t="shared" si="85"/>
        <v>8</v>
      </c>
      <c r="D89" s="41" t="s">
        <v>197</v>
      </c>
      <c r="E89" s="42">
        <v>5.6</v>
      </c>
      <c r="F89" s="41">
        <v>2.4</v>
      </c>
      <c r="G89" s="42" t="s">
        <v>197</v>
      </c>
      <c r="H89" s="9">
        <f t="shared" si="86"/>
        <v>6667.8249999999998</v>
      </c>
      <c r="I89" s="41">
        <v>152.16999999999999</v>
      </c>
      <c r="J89" s="42">
        <v>6515.6549999999997</v>
      </c>
      <c r="K89" s="41" t="s">
        <v>197</v>
      </c>
      <c r="L89" s="10">
        <f t="shared" si="87"/>
        <v>1479.7749999999999</v>
      </c>
      <c r="M89" s="41">
        <v>61.435000000000002</v>
      </c>
      <c r="N89" s="41">
        <v>1418.34</v>
      </c>
      <c r="O89" s="48" t="s">
        <v>197</v>
      </c>
      <c r="P89" s="44" t="s">
        <v>87</v>
      </c>
      <c r="Q89" s="11"/>
      <c r="R89" s="11"/>
      <c r="S89" s="6"/>
    </row>
    <row r="90" spans="1:19">
      <c r="A90" s="43" t="s">
        <v>161</v>
      </c>
      <c r="B90" s="7">
        <f t="shared" si="84"/>
        <v>1039.22</v>
      </c>
      <c r="C90" s="8">
        <f t="shared" si="85"/>
        <v>179.5</v>
      </c>
      <c r="D90" s="41">
        <v>150.30000000000001</v>
      </c>
      <c r="E90" s="42" t="s">
        <v>197</v>
      </c>
      <c r="F90" s="41">
        <v>29.2</v>
      </c>
      <c r="G90" s="42" t="s">
        <v>197</v>
      </c>
      <c r="H90" s="9">
        <f t="shared" si="86"/>
        <v>205.32000000000002</v>
      </c>
      <c r="I90" s="41">
        <v>9.2100000000000009</v>
      </c>
      <c r="J90" s="42">
        <v>196.11</v>
      </c>
      <c r="K90" s="41" t="s">
        <v>197</v>
      </c>
      <c r="L90" s="10">
        <f t="shared" si="87"/>
        <v>654.4</v>
      </c>
      <c r="M90" s="41">
        <v>29.76</v>
      </c>
      <c r="N90" s="41">
        <v>624.64</v>
      </c>
      <c r="O90" s="48" t="s">
        <v>197</v>
      </c>
      <c r="P90" s="44" t="s">
        <v>88</v>
      </c>
      <c r="Q90" s="11"/>
      <c r="R90" s="11"/>
      <c r="S90" s="6"/>
    </row>
    <row r="91" spans="1:19">
      <c r="A91" s="43" t="s">
        <v>162</v>
      </c>
      <c r="B91" s="7">
        <f t="shared" si="84"/>
        <v>5176.59</v>
      </c>
      <c r="C91" s="8">
        <f t="shared" si="85"/>
        <v>2098.1999999999998</v>
      </c>
      <c r="D91" s="41">
        <v>1258.5</v>
      </c>
      <c r="E91" s="42">
        <v>159.19999999999999</v>
      </c>
      <c r="F91" s="41">
        <v>680.5</v>
      </c>
      <c r="G91" s="42" t="s">
        <v>197</v>
      </c>
      <c r="H91" s="9">
        <f t="shared" si="86"/>
        <v>590.45999999999992</v>
      </c>
      <c r="I91" s="41">
        <v>73.959999999999994</v>
      </c>
      <c r="J91" s="42">
        <v>473.7</v>
      </c>
      <c r="K91" s="41">
        <v>42.8</v>
      </c>
      <c r="L91" s="10">
        <f t="shared" si="87"/>
        <v>2487.9299999999998</v>
      </c>
      <c r="M91" s="41">
        <v>282.66000000000003</v>
      </c>
      <c r="N91" s="41">
        <v>1993.27</v>
      </c>
      <c r="O91" s="48">
        <v>212</v>
      </c>
      <c r="P91" s="44" t="s">
        <v>89</v>
      </c>
      <c r="Q91" s="11"/>
      <c r="R91" s="11"/>
      <c r="S91" s="6"/>
    </row>
    <row r="92" spans="1:19">
      <c r="A92" s="90" t="s">
        <v>90</v>
      </c>
      <c r="B92" s="91">
        <f>SUM(B94:B106)</f>
        <v>42259.03</v>
      </c>
      <c r="C92" s="92">
        <f>SUM(C94:C106)</f>
        <v>15463.88</v>
      </c>
      <c r="D92" s="92">
        <f>SUM(D94:D106)</f>
        <v>5083.25</v>
      </c>
      <c r="E92" s="92">
        <f t="shared" ref="E92:G92" si="88">SUM(E94:E106)</f>
        <v>4040.75</v>
      </c>
      <c r="F92" s="92">
        <f t="shared" si="88"/>
        <v>6339.8799999999992</v>
      </c>
      <c r="G92" s="92">
        <f t="shared" si="88"/>
        <v>0</v>
      </c>
      <c r="H92" s="92">
        <f>SUM(H94:H106)</f>
        <v>9942.385000000002</v>
      </c>
      <c r="I92" s="92">
        <f>SUM(I94:I106)</f>
        <v>1773.049</v>
      </c>
      <c r="J92" s="92">
        <f t="shared" ref="J92:K92" si="89">SUM(J94:J106)</f>
        <v>8165.9259999999995</v>
      </c>
      <c r="K92" s="92">
        <f t="shared" si="89"/>
        <v>3.41</v>
      </c>
      <c r="L92" s="92">
        <f>SUM(L94:L106)</f>
        <v>16852.765000000003</v>
      </c>
      <c r="M92" s="92">
        <f t="shared" ref="M92:O92" si="90">SUM(M94:M106)</f>
        <v>2899.4480000000003</v>
      </c>
      <c r="N92" s="92">
        <f t="shared" si="90"/>
        <v>13944.164999999999</v>
      </c>
      <c r="O92" s="97">
        <f t="shared" si="90"/>
        <v>9.1519999999999992</v>
      </c>
      <c r="P92" s="104" t="s">
        <v>91</v>
      </c>
      <c r="Q92" s="105"/>
      <c r="R92" s="105"/>
      <c r="S92" s="6"/>
    </row>
    <row r="93" spans="1:19">
      <c r="A93" s="90"/>
      <c r="B93" s="91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7"/>
      <c r="P93" s="104"/>
      <c r="Q93" s="105"/>
      <c r="R93" s="105"/>
      <c r="S93" s="6"/>
    </row>
    <row r="94" spans="1:19">
      <c r="A94" s="43" t="s">
        <v>163</v>
      </c>
      <c r="B94" s="7">
        <f t="shared" ref="B94:B106" si="91">SUM(C94,G94,H94,L94)</f>
        <v>693.93000000000006</v>
      </c>
      <c r="C94" s="8">
        <f t="shared" ref="C94:C106" si="92">SUM(D94:F94)</f>
        <v>359</v>
      </c>
      <c r="D94" s="41">
        <v>182</v>
      </c>
      <c r="E94" s="42">
        <v>57</v>
      </c>
      <c r="F94" s="41">
        <v>120</v>
      </c>
      <c r="G94" s="42" t="s">
        <v>197</v>
      </c>
      <c r="H94" s="9">
        <f t="shared" ref="H94:H106" si="93">SUM(I94:K94)</f>
        <v>179.70000000000002</v>
      </c>
      <c r="I94" s="41">
        <v>44.4</v>
      </c>
      <c r="J94" s="42">
        <v>135.30000000000001</v>
      </c>
      <c r="K94" s="41" t="s">
        <v>197</v>
      </c>
      <c r="L94" s="10">
        <f t="shared" ref="L94:L106" si="94">SUM(M94:O94)</f>
        <v>155.23000000000002</v>
      </c>
      <c r="M94" s="41">
        <v>64.430000000000007</v>
      </c>
      <c r="N94" s="41">
        <v>90.8</v>
      </c>
      <c r="O94" s="48" t="s">
        <v>197</v>
      </c>
      <c r="P94" s="44" t="s">
        <v>92</v>
      </c>
      <c r="Q94" s="11"/>
      <c r="R94" s="11"/>
      <c r="S94" s="6"/>
    </row>
    <row r="95" spans="1:19">
      <c r="A95" s="43" t="s">
        <v>164</v>
      </c>
      <c r="B95" s="7">
        <f t="shared" si="91"/>
        <v>797.4</v>
      </c>
      <c r="C95" s="8">
        <f t="shared" si="92"/>
        <v>507</v>
      </c>
      <c r="D95" s="41">
        <v>45.5</v>
      </c>
      <c r="E95" s="42" t="s">
        <v>197</v>
      </c>
      <c r="F95" s="41">
        <v>461.5</v>
      </c>
      <c r="G95" s="42" t="s">
        <v>197</v>
      </c>
      <c r="H95" s="9">
        <f t="shared" si="93"/>
        <v>8</v>
      </c>
      <c r="I95" s="41" t="s">
        <v>197</v>
      </c>
      <c r="J95" s="42">
        <v>8</v>
      </c>
      <c r="K95" s="41" t="s">
        <v>197</v>
      </c>
      <c r="L95" s="10">
        <f t="shared" si="94"/>
        <v>282.39999999999998</v>
      </c>
      <c r="M95" s="41" t="s">
        <v>197</v>
      </c>
      <c r="N95" s="41">
        <v>282.39999999999998</v>
      </c>
      <c r="O95" s="48" t="s">
        <v>197</v>
      </c>
      <c r="P95" s="44" t="s">
        <v>93</v>
      </c>
      <c r="Q95" s="11"/>
      <c r="R95" s="11"/>
      <c r="S95" s="6"/>
    </row>
    <row r="96" spans="1:19">
      <c r="A96" s="43" t="s">
        <v>165</v>
      </c>
      <c r="B96" s="7">
        <f t="shared" si="91"/>
        <v>135.12</v>
      </c>
      <c r="C96" s="8">
        <f t="shared" si="92"/>
        <v>27.8</v>
      </c>
      <c r="D96" s="41">
        <v>24</v>
      </c>
      <c r="E96" s="42" t="s">
        <v>197</v>
      </c>
      <c r="F96" s="41">
        <v>3.8</v>
      </c>
      <c r="G96" s="42" t="s">
        <v>197</v>
      </c>
      <c r="H96" s="9">
        <f t="shared" si="93"/>
        <v>20.2</v>
      </c>
      <c r="I96" s="41">
        <v>16</v>
      </c>
      <c r="J96" s="42">
        <v>4.2</v>
      </c>
      <c r="K96" s="41" t="s">
        <v>197</v>
      </c>
      <c r="L96" s="10">
        <f t="shared" si="94"/>
        <v>87.12</v>
      </c>
      <c r="M96" s="41">
        <v>63.12</v>
      </c>
      <c r="N96" s="41">
        <v>24</v>
      </c>
      <c r="O96" s="48" t="s">
        <v>197</v>
      </c>
      <c r="P96" s="44" t="s">
        <v>94</v>
      </c>
      <c r="Q96" s="11"/>
      <c r="R96" s="11"/>
      <c r="S96" s="6"/>
    </row>
    <row r="97" spans="1:19">
      <c r="A97" s="43" t="s">
        <v>166</v>
      </c>
      <c r="B97" s="7">
        <f t="shared" si="91"/>
        <v>5295.5</v>
      </c>
      <c r="C97" s="8">
        <f t="shared" si="92"/>
        <v>30</v>
      </c>
      <c r="D97" s="41">
        <v>10</v>
      </c>
      <c r="E97" s="42" t="s">
        <v>197</v>
      </c>
      <c r="F97" s="41">
        <v>20</v>
      </c>
      <c r="G97" s="42" t="s">
        <v>197</v>
      </c>
      <c r="H97" s="9">
        <f t="shared" si="93"/>
        <v>3238.7</v>
      </c>
      <c r="I97" s="41">
        <v>594.79999999999995</v>
      </c>
      <c r="J97" s="42">
        <v>2643.9</v>
      </c>
      <c r="K97" s="41" t="s">
        <v>197</v>
      </c>
      <c r="L97" s="10">
        <f t="shared" si="94"/>
        <v>2026.8</v>
      </c>
      <c r="M97" s="41">
        <v>234.8</v>
      </c>
      <c r="N97" s="41">
        <v>1792</v>
      </c>
      <c r="O97" s="48" t="s">
        <v>197</v>
      </c>
      <c r="P97" s="44" t="s">
        <v>95</v>
      </c>
      <c r="Q97" s="11"/>
      <c r="R97" s="11"/>
      <c r="S97" s="6"/>
    </row>
    <row r="98" spans="1:19">
      <c r="A98" s="43" t="s">
        <v>167</v>
      </c>
      <c r="B98" s="7">
        <f t="shared" si="91"/>
        <v>907.15700000000004</v>
      </c>
      <c r="C98" s="8">
        <f t="shared" si="92"/>
        <v>0</v>
      </c>
      <c r="D98" s="41" t="s">
        <v>197</v>
      </c>
      <c r="E98" s="42" t="s">
        <v>197</v>
      </c>
      <c r="F98" s="41" t="s">
        <v>197</v>
      </c>
      <c r="G98" s="42" t="s">
        <v>197</v>
      </c>
      <c r="H98" s="9">
        <f t="shared" si="93"/>
        <v>780.24</v>
      </c>
      <c r="I98" s="41">
        <v>11.34</v>
      </c>
      <c r="J98" s="42">
        <v>768.9</v>
      </c>
      <c r="K98" s="41" t="s">
        <v>197</v>
      </c>
      <c r="L98" s="10">
        <f t="shared" si="94"/>
        <v>126.917</v>
      </c>
      <c r="M98" s="41">
        <v>18.617000000000001</v>
      </c>
      <c r="N98" s="41">
        <v>108.3</v>
      </c>
      <c r="O98" s="48" t="s">
        <v>197</v>
      </c>
      <c r="P98" s="44" t="s">
        <v>96</v>
      </c>
      <c r="Q98" s="11"/>
      <c r="R98" s="11"/>
      <c r="S98" s="6"/>
    </row>
    <row r="99" spans="1:19">
      <c r="A99" s="43" t="s">
        <v>168</v>
      </c>
      <c r="B99" s="7">
        <f t="shared" si="91"/>
        <v>894</v>
      </c>
      <c r="C99" s="8">
        <f t="shared" si="92"/>
        <v>0</v>
      </c>
      <c r="D99" s="41" t="s">
        <v>197</v>
      </c>
      <c r="E99" s="42" t="s">
        <v>197</v>
      </c>
      <c r="F99" s="41" t="s">
        <v>197</v>
      </c>
      <c r="G99" s="42" t="s">
        <v>197</v>
      </c>
      <c r="H99" s="9">
        <f t="shared" si="93"/>
        <v>262.5</v>
      </c>
      <c r="I99" s="41">
        <v>9.1669999999999998</v>
      </c>
      <c r="J99" s="42">
        <v>253.333</v>
      </c>
      <c r="K99" s="41" t="s">
        <v>197</v>
      </c>
      <c r="L99" s="10">
        <f t="shared" si="94"/>
        <v>631.5</v>
      </c>
      <c r="M99" s="41">
        <v>27.5</v>
      </c>
      <c r="N99" s="41">
        <v>604</v>
      </c>
      <c r="O99" s="48" t="s">
        <v>197</v>
      </c>
      <c r="P99" s="44" t="s">
        <v>97</v>
      </c>
      <c r="Q99" s="11"/>
      <c r="R99" s="11"/>
      <c r="S99" s="6"/>
    </row>
    <row r="100" spans="1:19">
      <c r="A100" s="43" t="s">
        <v>169</v>
      </c>
      <c r="B100" s="7">
        <f t="shared" si="91"/>
        <v>3174.6</v>
      </c>
      <c r="C100" s="8">
        <f t="shared" si="92"/>
        <v>506.70000000000005</v>
      </c>
      <c r="D100" s="41">
        <v>163.80000000000001</v>
      </c>
      <c r="E100" s="42">
        <v>88.25</v>
      </c>
      <c r="F100" s="41">
        <v>254.65</v>
      </c>
      <c r="G100" s="42" t="s">
        <v>197</v>
      </c>
      <c r="H100" s="9">
        <f t="shared" si="93"/>
        <v>1263.6999999999998</v>
      </c>
      <c r="I100" s="41">
        <v>67.599999999999994</v>
      </c>
      <c r="J100" s="42">
        <v>1196.0999999999999</v>
      </c>
      <c r="K100" s="41" t="s">
        <v>197</v>
      </c>
      <c r="L100" s="10">
        <f t="shared" si="94"/>
        <v>1404.2</v>
      </c>
      <c r="M100" s="41">
        <v>87.5</v>
      </c>
      <c r="N100" s="41">
        <v>1316.7</v>
      </c>
      <c r="O100" s="48" t="s">
        <v>197</v>
      </c>
      <c r="P100" s="44" t="s">
        <v>98</v>
      </c>
      <c r="Q100" s="11"/>
      <c r="R100" s="11"/>
      <c r="S100" s="6"/>
    </row>
    <row r="101" spans="1:19">
      <c r="A101" s="43" t="s">
        <v>170</v>
      </c>
      <c r="B101" s="7">
        <f t="shared" si="91"/>
        <v>495.19499999999999</v>
      </c>
      <c r="C101" s="8">
        <f t="shared" si="92"/>
        <v>32.799999999999997</v>
      </c>
      <c r="D101" s="41">
        <v>4.5</v>
      </c>
      <c r="E101" s="42">
        <v>4</v>
      </c>
      <c r="F101" s="41">
        <v>24.3</v>
      </c>
      <c r="G101" s="42" t="s">
        <v>197</v>
      </c>
      <c r="H101" s="9">
        <f t="shared" si="93"/>
        <v>251.88</v>
      </c>
      <c r="I101" s="41">
        <v>49.31</v>
      </c>
      <c r="J101" s="42">
        <v>202.57</v>
      </c>
      <c r="K101" s="41" t="s">
        <v>197</v>
      </c>
      <c r="L101" s="10">
        <f t="shared" si="94"/>
        <v>210.51499999999999</v>
      </c>
      <c r="M101" s="41">
        <v>97.515000000000001</v>
      </c>
      <c r="N101" s="41">
        <v>113</v>
      </c>
      <c r="O101" s="48" t="s">
        <v>197</v>
      </c>
      <c r="P101" s="44" t="s">
        <v>99</v>
      </c>
      <c r="Q101" s="11"/>
      <c r="R101" s="11"/>
      <c r="S101" s="6"/>
    </row>
    <row r="102" spans="1:19">
      <c r="A102" s="43" t="s">
        <v>171</v>
      </c>
      <c r="B102" s="7">
        <f t="shared" si="91"/>
        <v>1188.4000000000001</v>
      </c>
      <c r="C102" s="8">
        <f t="shared" si="92"/>
        <v>933</v>
      </c>
      <c r="D102" s="41">
        <v>417</v>
      </c>
      <c r="E102" s="42">
        <v>56</v>
      </c>
      <c r="F102" s="41">
        <v>460</v>
      </c>
      <c r="G102" s="42" t="s">
        <v>197</v>
      </c>
      <c r="H102" s="9">
        <f t="shared" si="93"/>
        <v>152</v>
      </c>
      <c r="I102" s="41">
        <v>62</v>
      </c>
      <c r="J102" s="42">
        <v>90</v>
      </c>
      <c r="K102" s="41" t="s">
        <v>197</v>
      </c>
      <c r="L102" s="10">
        <f t="shared" si="94"/>
        <v>103.4</v>
      </c>
      <c r="M102" s="41">
        <v>30</v>
      </c>
      <c r="N102" s="41">
        <v>73.400000000000006</v>
      </c>
      <c r="O102" s="48" t="s">
        <v>197</v>
      </c>
      <c r="P102" s="44" t="s">
        <v>100</v>
      </c>
      <c r="Q102" s="11"/>
      <c r="R102" s="11"/>
      <c r="S102" s="6"/>
    </row>
    <row r="103" spans="1:19">
      <c r="A103" s="43" t="s">
        <v>172</v>
      </c>
      <c r="B103" s="7">
        <f t="shared" si="91"/>
        <v>21421.433000000001</v>
      </c>
      <c r="C103" s="8">
        <f t="shared" si="92"/>
        <v>8676</v>
      </c>
      <c r="D103" s="41">
        <v>4053.2</v>
      </c>
      <c r="E103" s="42">
        <v>3797.8</v>
      </c>
      <c r="F103" s="41">
        <v>825</v>
      </c>
      <c r="G103" s="42" t="s">
        <v>197</v>
      </c>
      <c r="H103" s="9">
        <f t="shared" si="93"/>
        <v>2955.35</v>
      </c>
      <c r="I103" s="41">
        <v>785.94200000000001</v>
      </c>
      <c r="J103" s="42">
        <v>2169.4079999999999</v>
      </c>
      <c r="K103" s="41" t="s">
        <v>197</v>
      </c>
      <c r="L103" s="10">
        <f t="shared" si="94"/>
        <v>9790.0830000000005</v>
      </c>
      <c r="M103" s="41">
        <v>2045.758</v>
      </c>
      <c r="N103" s="41">
        <v>7744.3249999999998</v>
      </c>
      <c r="O103" s="48" t="s">
        <v>197</v>
      </c>
      <c r="P103" s="44" t="s">
        <v>101</v>
      </c>
      <c r="Q103" s="11"/>
      <c r="R103" s="11"/>
      <c r="S103" s="6"/>
    </row>
    <row r="104" spans="1:19">
      <c r="A104" s="43" t="s">
        <v>173</v>
      </c>
      <c r="B104" s="7">
        <f t="shared" si="91"/>
        <v>2706.09</v>
      </c>
      <c r="C104" s="8">
        <f t="shared" si="92"/>
        <v>1867.5</v>
      </c>
      <c r="D104" s="41" t="s">
        <v>197</v>
      </c>
      <c r="E104" s="42" t="s">
        <v>197</v>
      </c>
      <c r="F104" s="41">
        <v>1867.5</v>
      </c>
      <c r="G104" s="42" t="s">
        <v>197</v>
      </c>
      <c r="H104" s="9">
        <f t="shared" si="93"/>
        <v>101.67</v>
      </c>
      <c r="I104" s="41" t="s">
        <v>197</v>
      </c>
      <c r="J104" s="42">
        <v>101.67</v>
      </c>
      <c r="K104" s="41" t="s">
        <v>197</v>
      </c>
      <c r="L104" s="10">
        <f t="shared" si="94"/>
        <v>736.92</v>
      </c>
      <c r="M104" s="41" t="s">
        <v>197</v>
      </c>
      <c r="N104" s="41">
        <v>736.92</v>
      </c>
      <c r="O104" s="48" t="s">
        <v>197</v>
      </c>
      <c r="P104" s="44" t="s">
        <v>102</v>
      </c>
      <c r="Q104" s="11"/>
      <c r="R104" s="11"/>
      <c r="S104" s="6"/>
    </row>
    <row r="105" spans="1:19">
      <c r="A105" s="43" t="s">
        <v>174</v>
      </c>
      <c r="B105" s="7">
        <f t="shared" si="91"/>
        <v>2399.7050000000004</v>
      </c>
      <c r="C105" s="8">
        <f t="shared" si="92"/>
        <v>1261.18</v>
      </c>
      <c r="D105" s="41">
        <v>127.75</v>
      </c>
      <c r="E105" s="42">
        <v>5.7</v>
      </c>
      <c r="F105" s="41">
        <v>1127.73</v>
      </c>
      <c r="G105" s="42" t="s">
        <v>197</v>
      </c>
      <c r="H105" s="9">
        <f t="shared" si="93"/>
        <v>420.24500000000006</v>
      </c>
      <c r="I105" s="41">
        <v>132.49</v>
      </c>
      <c r="J105" s="42">
        <v>284.34500000000003</v>
      </c>
      <c r="K105" s="41">
        <v>3.41</v>
      </c>
      <c r="L105" s="10">
        <f t="shared" si="94"/>
        <v>718.28000000000009</v>
      </c>
      <c r="M105" s="41">
        <v>219.40799999999999</v>
      </c>
      <c r="N105" s="41">
        <v>489.72</v>
      </c>
      <c r="O105" s="48">
        <v>9.1519999999999992</v>
      </c>
      <c r="P105" s="44" t="s">
        <v>103</v>
      </c>
      <c r="Q105" s="11"/>
      <c r="R105" s="11"/>
      <c r="S105" s="6"/>
    </row>
    <row r="106" spans="1:19">
      <c r="A106" s="43" t="s">
        <v>175</v>
      </c>
      <c r="B106" s="7">
        <f t="shared" si="91"/>
        <v>2150.5</v>
      </c>
      <c r="C106" s="8">
        <f t="shared" si="92"/>
        <v>1262.9000000000001</v>
      </c>
      <c r="D106" s="41">
        <v>55.5</v>
      </c>
      <c r="E106" s="42">
        <v>32</v>
      </c>
      <c r="F106" s="41">
        <v>1175.4000000000001</v>
      </c>
      <c r="G106" s="42" t="s">
        <v>197</v>
      </c>
      <c r="H106" s="9">
        <f t="shared" si="93"/>
        <v>308.2</v>
      </c>
      <c r="I106" s="41" t="s">
        <v>197</v>
      </c>
      <c r="J106" s="42">
        <v>308.2</v>
      </c>
      <c r="K106" s="41" t="s">
        <v>197</v>
      </c>
      <c r="L106" s="10">
        <f t="shared" si="94"/>
        <v>579.4</v>
      </c>
      <c r="M106" s="41">
        <v>10.8</v>
      </c>
      <c r="N106" s="41">
        <v>568.6</v>
      </c>
      <c r="O106" s="48" t="s">
        <v>197</v>
      </c>
      <c r="P106" s="44" t="s">
        <v>104</v>
      </c>
      <c r="Q106" s="11"/>
      <c r="R106" s="11"/>
      <c r="S106" s="6"/>
    </row>
    <row r="107" spans="1:19">
      <c r="A107" s="90" t="s">
        <v>105</v>
      </c>
      <c r="B107" s="91">
        <f t="shared" ref="B107:C107" si="95">SUM(B109:B112)</f>
        <v>123111.821</v>
      </c>
      <c r="C107" s="92">
        <f t="shared" si="95"/>
        <v>409.40999999999997</v>
      </c>
      <c r="D107" s="92">
        <f>SUM(D109:D112)</f>
        <v>145.64999999999998</v>
      </c>
      <c r="E107" s="92">
        <f t="shared" ref="E107:G107" si="96">SUM(E109:E112)</f>
        <v>78</v>
      </c>
      <c r="F107" s="92">
        <f t="shared" si="96"/>
        <v>185.76</v>
      </c>
      <c r="G107" s="92">
        <f t="shared" si="96"/>
        <v>1</v>
      </c>
      <c r="H107" s="92">
        <f>SUM(H109:H112)</f>
        <v>81638.739000000001</v>
      </c>
      <c r="I107" s="92">
        <f>SUM(I109:I112)</f>
        <v>4297.1010000000006</v>
      </c>
      <c r="J107" s="92">
        <f t="shared" ref="J107:L107" si="97">SUM(J109:J112)</f>
        <v>74293.267999999996</v>
      </c>
      <c r="K107" s="92">
        <f t="shared" si="97"/>
        <v>3048.3700000000003</v>
      </c>
      <c r="L107" s="92">
        <f t="shared" si="97"/>
        <v>41062.672000000006</v>
      </c>
      <c r="M107" s="92">
        <f t="shared" ref="M107:O107" si="98">SUM(M109:M112)</f>
        <v>6563.5919999999996</v>
      </c>
      <c r="N107" s="92">
        <f t="shared" si="98"/>
        <v>33052.300000000003</v>
      </c>
      <c r="O107" s="97">
        <f t="shared" si="98"/>
        <v>1446.78</v>
      </c>
      <c r="P107" s="104" t="s">
        <v>106</v>
      </c>
      <c r="Q107" s="105"/>
      <c r="R107" s="105"/>
      <c r="S107" s="6"/>
    </row>
    <row r="108" spans="1:19">
      <c r="A108" s="90"/>
      <c r="B108" s="91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7"/>
      <c r="P108" s="104"/>
      <c r="Q108" s="105"/>
      <c r="R108" s="105"/>
      <c r="S108" s="6"/>
    </row>
    <row r="109" spans="1:19">
      <c r="A109" s="43" t="s">
        <v>176</v>
      </c>
      <c r="B109" s="7">
        <f t="shared" ref="B109:B112" si="99">SUM(C109,G109,H109,L109)</f>
        <v>44747.229999999996</v>
      </c>
      <c r="C109" s="8">
        <f t="shared" ref="C109:C112" si="100">SUM(D109:F109)</f>
        <v>168.5</v>
      </c>
      <c r="D109" s="41">
        <v>5.2</v>
      </c>
      <c r="E109" s="42">
        <v>71</v>
      </c>
      <c r="F109" s="41">
        <v>92.3</v>
      </c>
      <c r="G109" s="42" t="s">
        <v>197</v>
      </c>
      <c r="H109" s="9">
        <f t="shared" ref="H109:H112" si="101">SUM(I109:K109)</f>
        <v>28545.334999999999</v>
      </c>
      <c r="I109" s="41">
        <v>1487.18</v>
      </c>
      <c r="J109" s="42">
        <v>25665.154999999999</v>
      </c>
      <c r="K109" s="41">
        <v>1393</v>
      </c>
      <c r="L109" s="10">
        <f t="shared" ref="L109:L112" si="102">SUM(M109:O109)</f>
        <v>16033.395</v>
      </c>
      <c r="M109" s="41">
        <v>3046.9749999999999</v>
      </c>
      <c r="N109" s="41">
        <v>12350.92</v>
      </c>
      <c r="O109" s="48">
        <v>635.5</v>
      </c>
      <c r="P109" s="44" t="s">
        <v>107</v>
      </c>
      <c r="Q109" s="11"/>
      <c r="R109" s="11"/>
      <c r="S109" s="6"/>
    </row>
    <row r="110" spans="1:19">
      <c r="A110" s="43" t="s">
        <v>177</v>
      </c>
      <c r="B110" s="7">
        <f t="shared" si="99"/>
        <v>11738.778</v>
      </c>
      <c r="C110" s="8">
        <f t="shared" si="100"/>
        <v>1.5</v>
      </c>
      <c r="D110" s="41">
        <v>0.5</v>
      </c>
      <c r="E110" s="42">
        <v>1</v>
      </c>
      <c r="F110" s="41" t="s">
        <v>197</v>
      </c>
      <c r="G110" s="42" t="s">
        <v>197</v>
      </c>
      <c r="H110" s="9">
        <f t="shared" si="101"/>
        <v>7716.3379999999997</v>
      </c>
      <c r="I110" s="41">
        <v>290.23</v>
      </c>
      <c r="J110" s="42">
        <v>6961.1080000000002</v>
      </c>
      <c r="K110" s="41">
        <v>465</v>
      </c>
      <c r="L110" s="10">
        <f t="shared" si="102"/>
        <v>4020.94</v>
      </c>
      <c r="M110" s="41">
        <v>898.73400000000004</v>
      </c>
      <c r="N110" s="41">
        <v>2812.2060000000001</v>
      </c>
      <c r="O110" s="48">
        <v>310</v>
      </c>
      <c r="P110" s="44" t="s">
        <v>108</v>
      </c>
      <c r="Q110" s="11"/>
      <c r="R110" s="11"/>
      <c r="S110" s="6"/>
    </row>
    <row r="111" spans="1:19">
      <c r="A111" s="43" t="s">
        <v>178</v>
      </c>
      <c r="B111" s="7">
        <f t="shared" si="99"/>
        <v>39046.817999999999</v>
      </c>
      <c r="C111" s="8">
        <f t="shared" si="100"/>
        <v>135.25</v>
      </c>
      <c r="D111" s="41">
        <v>135.25</v>
      </c>
      <c r="E111" s="42" t="s">
        <v>197</v>
      </c>
      <c r="F111" s="41" t="s">
        <v>197</v>
      </c>
      <c r="G111" s="42" t="s">
        <v>197</v>
      </c>
      <c r="H111" s="9">
        <f t="shared" si="101"/>
        <v>29479.251</v>
      </c>
      <c r="I111" s="41">
        <v>879.18100000000004</v>
      </c>
      <c r="J111" s="42">
        <v>27715.77</v>
      </c>
      <c r="K111" s="41">
        <v>884.3</v>
      </c>
      <c r="L111" s="10">
        <f t="shared" si="102"/>
        <v>9432.3170000000009</v>
      </c>
      <c r="M111" s="41">
        <v>1061.4929999999999</v>
      </c>
      <c r="N111" s="41">
        <v>8146.7240000000002</v>
      </c>
      <c r="O111" s="48">
        <v>224.1</v>
      </c>
      <c r="P111" s="44" t="s">
        <v>109</v>
      </c>
      <c r="Q111" s="11"/>
      <c r="R111" s="11"/>
      <c r="S111" s="6"/>
    </row>
    <row r="112" spans="1:19" ht="10.8" thickBot="1">
      <c r="A112" s="122" t="s">
        <v>179</v>
      </c>
      <c r="B112" s="30">
        <f t="shared" si="99"/>
        <v>27578.995000000003</v>
      </c>
      <c r="C112" s="31">
        <f t="shared" si="100"/>
        <v>104.16</v>
      </c>
      <c r="D112" s="50">
        <v>4.7</v>
      </c>
      <c r="E112" s="51">
        <v>6</v>
      </c>
      <c r="F112" s="50">
        <v>93.46</v>
      </c>
      <c r="G112" s="51">
        <v>1</v>
      </c>
      <c r="H112" s="32">
        <f t="shared" si="101"/>
        <v>15897.815000000001</v>
      </c>
      <c r="I112" s="50">
        <v>1640.51</v>
      </c>
      <c r="J112" s="51">
        <v>13951.235000000001</v>
      </c>
      <c r="K112" s="50">
        <v>306.07</v>
      </c>
      <c r="L112" s="33">
        <f t="shared" si="102"/>
        <v>11576.02</v>
      </c>
      <c r="M112" s="50">
        <v>1556.39</v>
      </c>
      <c r="N112" s="50">
        <v>9742.4500000000007</v>
      </c>
      <c r="O112" s="52">
        <v>277.18</v>
      </c>
      <c r="P112" s="123" t="s">
        <v>110</v>
      </c>
      <c r="Q112" s="12"/>
      <c r="R112" s="12"/>
      <c r="S112" s="6"/>
    </row>
    <row r="113" spans="1:18">
      <c r="A113" s="13"/>
      <c r="L113" s="14"/>
      <c r="M113" s="14"/>
      <c r="Q113" s="106"/>
      <c r="R113" s="106"/>
    </row>
    <row r="114" spans="1:18">
      <c r="A114" s="6"/>
    </row>
    <row r="115" spans="1:18">
      <c r="A115" s="6"/>
    </row>
    <row r="116" spans="1:18">
      <c r="A116" s="6"/>
    </row>
    <row r="117" spans="1:18">
      <c r="A117" s="6"/>
    </row>
    <row r="118" spans="1:18">
      <c r="A118" s="6"/>
    </row>
    <row r="119" spans="1:18">
      <c r="A119" s="6"/>
    </row>
    <row r="120" spans="1:18">
      <c r="A120" s="6"/>
    </row>
    <row r="121" spans="1:18">
      <c r="A121" s="6"/>
    </row>
    <row r="122" spans="1:18">
      <c r="A122" s="15"/>
    </row>
    <row r="123" spans="1:18" s="6" customFormat="1">
      <c r="A123" s="115"/>
      <c r="B123" s="115"/>
      <c r="C123" s="115"/>
      <c r="D123" s="115"/>
      <c r="E123" s="115"/>
      <c r="F123" s="115"/>
      <c r="G123" s="24"/>
      <c r="H123" s="114"/>
      <c r="I123" s="114"/>
      <c r="J123" s="114"/>
      <c r="K123" s="114"/>
    </row>
    <row r="124" spans="1:18" s="6" customFormat="1">
      <c r="A124" s="115"/>
      <c r="B124" s="115"/>
      <c r="C124" s="115"/>
      <c r="D124" s="115"/>
      <c r="E124" s="115"/>
      <c r="F124" s="115"/>
      <c r="G124" s="24"/>
      <c r="H124" s="114"/>
      <c r="I124" s="114"/>
      <c r="J124" s="114"/>
      <c r="K124" s="114"/>
    </row>
    <row r="125" spans="1:18" s="6" customFormat="1">
      <c r="A125" s="115"/>
      <c r="B125" s="115"/>
      <c r="C125" s="115"/>
      <c r="D125" s="115"/>
      <c r="E125" s="115"/>
      <c r="F125" s="115"/>
      <c r="G125" s="24"/>
      <c r="H125" s="114"/>
      <c r="I125" s="114"/>
      <c r="J125" s="114"/>
      <c r="K125" s="114"/>
    </row>
    <row r="126" spans="1:18" s="6" customFormat="1">
      <c r="A126" s="16"/>
      <c r="F126" s="116"/>
      <c r="G126" s="116"/>
      <c r="H126" s="116"/>
      <c r="I126" s="116"/>
      <c r="J126" s="116"/>
      <c r="K126" s="116"/>
      <c r="M126" s="17" t="s">
        <v>6</v>
      </c>
    </row>
    <row r="127" spans="1:18" s="6" customFormat="1">
      <c r="A127" s="117"/>
      <c r="B127" s="112"/>
      <c r="C127" s="113"/>
      <c r="D127" s="113"/>
      <c r="E127" s="113"/>
      <c r="F127" s="112"/>
      <c r="G127" s="112"/>
      <c r="H127" s="112"/>
      <c r="I127" s="112"/>
      <c r="J127" s="112"/>
      <c r="K127" s="112"/>
    </row>
    <row r="128" spans="1:18" s="6" customFormat="1">
      <c r="A128" s="117"/>
      <c r="B128" s="113"/>
      <c r="C128" s="113"/>
      <c r="D128" s="113"/>
      <c r="E128" s="113"/>
      <c r="F128" s="112"/>
      <c r="G128" s="112"/>
      <c r="H128" s="112"/>
      <c r="I128" s="112"/>
      <c r="J128" s="112"/>
      <c r="K128" s="112"/>
    </row>
    <row r="129" spans="1:11" s="6" customFormat="1">
      <c r="A129" s="117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</row>
    <row r="130" spans="1:11" s="6" customFormat="1">
      <c r="A130" s="1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s="6" customFormat="1">
      <c r="A131" s="19"/>
    </row>
    <row r="132" spans="1:11" s="6" customFormat="1">
      <c r="A132" s="20"/>
    </row>
    <row r="133" spans="1:11" s="6" customFormat="1">
      <c r="A133" s="110"/>
      <c r="B133" s="111"/>
      <c r="C133" s="111"/>
      <c r="D133" s="111"/>
      <c r="E133" s="111"/>
      <c r="F133" s="111"/>
      <c r="G133" s="23"/>
      <c r="H133" s="111"/>
      <c r="I133" s="111"/>
      <c r="J133" s="111"/>
      <c r="K133" s="111"/>
    </row>
    <row r="134" spans="1:11" s="6" customFormat="1">
      <c r="A134" s="110"/>
      <c r="B134" s="111"/>
      <c r="C134" s="111"/>
      <c r="D134" s="111"/>
      <c r="E134" s="111"/>
      <c r="F134" s="111"/>
      <c r="G134" s="23"/>
      <c r="H134" s="111"/>
      <c r="I134" s="111"/>
      <c r="J134" s="111"/>
      <c r="K134" s="111"/>
    </row>
    <row r="135" spans="1:11" s="6" customFormat="1">
      <c r="A135" s="110"/>
      <c r="B135" s="111"/>
      <c r="C135" s="111"/>
      <c r="D135" s="111"/>
      <c r="E135" s="111"/>
      <c r="F135" s="111"/>
      <c r="G135" s="23"/>
      <c r="H135" s="111"/>
      <c r="I135" s="111"/>
      <c r="J135" s="111"/>
      <c r="K135" s="111"/>
    </row>
    <row r="136" spans="1:11" s="6" customFormat="1">
      <c r="A136" s="20"/>
      <c r="F136" s="21"/>
      <c r="G136" s="21"/>
      <c r="H136" s="21"/>
    </row>
    <row r="137" spans="1:11" s="6" customFormat="1">
      <c r="A137" s="20"/>
      <c r="F137" s="21"/>
      <c r="G137" s="21"/>
      <c r="H137" s="21"/>
    </row>
    <row r="138" spans="1:11" s="6" customFormat="1">
      <c r="A138" s="20"/>
      <c r="F138" s="21"/>
      <c r="G138" s="21"/>
      <c r="H138" s="21"/>
    </row>
    <row r="139" spans="1:11" s="6" customFormat="1">
      <c r="A139" s="20"/>
      <c r="F139" s="21"/>
      <c r="G139" s="21"/>
      <c r="H139" s="21"/>
    </row>
    <row r="140" spans="1:11" s="6" customFormat="1">
      <c r="A140" s="20"/>
      <c r="F140" s="21"/>
      <c r="G140" s="21"/>
      <c r="H140" s="21"/>
    </row>
    <row r="141" spans="1:11" s="6" customFormat="1">
      <c r="A141" s="20"/>
      <c r="F141" s="21"/>
      <c r="G141" s="21"/>
      <c r="H141" s="21"/>
    </row>
    <row r="142" spans="1:11" s="6" customFormat="1">
      <c r="A142" s="110"/>
    </row>
    <row r="143" spans="1:11" s="6" customFormat="1">
      <c r="A143" s="110"/>
    </row>
    <row r="144" spans="1:11" s="6" customFormat="1">
      <c r="A144" s="20"/>
      <c r="F144" s="21"/>
      <c r="G144" s="21"/>
      <c r="H144" s="21"/>
    </row>
    <row r="145" spans="1:8" s="6" customFormat="1">
      <c r="A145" s="20"/>
      <c r="F145" s="21"/>
      <c r="G145" s="21"/>
      <c r="H145" s="21"/>
    </row>
    <row r="146" spans="1:8" s="6" customFormat="1">
      <c r="A146" s="20"/>
      <c r="F146" s="21"/>
      <c r="G146" s="21"/>
      <c r="H146" s="21"/>
    </row>
    <row r="147" spans="1:8" s="6" customFormat="1">
      <c r="A147" s="20"/>
      <c r="F147" s="21"/>
      <c r="G147" s="21"/>
      <c r="H147" s="21"/>
    </row>
    <row r="148" spans="1:8" s="6" customFormat="1">
      <c r="A148" s="20"/>
      <c r="F148" s="21"/>
      <c r="G148" s="21"/>
      <c r="H148" s="21"/>
    </row>
    <row r="149" spans="1:8" s="6" customFormat="1">
      <c r="A149" s="20"/>
      <c r="F149" s="21"/>
      <c r="G149" s="21"/>
      <c r="H149" s="21"/>
    </row>
    <row r="150" spans="1:8" s="6" customFormat="1">
      <c r="A150" s="20"/>
      <c r="F150" s="21"/>
      <c r="G150" s="21"/>
      <c r="H150" s="21"/>
    </row>
    <row r="151" spans="1:8" s="6" customFormat="1">
      <c r="A151" s="20"/>
      <c r="F151" s="21"/>
      <c r="G151" s="21"/>
      <c r="H151" s="21"/>
    </row>
    <row r="152" spans="1:8" s="6" customFormat="1">
      <c r="A152" s="20"/>
      <c r="F152" s="21"/>
      <c r="G152" s="21"/>
      <c r="H152" s="21"/>
    </row>
    <row r="153" spans="1:8" s="6" customFormat="1">
      <c r="A153" s="20"/>
      <c r="F153" s="21"/>
      <c r="G153" s="21"/>
      <c r="H153" s="21"/>
    </row>
    <row r="154" spans="1:8" s="6" customFormat="1">
      <c r="A154" s="20"/>
      <c r="F154" s="21"/>
      <c r="G154" s="21"/>
      <c r="H154" s="21"/>
    </row>
    <row r="155" spans="1:8" s="6" customFormat="1">
      <c r="A155" s="107"/>
    </row>
    <row r="156" spans="1:8" s="6" customFormat="1">
      <c r="A156" s="107"/>
    </row>
    <row r="157" spans="1:8" s="6" customFormat="1">
      <c r="A157" s="20"/>
      <c r="F157" s="21"/>
      <c r="G157" s="21"/>
      <c r="H157" s="21"/>
    </row>
    <row r="158" spans="1:8" s="6" customFormat="1">
      <c r="A158" s="20"/>
      <c r="F158" s="21"/>
      <c r="G158" s="21"/>
      <c r="H158" s="21"/>
    </row>
    <row r="159" spans="1:8" s="6" customFormat="1">
      <c r="A159" s="20"/>
      <c r="F159" s="21"/>
      <c r="G159" s="21"/>
      <c r="H159" s="21"/>
    </row>
    <row r="160" spans="1:8" s="6" customFormat="1">
      <c r="A160" s="20"/>
      <c r="F160" s="21"/>
      <c r="G160" s="21"/>
      <c r="H160" s="21"/>
    </row>
    <row r="161" spans="1:8" s="6" customFormat="1">
      <c r="A161" s="107"/>
    </row>
    <row r="162" spans="1:8" s="6" customFormat="1">
      <c r="A162" s="107"/>
    </row>
    <row r="163" spans="1:8" s="6" customFormat="1">
      <c r="A163" s="20"/>
      <c r="F163" s="21"/>
      <c r="G163" s="21"/>
      <c r="H163" s="21"/>
    </row>
    <row r="164" spans="1:8" s="6" customFormat="1">
      <c r="A164" s="20"/>
      <c r="F164" s="21"/>
      <c r="G164" s="21"/>
      <c r="H164" s="21"/>
    </row>
    <row r="165" spans="1:8" s="6" customFormat="1">
      <c r="A165" s="20"/>
      <c r="F165" s="21"/>
      <c r="G165" s="21"/>
      <c r="H165" s="21"/>
    </row>
    <row r="166" spans="1:8" s="6" customFormat="1">
      <c r="A166" s="20"/>
      <c r="F166" s="21"/>
      <c r="G166" s="21"/>
      <c r="H166" s="21"/>
    </row>
    <row r="167" spans="1:8" s="6" customFormat="1">
      <c r="A167" s="20"/>
      <c r="F167" s="21"/>
      <c r="G167" s="21"/>
      <c r="H167" s="21"/>
    </row>
    <row r="168" spans="1:8" s="6" customFormat="1">
      <c r="A168" s="107"/>
    </row>
    <row r="169" spans="1:8" s="6" customFormat="1">
      <c r="A169" s="107"/>
    </row>
    <row r="170" spans="1:8" s="6" customFormat="1">
      <c r="A170" s="20"/>
      <c r="F170" s="21"/>
      <c r="G170" s="21"/>
      <c r="H170" s="21"/>
    </row>
    <row r="171" spans="1:8" s="6" customFormat="1">
      <c r="A171" s="20"/>
      <c r="F171" s="21"/>
      <c r="G171" s="21"/>
      <c r="H171" s="21"/>
    </row>
    <row r="172" spans="1:8" s="6" customFormat="1">
      <c r="A172" s="20"/>
      <c r="F172" s="21"/>
      <c r="G172" s="21"/>
      <c r="H172" s="21"/>
    </row>
    <row r="173" spans="1:8" s="6" customFormat="1">
      <c r="A173" s="20"/>
      <c r="F173" s="21"/>
      <c r="G173" s="21"/>
      <c r="H173" s="21"/>
    </row>
    <row r="174" spans="1:8" s="6" customFormat="1">
      <c r="A174" s="20"/>
      <c r="F174" s="21"/>
      <c r="G174" s="21"/>
      <c r="H174" s="21"/>
    </row>
    <row r="175" spans="1:8" s="6" customFormat="1">
      <c r="A175" s="107"/>
    </row>
    <row r="176" spans="1:8" s="6" customFormat="1">
      <c r="A176" s="107"/>
    </row>
    <row r="177" spans="1:8" s="6" customFormat="1">
      <c r="A177" s="20"/>
      <c r="F177" s="21"/>
      <c r="G177" s="21"/>
      <c r="H177" s="21"/>
    </row>
    <row r="178" spans="1:8" s="6" customFormat="1">
      <c r="A178" s="20"/>
      <c r="F178" s="21"/>
      <c r="G178" s="21"/>
      <c r="H178" s="21"/>
    </row>
    <row r="179" spans="1:8" s="6" customFormat="1">
      <c r="A179" s="20"/>
      <c r="F179" s="21"/>
      <c r="G179" s="21"/>
      <c r="H179" s="21"/>
    </row>
    <row r="180" spans="1:8" s="6" customFormat="1">
      <c r="A180" s="20"/>
      <c r="F180" s="21"/>
      <c r="G180" s="21"/>
      <c r="H180" s="21"/>
    </row>
    <row r="181" spans="1:8" s="6" customFormat="1">
      <c r="A181" s="20"/>
      <c r="F181" s="21"/>
      <c r="G181" s="21"/>
      <c r="H181" s="21"/>
    </row>
    <row r="182" spans="1:8" s="6" customFormat="1">
      <c r="A182" s="107"/>
    </row>
    <row r="183" spans="1:8" s="6" customFormat="1">
      <c r="A183" s="107"/>
    </row>
    <row r="184" spans="1:8" s="6" customFormat="1">
      <c r="A184" s="20"/>
      <c r="F184" s="21"/>
      <c r="G184" s="21"/>
      <c r="H184" s="21"/>
    </row>
    <row r="185" spans="1:8" s="6" customFormat="1">
      <c r="A185" s="20"/>
      <c r="F185" s="21"/>
      <c r="G185" s="21"/>
      <c r="H185" s="21"/>
    </row>
    <row r="186" spans="1:8" s="6" customFormat="1">
      <c r="A186" s="20"/>
      <c r="F186" s="21"/>
      <c r="G186" s="21"/>
      <c r="H186" s="21"/>
    </row>
    <row r="187" spans="1:8" s="6" customFormat="1">
      <c r="A187" s="107"/>
    </row>
    <row r="188" spans="1:8" s="6" customFormat="1">
      <c r="A188" s="107"/>
    </row>
    <row r="189" spans="1:8" s="6" customFormat="1">
      <c r="A189" s="20"/>
      <c r="F189" s="21"/>
      <c r="G189" s="21"/>
      <c r="H189" s="21"/>
    </row>
    <row r="190" spans="1:8" s="6" customFormat="1">
      <c r="A190" s="20"/>
      <c r="F190" s="21"/>
      <c r="G190" s="21"/>
      <c r="H190" s="21"/>
    </row>
    <row r="191" spans="1:8" s="6" customFormat="1">
      <c r="A191" s="20"/>
      <c r="F191" s="21"/>
      <c r="G191" s="21"/>
      <c r="H191" s="21"/>
    </row>
    <row r="192" spans="1:8" s="6" customFormat="1">
      <c r="A192" s="20"/>
      <c r="F192" s="21"/>
      <c r="G192" s="21"/>
      <c r="H192" s="21"/>
    </row>
    <row r="193" spans="1:8" s="6" customFormat="1">
      <c r="A193" s="20"/>
      <c r="F193" s="21"/>
      <c r="G193" s="21"/>
      <c r="H193" s="21"/>
    </row>
    <row r="194" spans="1:8" s="6" customFormat="1">
      <c r="A194" s="107"/>
    </row>
    <row r="195" spans="1:8" s="6" customFormat="1">
      <c r="A195" s="107"/>
    </row>
    <row r="196" spans="1:8" s="6" customFormat="1">
      <c r="A196" s="20"/>
      <c r="F196" s="21"/>
      <c r="G196" s="21"/>
      <c r="H196" s="21"/>
    </row>
    <row r="197" spans="1:8" s="6" customFormat="1">
      <c r="A197" s="20"/>
      <c r="F197" s="21"/>
      <c r="G197" s="21"/>
      <c r="H197" s="21"/>
    </row>
    <row r="198" spans="1:8" s="6" customFormat="1">
      <c r="A198" s="20"/>
      <c r="F198" s="21"/>
      <c r="G198" s="21"/>
      <c r="H198" s="21"/>
    </row>
    <row r="199" spans="1:8" s="6" customFormat="1">
      <c r="A199" s="20"/>
      <c r="F199" s="21"/>
      <c r="G199" s="21"/>
      <c r="H199" s="21"/>
    </row>
    <row r="200" spans="1:8" s="6" customFormat="1">
      <c r="A200" s="20"/>
      <c r="F200" s="21"/>
      <c r="G200" s="21"/>
      <c r="H200" s="21"/>
    </row>
    <row r="201" spans="1:8" s="6" customFormat="1">
      <c r="A201" s="20"/>
      <c r="F201" s="21"/>
      <c r="G201" s="21"/>
      <c r="H201" s="21"/>
    </row>
    <row r="202" spans="1:8" s="6" customFormat="1">
      <c r="A202" s="20"/>
      <c r="F202" s="21"/>
      <c r="G202" s="21"/>
      <c r="H202" s="21"/>
    </row>
    <row r="203" spans="1:8" s="6" customFormat="1">
      <c r="A203" s="20"/>
      <c r="F203" s="21"/>
      <c r="G203" s="21"/>
      <c r="H203" s="21"/>
    </row>
    <row r="204" spans="1:8" s="6" customFormat="1">
      <c r="A204" s="107"/>
    </row>
    <row r="205" spans="1:8" s="6" customFormat="1">
      <c r="A205" s="107"/>
    </row>
    <row r="206" spans="1:8" s="6" customFormat="1">
      <c r="A206" s="20"/>
      <c r="F206" s="21"/>
      <c r="G206" s="21"/>
      <c r="H206" s="21"/>
    </row>
    <row r="207" spans="1:8" s="6" customFormat="1">
      <c r="A207" s="20"/>
      <c r="F207" s="21"/>
      <c r="G207" s="21"/>
      <c r="H207" s="21"/>
    </row>
    <row r="208" spans="1:8" s="6" customFormat="1">
      <c r="A208" s="20"/>
      <c r="F208" s="21"/>
      <c r="G208" s="21"/>
      <c r="H208" s="21"/>
    </row>
    <row r="209" spans="1:8" s="6" customFormat="1">
      <c r="A209" s="20"/>
      <c r="F209" s="21"/>
      <c r="G209" s="21"/>
      <c r="H209" s="21"/>
    </row>
    <row r="210" spans="1:8" s="6" customFormat="1">
      <c r="A210" s="20"/>
      <c r="F210" s="21"/>
      <c r="G210" s="21"/>
      <c r="H210" s="21"/>
    </row>
    <row r="211" spans="1:8" s="6" customFormat="1">
      <c r="A211" s="107"/>
    </row>
    <row r="212" spans="1:8" s="6" customFormat="1">
      <c r="A212" s="107"/>
    </row>
    <row r="213" spans="1:8" s="6" customFormat="1">
      <c r="A213" s="20"/>
      <c r="F213" s="21"/>
      <c r="G213" s="21"/>
      <c r="H213" s="21"/>
    </row>
    <row r="214" spans="1:8" s="6" customFormat="1">
      <c r="A214" s="20"/>
      <c r="F214" s="21"/>
      <c r="G214" s="21"/>
      <c r="H214" s="21"/>
    </row>
    <row r="215" spans="1:8" s="6" customFormat="1">
      <c r="A215" s="20"/>
      <c r="F215" s="21"/>
      <c r="G215" s="21"/>
      <c r="H215" s="21"/>
    </row>
    <row r="216" spans="1:8" s="6" customFormat="1">
      <c r="A216" s="20"/>
      <c r="F216" s="21"/>
      <c r="G216" s="21"/>
      <c r="H216" s="21"/>
    </row>
    <row r="217" spans="1:8" s="6" customFormat="1">
      <c r="A217" s="20"/>
      <c r="F217" s="21"/>
      <c r="G217" s="21"/>
      <c r="H217" s="21"/>
    </row>
    <row r="218" spans="1:8" s="6" customFormat="1">
      <c r="A218" s="20"/>
      <c r="F218" s="21"/>
      <c r="G218" s="21"/>
      <c r="H218" s="21"/>
    </row>
    <row r="219" spans="1:8" s="6" customFormat="1">
      <c r="A219" s="20"/>
      <c r="F219" s="21"/>
      <c r="G219" s="21"/>
      <c r="H219" s="21"/>
    </row>
    <row r="220" spans="1:8" s="6" customFormat="1">
      <c r="A220" s="20"/>
      <c r="F220" s="21"/>
      <c r="G220" s="21"/>
      <c r="H220" s="21"/>
    </row>
    <row r="221" spans="1:8" s="6" customFormat="1">
      <c r="A221" s="20"/>
      <c r="F221" s="21"/>
      <c r="G221" s="21"/>
      <c r="H221" s="21"/>
    </row>
    <row r="222" spans="1:8" s="6" customFormat="1">
      <c r="A222" s="20"/>
      <c r="F222" s="21"/>
      <c r="G222" s="21"/>
      <c r="H222" s="21"/>
    </row>
    <row r="223" spans="1:8" s="6" customFormat="1">
      <c r="A223" s="20"/>
      <c r="F223" s="21"/>
      <c r="G223" s="21"/>
      <c r="H223" s="21"/>
    </row>
    <row r="224" spans="1:8" s="6" customFormat="1">
      <c r="A224" s="20"/>
      <c r="F224" s="21"/>
      <c r="G224" s="21"/>
      <c r="H224" s="21"/>
    </row>
    <row r="225" spans="1:8" s="6" customFormat="1">
      <c r="A225" s="20"/>
      <c r="F225" s="21"/>
      <c r="G225" s="21"/>
      <c r="H225" s="21"/>
    </row>
    <row r="226" spans="1:8" s="6" customFormat="1">
      <c r="A226" s="107"/>
    </row>
    <row r="227" spans="1:8" s="6" customFormat="1">
      <c r="A227" s="107"/>
    </row>
    <row r="228" spans="1:8" s="6" customFormat="1">
      <c r="A228" s="20"/>
      <c r="F228" s="21"/>
      <c r="G228" s="21"/>
      <c r="H228" s="21"/>
    </row>
    <row r="229" spans="1:8" s="6" customFormat="1">
      <c r="A229" s="20"/>
      <c r="F229" s="21"/>
      <c r="G229" s="21"/>
      <c r="H229" s="21"/>
    </row>
    <row r="230" spans="1:8" s="6" customFormat="1">
      <c r="A230" s="20"/>
      <c r="F230" s="21"/>
      <c r="G230" s="21"/>
      <c r="H230" s="21"/>
    </row>
    <row r="231" spans="1:8" s="6" customFormat="1">
      <c r="A231" s="20"/>
      <c r="F231" s="21"/>
      <c r="G231" s="21"/>
      <c r="H231" s="21"/>
    </row>
    <row r="232" spans="1:8" s="6" customFormat="1">
      <c r="A232" s="20"/>
    </row>
    <row r="233" spans="1:8">
      <c r="A233" s="22"/>
    </row>
  </sheetData>
  <mergeCells count="266">
    <mergeCell ref="A211:A212"/>
    <mergeCell ref="A123:F125"/>
    <mergeCell ref="A107:A108"/>
    <mergeCell ref="B107:B108"/>
    <mergeCell ref="C107:C108"/>
    <mergeCell ref="D107:D108"/>
    <mergeCell ref="E107:E108"/>
    <mergeCell ref="F107:F108"/>
    <mergeCell ref="F126:K126"/>
    <mergeCell ref="A127:A130"/>
    <mergeCell ref="I127:J129"/>
    <mergeCell ref="K127:K129"/>
    <mergeCell ref="A168:A169"/>
    <mergeCell ref="A175:A176"/>
    <mergeCell ref="A182:A183"/>
    <mergeCell ref="A142:A143"/>
    <mergeCell ref="A155:A156"/>
    <mergeCell ref="A161:A162"/>
    <mergeCell ref="H133:H135"/>
    <mergeCell ref="I133:I135"/>
    <mergeCell ref="J133:J135"/>
    <mergeCell ref="K133:K135"/>
    <mergeCell ref="B127:E128"/>
    <mergeCell ref="F127:H129"/>
    <mergeCell ref="B129:C129"/>
    <mergeCell ref="D129:E129"/>
    <mergeCell ref="H123:K125"/>
    <mergeCell ref="I85:I86"/>
    <mergeCell ref="J85:J86"/>
    <mergeCell ref="C75:C76"/>
    <mergeCell ref="D75:D76"/>
    <mergeCell ref="E75:E76"/>
    <mergeCell ref="F75:F76"/>
    <mergeCell ref="H107:H108"/>
    <mergeCell ref="I107:I108"/>
    <mergeCell ref="J107:J108"/>
    <mergeCell ref="H75:H76"/>
    <mergeCell ref="I75:I76"/>
    <mergeCell ref="D92:D93"/>
    <mergeCell ref="E92:E93"/>
    <mergeCell ref="F92:F93"/>
    <mergeCell ref="A75:A76"/>
    <mergeCell ref="B75:B76"/>
    <mergeCell ref="G92:G93"/>
    <mergeCell ref="G107:G108"/>
    <mergeCell ref="G49:G50"/>
    <mergeCell ref="G56:G57"/>
    <mergeCell ref="G63:G64"/>
    <mergeCell ref="G68:G69"/>
    <mergeCell ref="G75:G76"/>
    <mergeCell ref="G85:G86"/>
    <mergeCell ref="Q113:R113"/>
    <mergeCell ref="O107:O108"/>
    <mergeCell ref="P107:R108"/>
    <mergeCell ref="K107:K108"/>
    <mergeCell ref="L107:L108"/>
    <mergeCell ref="M107:M108"/>
    <mergeCell ref="N107:N108"/>
    <mergeCell ref="A226:A227"/>
    <mergeCell ref="G8:G11"/>
    <mergeCell ref="G12:G13"/>
    <mergeCell ref="G14:G15"/>
    <mergeCell ref="G22:G23"/>
    <mergeCell ref="G36:G37"/>
    <mergeCell ref="G42:G43"/>
    <mergeCell ref="A187:A188"/>
    <mergeCell ref="A194:A195"/>
    <mergeCell ref="A204:A205"/>
    <mergeCell ref="A133:A135"/>
    <mergeCell ref="B133:B135"/>
    <mergeCell ref="C133:C135"/>
    <mergeCell ref="D133:D135"/>
    <mergeCell ref="E133:E135"/>
    <mergeCell ref="F133:F135"/>
    <mergeCell ref="A92:A93"/>
    <mergeCell ref="N85:N86"/>
    <mergeCell ref="O85:O86"/>
    <mergeCell ref="K85:K86"/>
    <mergeCell ref="L85:L86"/>
    <mergeCell ref="P85:R86"/>
    <mergeCell ref="M85:M86"/>
    <mergeCell ref="P92:R93"/>
    <mergeCell ref="A85:A86"/>
    <mergeCell ref="B85:B86"/>
    <mergeCell ref="C85:C86"/>
    <mergeCell ref="D85:D86"/>
    <mergeCell ref="E85:E86"/>
    <mergeCell ref="F85:F86"/>
    <mergeCell ref="H85:H86"/>
    <mergeCell ref="N92:N93"/>
    <mergeCell ref="O92:O93"/>
    <mergeCell ref="J92:J93"/>
    <mergeCell ref="K92:K93"/>
    <mergeCell ref="L92:L93"/>
    <mergeCell ref="M92:M93"/>
    <mergeCell ref="H92:H93"/>
    <mergeCell ref="I92:I93"/>
    <mergeCell ref="B92:B93"/>
    <mergeCell ref="C92:C93"/>
    <mergeCell ref="J75:J76"/>
    <mergeCell ref="K75:K76"/>
    <mergeCell ref="P75:R76"/>
    <mergeCell ref="A68:A69"/>
    <mergeCell ref="B68:B69"/>
    <mergeCell ref="C68:C69"/>
    <mergeCell ref="D68:D69"/>
    <mergeCell ref="E68:E69"/>
    <mergeCell ref="F68:F69"/>
    <mergeCell ref="H68:H69"/>
    <mergeCell ref="I68:I69"/>
    <mergeCell ref="J68:J69"/>
    <mergeCell ref="L75:L76"/>
    <mergeCell ref="M75:M76"/>
    <mergeCell ref="O68:O69"/>
    <mergeCell ref="P68:R69"/>
    <mergeCell ref="K68:K69"/>
    <mergeCell ref="L68:L69"/>
    <mergeCell ref="M68:M69"/>
    <mergeCell ref="N68:N69"/>
    <mergeCell ref="N75:N76"/>
    <mergeCell ref="O75:O76"/>
    <mergeCell ref="L56:L57"/>
    <mergeCell ref="P56:R57"/>
    <mergeCell ref="A63:A64"/>
    <mergeCell ref="B63:B64"/>
    <mergeCell ref="C63:C64"/>
    <mergeCell ref="D63:D64"/>
    <mergeCell ref="E63:E64"/>
    <mergeCell ref="F63:F64"/>
    <mergeCell ref="H63:H64"/>
    <mergeCell ref="I63:I64"/>
    <mergeCell ref="M56:M57"/>
    <mergeCell ref="N63:N64"/>
    <mergeCell ref="O63:O64"/>
    <mergeCell ref="J63:J64"/>
    <mergeCell ref="K63:K64"/>
    <mergeCell ref="L63:L64"/>
    <mergeCell ref="M63:M64"/>
    <mergeCell ref="P63:R64"/>
    <mergeCell ref="A56:A57"/>
    <mergeCell ref="A42:A43"/>
    <mergeCell ref="B42:B43"/>
    <mergeCell ref="C42:C43"/>
    <mergeCell ref="D42:D43"/>
    <mergeCell ref="E42:E43"/>
    <mergeCell ref="F42:F43"/>
    <mergeCell ref="A49:A50"/>
    <mergeCell ref="B49:B50"/>
    <mergeCell ref="C49:C50"/>
    <mergeCell ref="D49:D50"/>
    <mergeCell ref="E49:E50"/>
    <mergeCell ref="F49:F50"/>
    <mergeCell ref="H42:H43"/>
    <mergeCell ref="I42:I43"/>
    <mergeCell ref="P36:R37"/>
    <mergeCell ref="P42:R43"/>
    <mergeCell ref="K42:K43"/>
    <mergeCell ref="L42:L43"/>
    <mergeCell ref="M42:M43"/>
    <mergeCell ref="B56:B57"/>
    <mergeCell ref="C56:C57"/>
    <mergeCell ref="D56:D57"/>
    <mergeCell ref="E56:E57"/>
    <mergeCell ref="F56:F57"/>
    <mergeCell ref="H56:H57"/>
    <mergeCell ref="L49:L50"/>
    <mergeCell ref="M49:M50"/>
    <mergeCell ref="H49:H50"/>
    <mergeCell ref="I49:I50"/>
    <mergeCell ref="J49:J50"/>
    <mergeCell ref="K49:K50"/>
    <mergeCell ref="N56:N57"/>
    <mergeCell ref="O56:O57"/>
    <mergeCell ref="I56:I57"/>
    <mergeCell ref="J56:J57"/>
    <mergeCell ref="K56:K57"/>
    <mergeCell ref="J42:J43"/>
    <mergeCell ref="N36:N37"/>
    <mergeCell ref="J36:J37"/>
    <mergeCell ref="K36:K37"/>
    <mergeCell ref="L36:L37"/>
    <mergeCell ref="M36:M37"/>
    <mergeCell ref="P49:R50"/>
    <mergeCell ref="N42:N43"/>
    <mergeCell ref="O42:O43"/>
    <mergeCell ref="N49:N50"/>
    <mergeCell ref="O49:O50"/>
    <mergeCell ref="D14:D15"/>
    <mergeCell ref="E14:E15"/>
    <mergeCell ref="F14:F15"/>
    <mergeCell ref="N22:N23"/>
    <mergeCell ref="O36:O37"/>
    <mergeCell ref="P14:R15"/>
    <mergeCell ref="M14:M15"/>
    <mergeCell ref="N14:N15"/>
    <mergeCell ref="O14:O15"/>
    <mergeCell ref="O22:O23"/>
    <mergeCell ref="I22:I23"/>
    <mergeCell ref="J22:J23"/>
    <mergeCell ref="K22:K23"/>
    <mergeCell ref="L22:L23"/>
    <mergeCell ref="P22:R23"/>
    <mergeCell ref="M22:M23"/>
    <mergeCell ref="F36:F37"/>
    <mergeCell ref="H36:H37"/>
    <mergeCell ref="I36:I37"/>
    <mergeCell ref="A36:A37"/>
    <mergeCell ref="B36:B37"/>
    <mergeCell ref="C36:C37"/>
    <mergeCell ref="D36:D37"/>
    <mergeCell ref="E36:E37"/>
    <mergeCell ref="A12:A13"/>
    <mergeCell ref="H22:H23"/>
    <mergeCell ref="L14:L15"/>
    <mergeCell ref="E22:E23"/>
    <mergeCell ref="F22:F23"/>
    <mergeCell ref="H14:H15"/>
    <mergeCell ref="I14:I15"/>
    <mergeCell ref="J14:J15"/>
    <mergeCell ref="K14:K15"/>
    <mergeCell ref="A14:A15"/>
    <mergeCell ref="A22:A23"/>
    <mergeCell ref="B22:B23"/>
    <mergeCell ref="C22:C23"/>
    <mergeCell ref="D22:D23"/>
    <mergeCell ref="B14:B15"/>
    <mergeCell ref="C14:C15"/>
    <mergeCell ref="B12:B13"/>
    <mergeCell ref="C12:C13"/>
    <mergeCell ref="D12:D13"/>
    <mergeCell ref="E12:E13"/>
    <mergeCell ref="F12:F13"/>
    <mergeCell ref="O12:O13"/>
    <mergeCell ref="J12:J13"/>
    <mergeCell ref="P12:R13"/>
    <mergeCell ref="K12:K13"/>
    <mergeCell ref="L12:L13"/>
    <mergeCell ref="M12:M13"/>
    <mergeCell ref="N12:N13"/>
    <mergeCell ref="H12:H13"/>
    <mergeCell ref="I12:I13"/>
    <mergeCell ref="A8:A11"/>
    <mergeCell ref="B8:B11"/>
    <mergeCell ref="H10:H11"/>
    <mergeCell ref="P8:R11"/>
    <mergeCell ref="M10:M11"/>
    <mergeCell ref="N10:N11"/>
    <mergeCell ref="C8:F9"/>
    <mergeCell ref="C10:C11"/>
    <mergeCell ref="D10:D11"/>
    <mergeCell ref="E10:E11"/>
    <mergeCell ref="F10:F11"/>
    <mergeCell ref="K10:K11"/>
    <mergeCell ref="L10:L11"/>
    <mergeCell ref="O10:O11"/>
    <mergeCell ref="I10:I11"/>
    <mergeCell ref="J10:J11"/>
    <mergeCell ref="H7:K7"/>
    <mergeCell ref="L7:O7"/>
    <mergeCell ref="Q7:R7"/>
    <mergeCell ref="H8:K9"/>
    <mergeCell ref="L8:O9"/>
    <mergeCell ref="B2:O2"/>
    <mergeCell ref="B3:O3"/>
    <mergeCell ref="B4:O4"/>
    <mergeCell ref="B5:O5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E31:G31 C24:C30 D36:G37 C32:C35 D43:G43 C38:C41 D49:G50 C44:C48 D56:G57 C51:C55 D63:G64 C58:C62 D75:G76 C65:C67 C70:C74 D85:G86 C77:C84 D92:G93 C87:C91 D107:G108 C94:C106 C109:C112 D42:G42" formulaRange="1"/>
    <ignoredError sqref="I15:K15 I22:K23 H17:H21 L16:L21 I31:K31 H24:H30 L24:L30 I37:K37 H32:H35 L32:L35 I42:K43 H38:H41 L38:L41 I49:K50 H44:H48 L44:L48 I56:K57 H51:H55 L51:L55 I63:K64 H58:H62 L58:L62 I68:K69 H65:H67 L65:L67 J75:K76 H70:H74 L70:L74 I85:K86 H77:H84 L77:L84 I92:K93 H87:H91 L87:L91 I107:K108 H94:H106 L94:L106 H109:H112 L109:L112 I14:K14 N14:O14 M15:O15 M22:O23 M31:O31 I36:K36 N36:O36 M37:O37 M43:O43 M42 O42 M49:O50 M56:O57 M63:O64 M68:O69 M75:O76 M85:O86 M92:O93 M107:O10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2015-05-18T07:58:42Z</cp:lastPrinted>
  <dcterms:created xsi:type="dcterms:W3CDTF">2015-05-18T06:58:45Z</dcterms:created>
  <dcterms:modified xsi:type="dcterms:W3CDTF">2017-02-21T10:42:16Z</dcterms:modified>
</cp:coreProperties>
</file>