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9216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2" i="1"/>
  <c r="C105" l="1"/>
  <c r="D105"/>
  <c r="E105"/>
  <c r="F105"/>
  <c r="G105"/>
  <c r="H105"/>
  <c r="I105"/>
  <c r="J105"/>
  <c r="B105"/>
  <c r="C90"/>
  <c r="D90"/>
  <c r="E90"/>
  <c r="F90"/>
  <c r="G90"/>
  <c r="H90"/>
  <c r="I90"/>
  <c r="J90"/>
  <c r="B90"/>
  <c r="C83"/>
  <c r="D83"/>
  <c r="E83"/>
  <c r="F83"/>
  <c r="G83"/>
  <c r="H83"/>
  <c r="I83"/>
  <c r="J83"/>
  <c r="B83"/>
  <c r="C73"/>
  <c r="D73"/>
  <c r="E73"/>
  <c r="F73"/>
  <c r="G73"/>
  <c r="H73"/>
  <c r="I73"/>
  <c r="J73"/>
  <c r="B73"/>
  <c r="B66"/>
  <c r="C66"/>
  <c r="D66"/>
  <c r="E66"/>
  <c r="F66"/>
  <c r="G66"/>
  <c r="H66"/>
  <c r="I66"/>
  <c r="J66"/>
  <c r="C61"/>
  <c r="D61"/>
  <c r="E61"/>
  <c r="F61"/>
  <c r="G61"/>
  <c r="H61"/>
  <c r="I61"/>
  <c r="J61"/>
  <c r="B61"/>
  <c r="C54"/>
  <c r="D54"/>
  <c r="E54"/>
  <c r="F54"/>
  <c r="G54"/>
  <c r="H54"/>
  <c r="I54"/>
  <c r="J54"/>
  <c r="B54"/>
  <c r="C47"/>
  <c r="D47"/>
  <c r="E47"/>
  <c r="F47"/>
  <c r="G47"/>
  <c r="H47"/>
  <c r="I47"/>
  <c r="J47"/>
  <c r="B47"/>
  <c r="C40"/>
  <c r="D40"/>
  <c r="E40"/>
  <c r="F40"/>
  <c r="G40"/>
  <c r="H40"/>
  <c r="I40"/>
  <c r="J40"/>
  <c r="B40"/>
  <c r="C34"/>
  <c r="D34"/>
  <c r="E34"/>
  <c r="F34"/>
  <c r="G34"/>
  <c r="H34"/>
  <c r="I34"/>
  <c r="J34"/>
  <c r="B34"/>
  <c r="C29"/>
  <c r="D29"/>
  <c r="E29"/>
  <c r="F29"/>
  <c r="G29"/>
  <c r="H29"/>
  <c r="I29"/>
  <c r="J29"/>
  <c r="B29"/>
  <c r="C20"/>
  <c r="D20"/>
  <c r="E20"/>
  <c r="F20"/>
  <c r="G20"/>
  <c r="H20"/>
  <c r="I20"/>
  <c r="J20"/>
  <c r="B20"/>
  <c r="C12"/>
  <c r="D12"/>
  <c r="E12"/>
  <c r="F12"/>
  <c r="G12"/>
  <c r="H12"/>
  <c r="I12"/>
  <c r="J12"/>
  <c r="B10" l="1"/>
  <c r="C10"/>
  <c r="J10"/>
  <c r="F10"/>
  <c r="H10"/>
  <c r="D10"/>
  <c r="I10"/>
  <c r="G10"/>
  <c r="E10"/>
</calcChain>
</file>

<file path=xl/sharedStrings.xml><?xml version="1.0" encoding="utf-8"?>
<sst xmlns="http://schemas.openxmlformats.org/spreadsheetml/2006/main" count="389" uniqueCount="193">
  <si>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</si>
  <si>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</si>
  <si>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</si>
  <si>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</si>
  <si>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</si>
  <si>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</si>
  <si>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</si>
  <si>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</si>
  <si>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</si>
  <si>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</si>
  <si>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</si>
  <si>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</si>
  <si>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</si>
  <si>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</si>
  <si>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</si>
  <si>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</si>
  <si>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</si>
  <si>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</si>
  <si>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</si>
  <si>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</si>
  <si>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</si>
  <si>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</si>
  <si>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</si>
  <si>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</si>
  <si>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</si>
  <si>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</si>
  <si>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</si>
  <si>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</si>
  <si>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</si>
  <si>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</si>
  <si>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</si>
  <si>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</si>
  <si>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</si>
  <si>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</si>
  <si>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</si>
  <si>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</si>
  <si>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</si>
  <si>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</si>
  <si>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</si>
  <si>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</si>
  <si>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</si>
  <si>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</si>
  <si>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</si>
  <si>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</si>
  <si>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</si>
  <si>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</si>
  <si>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</si>
  <si>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</si>
  <si>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</si>
  <si>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</si>
  <si>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</si>
  <si>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</si>
  <si>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</si>
  <si>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</si>
  <si>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</si>
  <si>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</si>
  <si>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</si>
  <si>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</si>
  <si>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</si>
  <si>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</si>
  <si>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</si>
  <si>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</si>
  <si>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</si>
  <si>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</si>
  <si>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</si>
  <si>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</si>
  <si>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</si>
  <si>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</si>
  <si>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</si>
  <si>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</si>
  <si>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</si>
  <si>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</si>
  <si>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</si>
  <si>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</si>
  <si>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</si>
  <si>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</si>
  <si>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</si>
  <si>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</si>
  <si>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</si>
  <si>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</si>
  <si>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</si>
  <si>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</si>
  <si>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</si>
  <si>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</si>
  <si>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</si>
  <si>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</si>
  <si>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</si>
  <si>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</si>
  <si>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</si>
  <si>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</si>
  <si>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</si>
  <si>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</si>
  <si>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</si>
  <si>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</si>
  <si>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</si>
  <si>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</si>
  <si>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</si>
  <si>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</si>
  <si>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</si>
  <si>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</si>
  <si>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</si>
  <si>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</si>
  <si>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</si>
  <si>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</si>
  <si>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</si>
  <si>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</si>
  <si>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</si>
  <si>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</si>
  <si>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</si>
  <si>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</si>
  <si>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</si>
  <si>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</si>
  <si>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</si>
  <si>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</si>
  <si>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</si>
  <si>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</si>
  <si>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</si>
  <si>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</si>
  <si>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</si>
  <si>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</si>
  <si>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</si>
  <si>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</si>
  <si>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</si>
  <si>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</si>
  <si>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</si>
  <si>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</si>
  <si>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</si>
  <si>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</si>
  <si>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</si>
  <si>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</si>
  <si>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</si>
  <si>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</si>
  <si>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</si>
  <si>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</si>
  <si>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</si>
  <si>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</si>
  <si>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</si>
  <si>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</si>
  <si>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</si>
  <si>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</si>
  <si>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</si>
  <si>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</si>
  <si>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</si>
  <si>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</si>
  <si>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</si>
  <si>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</si>
  <si>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</si>
  <si>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</si>
  <si>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</si>
  <si>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</si>
  <si>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</si>
  <si>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</si>
  <si>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</si>
  <si>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</si>
  <si>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</si>
  <si>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</si>
  <si>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</si>
  <si>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</si>
  <si>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</si>
  <si>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</si>
  <si>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</si>
  <si>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</si>
  <si>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</si>
  <si>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</si>
  <si>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</si>
  <si>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</si>
  <si>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</si>
  <si>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</si>
  <si>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</si>
  <si>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</si>
  <si>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</si>
  <si>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</si>
  <si>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</si>
  <si>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</si>
  <si>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</si>
  <si>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</si>
  <si>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</si>
  <si>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</si>
  <si>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—</t>
  </si>
  <si>
    <t>Περιφέρεια Δυτικής Μακεδονίας</t>
  </si>
  <si>
    <t>Region of Western Macedonia</t>
  </si>
  <si>
    <t>Table 7c. Production of other primary livestock by-products, by Region and Regional Unities, 2014</t>
  </si>
  <si>
    <t>Πίνακας 7γ. Παραγωγή λοιπών κτηνοτροφικών προϊόντων, κατά Περιφέρεια και Περιφερειακή Ενότητα, 2014</t>
  </si>
  <si>
    <t>Δέρματα νωπά (τεμάχια) Hides and skins
(pieces) from</t>
  </si>
  <si>
    <t>Μικρών ζώων
Small animals</t>
  </si>
  <si>
    <t>Μεγάλων ζώων          
Big animals</t>
  </si>
  <si>
    <t>Μαλλιά προβάτων
Sheep wool</t>
  </si>
  <si>
    <t>Τρίχες αιγών
Goat hairs</t>
  </si>
  <si>
    <t>Λίπος χοιρινό
Lard</t>
  </si>
  <si>
    <t>Αυγά (χιλιάδες τεμάχια)
Eggs (thousand pieces)</t>
  </si>
  <si>
    <t>Μέλι
Honey</t>
  </si>
  <si>
    <t>Κερί
Wax</t>
  </si>
  <si>
    <t>Κουκούλια, χλωρά
Cocoons, fresh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</si>
</sst>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10"/>
      <name val="Arial"/>
      <family val="2"/>
      <charset val="161"/>
    </font>
    <font>
      <sz val="10"/>
      <color indexed="8"/>
      <name val="Arial"/>
      <family val="2"/>
      <charset val="161"/>
    </font>
    <font>
      <b/>
      <sz val="8"/>
      <color rgb="FFFF0000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1"/>
      <name val="Calibri"/>
      <family val="2"/>
      <charset val="161"/>
    </font>
    <font>
      <sz val="8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Border="1" applyAlignment="1"/>
    <xf numFmtId="0" fontId="6" fillId="0" borderId="0" xfId="0" applyNumberFormat="1" applyFont="1" applyFill="1" applyBorder="1" applyAlignment="1" applyProtection="1">
      <alignment vertical="center" wrapText="1"/>
    </xf>
    <xf numFmtId="0" fontId="7" fillId="0" borderId="0" xfId="0" applyFont="1"/>
    <xf numFmtId="49" fontId="2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9" fillId="0" borderId="0" xfId="0" applyFont="1" applyBorder="1" applyAlignment="1">
      <alignment horizontal="right" vertical="top" wrapText="1"/>
    </xf>
    <xf numFmtId="3" fontId="9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3" fontId="8" fillId="0" borderId="0" xfId="0" applyNumberFormat="1" applyFont="1" applyBorder="1" applyAlignment="1">
      <alignment horizontal="right" vertical="center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0" fontId="1" fillId="0" borderId="13" xfId="0" applyNumberFormat="1" applyFont="1" applyFill="1" applyBorder="1" applyAlignment="1" applyProtection="1">
      <alignment horizontal="left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3" fontId="10" fillId="0" borderId="0" xfId="0" applyNumberFormat="1" applyFont="1" applyBorder="1" applyAlignment="1">
      <alignment horizontal="right" vertical="top" wrapText="1"/>
    </xf>
    <xf numFmtId="3" fontId="1" fillId="0" borderId="9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top" wrapText="1"/>
    </xf>
    <xf numFmtId="3" fontId="11" fillId="0" borderId="3" xfId="0" applyNumberFormat="1" applyFont="1" applyBorder="1" applyAlignment="1">
      <alignment horizontal="right" vertical="top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Border="1" applyAlignment="1">
      <alignment horizontal="right" vertical="top" wrapText="1"/>
    </xf>
    <xf numFmtId="3" fontId="11" fillId="0" borderId="18" xfId="0" applyNumberFormat="1" applyFont="1" applyBorder="1" applyAlignment="1">
      <alignment horizontal="right" vertical="top" wrapText="1"/>
    </xf>
    <xf numFmtId="3" fontId="2" fillId="0" borderId="18" xfId="0" applyNumberFormat="1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3" fontId="1" fillId="0" borderId="12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top" wrapText="1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16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wrapText="1"/>
    </xf>
    <xf numFmtId="3" fontId="1" fillId="0" borderId="4" xfId="0" applyNumberFormat="1" applyFont="1" applyFill="1" applyBorder="1" applyAlignment="1" applyProtection="1">
      <alignment horizontal="right" vertical="center"/>
    </xf>
    <xf numFmtId="0" fontId="2" fillId="0" borderId="5" xfId="0" applyFont="1" applyBorder="1" applyAlignment="1">
      <alignment horizontal="right"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10"/>
  <sheetViews>
    <sheetView showGridLines="0" tabSelected="1" zoomScale="120" zoomScaleNormal="120" workbookViewId="0">
      <pane xSplit="1" ySplit="9" topLeftCell="H10" activePane="bottomRight" state="frozen"/>
      <selection pane="topRight" activeCell="B1" sqref="B1"/>
      <selection pane="bottomLeft" activeCell="A10" sqref="A10"/>
      <selection pane="bottomRight" activeCell="J110" sqref="J10:J110"/>
    </sheetView>
  </sheetViews>
  <sheetFormatPr defaultRowHeight="10.65"/>
  <cols>
    <col min="1" max="1" width="37.33203125" style="1" customWidth="1"/>
    <col min="2" max="2" width="9.88671875" style="1" bestFit="1" customWidth="1"/>
    <col min="3" max="3" width="8.6640625" style="1" customWidth="1"/>
    <col min="4" max="4" width="8.109375" style="1" customWidth="1"/>
    <col min="5" max="5" width="6.44140625" style="1" customWidth="1"/>
    <col min="6" max="6" width="6.109375" style="1" customWidth="1"/>
    <col min="7" max="7" width="10.33203125" style="1" bestFit="1" customWidth="1"/>
    <col min="8" max="8" width="8.21875" style="1" bestFit="1" customWidth="1"/>
    <col min="9" max="9" width="6.21875" style="1" bestFit="1" customWidth="1"/>
    <col min="10" max="10" width="8" style="1" customWidth="1"/>
    <col min="11" max="11" width="10.21875" style="1" customWidth="1"/>
    <col min="12" max="12" width="9.77734375" style="1" customWidth="1"/>
    <col min="13" max="13" width="10.109375" style="1" customWidth="1"/>
    <col min="14" max="16384" width="8.88671875" style="1"/>
  </cols>
  <sheetData>
    <row r="2" spans="1:16" s="14" customFormat="1" ht="13.15">
      <c r="A2" s="33" t="s">
        <v>182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13"/>
      <c r="O2" s="13"/>
      <c r="P2" s="13"/>
    </row>
    <row r="3" spans="1:16" s="14" customFormat="1" ht="13.15">
      <c r="A3" s="33" t="s">
        <v>181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3"/>
      <c r="O3" s="13"/>
      <c r="P3" s="13"/>
    </row>
    <row r="4" spans="1:16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2"/>
      <c r="O4" s="2"/>
      <c r="P4" s="2"/>
    </row>
    <row r="5" spans="1:16" ht="11.3" thickBot="1">
      <c r="A5" s="3" t="s">
        <v>0</v>
      </c>
      <c r="B5" s="4"/>
      <c r="C5" s="4"/>
      <c r="D5" s="4"/>
      <c r="E5" s="4"/>
      <c r="F5" s="4"/>
      <c r="G5" s="4"/>
      <c r="H5" s="4"/>
      <c r="I5" s="4"/>
      <c r="J5" s="4"/>
      <c r="K5" s="5"/>
      <c r="L5" s="34" t="s">
        <v>1</v>
      </c>
      <c r="M5" s="34"/>
      <c r="N5" s="6"/>
      <c r="O5" s="6"/>
      <c r="P5" s="6"/>
    </row>
    <row r="6" spans="1:16">
      <c r="A6" s="35" t="s">
        <v>2</v>
      </c>
      <c r="B6" s="37" t="s">
        <v>183</v>
      </c>
      <c r="C6" s="27"/>
      <c r="D6" s="29" t="s">
        <v>186</v>
      </c>
      <c r="E6" s="29" t="s">
        <v>187</v>
      </c>
      <c r="F6" s="29" t="s">
        <v>188</v>
      </c>
      <c r="G6" s="29" t="s">
        <v>189</v>
      </c>
      <c r="H6" s="27" t="s">
        <v>190</v>
      </c>
      <c r="I6" s="29" t="s">
        <v>191</v>
      </c>
      <c r="J6" s="40" t="s">
        <v>192</v>
      </c>
      <c r="K6" s="35" t="s">
        <v>3</v>
      </c>
      <c r="L6" s="35"/>
      <c r="M6" s="35"/>
    </row>
    <row r="7" spans="1:16" ht="22.25" customHeight="1">
      <c r="A7" s="24"/>
      <c r="B7" s="38"/>
      <c r="C7" s="39"/>
      <c r="D7" s="30"/>
      <c r="E7" s="30"/>
      <c r="F7" s="30"/>
      <c r="G7" s="30"/>
      <c r="H7" s="28"/>
      <c r="I7" s="30"/>
      <c r="J7" s="41"/>
      <c r="K7" s="24"/>
      <c r="L7" s="24"/>
      <c r="M7" s="24"/>
    </row>
    <row r="8" spans="1:16">
      <c r="A8" s="24"/>
      <c r="B8" s="42" t="s">
        <v>184</v>
      </c>
      <c r="C8" s="44" t="s">
        <v>185</v>
      </c>
      <c r="D8" s="30"/>
      <c r="E8" s="30"/>
      <c r="F8" s="30"/>
      <c r="G8" s="30"/>
      <c r="H8" s="28"/>
      <c r="I8" s="30"/>
      <c r="J8" s="41"/>
      <c r="K8" s="24"/>
      <c r="L8" s="24"/>
      <c r="M8" s="24"/>
    </row>
    <row r="9" spans="1:16" ht="22.85" customHeight="1" thickBot="1">
      <c r="A9" s="36"/>
      <c r="B9" s="43"/>
      <c r="C9" s="30"/>
      <c r="D9" s="30"/>
      <c r="E9" s="30"/>
      <c r="F9" s="30"/>
      <c r="G9" s="30"/>
      <c r="H9" s="28"/>
      <c r="I9" s="30"/>
      <c r="J9" s="41"/>
      <c r="K9" s="36"/>
      <c r="L9" s="36"/>
      <c r="M9" s="36"/>
    </row>
    <row r="10" spans="1:16" ht="10.65" customHeight="1">
      <c r="A10" s="31" t="s">
        <v>4</v>
      </c>
      <c r="B10" s="46">
        <f>SUM(B12,B20,B29,B34,B40,B47,B54,B61,B66,B73,B83,B90,B105)</f>
        <v>6602364</v>
      </c>
      <c r="C10" s="46">
        <f>SUM(C12,C20,C29,C34,C40,C47,C54,C61,C66,C73,C83,C90,C105)</f>
        <v>175402.008</v>
      </c>
      <c r="D10" s="46">
        <f t="shared" ref="D10:J10" si="0">SUM(D12,D20,D29,D34,D40,D47,D54,D61,D66,D73,D83,D90,D105)</f>
        <v>6310.7150000000001</v>
      </c>
      <c r="E10" s="46">
        <f t="shared" si="0"/>
        <v>1053.2520000000002</v>
      </c>
      <c r="F10" s="46">
        <f t="shared" si="0"/>
        <v>901.0569999999999</v>
      </c>
      <c r="G10" s="55">
        <f t="shared" si="0"/>
        <v>1372682.5630000001</v>
      </c>
      <c r="H10" s="46">
        <f t="shared" si="0"/>
        <v>19744.409000000003</v>
      </c>
      <c r="I10" s="46">
        <f t="shared" si="0"/>
        <v>673.82999999999993</v>
      </c>
      <c r="J10" s="59">
        <f t="shared" si="0"/>
        <v>75.588999999999999</v>
      </c>
      <c r="K10" s="26" t="s">
        <v>5</v>
      </c>
      <c r="L10" s="26"/>
      <c r="M10" s="26"/>
      <c r="N10" s="7"/>
    </row>
    <row r="11" spans="1:16" ht="10.65" customHeight="1">
      <c r="A11" s="25"/>
      <c r="B11" s="47"/>
      <c r="C11" s="47"/>
      <c r="D11" s="47"/>
      <c r="E11" s="47"/>
      <c r="F11" s="47"/>
      <c r="G11" s="56"/>
      <c r="H11" s="47"/>
      <c r="I11" s="47"/>
      <c r="J11" s="60"/>
      <c r="K11" s="24"/>
      <c r="L11" s="24"/>
      <c r="M11" s="24"/>
      <c r="N11" s="7"/>
    </row>
    <row r="12" spans="1:16" ht="10.65" customHeight="1">
      <c r="A12" s="25" t="s">
        <v>6</v>
      </c>
      <c r="B12" s="47">
        <f>SUM(B14:B19)</f>
        <v>347199</v>
      </c>
      <c r="C12" s="47">
        <f t="shared" ref="C12:J12" si="1">SUM(C14:C19)</f>
        <v>21551</v>
      </c>
      <c r="D12" s="47">
        <f t="shared" si="1"/>
        <v>467.73400000000004</v>
      </c>
      <c r="E12" s="47">
        <f t="shared" si="1"/>
        <v>108.83199999999999</v>
      </c>
      <c r="F12" s="47">
        <f t="shared" si="1"/>
        <v>266.94</v>
      </c>
      <c r="G12" s="56">
        <f t="shared" si="1"/>
        <v>53243.41</v>
      </c>
      <c r="H12" s="47">
        <f t="shared" si="1"/>
        <v>1755.884</v>
      </c>
      <c r="I12" s="47">
        <f t="shared" si="1"/>
        <v>48.006999999999998</v>
      </c>
      <c r="J12" s="60">
        <f t="shared" si="1"/>
        <v>20.85</v>
      </c>
      <c r="K12" s="24" t="s">
        <v>7</v>
      </c>
      <c r="L12" s="24"/>
      <c r="M12" s="24"/>
      <c r="N12" s="7"/>
    </row>
    <row r="13" spans="1:16" ht="10.65" customHeight="1">
      <c r="A13" s="25"/>
      <c r="B13" s="47"/>
      <c r="C13" s="47"/>
      <c r="D13" s="47"/>
      <c r="E13" s="47"/>
      <c r="F13" s="47"/>
      <c r="G13" s="56"/>
      <c r="H13" s="47"/>
      <c r="I13" s="47"/>
      <c r="J13" s="60"/>
      <c r="K13" s="24"/>
      <c r="L13" s="24"/>
      <c r="M13" s="24"/>
      <c r="N13" s="7"/>
    </row>
    <row r="14" spans="1:16">
      <c r="A14" s="15" t="s">
        <v>8</v>
      </c>
      <c r="B14" s="48">
        <v>26936</v>
      </c>
      <c r="C14" s="48" t="s">
        <v>178</v>
      </c>
      <c r="D14" s="51">
        <v>122.73</v>
      </c>
      <c r="E14" s="49">
        <v>21.94</v>
      </c>
      <c r="F14" s="48" t="s">
        <v>178</v>
      </c>
      <c r="G14" s="57">
        <v>8798.25</v>
      </c>
      <c r="H14" s="49">
        <v>245.03</v>
      </c>
      <c r="I14" s="49">
        <v>2.3109999999999999</v>
      </c>
      <c r="J14" s="61" t="s">
        <v>178</v>
      </c>
      <c r="K14" s="16" t="s">
        <v>9</v>
      </c>
      <c r="L14" s="8"/>
      <c r="M14" s="8"/>
      <c r="N14" s="7"/>
    </row>
    <row r="15" spans="1:16">
      <c r="A15" s="15" t="s">
        <v>10</v>
      </c>
      <c r="B15" s="51">
        <v>168211</v>
      </c>
      <c r="C15" s="51">
        <v>9357</v>
      </c>
      <c r="D15" s="51">
        <v>92.808999999999997</v>
      </c>
      <c r="E15" s="49">
        <v>13.914</v>
      </c>
      <c r="F15" s="49">
        <v>187.56399999999999</v>
      </c>
      <c r="G15" s="57">
        <v>5125.6499999999996</v>
      </c>
      <c r="H15" s="49">
        <v>312.04199999999997</v>
      </c>
      <c r="I15" s="49">
        <v>6.4450000000000003</v>
      </c>
      <c r="J15" s="61" t="s">
        <v>178</v>
      </c>
      <c r="K15" s="16" t="s">
        <v>11</v>
      </c>
      <c r="L15" s="8"/>
      <c r="M15" s="8"/>
      <c r="N15" s="7"/>
    </row>
    <row r="16" spans="1:16">
      <c r="A16" s="15" t="s">
        <v>12</v>
      </c>
      <c r="B16" s="51">
        <v>42775</v>
      </c>
      <c r="C16" s="51">
        <v>3135</v>
      </c>
      <c r="D16" s="51">
        <v>80.224999999999994</v>
      </c>
      <c r="E16" s="49">
        <v>10.68</v>
      </c>
      <c r="F16" s="49">
        <v>79.376000000000005</v>
      </c>
      <c r="G16" s="57">
        <v>10228.870000000001</v>
      </c>
      <c r="H16" s="49">
        <v>528.46400000000006</v>
      </c>
      <c r="I16" s="49">
        <v>0.43</v>
      </c>
      <c r="J16" s="62">
        <v>20.85</v>
      </c>
      <c r="K16" s="16" t="s">
        <v>13</v>
      </c>
      <c r="L16" s="8"/>
      <c r="M16" s="8"/>
      <c r="N16" s="7"/>
    </row>
    <row r="17" spans="1:14">
      <c r="A17" s="15" t="s">
        <v>14</v>
      </c>
      <c r="B17" s="51">
        <v>5244</v>
      </c>
      <c r="C17" s="51">
        <v>6</v>
      </c>
      <c r="D17" s="51">
        <v>30.12</v>
      </c>
      <c r="E17" s="49">
        <v>6.9619999999999997</v>
      </c>
      <c r="F17" s="48" t="s">
        <v>178</v>
      </c>
      <c r="G17" s="57">
        <v>486</v>
      </c>
      <c r="H17" s="49">
        <v>355.17500000000001</v>
      </c>
      <c r="I17" s="49">
        <v>14.205</v>
      </c>
      <c r="J17" s="61" t="s">
        <v>178</v>
      </c>
      <c r="K17" s="16" t="s">
        <v>15</v>
      </c>
      <c r="L17" s="8"/>
      <c r="M17" s="8"/>
      <c r="N17" s="7"/>
    </row>
    <row r="18" spans="1:14">
      <c r="A18" s="15" t="s">
        <v>16</v>
      </c>
      <c r="B18" s="51">
        <v>19200</v>
      </c>
      <c r="C18" s="51">
        <v>856</v>
      </c>
      <c r="D18" s="51">
        <v>65.3</v>
      </c>
      <c r="E18" s="49">
        <v>15.026</v>
      </c>
      <c r="F18" s="48" t="s">
        <v>178</v>
      </c>
      <c r="G18" s="57">
        <v>16970.7</v>
      </c>
      <c r="H18" s="49">
        <v>198.44800000000001</v>
      </c>
      <c r="I18" s="49">
        <v>3.2050000000000001</v>
      </c>
      <c r="J18" s="61" t="s">
        <v>178</v>
      </c>
      <c r="K18" s="16" t="s">
        <v>17</v>
      </c>
      <c r="L18" s="8"/>
      <c r="M18" s="8"/>
      <c r="N18" s="7"/>
    </row>
    <row r="19" spans="1:14">
      <c r="A19" s="15" t="s">
        <v>18</v>
      </c>
      <c r="B19" s="51">
        <v>84833</v>
      </c>
      <c r="C19" s="51">
        <v>8197</v>
      </c>
      <c r="D19" s="51">
        <v>76.55</v>
      </c>
      <c r="E19" s="49">
        <v>40.31</v>
      </c>
      <c r="F19" s="48" t="s">
        <v>178</v>
      </c>
      <c r="G19" s="57">
        <v>11633.94</v>
      </c>
      <c r="H19" s="49">
        <v>116.72499999999999</v>
      </c>
      <c r="I19" s="49">
        <v>21.411000000000001</v>
      </c>
      <c r="J19" s="61" t="s">
        <v>178</v>
      </c>
      <c r="K19" s="16" t="s">
        <v>19</v>
      </c>
      <c r="L19" s="8"/>
      <c r="M19" s="8"/>
      <c r="N19" s="7"/>
    </row>
    <row r="20" spans="1:14" ht="10.65" customHeight="1">
      <c r="A20" s="25" t="s">
        <v>20</v>
      </c>
      <c r="B20" s="47">
        <f>SUM(B22:B28)</f>
        <v>1051992</v>
      </c>
      <c r="C20" s="47">
        <f t="shared" ref="C20:J20" si="2">SUM(C22:C28)</f>
        <v>57828</v>
      </c>
      <c r="D20" s="47">
        <f t="shared" si="2"/>
        <v>772.71900000000005</v>
      </c>
      <c r="E20" s="47">
        <f t="shared" si="2"/>
        <v>188.297</v>
      </c>
      <c r="F20" s="47">
        <f t="shared" si="2"/>
        <v>269.16300000000001</v>
      </c>
      <c r="G20" s="56">
        <f t="shared" si="2"/>
        <v>162697.56899999999</v>
      </c>
      <c r="H20" s="47">
        <f t="shared" si="2"/>
        <v>4295.7139999999999</v>
      </c>
      <c r="I20" s="47">
        <f t="shared" si="2"/>
        <v>102.64699999999999</v>
      </c>
      <c r="J20" s="60">
        <f t="shared" si="2"/>
        <v>54.326999999999998</v>
      </c>
      <c r="K20" s="23" t="s">
        <v>21</v>
      </c>
      <c r="L20" s="23"/>
      <c r="M20" s="23"/>
      <c r="N20" s="7"/>
    </row>
    <row r="21" spans="1:14" ht="10.65" customHeight="1">
      <c r="A21" s="25"/>
      <c r="B21" s="47"/>
      <c r="C21" s="47"/>
      <c r="D21" s="47"/>
      <c r="E21" s="47"/>
      <c r="F21" s="47"/>
      <c r="G21" s="56"/>
      <c r="H21" s="47"/>
      <c r="I21" s="47"/>
      <c r="J21" s="60"/>
      <c r="K21" s="23"/>
      <c r="L21" s="23"/>
      <c r="M21" s="23"/>
      <c r="N21" s="7"/>
    </row>
    <row r="22" spans="1:14">
      <c r="A22" s="15" t="s">
        <v>22</v>
      </c>
      <c r="B22" s="51">
        <v>220783</v>
      </c>
      <c r="C22" s="51">
        <v>19174</v>
      </c>
      <c r="D22" s="51">
        <v>168.72200000000001</v>
      </c>
      <c r="E22" s="49">
        <v>36.92</v>
      </c>
      <c r="F22" s="51">
        <v>0.11799999999999999</v>
      </c>
      <c r="G22" s="57">
        <v>90186.2</v>
      </c>
      <c r="H22" s="49">
        <v>529.65899999999999</v>
      </c>
      <c r="I22" s="49">
        <v>15.215</v>
      </c>
      <c r="J22" s="61" t="s">
        <v>178</v>
      </c>
      <c r="K22" s="16" t="s">
        <v>23</v>
      </c>
      <c r="L22" s="8"/>
      <c r="M22" s="8"/>
      <c r="N22" s="7"/>
    </row>
    <row r="23" spans="1:14">
      <c r="A23" s="15" t="s">
        <v>24</v>
      </c>
      <c r="B23" s="51">
        <v>31410</v>
      </c>
      <c r="C23" s="51">
        <v>3337</v>
      </c>
      <c r="D23" s="51">
        <v>0.80200000000000005</v>
      </c>
      <c r="E23" s="51">
        <v>0.44</v>
      </c>
      <c r="F23" s="49">
        <v>1.05</v>
      </c>
      <c r="G23" s="57">
        <v>1527.95</v>
      </c>
      <c r="H23" s="49">
        <v>136.31</v>
      </c>
      <c r="I23" s="49">
        <v>11.81</v>
      </c>
      <c r="J23" s="62">
        <v>0.08</v>
      </c>
      <c r="K23" s="16" t="s">
        <v>25</v>
      </c>
      <c r="L23" s="8"/>
      <c r="M23" s="8"/>
      <c r="N23" s="7"/>
    </row>
    <row r="24" spans="1:14">
      <c r="A24" s="15" t="s">
        <v>26</v>
      </c>
      <c r="B24" s="51">
        <v>90008</v>
      </c>
      <c r="C24" s="51">
        <v>4089</v>
      </c>
      <c r="D24" s="51">
        <v>164.57300000000001</v>
      </c>
      <c r="E24" s="49">
        <v>2.98</v>
      </c>
      <c r="F24" s="48" t="s">
        <v>178</v>
      </c>
      <c r="G24" s="57">
        <v>7718.65</v>
      </c>
      <c r="H24" s="49">
        <v>83.203000000000003</v>
      </c>
      <c r="I24" s="49">
        <v>5.7949999999999999</v>
      </c>
      <c r="J24" s="61" t="s">
        <v>178</v>
      </c>
      <c r="K24" s="16" t="s">
        <v>27</v>
      </c>
      <c r="L24" s="8"/>
      <c r="M24" s="8"/>
      <c r="N24" s="7"/>
    </row>
    <row r="25" spans="1:14">
      <c r="A25" s="15" t="s">
        <v>28</v>
      </c>
      <c r="B25" s="51">
        <v>271308</v>
      </c>
      <c r="C25" s="51">
        <v>11305</v>
      </c>
      <c r="D25" s="51">
        <v>118.9</v>
      </c>
      <c r="E25" s="49">
        <v>25.696999999999999</v>
      </c>
      <c r="F25" s="49">
        <v>2.56</v>
      </c>
      <c r="G25" s="57">
        <v>6596.6</v>
      </c>
      <c r="H25" s="49">
        <v>398.10700000000003</v>
      </c>
      <c r="I25" s="49">
        <v>8.5619999999999994</v>
      </c>
      <c r="J25" s="61" t="s">
        <v>178</v>
      </c>
      <c r="K25" s="16" t="s">
        <v>29</v>
      </c>
      <c r="L25" s="8"/>
      <c r="M25" s="8"/>
      <c r="N25" s="7"/>
    </row>
    <row r="26" spans="1:14">
      <c r="A26" s="15" t="s">
        <v>30</v>
      </c>
      <c r="B26" s="51">
        <v>175372</v>
      </c>
      <c r="C26" s="51">
        <v>765</v>
      </c>
      <c r="D26" s="51">
        <v>85.478999999999999</v>
      </c>
      <c r="E26" s="49">
        <v>9.6010000000000009</v>
      </c>
      <c r="F26" s="49">
        <v>265.435</v>
      </c>
      <c r="G26" s="57">
        <v>11725.5</v>
      </c>
      <c r="H26" s="49">
        <v>201.58</v>
      </c>
      <c r="I26" s="49">
        <v>0.113</v>
      </c>
      <c r="J26" s="61" t="s">
        <v>178</v>
      </c>
      <c r="K26" s="16" t="s">
        <v>31</v>
      </c>
      <c r="L26" s="8"/>
      <c r="M26" s="8"/>
      <c r="N26" s="7"/>
    </row>
    <row r="27" spans="1:14">
      <c r="A27" s="15" t="s">
        <v>32</v>
      </c>
      <c r="B27" s="51">
        <v>162453</v>
      </c>
      <c r="C27" s="51">
        <v>16979</v>
      </c>
      <c r="D27" s="51">
        <v>208.41300000000001</v>
      </c>
      <c r="E27" s="49">
        <v>85.257999999999996</v>
      </c>
      <c r="F27" s="48" t="s">
        <v>178</v>
      </c>
      <c r="G27" s="57">
        <v>15547.869000000001</v>
      </c>
      <c r="H27" s="49">
        <v>704.97299999999996</v>
      </c>
      <c r="I27" s="49">
        <v>2.319</v>
      </c>
      <c r="J27" s="62">
        <v>54.247</v>
      </c>
      <c r="K27" s="16" t="s">
        <v>33</v>
      </c>
      <c r="L27" s="8"/>
      <c r="M27" s="8"/>
      <c r="N27" s="7"/>
    </row>
    <row r="28" spans="1:14">
      <c r="A28" s="15" t="s">
        <v>34</v>
      </c>
      <c r="B28" s="51">
        <v>100658</v>
      </c>
      <c r="C28" s="51">
        <v>2179</v>
      </c>
      <c r="D28" s="51">
        <v>25.83</v>
      </c>
      <c r="E28" s="49">
        <v>27.401</v>
      </c>
      <c r="F28" s="48" t="s">
        <v>178</v>
      </c>
      <c r="G28" s="57">
        <v>29394.799999999999</v>
      </c>
      <c r="H28" s="49">
        <v>2241.8820000000001</v>
      </c>
      <c r="I28" s="49">
        <v>58.832999999999998</v>
      </c>
      <c r="J28" s="61" t="s">
        <v>178</v>
      </c>
      <c r="K28" s="16" t="s">
        <v>35</v>
      </c>
      <c r="L28" s="8"/>
      <c r="M28" s="8"/>
      <c r="N28" s="7"/>
    </row>
    <row r="29" spans="1:14" ht="15.05" customHeight="1">
      <c r="A29" s="11" t="s">
        <v>179</v>
      </c>
      <c r="B29" s="50">
        <f>SUM(B30:B33)</f>
        <v>302678</v>
      </c>
      <c r="C29" s="50">
        <f t="shared" ref="C29:J29" si="3">SUM(C30:C33)</f>
        <v>10042</v>
      </c>
      <c r="D29" s="50">
        <f t="shared" si="3"/>
        <v>302.51799999999997</v>
      </c>
      <c r="E29" s="50">
        <f t="shared" si="3"/>
        <v>70.551000000000002</v>
      </c>
      <c r="F29" s="50">
        <f t="shared" si="3"/>
        <v>4.51</v>
      </c>
      <c r="G29" s="58">
        <f t="shared" si="3"/>
        <v>32494.579999999998</v>
      </c>
      <c r="H29" s="50">
        <f t="shared" si="3"/>
        <v>297.26800000000003</v>
      </c>
      <c r="I29" s="50">
        <f t="shared" si="3"/>
        <v>13.056999999999999</v>
      </c>
      <c r="J29" s="63">
        <f t="shared" si="3"/>
        <v>0</v>
      </c>
      <c r="K29" s="12" t="s">
        <v>180</v>
      </c>
      <c r="L29" s="8"/>
      <c r="M29" s="8"/>
      <c r="N29" s="7"/>
    </row>
    <row r="30" spans="1:14">
      <c r="A30" s="15" t="s">
        <v>36</v>
      </c>
      <c r="B30" s="51">
        <v>197427</v>
      </c>
      <c r="C30" s="51">
        <v>8254</v>
      </c>
      <c r="D30" s="51">
        <v>215.76</v>
      </c>
      <c r="E30" s="49">
        <v>51.536999999999999</v>
      </c>
      <c r="F30" s="48" t="s">
        <v>178</v>
      </c>
      <c r="G30" s="57">
        <v>18158.23</v>
      </c>
      <c r="H30" s="49">
        <v>110.833</v>
      </c>
      <c r="I30" s="49">
        <v>8.3219999999999992</v>
      </c>
      <c r="J30" s="61" t="s">
        <v>178</v>
      </c>
      <c r="K30" s="16" t="s">
        <v>37</v>
      </c>
      <c r="L30" s="8"/>
      <c r="M30" s="8"/>
      <c r="N30" s="7"/>
    </row>
    <row r="31" spans="1:14">
      <c r="A31" s="15" t="s">
        <v>38</v>
      </c>
      <c r="B31" s="51">
        <v>95076</v>
      </c>
      <c r="C31" s="51">
        <v>1782</v>
      </c>
      <c r="D31" s="51">
        <v>41.677999999999997</v>
      </c>
      <c r="E31" s="49">
        <v>14.055999999999999</v>
      </c>
      <c r="F31" s="49">
        <v>3.61</v>
      </c>
      <c r="G31" s="57">
        <v>4516.8</v>
      </c>
      <c r="H31" s="49">
        <v>80.075000000000003</v>
      </c>
      <c r="I31" s="49">
        <v>3.028</v>
      </c>
      <c r="J31" s="61" t="s">
        <v>178</v>
      </c>
      <c r="K31" s="16" t="s">
        <v>39</v>
      </c>
      <c r="L31" s="8"/>
      <c r="M31" s="8"/>
      <c r="N31" s="7"/>
    </row>
    <row r="32" spans="1:14">
      <c r="A32" s="15" t="s">
        <v>40</v>
      </c>
      <c r="B32" s="51">
        <v>10175</v>
      </c>
      <c r="C32" s="51">
        <v>6</v>
      </c>
      <c r="D32" s="51">
        <v>15</v>
      </c>
      <c r="E32" s="49">
        <v>3.2</v>
      </c>
      <c r="F32" s="49">
        <v>0.9</v>
      </c>
      <c r="G32" s="57">
        <v>3653.84</v>
      </c>
      <c r="H32" s="49">
        <v>43.722000000000001</v>
      </c>
      <c r="I32" s="49">
        <v>0.70899999999999996</v>
      </c>
      <c r="J32" s="61" t="s">
        <v>178</v>
      </c>
      <c r="K32" s="16" t="s">
        <v>41</v>
      </c>
      <c r="L32" s="8"/>
      <c r="M32" s="8"/>
      <c r="N32" s="7"/>
    </row>
    <row r="33" spans="1:14">
      <c r="A33" s="15" t="s">
        <v>42</v>
      </c>
      <c r="B33" s="48" t="s">
        <v>178</v>
      </c>
      <c r="C33" s="48" t="s">
        <v>178</v>
      </c>
      <c r="D33" s="51">
        <v>30.08</v>
      </c>
      <c r="E33" s="49">
        <v>1.758</v>
      </c>
      <c r="F33" s="48" t="s">
        <v>178</v>
      </c>
      <c r="G33" s="57">
        <v>6165.71</v>
      </c>
      <c r="H33" s="49">
        <v>62.637999999999998</v>
      </c>
      <c r="I33" s="49">
        <v>0.998</v>
      </c>
      <c r="J33" s="61" t="s">
        <v>178</v>
      </c>
      <c r="K33" s="16" t="s">
        <v>43</v>
      </c>
      <c r="L33" s="8"/>
      <c r="M33" s="8"/>
      <c r="N33" s="7"/>
    </row>
    <row r="34" spans="1:14" ht="10.65" customHeight="1">
      <c r="A34" s="25" t="s">
        <v>44</v>
      </c>
      <c r="B34" s="47">
        <f>SUM(B36:B39)</f>
        <v>465876</v>
      </c>
      <c r="C34" s="47">
        <f t="shared" ref="C34:J34" si="4">SUM(C36:C39)</f>
        <v>7794</v>
      </c>
      <c r="D34" s="47">
        <f t="shared" si="4"/>
        <v>470.28200000000004</v>
      </c>
      <c r="E34" s="47">
        <f t="shared" si="4"/>
        <v>43.869</v>
      </c>
      <c r="F34" s="47">
        <f t="shared" si="4"/>
        <v>58.244999999999997</v>
      </c>
      <c r="G34" s="56">
        <f t="shared" si="4"/>
        <v>76435.343000000008</v>
      </c>
      <c r="H34" s="47">
        <f t="shared" si="4"/>
        <v>817.29899999999998</v>
      </c>
      <c r="I34" s="47">
        <f t="shared" si="4"/>
        <v>118.19900000000001</v>
      </c>
      <c r="J34" s="60">
        <f t="shared" si="4"/>
        <v>0</v>
      </c>
      <c r="K34" s="22" t="s">
        <v>45</v>
      </c>
      <c r="L34" s="22"/>
      <c r="M34" s="22"/>
      <c r="N34" s="7"/>
    </row>
    <row r="35" spans="1:14" ht="10.65" customHeight="1">
      <c r="A35" s="25"/>
      <c r="B35" s="47"/>
      <c r="C35" s="47"/>
      <c r="D35" s="47"/>
      <c r="E35" s="47"/>
      <c r="F35" s="47"/>
      <c r="G35" s="56"/>
      <c r="H35" s="47"/>
      <c r="I35" s="47"/>
      <c r="J35" s="60"/>
      <c r="K35" s="22"/>
      <c r="L35" s="22"/>
      <c r="M35" s="22"/>
      <c r="N35" s="7"/>
    </row>
    <row r="36" spans="1:14">
      <c r="A36" s="15" t="s">
        <v>46</v>
      </c>
      <c r="B36" s="51">
        <v>154995</v>
      </c>
      <c r="C36" s="51">
        <v>2683</v>
      </c>
      <c r="D36" s="51">
        <v>248.66900000000001</v>
      </c>
      <c r="E36" s="49">
        <v>15.869</v>
      </c>
      <c r="F36" s="49">
        <v>58.244999999999997</v>
      </c>
      <c r="G36" s="57">
        <v>50211.442999999999</v>
      </c>
      <c r="H36" s="49">
        <v>211.64099999999999</v>
      </c>
      <c r="I36" s="49">
        <v>2.1230000000000002</v>
      </c>
      <c r="J36" s="61" t="s">
        <v>178</v>
      </c>
      <c r="K36" s="16" t="s">
        <v>47</v>
      </c>
      <c r="L36" s="8"/>
      <c r="M36" s="8"/>
      <c r="N36" s="7"/>
    </row>
    <row r="37" spans="1:14">
      <c r="A37" s="15" t="s">
        <v>48</v>
      </c>
      <c r="B37" s="51">
        <v>25255</v>
      </c>
      <c r="C37" s="51">
        <v>173</v>
      </c>
      <c r="D37" s="51">
        <v>131.58000000000001</v>
      </c>
      <c r="E37" s="49">
        <v>22.927</v>
      </c>
      <c r="F37" s="48" t="s">
        <v>178</v>
      </c>
      <c r="G37" s="57">
        <v>20767.599999999999</v>
      </c>
      <c r="H37" s="49">
        <v>302.45999999999998</v>
      </c>
      <c r="I37" s="49">
        <v>113.197</v>
      </c>
      <c r="J37" s="61" t="s">
        <v>178</v>
      </c>
      <c r="K37" s="16" t="s">
        <v>49</v>
      </c>
      <c r="L37" s="8"/>
      <c r="M37" s="8"/>
      <c r="N37" s="7"/>
    </row>
    <row r="38" spans="1:14">
      <c r="A38" s="15" t="s">
        <v>50</v>
      </c>
      <c r="B38" s="51">
        <v>109371</v>
      </c>
      <c r="C38" s="51">
        <v>1300</v>
      </c>
      <c r="D38" s="51">
        <v>90.033000000000001</v>
      </c>
      <c r="E38" s="49">
        <v>5.0730000000000004</v>
      </c>
      <c r="F38" s="48" t="s">
        <v>178</v>
      </c>
      <c r="G38" s="57">
        <v>2284.6999999999998</v>
      </c>
      <c r="H38" s="49">
        <v>223.27799999999999</v>
      </c>
      <c r="I38" s="49">
        <v>2.5190000000000001</v>
      </c>
      <c r="J38" s="61" t="s">
        <v>178</v>
      </c>
      <c r="K38" s="16" t="s">
        <v>51</v>
      </c>
      <c r="L38" s="8"/>
      <c r="M38" s="8"/>
      <c r="N38" s="7"/>
    </row>
    <row r="39" spans="1:14">
      <c r="A39" s="15" t="s">
        <v>52</v>
      </c>
      <c r="B39" s="51">
        <v>176255</v>
      </c>
      <c r="C39" s="51">
        <v>3638</v>
      </c>
      <c r="D39" s="48" t="s">
        <v>178</v>
      </c>
      <c r="E39" s="48" t="s">
        <v>178</v>
      </c>
      <c r="F39" s="48" t="s">
        <v>178</v>
      </c>
      <c r="G39" s="57">
        <v>3171.6</v>
      </c>
      <c r="H39" s="49">
        <v>79.92</v>
      </c>
      <c r="I39" s="49">
        <v>0.36</v>
      </c>
      <c r="J39" s="61" t="s">
        <v>178</v>
      </c>
      <c r="K39" s="16" t="s">
        <v>53</v>
      </c>
      <c r="L39" s="8"/>
      <c r="M39" s="8"/>
      <c r="N39" s="7"/>
    </row>
    <row r="40" spans="1:14" ht="10.65" customHeight="1">
      <c r="A40" s="25" t="s">
        <v>54</v>
      </c>
      <c r="B40" s="47">
        <f>SUM(B42:B46)</f>
        <v>1005507</v>
      </c>
      <c r="C40" s="47">
        <f t="shared" ref="C40:J40" si="5">SUM(C42:C46)</f>
        <v>38922</v>
      </c>
      <c r="D40" s="47">
        <f t="shared" si="5"/>
        <v>891.43999999999994</v>
      </c>
      <c r="E40" s="47">
        <f t="shared" si="5"/>
        <v>139.19</v>
      </c>
      <c r="F40" s="47">
        <f t="shared" si="5"/>
        <v>8.145999999999999</v>
      </c>
      <c r="G40" s="56">
        <f t="shared" si="5"/>
        <v>63568.883000000002</v>
      </c>
      <c r="H40" s="47">
        <f t="shared" si="5"/>
        <v>1928.8279999999997</v>
      </c>
      <c r="I40" s="47">
        <f t="shared" si="5"/>
        <v>60.227000000000004</v>
      </c>
      <c r="J40" s="60">
        <f t="shared" si="5"/>
        <v>0</v>
      </c>
      <c r="K40" s="22" t="s">
        <v>55</v>
      </c>
      <c r="L40" s="22"/>
      <c r="M40" s="22"/>
      <c r="N40" s="7"/>
    </row>
    <row r="41" spans="1:14" ht="10.65" customHeight="1">
      <c r="A41" s="25"/>
      <c r="B41" s="47"/>
      <c r="C41" s="47"/>
      <c r="D41" s="47"/>
      <c r="E41" s="47"/>
      <c r="F41" s="47"/>
      <c r="G41" s="56"/>
      <c r="H41" s="47"/>
      <c r="I41" s="47"/>
      <c r="J41" s="60"/>
      <c r="K41" s="22"/>
      <c r="L41" s="22"/>
      <c r="M41" s="22"/>
      <c r="N41" s="7"/>
    </row>
    <row r="42" spans="1:14">
      <c r="A42" s="15" t="s">
        <v>56</v>
      </c>
      <c r="B42" s="51">
        <v>333785</v>
      </c>
      <c r="C42" s="51">
        <v>5186</v>
      </c>
      <c r="D42" s="51">
        <v>360.81599999999997</v>
      </c>
      <c r="E42" s="49">
        <v>78.917000000000002</v>
      </c>
      <c r="F42" s="49">
        <v>6.6</v>
      </c>
      <c r="G42" s="57">
        <v>27385.115000000002</v>
      </c>
      <c r="H42" s="49">
        <v>518.00699999999995</v>
      </c>
      <c r="I42" s="49">
        <v>11.085000000000001</v>
      </c>
      <c r="J42" s="61" t="s">
        <v>178</v>
      </c>
      <c r="K42" s="16" t="s">
        <v>57</v>
      </c>
      <c r="L42" s="8"/>
      <c r="M42" s="8"/>
      <c r="N42" s="7"/>
    </row>
    <row r="43" spans="1:14">
      <c r="A43" s="15" t="s">
        <v>58</v>
      </c>
      <c r="B43" s="51">
        <v>74328</v>
      </c>
      <c r="C43" s="51">
        <v>2132</v>
      </c>
      <c r="D43" s="51">
        <v>148.429</v>
      </c>
      <c r="E43" s="49">
        <v>14.967000000000001</v>
      </c>
      <c r="F43" s="48" t="s">
        <v>178</v>
      </c>
      <c r="G43" s="57">
        <v>11331.85</v>
      </c>
      <c r="H43" s="49">
        <v>680.15499999999997</v>
      </c>
      <c r="I43" s="49">
        <v>8.3160000000000007</v>
      </c>
      <c r="J43" s="61" t="s">
        <v>178</v>
      </c>
      <c r="K43" s="16" t="s">
        <v>59</v>
      </c>
      <c r="L43" s="8"/>
      <c r="M43" s="8"/>
      <c r="N43" s="7"/>
    </row>
    <row r="44" spans="1:14">
      <c r="A44" s="15" t="s">
        <v>60</v>
      </c>
      <c r="B44" s="51">
        <v>120837</v>
      </c>
      <c r="C44" s="51">
        <v>7871</v>
      </c>
      <c r="D44" s="51">
        <v>68.225999999999999</v>
      </c>
      <c r="E44" s="49">
        <v>6.8150000000000004</v>
      </c>
      <c r="F44" s="49">
        <v>1.1160000000000001</v>
      </c>
      <c r="G44" s="57">
        <v>7797.4679999999998</v>
      </c>
      <c r="H44" s="49">
        <v>354.11700000000002</v>
      </c>
      <c r="I44" s="49">
        <v>20.518999999999998</v>
      </c>
      <c r="J44" s="61" t="s">
        <v>178</v>
      </c>
      <c r="K44" s="16" t="s">
        <v>61</v>
      </c>
      <c r="L44" s="8"/>
      <c r="M44" s="8"/>
      <c r="N44" s="7"/>
    </row>
    <row r="45" spans="1:14">
      <c r="A45" s="15" t="s">
        <v>62</v>
      </c>
      <c r="B45" s="48">
        <v>9469</v>
      </c>
      <c r="C45" s="48" t="s">
        <v>178</v>
      </c>
      <c r="D45" s="51">
        <v>0.05</v>
      </c>
      <c r="E45" s="48" t="s">
        <v>178</v>
      </c>
      <c r="F45" s="48" t="s">
        <v>178</v>
      </c>
      <c r="G45" s="57">
        <v>116</v>
      </c>
      <c r="H45" s="49">
        <v>52.75</v>
      </c>
      <c r="I45" s="49">
        <v>0.75</v>
      </c>
      <c r="J45" s="61" t="s">
        <v>178</v>
      </c>
      <c r="K45" s="16" t="s">
        <v>63</v>
      </c>
      <c r="L45" s="8"/>
      <c r="M45" s="8"/>
      <c r="N45" s="7"/>
    </row>
    <row r="46" spans="1:14">
      <c r="A46" s="15" t="s">
        <v>64</v>
      </c>
      <c r="B46" s="51">
        <v>467088</v>
      </c>
      <c r="C46" s="51">
        <v>23733</v>
      </c>
      <c r="D46" s="51">
        <v>313.91899999999998</v>
      </c>
      <c r="E46" s="49">
        <v>38.491</v>
      </c>
      <c r="F46" s="51">
        <v>0.43</v>
      </c>
      <c r="G46" s="57">
        <v>16938.45</v>
      </c>
      <c r="H46" s="49">
        <v>323.79899999999998</v>
      </c>
      <c r="I46" s="49">
        <v>19.556999999999999</v>
      </c>
      <c r="J46" s="61" t="s">
        <v>178</v>
      </c>
      <c r="K46" s="16" t="s">
        <v>65</v>
      </c>
      <c r="L46" s="8"/>
      <c r="M46" s="8"/>
      <c r="N46" s="7"/>
    </row>
    <row r="47" spans="1:14" ht="10.65" customHeight="1">
      <c r="A47" s="25" t="s">
        <v>66</v>
      </c>
      <c r="B47" s="47">
        <f>SUM(B49:B53)</f>
        <v>509068</v>
      </c>
      <c r="C47" s="47">
        <f t="shared" ref="C47:J47" si="6">SUM(C49:C53)</f>
        <v>8851</v>
      </c>
      <c r="D47" s="47">
        <f t="shared" si="6"/>
        <v>304.29899999999998</v>
      </c>
      <c r="E47" s="47">
        <f t="shared" si="6"/>
        <v>61.741000000000007</v>
      </c>
      <c r="F47" s="47">
        <f t="shared" si="6"/>
        <v>7.4349999999999996</v>
      </c>
      <c r="G47" s="56">
        <f t="shared" si="6"/>
        <v>139550.43000000002</v>
      </c>
      <c r="H47" s="47">
        <f t="shared" si="6"/>
        <v>2424.23</v>
      </c>
      <c r="I47" s="47">
        <f t="shared" si="6"/>
        <v>71.361999999999995</v>
      </c>
      <c r="J47" s="60">
        <f t="shared" si="6"/>
        <v>0</v>
      </c>
      <c r="K47" s="22" t="s">
        <v>67</v>
      </c>
      <c r="L47" s="22"/>
      <c r="M47" s="22"/>
      <c r="N47" s="7"/>
    </row>
    <row r="48" spans="1:14" ht="10.65" customHeight="1">
      <c r="A48" s="25"/>
      <c r="B48" s="47"/>
      <c r="C48" s="47"/>
      <c r="D48" s="47"/>
      <c r="E48" s="47"/>
      <c r="F48" s="47"/>
      <c r="G48" s="56"/>
      <c r="H48" s="47"/>
      <c r="I48" s="47"/>
      <c r="J48" s="60"/>
      <c r="K48" s="22"/>
      <c r="L48" s="22"/>
      <c r="M48" s="22"/>
      <c r="N48" s="7"/>
    </row>
    <row r="49" spans="1:14">
      <c r="A49" s="15" t="s">
        <v>68</v>
      </c>
      <c r="B49" s="51">
        <v>165207</v>
      </c>
      <c r="C49" s="51">
        <v>4507</v>
      </c>
      <c r="D49" s="51">
        <v>119.471</v>
      </c>
      <c r="E49" s="49">
        <v>25.940999999999999</v>
      </c>
      <c r="F49" s="49">
        <v>4.665</v>
      </c>
      <c r="G49" s="57">
        <v>12261.684999999999</v>
      </c>
      <c r="H49" s="49">
        <v>601.5</v>
      </c>
      <c r="I49" s="49">
        <v>20.603000000000002</v>
      </c>
      <c r="J49" s="61" t="s">
        <v>178</v>
      </c>
      <c r="K49" s="16" t="s">
        <v>69</v>
      </c>
      <c r="L49" s="8"/>
      <c r="M49" s="8"/>
      <c r="N49" s="7"/>
    </row>
    <row r="50" spans="1:14">
      <c r="A50" s="15" t="s">
        <v>70</v>
      </c>
      <c r="B50" s="51">
        <v>105404</v>
      </c>
      <c r="C50" s="51">
        <v>1934</v>
      </c>
      <c r="D50" s="51">
        <v>39.542000000000002</v>
      </c>
      <c r="E50" s="49">
        <v>11.491</v>
      </c>
      <c r="F50" s="48" t="s">
        <v>178</v>
      </c>
      <c r="G50" s="57">
        <v>102222.13</v>
      </c>
      <c r="H50" s="49">
        <v>220.88800000000001</v>
      </c>
      <c r="I50" s="49">
        <v>6.2469999999999999</v>
      </c>
      <c r="J50" s="61" t="s">
        <v>178</v>
      </c>
      <c r="K50" s="16" t="s">
        <v>71</v>
      </c>
      <c r="L50" s="8"/>
      <c r="M50" s="8"/>
      <c r="N50" s="7"/>
    </row>
    <row r="51" spans="1:14">
      <c r="A51" s="15" t="s">
        <v>72</v>
      </c>
      <c r="B51" s="51">
        <v>147507</v>
      </c>
      <c r="C51" s="51">
        <v>84</v>
      </c>
      <c r="D51" s="51">
        <v>62.646000000000001</v>
      </c>
      <c r="E51" s="49">
        <v>8.7140000000000004</v>
      </c>
      <c r="F51" s="49">
        <v>2.63</v>
      </c>
      <c r="G51" s="57">
        <v>16390.27</v>
      </c>
      <c r="H51" s="49">
        <v>1149.8050000000001</v>
      </c>
      <c r="I51" s="49">
        <v>31.501000000000001</v>
      </c>
      <c r="J51" s="61" t="s">
        <v>178</v>
      </c>
      <c r="K51" s="16" t="s">
        <v>73</v>
      </c>
      <c r="L51" s="8"/>
      <c r="M51" s="8"/>
      <c r="N51" s="7"/>
    </row>
    <row r="52" spans="1:14">
      <c r="A52" s="15" t="s">
        <v>74</v>
      </c>
      <c r="B52" s="51">
        <v>20425</v>
      </c>
      <c r="C52" s="51">
        <v>258</v>
      </c>
      <c r="D52" s="51">
        <v>22.77</v>
      </c>
      <c r="E52" s="49">
        <v>7.59</v>
      </c>
      <c r="F52" s="51">
        <v>0.14000000000000001</v>
      </c>
      <c r="G52" s="57">
        <v>1635.05</v>
      </c>
      <c r="H52" s="49">
        <v>199.25</v>
      </c>
      <c r="I52" s="49">
        <v>4.8849999999999998</v>
      </c>
      <c r="J52" s="61" t="s">
        <v>178</v>
      </c>
      <c r="K52" s="16" t="s">
        <v>75</v>
      </c>
      <c r="L52" s="8"/>
      <c r="M52" s="8"/>
      <c r="N52" s="7"/>
    </row>
    <row r="53" spans="1:14">
      <c r="A53" s="15" t="s">
        <v>76</v>
      </c>
      <c r="B53" s="51">
        <v>70525</v>
      </c>
      <c r="C53" s="51">
        <v>2068</v>
      </c>
      <c r="D53" s="51">
        <v>59.87</v>
      </c>
      <c r="E53" s="49">
        <v>8.0050000000000008</v>
      </c>
      <c r="F53" s="48" t="s">
        <v>178</v>
      </c>
      <c r="G53" s="57">
        <v>7041.2950000000001</v>
      </c>
      <c r="H53" s="49">
        <v>252.78700000000001</v>
      </c>
      <c r="I53" s="49">
        <v>8.1259999999999994</v>
      </c>
      <c r="J53" s="61" t="s">
        <v>178</v>
      </c>
      <c r="K53" s="16" t="s">
        <v>77</v>
      </c>
      <c r="L53" s="8"/>
      <c r="M53" s="8"/>
      <c r="N53" s="7"/>
    </row>
    <row r="54" spans="1:14" ht="10.65" customHeight="1">
      <c r="A54" s="25" t="s">
        <v>78</v>
      </c>
      <c r="B54" s="47">
        <f>SUM(B56:B60)</f>
        <v>63515</v>
      </c>
      <c r="C54" s="47">
        <f t="shared" ref="C54:J54" si="7">SUM(C56:C60)</f>
        <v>664</v>
      </c>
      <c r="D54" s="47">
        <f t="shared" si="7"/>
        <v>17.123000000000001</v>
      </c>
      <c r="E54" s="47">
        <f t="shared" si="7"/>
        <v>2.2029999999999998</v>
      </c>
      <c r="F54" s="47">
        <f t="shared" si="7"/>
        <v>7.3579999999999997</v>
      </c>
      <c r="G54" s="56">
        <f t="shared" si="7"/>
        <v>11539.73</v>
      </c>
      <c r="H54" s="47">
        <f t="shared" si="7"/>
        <v>455.71799999999996</v>
      </c>
      <c r="I54" s="47">
        <f t="shared" si="7"/>
        <v>8.2070000000000007</v>
      </c>
      <c r="J54" s="60">
        <f t="shared" si="7"/>
        <v>0</v>
      </c>
      <c r="K54" s="22" t="s">
        <v>79</v>
      </c>
      <c r="L54" s="22"/>
      <c r="M54" s="22"/>
      <c r="N54" s="7"/>
    </row>
    <row r="55" spans="1:14" ht="10.65" customHeight="1">
      <c r="A55" s="25"/>
      <c r="B55" s="47"/>
      <c r="C55" s="47"/>
      <c r="D55" s="47"/>
      <c r="E55" s="47"/>
      <c r="F55" s="47"/>
      <c r="G55" s="56"/>
      <c r="H55" s="47"/>
      <c r="I55" s="47"/>
      <c r="J55" s="60"/>
      <c r="K55" s="22"/>
      <c r="L55" s="22"/>
      <c r="M55" s="22"/>
      <c r="N55" s="7"/>
    </row>
    <row r="56" spans="1:14">
      <c r="A56" s="15" t="s">
        <v>80</v>
      </c>
      <c r="B56" s="51">
        <v>11872</v>
      </c>
      <c r="C56" s="51">
        <v>25</v>
      </c>
      <c r="D56" s="51">
        <v>6.4980000000000002</v>
      </c>
      <c r="E56" s="51">
        <v>0.27300000000000002</v>
      </c>
      <c r="F56" s="48" t="s">
        <v>178</v>
      </c>
      <c r="G56" s="57">
        <v>6562.74</v>
      </c>
      <c r="H56" s="49">
        <v>46.128999999999998</v>
      </c>
      <c r="I56" s="49">
        <v>0.192</v>
      </c>
      <c r="J56" s="61" t="s">
        <v>178</v>
      </c>
      <c r="K56" s="16" t="s">
        <v>81</v>
      </c>
      <c r="L56" s="8"/>
      <c r="M56" s="8"/>
      <c r="N56" s="7"/>
    </row>
    <row r="57" spans="1:14">
      <c r="A57" s="15" t="s">
        <v>82</v>
      </c>
      <c r="B57" s="51">
        <v>11514</v>
      </c>
      <c r="C57" s="51">
        <v>255</v>
      </c>
      <c r="D57" s="51">
        <v>10.625</v>
      </c>
      <c r="E57" s="49">
        <v>1.93</v>
      </c>
      <c r="F57" s="49">
        <v>7.3579999999999997</v>
      </c>
      <c r="G57" s="57">
        <v>2592.19</v>
      </c>
      <c r="H57" s="49">
        <v>121.17</v>
      </c>
      <c r="I57" s="49">
        <v>7.4749999999999996</v>
      </c>
      <c r="J57" s="61" t="s">
        <v>178</v>
      </c>
      <c r="K57" s="16" t="s">
        <v>83</v>
      </c>
      <c r="L57" s="8"/>
      <c r="M57" s="8"/>
      <c r="N57" s="7"/>
    </row>
    <row r="58" spans="1:14">
      <c r="A58" s="15" t="s">
        <v>84</v>
      </c>
      <c r="B58" s="48" t="s">
        <v>178</v>
      </c>
      <c r="C58" s="48" t="s">
        <v>178</v>
      </c>
      <c r="D58" s="48" t="s">
        <v>178</v>
      </c>
      <c r="E58" s="48" t="s">
        <v>178</v>
      </c>
      <c r="F58" s="48" t="s">
        <v>178</v>
      </c>
      <c r="G58" s="57">
        <v>57.1</v>
      </c>
      <c r="H58" s="49">
        <v>1.85</v>
      </c>
      <c r="I58" s="48" t="s">
        <v>178</v>
      </c>
      <c r="J58" s="61" t="s">
        <v>178</v>
      </c>
      <c r="K58" s="16" t="s">
        <v>85</v>
      </c>
      <c r="L58" s="8"/>
      <c r="M58" s="8"/>
      <c r="N58" s="7"/>
    </row>
    <row r="59" spans="1:14">
      <c r="A59" s="15" t="s">
        <v>86</v>
      </c>
      <c r="B59" s="51">
        <v>40129</v>
      </c>
      <c r="C59" s="51">
        <v>384</v>
      </c>
      <c r="D59" s="48" t="s">
        <v>178</v>
      </c>
      <c r="E59" s="48" t="s">
        <v>178</v>
      </c>
      <c r="F59" s="48" t="s">
        <v>178</v>
      </c>
      <c r="G59" s="57">
        <v>1443.3</v>
      </c>
      <c r="H59" s="49">
        <v>205.69300000000001</v>
      </c>
      <c r="I59" s="48" t="s">
        <v>178</v>
      </c>
      <c r="J59" s="61" t="s">
        <v>178</v>
      </c>
      <c r="K59" s="16" t="s">
        <v>87</v>
      </c>
      <c r="L59" s="8"/>
      <c r="M59" s="8"/>
      <c r="N59" s="7"/>
    </row>
    <row r="60" spans="1:14">
      <c r="A60" s="15" t="s">
        <v>88</v>
      </c>
      <c r="B60" s="48" t="s">
        <v>178</v>
      </c>
      <c r="C60" s="48" t="s">
        <v>178</v>
      </c>
      <c r="D60" s="48" t="s">
        <v>178</v>
      </c>
      <c r="E60" s="48" t="s">
        <v>178</v>
      </c>
      <c r="F60" s="48" t="s">
        <v>178</v>
      </c>
      <c r="G60" s="57">
        <v>884.4</v>
      </c>
      <c r="H60" s="49">
        <v>80.876000000000005</v>
      </c>
      <c r="I60" s="49">
        <v>0.54</v>
      </c>
      <c r="J60" s="61" t="s">
        <v>178</v>
      </c>
      <c r="K60" s="16" t="s">
        <v>89</v>
      </c>
      <c r="L60" s="8"/>
      <c r="M60" s="8"/>
      <c r="N60" s="7"/>
    </row>
    <row r="61" spans="1:14" ht="10.65" customHeight="1">
      <c r="A61" s="25" t="s">
        <v>90</v>
      </c>
      <c r="B61" s="47">
        <f>SUM(B63:B65)</f>
        <v>938312</v>
      </c>
      <c r="C61" s="47">
        <f t="shared" ref="C61:J61" si="8">SUM(C63:C65)</f>
        <v>11782</v>
      </c>
      <c r="D61" s="47">
        <f t="shared" si="8"/>
        <v>1044.8520000000001</v>
      </c>
      <c r="E61" s="47">
        <f t="shared" si="8"/>
        <v>195.92100000000002</v>
      </c>
      <c r="F61" s="47">
        <f t="shared" si="8"/>
        <v>52.905000000000001</v>
      </c>
      <c r="G61" s="56">
        <f t="shared" si="8"/>
        <v>55706.915999999997</v>
      </c>
      <c r="H61" s="47">
        <f t="shared" si="8"/>
        <v>1026.7090000000001</v>
      </c>
      <c r="I61" s="47">
        <f t="shared" si="8"/>
        <v>60.384</v>
      </c>
      <c r="J61" s="60">
        <f t="shared" si="8"/>
        <v>0</v>
      </c>
      <c r="K61" s="23" t="s">
        <v>91</v>
      </c>
      <c r="L61" s="23"/>
      <c r="M61" s="23"/>
      <c r="N61" s="7"/>
    </row>
    <row r="62" spans="1:14" ht="10.65" customHeight="1">
      <c r="A62" s="25"/>
      <c r="B62" s="47"/>
      <c r="C62" s="47"/>
      <c r="D62" s="47"/>
      <c r="E62" s="47"/>
      <c r="F62" s="47"/>
      <c r="G62" s="56"/>
      <c r="H62" s="47"/>
      <c r="I62" s="47"/>
      <c r="J62" s="60"/>
      <c r="K62" s="23"/>
      <c r="L62" s="23"/>
      <c r="M62" s="23"/>
      <c r="N62" s="7"/>
    </row>
    <row r="63" spans="1:14">
      <c r="A63" s="15" t="s">
        <v>92</v>
      </c>
      <c r="B63" s="51">
        <v>164419</v>
      </c>
      <c r="C63" s="51">
        <v>1370</v>
      </c>
      <c r="D63" s="51">
        <v>297.08600000000001</v>
      </c>
      <c r="E63" s="49">
        <v>59.026000000000003</v>
      </c>
      <c r="F63" s="48" t="s">
        <v>178</v>
      </c>
      <c r="G63" s="57">
        <v>10254.028</v>
      </c>
      <c r="H63" s="49">
        <v>319.928</v>
      </c>
      <c r="I63" s="49">
        <v>5.2270000000000003</v>
      </c>
      <c r="J63" s="61" t="s">
        <v>178</v>
      </c>
      <c r="K63" s="16" t="s">
        <v>93</v>
      </c>
      <c r="L63" s="8"/>
      <c r="M63" s="8"/>
      <c r="N63" s="7"/>
    </row>
    <row r="64" spans="1:14">
      <c r="A64" s="15" t="s">
        <v>94</v>
      </c>
      <c r="B64" s="51">
        <v>478191</v>
      </c>
      <c r="C64" s="51">
        <v>7295</v>
      </c>
      <c r="D64" s="51">
        <v>424.04599999999999</v>
      </c>
      <c r="E64" s="49">
        <v>115.64400000000001</v>
      </c>
      <c r="F64" s="49">
        <v>40.03</v>
      </c>
      <c r="G64" s="57">
        <v>27015.78</v>
      </c>
      <c r="H64" s="49">
        <v>543.76499999999999</v>
      </c>
      <c r="I64" s="49">
        <v>27.001999999999999</v>
      </c>
      <c r="J64" s="61" t="s">
        <v>178</v>
      </c>
      <c r="K64" s="16" t="s">
        <v>95</v>
      </c>
      <c r="L64" s="8"/>
      <c r="M64" s="8"/>
      <c r="N64" s="7"/>
    </row>
    <row r="65" spans="1:14">
      <c r="A65" s="15" t="s">
        <v>96</v>
      </c>
      <c r="B65" s="51">
        <v>295702</v>
      </c>
      <c r="C65" s="51">
        <v>3117</v>
      </c>
      <c r="D65" s="51">
        <v>323.72000000000003</v>
      </c>
      <c r="E65" s="49">
        <v>21.251000000000001</v>
      </c>
      <c r="F65" s="49">
        <v>12.875</v>
      </c>
      <c r="G65" s="57">
        <v>18437.108</v>
      </c>
      <c r="H65" s="49">
        <v>163.01599999999999</v>
      </c>
      <c r="I65" s="49">
        <v>28.155000000000001</v>
      </c>
      <c r="J65" s="61" t="s">
        <v>178</v>
      </c>
      <c r="K65" s="16" t="s">
        <v>97</v>
      </c>
      <c r="L65" s="8"/>
      <c r="M65" s="8"/>
      <c r="N65" s="7"/>
    </row>
    <row r="66" spans="1:14" ht="10.65" customHeight="1">
      <c r="A66" s="25" t="s">
        <v>98</v>
      </c>
      <c r="B66" s="47">
        <f>SUM(B68:B72)</f>
        <v>917165</v>
      </c>
      <c r="C66" s="47">
        <f t="shared" ref="C66:J66" si="9">SUM(C68:C72)</f>
        <v>6682.0079999999998</v>
      </c>
      <c r="D66" s="47">
        <f t="shared" si="9"/>
        <v>409.69100000000003</v>
      </c>
      <c r="E66" s="47">
        <f t="shared" si="9"/>
        <v>149.393</v>
      </c>
      <c r="F66" s="47">
        <f t="shared" si="9"/>
        <v>0.85000000000000009</v>
      </c>
      <c r="G66" s="56">
        <f t="shared" si="9"/>
        <v>166438.55900000004</v>
      </c>
      <c r="H66" s="47">
        <f t="shared" si="9"/>
        <v>2706.9290000000001</v>
      </c>
      <c r="I66" s="47">
        <f t="shared" si="9"/>
        <v>69.951999999999998</v>
      </c>
      <c r="J66" s="60">
        <f t="shared" si="9"/>
        <v>0</v>
      </c>
      <c r="K66" s="22" t="s">
        <v>99</v>
      </c>
      <c r="L66" s="22"/>
      <c r="M66" s="22"/>
      <c r="N66" s="7"/>
    </row>
    <row r="67" spans="1:14" ht="10.65" customHeight="1">
      <c r="A67" s="25"/>
      <c r="B67" s="47"/>
      <c r="C67" s="47"/>
      <c r="D67" s="47"/>
      <c r="E67" s="47"/>
      <c r="F67" s="47"/>
      <c r="G67" s="56"/>
      <c r="H67" s="47"/>
      <c r="I67" s="47"/>
      <c r="J67" s="60"/>
      <c r="K67" s="22"/>
      <c r="L67" s="22"/>
      <c r="M67" s="22"/>
      <c r="N67" s="7"/>
    </row>
    <row r="68" spans="1:14">
      <c r="A68" s="15" t="s">
        <v>100</v>
      </c>
      <c r="B68" s="51">
        <v>65472</v>
      </c>
      <c r="C68" s="51">
        <v>600</v>
      </c>
      <c r="D68" s="51">
        <v>68.162999999999997</v>
      </c>
      <c r="E68" s="49">
        <v>2.016</v>
      </c>
      <c r="F68" s="51">
        <v>0.2</v>
      </c>
      <c r="G68" s="57">
        <v>9936.9339999999993</v>
      </c>
      <c r="H68" s="49">
        <v>627.62400000000002</v>
      </c>
      <c r="I68" s="49">
        <v>13.602</v>
      </c>
      <c r="J68" s="61" t="s">
        <v>178</v>
      </c>
      <c r="K68" s="16" t="s">
        <v>101</v>
      </c>
      <c r="L68" s="8"/>
      <c r="M68" s="8"/>
      <c r="N68" s="7"/>
    </row>
    <row r="69" spans="1:14">
      <c r="A69" s="15" t="s">
        <v>102</v>
      </c>
      <c r="B69" s="51">
        <v>69656</v>
      </c>
      <c r="C69" s="51">
        <v>8.0000000000000002E-3</v>
      </c>
      <c r="D69" s="51">
        <v>94.38</v>
      </c>
      <c r="E69" s="49">
        <v>12</v>
      </c>
      <c r="F69" s="48" t="s">
        <v>178</v>
      </c>
      <c r="G69" s="57">
        <v>11348.1</v>
      </c>
      <c r="H69" s="49">
        <v>403.66</v>
      </c>
      <c r="I69" s="49">
        <v>29.832999999999998</v>
      </c>
      <c r="J69" s="61" t="s">
        <v>178</v>
      </c>
      <c r="K69" s="16" t="s">
        <v>103</v>
      </c>
      <c r="L69" s="8"/>
      <c r="M69" s="8"/>
      <c r="N69" s="7"/>
    </row>
    <row r="70" spans="1:14">
      <c r="A70" s="15" t="s">
        <v>104</v>
      </c>
      <c r="B70" s="51">
        <v>502731</v>
      </c>
      <c r="C70" s="51">
        <v>2581</v>
      </c>
      <c r="D70" s="51">
        <v>59.753</v>
      </c>
      <c r="E70" s="49">
        <v>45.79</v>
      </c>
      <c r="F70" s="49">
        <v>0.65</v>
      </c>
      <c r="G70" s="45">
        <v>122134.1</v>
      </c>
      <c r="H70" s="49">
        <v>330.98</v>
      </c>
      <c r="I70" s="49">
        <v>2.677</v>
      </c>
      <c r="J70" s="61" t="s">
        <v>178</v>
      </c>
      <c r="K70" s="16" t="s">
        <v>105</v>
      </c>
      <c r="L70" s="8"/>
      <c r="M70" s="8"/>
      <c r="N70" s="7"/>
    </row>
    <row r="71" spans="1:14">
      <c r="A71" s="15" t="s">
        <v>106</v>
      </c>
      <c r="B71" s="51">
        <v>194385</v>
      </c>
      <c r="C71" s="51">
        <v>3238</v>
      </c>
      <c r="D71" s="51">
        <v>155.19900000000001</v>
      </c>
      <c r="E71" s="49">
        <v>85.72</v>
      </c>
      <c r="F71" s="48" t="s">
        <v>178</v>
      </c>
      <c r="G71" s="45">
        <v>15108.6</v>
      </c>
      <c r="H71" s="49">
        <v>614.70000000000005</v>
      </c>
      <c r="I71" s="49">
        <v>7.1520000000000001</v>
      </c>
      <c r="J71" s="61" t="s">
        <v>178</v>
      </c>
      <c r="K71" s="16" t="s">
        <v>107</v>
      </c>
      <c r="L71" s="8"/>
      <c r="M71" s="8"/>
      <c r="N71" s="7"/>
    </row>
    <row r="72" spans="1:14">
      <c r="A72" s="15" t="s">
        <v>108</v>
      </c>
      <c r="B72" s="51">
        <v>84921</v>
      </c>
      <c r="C72" s="51">
        <v>263</v>
      </c>
      <c r="D72" s="51">
        <v>32.195999999999998</v>
      </c>
      <c r="E72" s="49">
        <v>3.867</v>
      </c>
      <c r="F72" s="48" t="s">
        <v>178</v>
      </c>
      <c r="G72" s="45">
        <v>7910.8249999999998</v>
      </c>
      <c r="H72" s="49">
        <v>729.96500000000003</v>
      </c>
      <c r="I72" s="49">
        <v>16.687999999999999</v>
      </c>
      <c r="J72" s="61" t="s">
        <v>178</v>
      </c>
      <c r="K72" s="16" t="s">
        <v>109</v>
      </c>
      <c r="L72" s="8"/>
      <c r="M72" s="8"/>
      <c r="N72" s="7"/>
    </row>
    <row r="73" spans="1:14" ht="10.65" customHeight="1">
      <c r="A73" s="25" t="s">
        <v>110</v>
      </c>
      <c r="B73" s="47">
        <f>SUM(B75:B82)</f>
        <v>84247</v>
      </c>
      <c r="C73" s="47">
        <f t="shared" ref="C73:J73" si="10">SUM(C75:C82)</f>
        <v>2631</v>
      </c>
      <c r="D73" s="47">
        <f t="shared" si="10"/>
        <v>122.02999999999999</v>
      </c>
      <c r="E73" s="47">
        <f t="shared" si="10"/>
        <v>20.270000000000003</v>
      </c>
      <c r="F73" s="47">
        <f t="shared" si="10"/>
        <v>2</v>
      </c>
      <c r="G73" s="32">
        <f t="shared" si="10"/>
        <v>490810.52400000003</v>
      </c>
      <c r="H73" s="47">
        <f t="shared" si="10"/>
        <v>551.24200000000008</v>
      </c>
      <c r="I73" s="47">
        <f t="shared" si="10"/>
        <v>2.4840000000000004</v>
      </c>
      <c r="J73" s="60">
        <f t="shared" si="10"/>
        <v>0</v>
      </c>
      <c r="K73" s="22" t="s">
        <v>111</v>
      </c>
      <c r="L73" s="22"/>
      <c r="M73" s="22"/>
      <c r="N73" s="7"/>
    </row>
    <row r="74" spans="1:14" ht="10.65" customHeight="1">
      <c r="A74" s="25"/>
      <c r="B74" s="47"/>
      <c r="C74" s="47"/>
      <c r="D74" s="47"/>
      <c r="E74" s="47"/>
      <c r="F74" s="47"/>
      <c r="G74" s="32"/>
      <c r="H74" s="47"/>
      <c r="I74" s="47"/>
      <c r="J74" s="60"/>
      <c r="K74" s="22"/>
      <c r="L74" s="22"/>
      <c r="M74" s="22"/>
      <c r="N74" s="7"/>
    </row>
    <row r="75" spans="1:14">
      <c r="A75" s="17" t="s">
        <v>112</v>
      </c>
      <c r="B75" s="51" t="s">
        <v>178</v>
      </c>
      <c r="C75" s="51" t="s">
        <v>178</v>
      </c>
      <c r="D75" s="51" t="s">
        <v>178</v>
      </c>
      <c r="E75" s="51" t="s">
        <v>178</v>
      </c>
      <c r="F75" s="48" t="s">
        <v>178</v>
      </c>
      <c r="G75" s="21" t="s">
        <v>178</v>
      </c>
      <c r="H75" s="51" t="s">
        <v>178</v>
      </c>
      <c r="I75" s="51" t="s">
        <v>178</v>
      </c>
      <c r="J75" s="61" t="s">
        <v>178</v>
      </c>
      <c r="K75" s="16" t="s">
        <v>113</v>
      </c>
      <c r="L75" s="8"/>
      <c r="M75" s="8"/>
      <c r="N75" s="7"/>
    </row>
    <row r="76" spans="1:14">
      <c r="A76" s="17" t="s">
        <v>114</v>
      </c>
      <c r="B76" s="48" t="s">
        <v>178</v>
      </c>
      <c r="C76" s="48" t="s">
        <v>178</v>
      </c>
      <c r="D76" s="48" t="s">
        <v>178</v>
      </c>
      <c r="E76" s="48" t="s">
        <v>178</v>
      </c>
      <c r="F76" s="48" t="s">
        <v>178</v>
      </c>
      <c r="G76" s="20" t="s">
        <v>178</v>
      </c>
      <c r="H76" s="49">
        <v>8.94</v>
      </c>
      <c r="I76" s="48" t="s">
        <v>178</v>
      </c>
      <c r="J76" s="61" t="s">
        <v>178</v>
      </c>
      <c r="K76" s="16" t="s">
        <v>115</v>
      </c>
      <c r="L76" s="8"/>
      <c r="M76" s="8"/>
      <c r="N76" s="7"/>
    </row>
    <row r="77" spans="1:14">
      <c r="A77" s="17" t="s">
        <v>116</v>
      </c>
      <c r="B77" s="48" t="s">
        <v>178</v>
      </c>
      <c r="C77" s="48" t="s">
        <v>178</v>
      </c>
      <c r="D77" s="48" t="s">
        <v>178</v>
      </c>
      <c r="E77" s="48" t="s">
        <v>178</v>
      </c>
      <c r="F77" s="48" t="s">
        <v>178</v>
      </c>
      <c r="G77" s="20" t="s">
        <v>178</v>
      </c>
      <c r="H77" s="51">
        <v>0.3</v>
      </c>
      <c r="I77" s="48" t="s">
        <v>178</v>
      </c>
      <c r="J77" s="61" t="s">
        <v>178</v>
      </c>
      <c r="K77" s="16" t="s">
        <v>117</v>
      </c>
      <c r="L77" s="8"/>
      <c r="M77" s="8"/>
      <c r="N77" s="7"/>
    </row>
    <row r="78" spans="1:14">
      <c r="A78" s="17" t="s">
        <v>118</v>
      </c>
      <c r="B78" s="48" t="s">
        <v>178</v>
      </c>
      <c r="C78" s="48" t="s">
        <v>178</v>
      </c>
      <c r="D78" s="48" t="s">
        <v>178</v>
      </c>
      <c r="E78" s="48" t="s">
        <v>178</v>
      </c>
      <c r="F78" s="48" t="s">
        <v>178</v>
      </c>
      <c r="G78" s="20" t="s">
        <v>178</v>
      </c>
      <c r="H78" s="51" t="s">
        <v>178</v>
      </c>
      <c r="I78" s="48" t="s">
        <v>178</v>
      </c>
      <c r="J78" s="61" t="s">
        <v>178</v>
      </c>
      <c r="K78" s="16" t="s">
        <v>119</v>
      </c>
      <c r="L78" s="8"/>
      <c r="M78" s="8"/>
      <c r="N78" s="7"/>
    </row>
    <row r="79" spans="1:14">
      <c r="A79" s="17" t="s">
        <v>120</v>
      </c>
      <c r="B79" s="51">
        <v>23313</v>
      </c>
      <c r="C79" s="51">
        <v>53</v>
      </c>
      <c r="D79" s="51">
        <v>29.321000000000002</v>
      </c>
      <c r="E79" s="49">
        <v>1.17</v>
      </c>
      <c r="F79" s="48" t="s">
        <v>178</v>
      </c>
      <c r="G79" s="45">
        <v>22814.12</v>
      </c>
      <c r="H79" s="49">
        <v>237.09200000000001</v>
      </c>
      <c r="I79" s="49">
        <v>1.3620000000000001</v>
      </c>
      <c r="J79" s="61" t="s">
        <v>178</v>
      </c>
      <c r="K79" s="16" t="s">
        <v>121</v>
      </c>
      <c r="L79" s="8"/>
      <c r="M79" s="8"/>
      <c r="N79" s="7"/>
    </row>
    <row r="80" spans="1:14">
      <c r="A80" s="17" t="s">
        <v>122</v>
      </c>
      <c r="B80" s="51">
        <v>59362</v>
      </c>
      <c r="C80" s="51">
        <v>2568</v>
      </c>
      <c r="D80" s="51">
        <v>90.632999999999996</v>
      </c>
      <c r="E80" s="49">
        <v>18</v>
      </c>
      <c r="F80" s="49">
        <v>2</v>
      </c>
      <c r="G80" s="45">
        <v>464364.66700000002</v>
      </c>
      <c r="H80" s="49">
        <v>197.791</v>
      </c>
      <c r="I80" s="49">
        <v>0.80100000000000005</v>
      </c>
      <c r="J80" s="61" t="s">
        <v>178</v>
      </c>
      <c r="K80" s="16" t="s">
        <v>123</v>
      </c>
      <c r="L80" s="8"/>
      <c r="M80" s="8"/>
      <c r="N80" s="7"/>
    </row>
    <row r="81" spans="1:14">
      <c r="A81" s="17" t="s">
        <v>124</v>
      </c>
      <c r="B81" s="48">
        <v>57</v>
      </c>
      <c r="C81" s="48" t="s">
        <v>178</v>
      </c>
      <c r="D81" s="51">
        <v>9.8000000000000004E-2</v>
      </c>
      <c r="E81" s="48" t="s">
        <v>178</v>
      </c>
      <c r="F81" s="48" t="s">
        <v>178</v>
      </c>
      <c r="G81" s="45">
        <v>12</v>
      </c>
      <c r="H81" s="49">
        <v>0.71</v>
      </c>
      <c r="I81" s="48" t="s">
        <v>178</v>
      </c>
      <c r="J81" s="61" t="s">
        <v>178</v>
      </c>
      <c r="K81" s="16" t="s">
        <v>125</v>
      </c>
      <c r="L81" s="8"/>
      <c r="M81" s="8"/>
      <c r="N81" s="7"/>
    </row>
    <row r="82" spans="1:14">
      <c r="A82" s="17" t="s">
        <v>126</v>
      </c>
      <c r="B82" s="51">
        <v>1515</v>
      </c>
      <c r="C82" s="51">
        <v>10</v>
      </c>
      <c r="D82" s="51">
        <v>1.978</v>
      </c>
      <c r="E82" s="49">
        <v>1.1000000000000001</v>
      </c>
      <c r="F82" s="48" t="s">
        <v>178</v>
      </c>
      <c r="G82" s="45">
        <v>3619.7370000000001</v>
      </c>
      <c r="H82" s="49">
        <v>106.40900000000001</v>
      </c>
      <c r="I82" s="49">
        <v>0.32100000000000001</v>
      </c>
      <c r="J82" s="61" t="s">
        <v>178</v>
      </c>
      <c r="K82" s="16" t="s">
        <v>127</v>
      </c>
      <c r="L82" s="8"/>
      <c r="M82" s="8"/>
      <c r="N82" s="7"/>
    </row>
    <row r="83" spans="1:14" ht="10.65" customHeight="1">
      <c r="A83" s="25" t="s">
        <v>128</v>
      </c>
      <c r="B83" s="47">
        <f>SUM(B85:B89)</f>
        <v>217881</v>
      </c>
      <c r="C83" s="47">
        <f t="shared" ref="C83:J83" si="11">SUM(C85:C89)</f>
        <v>3738</v>
      </c>
      <c r="D83" s="47">
        <f t="shared" si="11"/>
        <v>462.43</v>
      </c>
      <c r="E83" s="47">
        <f t="shared" si="11"/>
        <v>3.677</v>
      </c>
      <c r="F83" s="47">
        <f t="shared" si="11"/>
        <v>1.1600000000000001</v>
      </c>
      <c r="G83" s="32">
        <f t="shared" si="11"/>
        <v>16311.504999999997</v>
      </c>
      <c r="H83" s="47">
        <f t="shared" si="11"/>
        <v>427.21400000000006</v>
      </c>
      <c r="I83" s="47">
        <f t="shared" si="11"/>
        <v>8.3889999999999993</v>
      </c>
      <c r="J83" s="60">
        <f t="shared" si="11"/>
        <v>0</v>
      </c>
      <c r="K83" s="22" t="s">
        <v>129</v>
      </c>
      <c r="L83" s="22"/>
      <c r="M83" s="22"/>
      <c r="N83" s="7"/>
    </row>
    <row r="84" spans="1:14" ht="10.65" customHeight="1">
      <c r="A84" s="25"/>
      <c r="B84" s="47"/>
      <c r="C84" s="47"/>
      <c r="D84" s="47"/>
      <c r="E84" s="47"/>
      <c r="F84" s="47"/>
      <c r="G84" s="32"/>
      <c r="H84" s="47"/>
      <c r="I84" s="47"/>
      <c r="J84" s="60"/>
      <c r="K84" s="22"/>
      <c r="L84" s="22"/>
      <c r="M84" s="22"/>
      <c r="N84" s="7"/>
    </row>
    <row r="85" spans="1:14">
      <c r="A85" s="15" t="s">
        <v>130</v>
      </c>
      <c r="B85" s="51">
        <v>164824</v>
      </c>
      <c r="C85" s="51">
        <v>2564</v>
      </c>
      <c r="D85" s="51">
        <v>448.755</v>
      </c>
      <c r="E85" s="49">
        <v>0.82499999999999996</v>
      </c>
      <c r="F85" s="48" t="s">
        <v>178</v>
      </c>
      <c r="G85" s="45">
        <v>6937.4</v>
      </c>
      <c r="H85" s="49">
        <v>102.18</v>
      </c>
      <c r="I85" s="49">
        <v>0.52</v>
      </c>
      <c r="J85" s="61" t="s">
        <v>178</v>
      </c>
      <c r="K85" s="16" t="s">
        <v>131</v>
      </c>
      <c r="L85" s="8"/>
      <c r="M85" s="8"/>
      <c r="N85" s="7"/>
    </row>
    <row r="86" spans="1:14">
      <c r="A86" s="15" t="s">
        <v>132</v>
      </c>
      <c r="B86" s="51">
        <v>60</v>
      </c>
      <c r="C86" s="51">
        <v>1</v>
      </c>
      <c r="D86" s="51">
        <v>0.15</v>
      </c>
      <c r="E86" s="48" t="s">
        <v>178</v>
      </c>
      <c r="F86" s="48" t="s">
        <v>178</v>
      </c>
      <c r="G86" s="45">
        <v>1082</v>
      </c>
      <c r="H86" s="49">
        <v>161.495</v>
      </c>
      <c r="I86" s="49">
        <v>3.4590000000000001</v>
      </c>
      <c r="J86" s="61" t="s">
        <v>178</v>
      </c>
      <c r="K86" s="16" t="s">
        <v>133</v>
      </c>
      <c r="L86" s="8"/>
      <c r="M86" s="8"/>
      <c r="N86" s="7"/>
    </row>
    <row r="87" spans="1:14">
      <c r="A87" s="15" t="s">
        <v>134</v>
      </c>
      <c r="B87" s="51">
        <v>15647</v>
      </c>
      <c r="C87" s="51">
        <v>57</v>
      </c>
      <c r="D87" s="51">
        <v>7.66</v>
      </c>
      <c r="E87" s="51">
        <v>0.34</v>
      </c>
      <c r="F87" s="51">
        <v>0.25</v>
      </c>
      <c r="G87" s="45">
        <v>755.15</v>
      </c>
      <c r="H87" s="49">
        <v>36.253999999999998</v>
      </c>
      <c r="I87" s="48" t="s">
        <v>178</v>
      </c>
      <c r="J87" s="61" t="s">
        <v>178</v>
      </c>
      <c r="K87" s="16" t="s">
        <v>135</v>
      </c>
      <c r="L87" s="8"/>
      <c r="M87" s="8"/>
      <c r="N87" s="7"/>
    </row>
    <row r="88" spans="1:14">
      <c r="A88" s="15" t="s">
        <v>136</v>
      </c>
      <c r="B88" s="48" t="s">
        <v>178</v>
      </c>
      <c r="C88" s="48" t="s">
        <v>178</v>
      </c>
      <c r="D88" s="48" t="s">
        <v>178</v>
      </c>
      <c r="E88" s="48" t="s">
        <v>178</v>
      </c>
      <c r="F88" s="48" t="s">
        <v>178</v>
      </c>
      <c r="G88" s="45">
        <v>403.05</v>
      </c>
      <c r="H88" s="49">
        <v>84.74</v>
      </c>
      <c r="I88" s="49">
        <v>4.3949999999999996</v>
      </c>
      <c r="J88" s="61" t="s">
        <v>178</v>
      </c>
      <c r="K88" s="16" t="s">
        <v>137</v>
      </c>
      <c r="L88" s="8"/>
      <c r="M88" s="8"/>
      <c r="N88" s="7"/>
    </row>
    <row r="89" spans="1:14">
      <c r="A89" s="15" t="s">
        <v>138</v>
      </c>
      <c r="B89" s="51">
        <v>37350</v>
      </c>
      <c r="C89" s="51">
        <v>1116</v>
      </c>
      <c r="D89" s="51">
        <v>5.8650000000000002</v>
      </c>
      <c r="E89" s="49">
        <v>2.512</v>
      </c>
      <c r="F89" s="49">
        <v>0.91</v>
      </c>
      <c r="G89" s="45">
        <v>7133.9049999999997</v>
      </c>
      <c r="H89" s="49">
        <v>42.545000000000002</v>
      </c>
      <c r="I89" s="49">
        <v>1.4999999999999999E-2</v>
      </c>
      <c r="J89" s="61" t="s">
        <v>178</v>
      </c>
      <c r="K89" s="16" t="s">
        <v>139</v>
      </c>
      <c r="L89" s="8"/>
      <c r="M89" s="8"/>
      <c r="N89" s="7"/>
    </row>
    <row r="90" spans="1:14" ht="10.65" customHeight="1">
      <c r="A90" s="25" t="s">
        <v>140</v>
      </c>
      <c r="B90" s="47">
        <f>SUM(B92:B104)</f>
        <v>173410</v>
      </c>
      <c r="C90" s="47">
        <f t="shared" ref="C90:J90" si="12">SUM(C92:C104)</f>
        <v>2691</v>
      </c>
      <c r="D90" s="47">
        <f t="shared" si="12"/>
        <v>53.075000000000003</v>
      </c>
      <c r="E90" s="47">
        <f t="shared" si="12"/>
        <v>7.1379999999999999</v>
      </c>
      <c r="F90" s="47">
        <f t="shared" si="12"/>
        <v>1.76</v>
      </c>
      <c r="G90" s="32">
        <f t="shared" si="12"/>
        <v>36516.783999999992</v>
      </c>
      <c r="H90" s="47">
        <f t="shared" si="12"/>
        <v>807.49900000000014</v>
      </c>
      <c r="I90" s="47">
        <f t="shared" si="12"/>
        <v>9.629999999999999</v>
      </c>
      <c r="J90" s="60">
        <f t="shared" si="12"/>
        <v>0</v>
      </c>
      <c r="K90" s="22" t="s">
        <v>141</v>
      </c>
      <c r="L90" s="22"/>
      <c r="M90" s="22"/>
      <c r="N90" s="7"/>
    </row>
    <row r="91" spans="1:14" ht="10.65" customHeight="1">
      <c r="A91" s="25"/>
      <c r="B91" s="47"/>
      <c r="C91" s="47"/>
      <c r="D91" s="47"/>
      <c r="E91" s="47"/>
      <c r="F91" s="47"/>
      <c r="G91" s="32"/>
      <c r="H91" s="47"/>
      <c r="I91" s="47"/>
      <c r="J91" s="60"/>
      <c r="K91" s="22"/>
      <c r="L91" s="22"/>
      <c r="M91" s="22"/>
      <c r="N91" s="7"/>
    </row>
    <row r="92" spans="1:14">
      <c r="A92" s="15" t="s">
        <v>142</v>
      </c>
      <c r="B92" s="48">
        <v>1073</v>
      </c>
      <c r="C92" s="48" t="s">
        <v>178</v>
      </c>
      <c r="D92" s="51">
        <v>2.0699999999999998</v>
      </c>
      <c r="E92" s="48" t="s">
        <v>178</v>
      </c>
      <c r="F92" s="51">
        <v>0.35</v>
      </c>
      <c r="G92" s="45">
        <v>854.8</v>
      </c>
      <c r="H92" s="49">
        <v>7.25</v>
      </c>
      <c r="I92" s="49">
        <v>0.12</v>
      </c>
      <c r="J92" s="61" t="s">
        <v>178</v>
      </c>
      <c r="K92" s="16" t="s">
        <v>143</v>
      </c>
      <c r="L92" s="8"/>
      <c r="M92" s="8"/>
      <c r="N92" s="7"/>
    </row>
    <row r="93" spans="1:14">
      <c r="A93" s="15" t="s">
        <v>144</v>
      </c>
      <c r="B93" s="48" t="s">
        <v>178</v>
      </c>
      <c r="C93" s="48" t="s">
        <v>178</v>
      </c>
      <c r="D93" s="48" t="s">
        <v>178</v>
      </c>
      <c r="E93" s="48" t="s">
        <v>178</v>
      </c>
      <c r="F93" s="48" t="s">
        <v>178</v>
      </c>
      <c r="G93" s="45">
        <v>2363</v>
      </c>
      <c r="H93" s="49">
        <v>67.998000000000005</v>
      </c>
      <c r="I93" s="48" t="s">
        <v>178</v>
      </c>
      <c r="J93" s="61" t="s">
        <v>178</v>
      </c>
      <c r="K93" s="16" t="s">
        <v>145</v>
      </c>
      <c r="L93" s="8"/>
      <c r="M93" s="8"/>
      <c r="N93" s="7"/>
    </row>
    <row r="94" spans="1:14">
      <c r="A94" s="15" t="s">
        <v>146</v>
      </c>
      <c r="B94" s="51">
        <v>235</v>
      </c>
      <c r="C94" s="51">
        <v>4</v>
      </c>
      <c r="D94" s="51">
        <v>3.0000000000000001E-3</v>
      </c>
      <c r="E94" s="51">
        <v>1.4999999999999999E-2</v>
      </c>
      <c r="F94" s="48" t="s">
        <v>178</v>
      </c>
      <c r="G94" s="45">
        <v>833.2</v>
      </c>
      <c r="H94" s="49">
        <v>48.1</v>
      </c>
      <c r="I94" s="49">
        <v>0.02</v>
      </c>
      <c r="J94" s="61" t="s">
        <v>178</v>
      </c>
      <c r="K94" s="16" t="s">
        <v>147</v>
      </c>
      <c r="L94" s="8"/>
      <c r="M94" s="8"/>
      <c r="N94" s="7"/>
    </row>
    <row r="95" spans="1:14">
      <c r="A95" s="15" t="s">
        <v>148</v>
      </c>
      <c r="B95" s="51">
        <v>4150</v>
      </c>
      <c r="C95" s="51">
        <v>150</v>
      </c>
      <c r="D95" s="48" t="s">
        <v>178</v>
      </c>
      <c r="E95" s="48" t="s">
        <v>178</v>
      </c>
      <c r="F95" s="48" t="s">
        <v>178</v>
      </c>
      <c r="G95" s="45">
        <v>3812</v>
      </c>
      <c r="H95" s="49">
        <v>104.09</v>
      </c>
      <c r="I95" s="49">
        <v>0.3</v>
      </c>
      <c r="J95" s="61" t="s">
        <v>178</v>
      </c>
      <c r="K95" s="16" t="s">
        <v>149</v>
      </c>
      <c r="L95" s="8"/>
      <c r="M95" s="8"/>
      <c r="N95" s="7"/>
    </row>
    <row r="96" spans="1:14">
      <c r="A96" s="15" t="s">
        <v>150</v>
      </c>
      <c r="B96" s="51">
        <v>7502</v>
      </c>
      <c r="C96" s="51">
        <v>4</v>
      </c>
      <c r="D96" s="51">
        <v>9.5</v>
      </c>
      <c r="E96" s="49">
        <v>0.6</v>
      </c>
      <c r="F96" s="48" t="s">
        <v>178</v>
      </c>
      <c r="G96" s="45">
        <v>817.952</v>
      </c>
      <c r="H96" s="49">
        <v>27.5</v>
      </c>
      <c r="I96" s="48" t="s">
        <v>178</v>
      </c>
      <c r="J96" s="61" t="s">
        <v>178</v>
      </c>
      <c r="K96" s="16" t="s">
        <v>151</v>
      </c>
      <c r="L96" s="8"/>
      <c r="M96" s="8"/>
      <c r="N96" s="7"/>
    </row>
    <row r="97" spans="1:14">
      <c r="A97" s="15" t="s">
        <v>152</v>
      </c>
      <c r="B97" s="51">
        <v>13255</v>
      </c>
      <c r="C97" s="51">
        <v>454</v>
      </c>
      <c r="D97" s="51">
        <v>1.9330000000000001</v>
      </c>
      <c r="E97" s="49">
        <v>0.73299999999999998</v>
      </c>
      <c r="F97" s="48" t="s">
        <v>178</v>
      </c>
      <c r="G97" s="45">
        <v>453.33300000000003</v>
      </c>
      <c r="H97" s="49">
        <v>61.832999999999998</v>
      </c>
      <c r="I97" s="49">
        <v>4.05</v>
      </c>
      <c r="J97" s="61" t="s">
        <v>178</v>
      </c>
      <c r="K97" s="16" t="s">
        <v>153</v>
      </c>
      <c r="L97" s="8"/>
      <c r="M97" s="8"/>
      <c r="N97" s="7"/>
    </row>
    <row r="98" spans="1:14">
      <c r="A98" s="15" t="s">
        <v>154</v>
      </c>
      <c r="B98" s="51">
        <v>6098</v>
      </c>
      <c r="C98" s="51">
        <v>826</v>
      </c>
      <c r="D98" s="51">
        <v>12.362</v>
      </c>
      <c r="E98" s="49">
        <v>4.8899999999999997</v>
      </c>
      <c r="F98" s="49">
        <v>1.32</v>
      </c>
      <c r="G98" s="45">
        <v>1052</v>
      </c>
      <c r="H98" s="49">
        <v>192.17</v>
      </c>
      <c r="I98" s="49">
        <v>0.94499999999999995</v>
      </c>
      <c r="J98" s="61" t="s">
        <v>178</v>
      </c>
      <c r="K98" s="16" t="s">
        <v>155</v>
      </c>
      <c r="L98" s="8"/>
      <c r="M98" s="8"/>
      <c r="N98" s="7"/>
    </row>
    <row r="99" spans="1:14">
      <c r="A99" s="15" t="s">
        <v>156</v>
      </c>
      <c r="B99" s="51">
        <v>14867</v>
      </c>
      <c r="C99" s="51">
        <v>10</v>
      </c>
      <c r="D99" s="48" t="s">
        <v>178</v>
      </c>
      <c r="E99" s="48" t="s">
        <v>178</v>
      </c>
      <c r="F99" s="48" t="s">
        <v>178</v>
      </c>
      <c r="G99" s="45">
        <v>907.5</v>
      </c>
      <c r="H99" s="49">
        <v>20.350000000000001</v>
      </c>
      <c r="I99" s="49">
        <v>2.77</v>
      </c>
      <c r="J99" s="61" t="s">
        <v>178</v>
      </c>
      <c r="K99" s="16" t="s">
        <v>157</v>
      </c>
      <c r="L99" s="8"/>
      <c r="M99" s="8"/>
      <c r="N99" s="7"/>
    </row>
    <row r="100" spans="1:14">
      <c r="A100" s="15" t="s">
        <v>158</v>
      </c>
      <c r="B100" s="48" t="s">
        <v>178</v>
      </c>
      <c r="C100" s="48" t="s">
        <v>178</v>
      </c>
      <c r="D100" s="48" t="s">
        <v>178</v>
      </c>
      <c r="E100" s="48" t="s">
        <v>178</v>
      </c>
      <c r="F100" s="48" t="s">
        <v>178</v>
      </c>
      <c r="G100" s="45">
        <v>222</v>
      </c>
      <c r="H100" s="49">
        <v>0.95</v>
      </c>
      <c r="I100" s="48" t="s">
        <v>178</v>
      </c>
      <c r="J100" s="61" t="s">
        <v>178</v>
      </c>
      <c r="K100" s="16" t="s">
        <v>159</v>
      </c>
      <c r="L100" s="8"/>
      <c r="M100" s="8"/>
      <c r="N100" s="7"/>
    </row>
    <row r="101" spans="1:14">
      <c r="A101" s="15" t="s">
        <v>160</v>
      </c>
      <c r="B101" s="51">
        <v>122410</v>
      </c>
      <c r="C101" s="51">
        <v>1223</v>
      </c>
      <c r="D101" s="51">
        <v>26.917000000000002</v>
      </c>
      <c r="E101" s="49">
        <v>0.9</v>
      </c>
      <c r="F101" s="51">
        <v>0.09</v>
      </c>
      <c r="G101" s="45">
        <v>4092.5659999999998</v>
      </c>
      <c r="H101" s="49">
        <v>91.662999999999997</v>
      </c>
      <c r="I101" s="49">
        <v>0.06</v>
      </c>
      <c r="J101" s="61" t="s">
        <v>178</v>
      </c>
      <c r="K101" s="16" t="s">
        <v>161</v>
      </c>
      <c r="L101" s="8"/>
      <c r="M101" s="8"/>
      <c r="N101" s="7"/>
    </row>
    <row r="102" spans="1:14">
      <c r="A102" s="15" t="s">
        <v>162</v>
      </c>
      <c r="B102" s="48" t="s">
        <v>178</v>
      </c>
      <c r="C102" s="48" t="s">
        <v>178</v>
      </c>
      <c r="D102" s="48" t="s">
        <v>178</v>
      </c>
      <c r="E102" s="48" t="s">
        <v>178</v>
      </c>
      <c r="F102" s="48" t="s">
        <v>178</v>
      </c>
      <c r="G102" s="45">
        <v>3390</v>
      </c>
      <c r="H102" s="49">
        <v>11.59</v>
      </c>
      <c r="I102" s="49">
        <v>6.5000000000000002E-2</v>
      </c>
      <c r="J102" s="61" t="s">
        <v>178</v>
      </c>
      <c r="K102" s="16" t="s">
        <v>163</v>
      </c>
      <c r="L102" s="8"/>
      <c r="M102" s="8"/>
      <c r="N102" s="7"/>
    </row>
    <row r="103" spans="1:14">
      <c r="A103" s="15" t="s">
        <v>164</v>
      </c>
      <c r="B103" s="51">
        <v>3820</v>
      </c>
      <c r="C103" s="51">
        <v>20</v>
      </c>
      <c r="D103" s="51">
        <v>0.28999999999999998</v>
      </c>
      <c r="E103" s="48" t="s">
        <v>178</v>
      </c>
      <c r="F103" s="48" t="s">
        <v>178</v>
      </c>
      <c r="G103" s="45">
        <v>17232.832999999999</v>
      </c>
      <c r="H103" s="49">
        <v>157.70500000000001</v>
      </c>
      <c r="I103" s="49">
        <v>1.27</v>
      </c>
      <c r="J103" s="61" t="s">
        <v>178</v>
      </c>
      <c r="K103" s="16" t="s">
        <v>165</v>
      </c>
      <c r="L103" s="8"/>
      <c r="M103" s="8"/>
      <c r="N103" s="7"/>
    </row>
    <row r="104" spans="1:14">
      <c r="A104" s="15" t="s">
        <v>166</v>
      </c>
      <c r="B104" s="48" t="s">
        <v>178</v>
      </c>
      <c r="C104" s="48" t="s">
        <v>178</v>
      </c>
      <c r="D104" s="48" t="s">
        <v>178</v>
      </c>
      <c r="E104" s="48" t="s">
        <v>178</v>
      </c>
      <c r="F104" s="48" t="s">
        <v>178</v>
      </c>
      <c r="G104" s="45">
        <v>485.6</v>
      </c>
      <c r="H104" s="49">
        <v>16.3</v>
      </c>
      <c r="I104" s="49">
        <v>0.03</v>
      </c>
      <c r="J104" s="61" t="s">
        <v>178</v>
      </c>
      <c r="K104" s="16" t="s">
        <v>167</v>
      </c>
      <c r="L104" s="8"/>
      <c r="M104" s="8"/>
      <c r="N104" s="7"/>
    </row>
    <row r="105" spans="1:14" ht="10.65" customHeight="1">
      <c r="A105" s="25" t="s">
        <v>168</v>
      </c>
      <c r="B105" s="47">
        <f>SUM(B107:B110)</f>
        <v>525514</v>
      </c>
      <c r="C105" s="47">
        <f t="shared" ref="C105:J105" si="13">SUM(C107:C110)</f>
        <v>2226</v>
      </c>
      <c r="D105" s="47">
        <f t="shared" si="13"/>
        <v>992.52200000000016</v>
      </c>
      <c r="E105" s="47">
        <f t="shared" si="13"/>
        <v>62.169999999999995</v>
      </c>
      <c r="F105" s="47">
        <f t="shared" si="13"/>
        <v>220.58500000000001</v>
      </c>
      <c r="G105" s="32">
        <f t="shared" si="13"/>
        <v>67368.33</v>
      </c>
      <c r="H105" s="47">
        <f t="shared" si="13"/>
        <v>2249.875</v>
      </c>
      <c r="I105" s="47">
        <f t="shared" si="13"/>
        <v>101.285</v>
      </c>
      <c r="J105" s="60">
        <f t="shared" si="13"/>
        <v>0.41199999999999998</v>
      </c>
      <c r="K105" s="22" t="s">
        <v>169</v>
      </c>
      <c r="L105" s="22"/>
      <c r="M105" s="22"/>
      <c r="N105" s="7"/>
    </row>
    <row r="106" spans="1:14" ht="10.65" customHeight="1">
      <c r="A106" s="25"/>
      <c r="B106" s="47"/>
      <c r="C106" s="47"/>
      <c r="D106" s="47"/>
      <c r="E106" s="47"/>
      <c r="F106" s="47"/>
      <c r="G106" s="32"/>
      <c r="H106" s="47"/>
      <c r="I106" s="47"/>
      <c r="J106" s="60"/>
      <c r="K106" s="22"/>
      <c r="L106" s="22"/>
      <c r="M106" s="22"/>
      <c r="N106" s="7"/>
    </row>
    <row r="107" spans="1:14">
      <c r="A107" s="15" t="s">
        <v>170</v>
      </c>
      <c r="B107" s="51">
        <v>169466</v>
      </c>
      <c r="C107" s="51">
        <v>1573</v>
      </c>
      <c r="D107" s="51">
        <v>466.52600000000001</v>
      </c>
      <c r="E107" s="49">
        <v>16.739000000000001</v>
      </c>
      <c r="F107" s="51">
        <v>0.08</v>
      </c>
      <c r="G107" s="45">
        <v>23369.1</v>
      </c>
      <c r="H107" s="49">
        <v>1150.0530000000001</v>
      </c>
      <c r="I107" s="49">
        <v>64.495999999999995</v>
      </c>
      <c r="J107" s="62">
        <v>0.41199999999999998</v>
      </c>
      <c r="K107" s="16" t="s">
        <v>171</v>
      </c>
      <c r="L107" s="8"/>
      <c r="M107" s="8"/>
      <c r="N107" s="7"/>
    </row>
    <row r="108" spans="1:14">
      <c r="A108" s="15" t="s">
        <v>172</v>
      </c>
      <c r="B108" s="48">
        <v>23442</v>
      </c>
      <c r="C108" s="48" t="s">
        <v>178</v>
      </c>
      <c r="D108" s="51">
        <v>52.819000000000003</v>
      </c>
      <c r="E108" s="49">
        <v>37.503999999999998</v>
      </c>
      <c r="F108" s="48" t="s">
        <v>178</v>
      </c>
      <c r="G108" s="45">
        <v>4804.3999999999996</v>
      </c>
      <c r="H108" s="49">
        <v>267.71499999999997</v>
      </c>
      <c r="I108" s="49">
        <v>19.445</v>
      </c>
      <c r="J108" s="61" t="s">
        <v>178</v>
      </c>
      <c r="K108" s="16" t="s">
        <v>173</v>
      </c>
      <c r="L108" s="8"/>
      <c r="M108" s="8"/>
      <c r="N108" s="7"/>
    </row>
    <row r="109" spans="1:14">
      <c r="A109" s="15" t="s">
        <v>174</v>
      </c>
      <c r="B109" s="51">
        <v>201548</v>
      </c>
      <c r="C109" s="51">
        <v>5</v>
      </c>
      <c r="D109" s="51">
        <v>400.16</v>
      </c>
      <c r="E109" s="49">
        <v>5.9269999999999996</v>
      </c>
      <c r="F109" s="49">
        <v>220.505</v>
      </c>
      <c r="G109" s="45">
        <v>28173.63</v>
      </c>
      <c r="H109" s="49">
        <v>284.75799999999998</v>
      </c>
      <c r="I109" s="49">
        <v>8.3149999999999995</v>
      </c>
      <c r="J109" s="61" t="s">
        <v>178</v>
      </c>
      <c r="K109" s="16" t="s">
        <v>175</v>
      </c>
      <c r="L109" s="8"/>
      <c r="M109" s="8"/>
      <c r="N109" s="7"/>
    </row>
    <row r="110" spans="1:14" ht="11.3" thickBot="1">
      <c r="A110" s="18" t="s">
        <v>176</v>
      </c>
      <c r="B110" s="53">
        <v>131058</v>
      </c>
      <c r="C110" s="53">
        <v>648</v>
      </c>
      <c r="D110" s="53">
        <v>73.016999999999996</v>
      </c>
      <c r="E110" s="52">
        <v>2</v>
      </c>
      <c r="F110" s="54" t="s">
        <v>178</v>
      </c>
      <c r="G110" s="45">
        <v>11021.2</v>
      </c>
      <c r="H110" s="52">
        <v>547.34900000000005</v>
      </c>
      <c r="I110" s="52">
        <v>9.0289999999999999</v>
      </c>
      <c r="J110" s="64" t="s">
        <v>178</v>
      </c>
      <c r="K110" s="19" t="s">
        <v>177</v>
      </c>
      <c r="L110" s="9"/>
      <c r="M110" s="9"/>
      <c r="N110" s="7"/>
    </row>
  </sheetData>
  <mergeCells count="158">
    <mergeCell ref="A2:M2"/>
    <mergeCell ref="A3:M3"/>
    <mergeCell ref="L5:M5"/>
    <mergeCell ref="A6:A9"/>
    <mergeCell ref="B6:C7"/>
    <mergeCell ref="I6:I9"/>
    <mergeCell ref="J6:J9"/>
    <mergeCell ref="K6:M9"/>
    <mergeCell ref="B8:B9"/>
    <mergeCell ref="C8:C9"/>
    <mergeCell ref="A12:A13"/>
    <mergeCell ref="B12:B13"/>
    <mergeCell ref="C12:C13"/>
    <mergeCell ref="D12:D13"/>
    <mergeCell ref="J10:J11"/>
    <mergeCell ref="K10:M11"/>
    <mergeCell ref="H6:H9"/>
    <mergeCell ref="E10:E11"/>
    <mergeCell ref="F10:F11"/>
    <mergeCell ref="G10:G11"/>
    <mergeCell ref="E6:E9"/>
    <mergeCell ref="F6:F9"/>
    <mergeCell ref="G6:G9"/>
    <mergeCell ref="A10:A11"/>
    <mergeCell ref="B10:B11"/>
    <mergeCell ref="C10:C11"/>
    <mergeCell ref="D10:D11"/>
    <mergeCell ref="D6:D9"/>
    <mergeCell ref="I10:I11"/>
    <mergeCell ref="E12:E13"/>
    <mergeCell ref="F12:F13"/>
    <mergeCell ref="G12:G13"/>
    <mergeCell ref="H10:H11"/>
    <mergeCell ref="H12:H13"/>
    <mergeCell ref="A34:A35"/>
    <mergeCell ref="B34:B35"/>
    <mergeCell ref="C34:C35"/>
    <mergeCell ref="D34:D35"/>
    <mergeCell ref="H34:H35"/>
    <mergeCell ref="I34:I35"/>
    <mergeCell ref="J34:J35"/>
    <mergeCell ref="K34:M35"/>
    <mergeCell ref="A20:A21"/>
    <mergeCell ref="B20:B21"/>
    <mergeCell ref="C20:C21"/>
    <mergeCell ref="D20:D21"/>
    <mergeCell ref="H20:H21"/>
    <mergeCell ref="I20:I21"/>
    <mergeCell ref="F20:F21"/>
    <mergeCell ref="G20:G21"/>
    <mergeCell ref="E34:E35"/>
    <mergeCell ref="F34:F35"/>
    <mergeCell ref="G34:G35"/>
    <mergeCell ref="E20:E21"/>
    <mergeCell ref="A47:A48"/>
    <mergeCell ref="B47:B48"/>
    <mergeCell ref="C47:C48"/>
    <mergeCell ref="D47:D48"/>
    <mergeCell ref="H47:H48"/>
    <mergeCell ref="I47:I48"/>
    <mergeCell ref="E47:E48"/>
    <mergeCell ref="F47:F48"/>
    <mergeCell ref="A40:A41"/>
    <mergeCell ref="B40:B41"/>
    <mergeCell ref="C40:C41"/>
    <mergeCell ref="D40:D41"/>
    <mergeCell ref="H40:H41"/>
    <mergeCell ref="I40:I41"/>
    <mergeCell ref="G47:G48"/>
    <mergeCell ref="E40:E41"/>
    <mergeCell ref="F40:F41"/>
    <mergeCell ref="G40:G41"/>
    <mergeCell ref="A61:A62"/>
    <mergeCell ref="B61:B62"/>
    <mergeCell ref="C61:C62"/>
    <mergeCell ref="D61:D62"/>
    <mergeCell ref="H61:H62"/>
    <mergeCell ref="I61:I62"/>
    <mergeCell ref="J61:J62"/>
    <mergeCell ref="K61:M62"/>
    <mergeCell ref="F54:F55"/>
    <mergeCell ref="A54:A55"/>
    <mergeCell ref="B54:B55"/>
    <mergeCell ref="C54:C55"/>
    <mergeCell ref="D54:D55"/>
    <mergeCell ref="H54:H55"/>
    <mergeCell ref="I54:I55"/>
    <mergeCell ref="J54:J55"/>
    <mergeCell ref="K54:M55"/>
    <mergeCell ref="E54:E55"/>
    <mergeCell ref="E61:E62"/>
    <mergeCell ref="F61:F62"/>
    <mergeCell ref="G61:G62"/>
    <mergeCell ref="G54:G55"/>
    <mergeCell ref="A73:A74"/>
    <mergeCell ref="B73:B74"/>
    <mergeCell ref="C73:C74"/>
    <mergeCell ref="D73:D74"/>
    <mergeCell ref="H73:H74"/>
    <mergeCell ref="I73:I74"/>
    <mergeCell ref="J73:J74"/>
    <mergeCell ref="K73:M74"/>
    <mergeCell ref="A66:A67"/>
    <mergeCell ref="B66:B67"/>
    <mergeCell ref="C66:C67"/>
    <mergeCell ref="D66:D67"/>
    <mergeCell ref="H66:H67"/>
    <mergeCell ref="I66:I67"/>
    <mergeCell ref="J66:J67"/>
    <mergeCell ref="K66:M67"/>
    <mergeCell ref="G66:G67"/>
    <mergeCell ref="E73:E74"/>
    <mergeCell ref="F73:F74"/>
    <mergeCell ref="G73:G74"/>
    <mergeCell ref="E66:E67"/>
    <mergeCell ref="F66:F67"/>
    <mergeCell ref="A105:A106"/>
    <mergeCell ref="B105:B106"/>
    <mergeCell ref="C105:C106"/>
    <mergeCell ref="D105:D106"/>
    <mergeCell ref="H105:H106"/>
    <mergeCell ref="I105:I106"/>
    <mergeCell ref="J83:J84"/>
    <mergeCell ref="K83:M84"/>
    <mergeCell ref="A90:A91"/>
    <mergeCell ref="B90:B91"/>
    <mergeCell ref="C90:C91"/>
    <mergeCell ref="D90:D91"/>
    <mergeCell ref="H90:H91"/>
    <mergeCell ref="I90:I91"/>
    <mergeCell ref="J90:J91"/>
    <mergeCell ref="K90:M91"/>
    <mergeCell ref="A83:A84"/>
    <mergeCell ref="B83:B84"/>
    <mergeCell ref="C83:C84"/>
    <mergeCell ref="D83:D84"/>
    <mergeCell ref="H83:H84"/>
    <mergeCell ref="I83:I84"/>
    <mergeCell ref="J105:J106"/>
    <mergeCell ref="K105:M106"/>
    <mergeCell ref="J47:J48"/>
    <mergeCell ref="K47:M48"/>
    <mergeCell ref="J40:J41"/>
    <mergeCell ref="K40:M41"/>
    <mergeCell ref="J20:J21"/>
    <mergeCell ref="K20:M21"/>
    <mergeCell ref="I12:I13"/>
    <mergeCell ref="J12:J13"/>
    <mergeCell ref="K12:M13"/>
    <mergeCell ref="E105:E106"/>
    <mergeCell ref="F105:F106"/>
    <mergeCell ref="G105:G106"/>
    <mergeCell ref="E90:E91"/>
    <mergeCell ref="F90:F91"/>
    <mergeCell ref="G90:G91"/>
    <mergeCell ref="E83:E84"/>
    <mergeCell ref="F83:F84"/>
    <mergeCell ref="G83:G84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2015-05-19T07:21:10Z</cp:lastPrinted>
  <dcterms:created xsi:type="dcterms:W3CDTF">2015-05-19T06:55:03Z</dcterms:created>
  <dcterms:modified xsi:type="dcterms:W3CDTF">2019-01-02T11:53:33Z</dcterms:modified>
</cp:coreProperties>
</file>