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75" yWindow="-113" windowWidth="14275" windowHeight="7062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O103" i="1"/>
  <c r="O88"/>
  <c r="O81"/>
  <c r="O71"/>
  <c r="O64"/>
  <c r="O59"/>
  <c r="O52"/>
  <c r="O45"/>
  <c r="O38"/>
  <c r="O32"/>
  <c r="O27"/>
  <c r="O18"/>
  <c r="O10"/>
  <c r="B10"/>
  <c r="O8" l="1"/>
  <c r="B18"/>
  <c r="C27"/>
  <c r="D27"/>
  <c r="E27"/>
  <c r="F27"/>
  <c r="G27"/>
  <c r="H27"/>
  <c r="I27"/>
  <c r="J27"/>
  <c r="K27"/>
  <c r="L27"/>
  <c r="M27"/>
  <c r="N27"/>
  <c r="P27"/>
  <c r="Q27"/>
  <c r="R27"/>
  <c r="S27"/>
  <c r="T27"/>
  <c r="U27"/>
  <c r="V27"/>
  <c r="W27"/>
  <c r="X27"/>
  <c r="Y27"/>
  <c r="Z27"/>
  <c r="AA27"/>
  <c r="B27"/>
  <c r="C18"/>
  <c r="D18"/>
  <c r="E18"/>
  <c r="F18"/>
  <c r="G18"/>
  <c r="H18"/>
  <c r="I18"/>
  <c r="J18"/>
  <c r="K18"/>
  <c r="L18"/>
  <c r="M18"/>
  <c r="N18"/>
  <c r="P18"/>
  <c r="Q18"/>
  <c r="R18"/>
  <c r="S18"/>
  <c r="T18"/>
  <c r="U18"/>
  <c r="V18"/>
  <c r="W18"/>
  <c r="X18"/>
  <c r="Y18"/>
  <c r="Z18"/>
  <c r="AA18"/>
  <c r="AA103"/>
  <c r="Z103"/>
  <c r="Y103"/>
  <c r="X103"/>
  <c r="W103"/>
  <c r="V103"/>
  <c r="U103"/>
  <c r="T103"/>
  <c r="S103"/>
  <c r="R103"/>
  <c r="Q103"/>
  <c r="P103"/>
  <c r="N103"/>
  <c r="AA88"/>
  <c r="Z88"/>
  <c r="Y88"/>
  <c r="X88"/>
  <c r="W88"/>
  <c r="V88"/>
  <c r="U88"/>
  <c r="T88"/>
  <c r="S88"/>
  <c r="R88"/>
  <c r="Q88"/>
  <c r="P88"/>
  <c r="N88"/>
  <c r="AA81"/>
  <c r="Z81"/>
  <c r="Y81"/>
  <c r="X81"/>
  <c r="W81"/>
  <c r="V81"/>
  <c r="U81"/>
  <c r="T81"/>
  <c r="S81"/>
  <c r="R81"/>
  <c r="Q81"/>
  <c r="P81"/>
  <c r="N81"/>
  <c r="AA71"/>
  <c r="Z71"/>
  <c r="Y71"/>
  <c r="X71"/>
  <c r="W71"/>
  <c r="V71"/>
  <c r="U71"/>
  <c r="T71"/>
  <c r="S71"/>
  <c r="R71"/>
  <c r="Q71"/>
  <c r="P71"/>
  <c r="N71"/>
  <c r="AA64"/>
  <c r="Z64"/>
  <c r="Y64"/>
  <c r="X64"/>
  <c r="W64"/>
  <c r="V64"/>
  <c r="U64"/>
  <c r="T64"/>
  <c r="S64"/>
  <c r="R64"/>
  <c r="Q64"/>
  <c r="P64"/>
  <c r="N64"/>
  <c r="AA59"/>
  <c r="Z59"/>
  <c r="Y59"/>
  <c r="X59"/>
  <c r="W59"/>
  <c r="V59"/>
  <c r="U59"/>
  <c r="T59"/>
  <c r="S59"/>
  <c r="R59"/>
  <c r="Q59"/>
  <c r="P59"/>
  <c r="N59"/>
  <c r="AA52"/>
  <c r="Z52"/>
  <c r="Y52"/>
  <c r="X52"/>
  <c r="W52"/>
  <c r="V52"/>
  <c r="U52"/>
  <c r="T52"/>
  <c r="S52"/>
  <c r="R52"/>
  <c r="Q52"/>
  <c r="P52"/>
  <c r="N52"/>
  <c r="AA45"/>
  <c r="Z45"/>
  <c r="Y45"/>
  <c r="X45"/>
  <c r="W45"/>
  <c r="V45"/>
  <c r="U45"/>
  <c r="T45"/>
  <c r="S45"/>
  <c r="R45"/>
  <c r="Q45"/>
  <c r="P45"/>
  <c r="N45"/>
  <c r="AA38"/>
  <c r="Z38"/>
  <c r="Y38"/>
  <c r="X38"/>
  <c r="W38"/>
  <c r="V38"/>
  <c r="U38"/>
  <c r="T38"/>
  <c r="S38"/>
  <c r="R38"/>
  <c r="Q38"/>
  <c r="P38"/>
  <c r="N38"/>
  <c r="AA32"/>
  <c r="Z32"/>
  <c r="Y32"/>
  <c r="X32"/>
  <c r="W32"/>
  <c r="V32"/>
  <c r="U32"/>
  <c r="T32"/>
  <c r="S32"/>
  <c r="R32"/>
  <c r="Q32"/>
  <c r="P32"/>
  <c r="N32"/>
  <c r="AA10"/>
  <c r="Z10"/>
  <c r="Y10"/>
  <c r="X10"/>
  <c r="W10"/>
  <c r="V10"/>
  <c r="U10"/>
  <c r="T10"/>
  <c r="S10"/>
  <c r="R10"/>
  <c r="Q10"/>
  <c r="P10"/>
  <c r="N10"/>
  <c r="G103"/>
  <c r="E103"/>
  <c r="F103"/>
  <c r="H103"/>
  <c r="I103"/>
  <c r="J103"/>
  <c r="K103"/>
  <c r="L103"/>
  <c r="M103"/>
  <c r="B103"/>
  <c r="C103"/>
  <c r="E88"/>
  <c r="F88"/>
  <c r="G88"/>
  <c r="H88"/>
  <c r="I88"/>
  <c r="J88"/>
  <c r="K88"/>
  <c r="L88"/>
  <c r="M88"/>
  <c r="B88"/>
  <c r="C88"/>
  <c r="F81"/>
  <c r="G81"/>
  <c r="H81"/>
  <c r="I81"/>
  <c r="J81"/>
  <c r="K81"/>
  <c r="L81"/>
  <c r="M81"/>
  <c r="B81"/>
  <c r="C81"/>
  <c r="D81"/>
  <c r="E81"/>
  <c r="H71"/>
  <c r="I71"/>
  <c r="J71"/>
  <c r="K71"/>
  <c r="L71"/>
  <c r="M71"/>
  <c r="B71"/>
  <c r="C71"/>
  <c r="D71"/>
  <c r="E71"/>
  <c r="F71"/>
  <c r="G71"/>
  <c r="E64"/>
  <c r="F64"/>
  <c r="G64"/>
  <c r="H64"/>
  <c r="I64"/>
  <c r="J64"/>
  <c r="K64"/>
  <c r="L64"/>
  <c r="M64"/>
  <c r="B64"/>
  <c r="C64"/>
  <c r="F59"/>
  <c r="G59"/>
  <c r="H59"/>
  <c r="I59"/>
  <c r="J59"/>
  <c r="K59"/>
  <c r="L59"/>
  <c r="M59"/>
  <c r="B59"/>
  <c r="C59"/>
  <c r="D59"/>
  <c r="F52"/>
  <c r="G52"/>
  <c r="H52"/>
  <c r="I52"/>
  <c r="J52"/>
  <c r="K52"/>
  <c r="L52"/>
  <c r="M52"/>
  <c r="B52"/>
  <c r="C52"/>
  <c r="D52"/>
  <c r="E52"/>
  <c r="F45"/>
  <c r="G45"/>
  <c r="H45"/>
  <c r="I45"/>
  <c r="J45"/>
  <c r="K45"/>
  <c r="L45"/>
  <c r="M45"/>
  <c r="B45"/>
  <c r="C45"/>
  <c r="D45"/>
  <c r="F10"/>
  <c r="G10"/>
  <c r="H10"/>
  <c r="I10"/>
  <c r="J10"/>
  <c r="K10"/>
  <c r="L10"/>
  <c r="M10"/>
  <c r="C10"/>
  <c r="D10"/>
  <c r="E10"/>
  <c r="D32"/>
  <c r="E32"/>
  <c r="F32"/>
  <c r="G32"/>
  <c r="H32"/>
  <c r="I32"/>
  <c r="J32"/>
  <c r="K32"/>
  <c r="L32"/>
  <c r="M32"/>
  <c r="B32"/>
  <c r="C32"/>
  <c r="D38"/>
  <c r="E38"/>
  <c r="F38"/>
  <c r="G38"/>
  <c r="H38"/>
  <c r="I38"/>
  <c r="J38"/>
  <c r="K38"/>
  <c r="L38"/>
  <c r="M38"/>
  <c r="C38"/>
  <c r="D103"/>
  <c r="D88"/>
  <c r="D64"/>
  <c r="E59"/>
  <c r="E45"/>
  <c r="B38"/>
  <c r="I8" l="1"/>
  <c r="M8"/>
  <c r="N8"/>
  <c r="Q8"/>
  <c r="S8"/>
  <c r="U8"/>
  <c r="W8"/>
  <c r="Y8"/>
  <c r="AA8"/>
  <c r="L8"/>
  <c r="J8"/>
  <c r="H8"/>
  <c r="F8"/>
  <c r="B8"/>
  <c r="E8"/>
  <c r="C8"/>
  <c r="D8"/>
  <c r="K8"/>
  <c r="G8"/>
  <c r="P8"/>
  <c r="R8"/>
  <c r="T8"/>
  <c r="V8"/>
  <c r="X8"/>
  <c r="Z8"/>
</calcChain>
</file>

<file path=xl/sharedStrings.xml><?xml version="1.0" encoding="utf-8"?>
<sst xmlns="http://schemas.openxmlformats.org/spreadsheetml/2006/main" count="718" uniqueCount="198">
  <si>
    <t>Σε τόννους</t>
  </si>
  <si>
    <t>In tons</t>
  </si>
  <si>
    <t xml:space="preserve">Περιφέρειες και Περιφερειακές Ενότητες      </t>
  </si>
  <si>
    <t>Regions and Regional Unities (NUTS 2)</t>
  </si>
  <si>
    <t>Αριθμός Κεφαλών Heads</t>
  </si>
  <si>
    <t>Βάρος Weight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</si>
  <si>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</si>
  <si>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</si>
  <si>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</si>
  <si>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</si>
  <si>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</si>
  <si>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</si>
  <si>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</si>
  <si>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</si>
  <si>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</si>
  <si>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</si>
  <si>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</si>
  <si>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</si>
  <si>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</si>
  <si>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</si>
  <si>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</si>
  <si>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</si>
  <si>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</si>
  <si>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</si>
  <si>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</si>
  <si>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</si>
  <si>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</si>
  <si>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</si>
  <si>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</si>
  <si>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</si>
  <si>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</si>
  <si>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</si>
  <si>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</si>
  <si>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</si>
  <si>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</si>
  <si>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</si>
  <si>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</si>
  <si>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</si>
  <si>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</si>
  <si>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</si>
  <si>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</si>
  <si>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</si>
  <si>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</si>
  <si>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</si>
  <si>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</si>
  <si>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</si>
  <si>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</si>
  <si>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</si>
  <si>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</si>
  <si>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</si>
  <si>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</si>
  <si>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</si>
  <si>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</si>
  <si>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</si>
  <si>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</si>
  <si>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</si>
  <si>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</si>
  <si>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</si>
  <si>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</si>
  <si>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</si>
  <si>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</si>
  <si>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</si>
  <si>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</si>
  <si>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</si>
  <si>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</si>
  <si>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</si>
  <si>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</si>
  <si>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</si>
  <si>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</si>
  <si>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</si>
  <si>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</si>
  <si>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</si>
  <si>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</si>
  <si>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</si>
  <si>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</si>
  <si>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</si>
  <si>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</si>
  <si>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</si>
  <si>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</si>
  <si>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</si>
  <si>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</si>
  <si>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</si>
  <si>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</si>
  <si>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</si>
  <si>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</si>
  <si>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</si>
  <si>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</si>
  <si>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</si>
  <si>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</si>
  <si>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</si>
  <si>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</si>
  <si>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</si>
  <si>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</si>
  <si>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</si>
  <si>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</si>
  <si>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</si>
  <si>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</si>
  <si>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</si>
  <si>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</si>
  <si>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</si>
  <si>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</si>
  <si>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</si>
  <si>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</si>
  <si>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</si>
  <si>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</si>
  <si>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</si>
  <si>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</si>
  <si>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</si>
  <si>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</si>
  <si>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</si>
  <si>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</si>
  <si>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</si>
  <si>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</si>
  <si>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</si>
  <si>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</si>
  <si>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</si>
  <si>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</si>
  <si>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</si>
  <si>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</si>
  <si>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</si>
  <si>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</si>
  <si>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</si>
  <si>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</si>
  <si>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</si>
  <si>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</si>
  <si>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</si>
  <si>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</si>
  <si>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</si>
  <si>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</si>
  <si>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</si>
  <si>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</si>
  <si>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</si>
  <si>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</si>
  <si>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</si>
  <si>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</si>
  <si>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</si>
  <si>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</si>
  <si>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</si>
  <si>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</si>
  <si>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</si>
  <si>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</si>
  <si>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</si>
  <si>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</si>
  <si>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</si>
  <si>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</si>
  <si>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</si>
  <si>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</si>
  <si>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</si>
  <si>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</si>
  <si>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</si>
  <si>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</si>
  <si>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</si>
  <si>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</si>
  <si>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</si>
  <si>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</si>
  <si>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</si>
  <si>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</si>
  <si>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</si>
  <si>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</si>
  <si>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</si>
  <si>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</si>
  <si>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</si>
  <si>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</si>
  <si>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</si>
  <si>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</si>
  <si>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</si>
  <si>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</si>
  <si>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</si>
  <si>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</si>
  <si>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</si>
  <si>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</si>
  <si>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</si>
  <si>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</si>
  <si>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</si>
  <si>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</si>
  <si>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</si>
  <si>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</si>
  <si>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</si>
  <si>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</si>
  <si>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</si>
  <si>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—</t>
  </si>
  <si>
    <t>Αρνιά
Lambs</t>
  </si>
  <si>
    <t>Μοσχάρια κάτω του έτους
Calves less than 1 year</t>
  </si>
  <si>
    <t>Χοιρίδια
Piglets</t>
  </si>
  <si>
    <t>Δαμάλια και βόδια
Heifers and oxen</t>
  </si>
  <si>
    <t>Βιτούλια και αίγες
Goats (1 year and over)</t>
  </si>
  <si>
    <t>Χοίροι
Pigs</t>
  </si>
  <si>
    <t>Πουλερικά
 Poultry</t>
  </si>
  <si>
    <t>Κουνέλια
Rabbits</t>
  </si>
  <si>
    <t>Region of Western Macedonia</t>
  </si>
  <si>
    <t>Περιφέρεια Δυτικής Μακεδονίας</t>
  </si>
  <si>
    <t>Μοσχάρια 1 -2 ετών
Calves 1 - 2 year</t>
  </si>
  <si>
    <t>Βουβαλίδια
Buffaloes
(less than 1 year old)</t>
  </si>
  <si>
    <t>Πίνακας 7b2. Παραγωγή κρέατος (αναλυτικά) κατά είδος σφάγιου, περιφέρεια και περιφερειακή ενότητα, 2015</t>
  </si>
  <si>
    <t>Table 7b2. Meat production (analytical), by kind of animal, Region and Regional Unities, 2015</t>
  </si>
  <si>
    <t>Βουβάλια και βουβαλοδαμάλια
Buffaloes 
(1 year and over)</t>
  </si>
  <si>
    <t>Ζυγούρια και πρόβατα
Sheep 
(1 year and over)</t>
  </si>
  <si>
    <t>Κατσίκια 
Goat kids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</si>
</sst>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  <font>
      <b/>
      <sz val="10"/>
      <name val="Arial"/>
      <family val="2"/>
      <charset val="161"/>
    </font>
    <font>
      <sz val="8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0" xfId="0" applyFont="1"/>
    <xf numFmtId="0" fontId="1" fillId="0" borderId="0" xfId="0" applyNumberFormat="1" applyFont="1" applyFill="1" applyBorder="1" applyAlignment="1" applyProtection="1">
      <alignment vertical="center" wrapText="1"/>
    </xf>
    <xf numFmtId="0" fontId="2" fillId="0" borderId="1" xfId="0" applyNumberFormat="1" applyFont="1" applyFill="1" applyBorder="1" applyAlignment="1" applyProtection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15" xfId="0" applyNumberFormat="1" applyFont="1" applyFill="1" applyBorder="1" applyAlignment="1" applyProtection="1">
      <alignment horizontal="center" vertical="center" wrapText="1"/>
    </xf>
    <xf numFmtId="3" fontId="1" fillId="2" borderId="2" xfId="0" applyNumberFormat="1" applyFont="1" applyFill="1" applyBorder="1" applyAlignment="1">
      <alignment horizontal="right" vertical="center" wrapText="1"/>
    </xf>
    <xf numFmtId="0" fontId="5" fillId="0" borderId="0" xfId="0" applyFont="1" applyBorder="1" applyAlignment="1">
      <alignment vertical="center"/>
    </xf>
    <xf numFmtId="49" fontId="1" fillId="0" borderId="0" xfId="0" applyNumberFormat="1" applyFont="1" applyFill="1" applyBorder="1" applyAlignment="1" applyProtection="1">
      <alignment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vertical="center"/>
    </xf>
    <xf numFmtId="49" fontId="2" fillId="0" borderId="0" xfId="0" applyNumberFormat="1" applyFont="1" applyFill="1" applyBorder="1" applyAlignment="1" applyProtection="1">
      <alignment horizontal="left" wrapText="1" indent="1"/>
    </xf>
    <xf numFmtId="49" fontId="4" fillId="0" borderId="0" xfId="0" applyNumberFormat="1" applyFont="1" applyBorder="1" applyAlignment="1" applyProtection="1">
      <alignment horizontal="left" vertical="center" wrapText="1" indent="1"/>
      <protection locked="0"/>
    </xf>
    <xf numFmtId="49" fontId="2" fillId="0" borderId="1" xfId="0" applyNumberFormat="1" applyFont="1" applyFill="1" applyBorder="1" applyAlignment="1" applyProtection="1">
      <alignment horizontal="left" wrapText="1" indent="1"/>
    </xf>
    <xf numFmtId="0" fontId="3" fillId="0" borderId="0" xfId="0" applyFont="1" applyBorder="1" applyAlignment="1">
      <alignment horizontal="left" indent="1"/>
    </xf>
    <xf numFmtId="0" fontId="3" fillId="0" borderId="1" xfId="0" applyFont="1" applyBorder="1" applyAlignment="1">
      <alignment horizontal="left" indent="1"/>
    </xf>
    <xf numFmtId="0" fontId="3" fillId="0" borderId="0" xfId="0" applyFont="1" applyAlignment="1"/>
    <xf numFmtId="0" fontId="6" fillId="0" borderId="0" xfId="0" applyNumberFormat="1" applyFont="1" applyFill="1" applyBorder="1" applyAlignment="1" applyProtection="1">
      <alignment vertical="center"/>
    </xf>
    <xf numFmtId="0" fontId="6" fillId="0" borderId="0" xfId="0" applyNumberFormat="1" applyFont="1" applyFill="1" applyBorder="1" applyAlignment="1" applyProtection="1">
      <alignment vertical="center" wrapText="1"/>
    </xf>
    <xf numFmtId="3" fontId="7" fillId="0" borderId="2" xfId="0" applyNumberFormat="1" applyFont="1" applyBorder="1" applyAlignment="1">
      <alignment horizontal="right" vertical="top" wrapText="1"/>
    </xf>
    <xf numFmtId="3" fontId="7" fillId="0" borderId="16" xfId="0" applyNumberFormat="1" applyFont="1" applyBorder="1" applyAlignment="1">
      <alignment horizontal="right" vertical="top" wrapText="1"/>
    </xf>
    <xf numFmtId="0" fontId="2" fillId="0" borderId="2" xfId="0" applyFont="1" applyFill="1" applyBorder="1" applyAlignment="1">
      <alignment horizontal="right" vertical="top"/>
    </xf>
    <xf numFmtId="3" fontId="2" fillId="0" borderId="2" xfId="0" applyNumberFormat="1" applyFont="1" applyFill="1" applyBorder="1" applyAlignment="1">
      <alignment horizontal="right" vertical="top"/>
    </xf>
    <xf numFmtId="0" fontId="2" fillId="0" borderId="16" xfId="0" applyFont="1" applyFill="1" applyBorder="1" applyAlignment="1">
      <alignment horizontal="right" vertical="top"/>
    </xf>
    <xf numFmtId="3" fontId="2" fillId="0" borderId="16" xfId="0" applyNumberFormat="1" applyFont="1" applyFill="1" applyBorder="1" applyAlignment="1">
      <alignment horizontal="right" vertical="top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3" fontId="1" fillId="0" borderId="2" xfId="0" applyNumberFormat="1" applyFont="1" applyBorder="1" applyAlignment="1">
      <alignment horizontal="right" vertical="center"/>
    </xf>
    <xf numFmtId="3" fontId="1" fillId="0" borderId="2" xfId="0" applyNumberFormat="1" applyFont="1" applyBorder="1" applyAlignment="1">
      <alignment vertical="center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2" fillId="0" borderId="11" xfId="0" applyNumberFormat="1" applyFont="1" applyFill="1" applyBorder="1" applyAlignment="1" applyProtection="1">
      <alignment horizontal="center" vertical="center" wrapText="1"/>
    </xf>
    <xf numFmtId="3" fontId="1" fillId="0" borderId="6" xfId="0" applyNumberFormat="1" applyFont="1" applyBorder="1" applyAlignment="1">
      <alignment horizontal="right" vertical="center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left" vertical="center" wrapText="1"/>
    </xf>
    <xf numFmtId="0" fontId="1" fillId="0" borderId="8" xfId="0" applyNumberFormat="1" applyFont="1" applyFill="1" applyBorder="1" applyAlignment="1" applyProtection="1">
      <alignment horizontal="left" vertical="center" wrapText="1"/>
    </xf>
    <xf numFmtId="0" fontId="1" fillId="0" borderId="14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49" fontId="1" fillId="0" borderId="14" xfId="0" applyNumberFormat="1" applyFont="1" applyFill="1" applyBorder="1" applyAlignment="1" applyProtection="1">
      <alignment horizontal="left" vertical="center" wrapText="1"/>
    </xf>
    <xf numFmtId="0" fontId="5" fillId="0" borderId="0" xfId="0" applyFont="1" applyBorder="1" applyAlignment="1">
      <alignment horizontal="left" vertical="center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08"/>
  <sheetViews>
    <sheetView showGridLines="0"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A8" sqref="AA8:AA108"/>
    </sheetView>
  </sheetViews>
  <sheetFormatPr defaultRowHeight="10.65"/>
  <cols>
    <col min="1" max="1" width="34.5546875" style="1" bestFit="1" customWidth="1"/>
    <col min="2" max="2" width="7" style="1" bestFit="1" customWidth="1"/>
    <col min="3" max="3" width="5.33203125" style="1" bestFit="1" customWidth="1"/>
    <col min="4" max="4" width="7" style="1" bestFit="1" customWidth="1"/>
    <col min="5" max="5" width="5.33203125" style="1" bestFit="1" customWidth="1"/>
    <col min="6" max="6" width="7" style="1" bestFit="1" customWidth="1"/>
    <col min="7" max="7" width="5.33203125" style="1" bestFit="1" customWidth="1"/>
    <col min="8" max="8" width="7" style="1" bestFit="1" customWidth="1"/>
    <col min="9" max="9" width="5.33203125" style="1" bestFit="1" customWidth="1"/>
    <col min="10" max="10" width="7" style="1" bestFit="1" customWidth="1"/>
    <col min="11" max="11" width="5.33203125" style="1" bestFit="1" customWidth="1"/>
    <col min="12" max="12" width="7.109375" style="1" bestFit="1" customWidth="1"/>
    <col min="13" max="13" width="5.33203125" style="1" bestFit="1" customWidth="1"/>
    <col min="14" max="14" width="7" style="1" bestFit="1" customWidth="1"/>
    <col min="15" max="15" width="5.33203125" style="1" bestFit="1" customWidth="1"/>
    <col min="16" max="16" width="7.109375" style="1" bestFit="1" customWidth="1"/>
    <col min="17" max="17" width="5.33203125" style="1" bestFit="1" customWidth="1"/>
    <col min="18" max="18" width="7" style="1" bestFit="1" customWidth="1"/>
    <col min="19" max="19" width="5.33203125" style="1" bestFit="1" customWidth="1"/>
    <col min="20" max="20" width="7" style="1" bestFit="1" customWidth="1"/>
    <col min="21" max="21" width="5.33203125" style="1" bestFit="1" customWidth="1"/>
    <col min="22" max="22" width="7.109375" style="1" bestFit="1" customWidth="1"/>
    <col min="23" max="23" width="5.33203125" style="1" bestFit="1" customWidth="1"/>
    <col min="24" max="24" width="9" style="1" bestFit="1" customWidth="1"/>
    <col min="25" max="25" width="5.88671875" style="1" bestFit="1" customWidth="1"/>
    <col min="26" max="26" width="7.109375" style="1" bestFit="1" customWidth="1"/>
    <col min="27" max="27" width="5.33203125" style="1" bestFit="1" customWidth="1"/>
    <col min="28" max="28" width="22.33203125" style="1" bestFit="1" customWidth="1"/>
    <col min="29" max="29" width="10.88671875" style="1" customWidth="1"/>
    <col min="30" max="30" width="5.109375" style="1" bestFit="1" customWidth="1"/>
    <col min="31" max="16384" width="8.88671875" style="1"/>
  </cols>
  <sheetData>
    <row r="1" spans="1:30" ht="19.899999999999999" customHeight="1">
      <c r="P1" s="24"/>
    </row>
    <row r="2" spans="1:30" ht="14.4" customHeight="1">
      <c r="C2" s="25"/>
      <c r="D2" s="25"/>
      <c r="E2" s="25"/>
      <c r="F2" s="25"/>
      <c r="G2" s="33" t="s">
        <v>193</v>
      </c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11"/>
      <c r="X2" s="11"/>
      <c r="Y2" s="11"/>
      <c r="Z2" s="11"/>
      <c r="AA2" s="11"/>
    </row>
    <row r="3" spans="1:30" ht="16.75" customHeight="1">
      <c r="C3" s="26"/>
      <c r="D3" s="26"/>
      <c r="E3" s="26"/>
      <c r="F3" s="26"/>
      <c r="G3" s="33" t="s">
        <v>194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17"/>
      <c r="X3" s="17"/>
      <c r="Y3" s="17"/>
      <c r="Z3" s="17"/>
      <c r="AA3" s="17"/>
    </row>
    <row r="4" spans="1:30">
      <c r="B4" s="2"/>
      <c r="C4" s="2"/>
      <c r="D4" s="2"/>
      <c r="E4" s="18"/>
      <c r="F4" s="18"/>
      <c r="G4" s="18"/>
      <c r="H4" s="18"/>
      <c r="I4" s="18"/>
      <c r="J4" s="18"/>
      <c r="K4" s="18"/>
      <c r="L4" s="18"/>
      <c r="M4" s="18"/>
      <c r="N4" s="2"/>
      <c r="O4" s="2"/>
      <c r="P4" s="18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30" ht="11.3" thickBot="1">
      <c r="A5" s="3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D5" s="4" t="s">
        <v>1</v>
      </c>
    </row>
    <row r="6" spans="1:30" ht="42.6" customHeight="1">
      <c r="A6" s="43" t="s">
        <v>2</v>
      </c>
      <c r="B6" s="42" t="s">
        <v>182</v>
      </c>
      <c r="C6" s="39"/>
      <c r="D6" s="38" t="s">
        <v>191</v>
      </c>
      <c r="E6" s="39"/>
      <c r="F6" s="38" t="s">
        <v>192</v>
      </c>
      <c r="G6" s="39"/>
      <c r="H6" s="38" t="s">
        <v>195</v>
      </c>
      <c r="I6" s="39"/>
      <c r="J6" s="38" t="s">
        <v>184</v>
      </c>
      <c r="K6" s="39"/>
      <c r="L6" s="38" t="s">
        <v>181</v>
      </c>
      <c r="M6" s="40"/>
      <c r="N6" s="49" t="s">
        <v>196</v>
      </c>
      <c r="O6" s="49"/>
      <c r="P6" s="38" t="s">
        <v>197</v>
      </c>
      <c r="Q6" s="39"/>
      <c r="R6" s="38" t="s">
        <v>185</v>
      </c>
      <c r="S6" s="40"/>
      <c r="T6" s="38" t="s">
        <v>183</v>
      </c>
      <c r="U6" s="40"/>
      <c r="V6" s="38" t="s">
        <v>186</v>
      </c>
      <c r="W6" s="40"/>
      <c r="X6" s="38" t="s">
        <v>187</v>
      </c>
      <c r="Y6" s="40"/>
      <c r="Z6" s="38" t="s">
        <v>188</v>
      </c>
      <c r="AA6" s="48"/>
      <c r="AB6" s="34" t="s">
        <v>3</v>
      </c>
      <c r="AC6" s="34"/>
      <c r="AD6" s="34"/>
    </row>
    <row r="7" spans="1:30" s="10" customFormat="1" ht="31.95">
      <c r="A7" s="44"/>
      <c r="B7" s="7" t="s">
        <v>4</v>
      </c>
      <c r="C7" s="8" t="s">
        <v>5</v>
      </c>
      <c r="D7" s="8" t="s">
        <v>4</v>
      </c>
      <c r="E7" s="8" t="s">
        <v>5</v>
      </c>
      <c r="F7" s="8" t="s">
        <v>4</v>
      </c>
      <c r="G7" s="8" t="s">
        <v>5</v>
      </c>
      <c r="H7" s="8" t="s">
        <v>4</v>
      </c>
      <c r="I7" s="8" t="s">
        <v>5</v>
      </c>
      <c r="J7" s="8" t="s">
        <v>4</v>
      </c>
      <c r="K7" s="8" t="s">
        <v>5</v>
      </c>
      <c r="L7" s="8" t="s">
        <v>4</v>
      </c>
      <c r="M7" s="8" t="s">
        <v>5</v>
      </c>
      <c r="N7" s="13" t="s">
        <v>4</v>
      </c>
      <c r="O7" s="8" t="s">
        <v>5</v>
      </c>
      <c r="P7" s="8" t="s">
        <v>4</v>
      </c>
      <c r="Q7" s="8" t="s">
        <v>5</v>
      </c>
      <c r="R7" s="8" t="s">
        <v>4</v>
      </c>
      <c r="S7" s="8" t="s">
        <v>5</v>
      </c>
      <c r="T7" s="8" t="s">
        <v>4</v>
      </c>
      <c r="U7" s="8" t="s">
        <v>5</v>
      </c>
      <c r="V7" s="8" t="s">
        <v>4</v>
      </c>
      <c r="W7" s="8" t="s">
        <v>5</v>
      </c>
      <c r="X7" s="8" t="s">
        <v>4</v>
      </c>
      <c r="Y7" s="8" t="s">
        <v>5</v>
      </c>
      <c r="Z7" s="8" t="s">
        <v>4</v>
      </c>
      <c r="AA7" s="9" t="s">
        <v>5</v>
      </c>
      <c r="AB7" s="35"/>
      <c r="AC7" s="35"/>
      <c r="AD7" s="35"/>
    </row>
    <row r="8" spans="1:30">
      <c r="A8" s="51" t="s">
        <v>6</v>
      </c>
      <c r="B8" s="41">
        <f>SUM(B10,B18,B27,B32,B38,B45,B52,B59,B64,B71,B81,B88,B103)</f>
        <v>48506</v>
      </c>
      <c r="C8" s="41">
        <f>SUM(C10,C18,C27,C32,C38,C45,C52,C59,C64,C71,C81,C88,C103)</f>
        <v>7296.8020000000006</v>
      </c>
      <c r="D8" s="41">
        <f>SUM(D10,D18,D27,D32,D38,D45,D52,D59,D64,D71,D81,D88,D103)</f>
        <v>97556</v>
      </c>
      <c r="E8" s="41">
        <f>SUM(E10,E18,E27,E32,E38,E45,E52,E59,E64,E71,E81,E88,E103)</f>
        <v>24345.204000000002</v>
      </c>
      <c r="F8" s="41">
        <f t="shared" ref="F8:AA8" si="0">SUM(F10,F18,F27,F32,F38,F45,F52,F59,F64,F71,F81,F88,F103)</f>
        <v>3050</v>
      </c>
      <c r="G8" s="41">
        <f t="shared" si="0"/>
        <v>887.59500000000003</v>
      </c>
      <c r="H8" s="41">
        <f t="shared" si="0"/>
        <v>1137</v>
      </c>
      <c r="I8" s="41">
        <f>SUM(I10,I18,I27,I32,I38,I45,I52,I59,I64,I71,I81,I88,I103)</f>
        <v>430.87700000000001</v>
      </c>
      <c r="J8" s="41">
        <f t="shared" si="0"/>
        <v>27192</v>
      </c>
      <c r="K8" s="41">
        <f t="shared" si="0"/>
        <v>7556.8439999999991</v>
      </c>
      <c r="L8" s="41">
        <f t="shared" si="0"/>
        <v>4709091</v>
      </c>
      <c r="M8" s="41">
        <f>SUM(M10,M18,M27,M32,M38,M45,M52,M59,M64,M71,M81,M88,M103)</f>
        <v>45451.191000000006</v>
      </c>
      <c r="N8" s="41">
        <f t="shared" si="0"/>
        <v>551709</v>
      </c>
      <c r="O8" s="41">
        <f>SUM(O10,O18,O27,O32,O38,O45,O52,O59,O64,O71,O81,O88,O103)</f>
        <v>11281.236000000001</v>
      </c>
      <c r="P8" s="41">
        <f t="shared" si="0"/>
        <v>2159962</v>
      </c>
      <c r="Q8" s="41">
        <f t="shared" si="0"/>
        <v>20249.774999999998</v>
      </c>
      <c r="R8" s="41">
        <f t="shared" si="0"/>
        <v>281646</v>
      </c>
      <c r="S8" s="41">
        <f t="shared" si="0"/>
        <v>5604.6290000000008</v>
      </c>
      <c r="T8" s="41">
        <f t="shared" si="0"/>
        <v>242917</v>
      </c>
      <c r="U8" s="41">
        <f t="shared" si="0"/>
        <v>4265.5460000000003</v>
      </c>
      <c r="V8" s="41">
        <f t="shared" si="0"/>
        <v>1111918</v>
      </c>
      <c r="W8" s="41">
        <f t="shared" si="0"/>
        <v>73800.546000000002</v>
      </c>
      <c r="X8" s="41">
        <f t="shared" si="0"/>
        <v>133481692</v>
      </c>
      <c r="Y8" s="41">
        <f t="shared" si="0"/>
        <v>251893.27000000002</v>
      </c>
      <c r="Z8" s="41">
        <f t="shared" si="0"/>
        <v>2045173</v>
      </c>
      <c r="AA8" s="41">
        <f t="shared" si="0"/>
        <v>3673.9070000000002</v>
      </c>
      <c r="AB8" s="45" t="s">
        <v>7</v>
      </c>
      <c r="AC8" s="45"/>
      <c r="AD8" s="45"/>
    </row>
    <row r="9" spans="1:30" ht="14.4" customHeight="1">
      <c r="A9" s="47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46"/>
      <c r="AC9" s="46"/>
      <c r="AD9" s="46"/>
    </row>
    <row r="10" spans="1:30">
      <c r="A10" s="47" t="s">
        <v>8</v>
      </c>
      <c r="B10" s="36">
        <f>SUM(B12:B17)</f>
        <v>4635</v>
      </c>
      <c r="C10" s="36">
        <f t="shared" ref="C10:E10" si="1">SUM(C12:C17)</f>
        <v>794.33699999999999</v>
      </c>
      <c r="D10" s="36">
        <f t="shared" si="1"/>
        <v>12952</v>
      </c>
      <c r="E10" s="36">
        <f t="shared" si="1"/>
        <v>3025.9149999999995</v>
      </c>
      <c r="F10" s="36">
        <f t="shared" ref="F10:H10" si="2">SUM(F12:F17)</f>
        <v>50</v>
      </c>
      <c r="G10" s="36">
        <f t="shared" si="2"/>
        <v>13.5</v>
      </c>
      <c r="H10" s="36">
        <f t="shared" si="2"/>
        <v>7</v>
      </c>
      <c r="I10" s="36">
        <f t="shared" ref="I10:AA10" si="3">SUM(I12:I17)</f>
        <v>2.4500000000000002</v>
      </c>
      <c r="J10" s="36">
        <f t="shared" si="3"/>
        <v>3564</v>
      </c>
      <c r="K10" s="36">
        <f t="shared" si="3"/>
        <v>859.16600000000005</v>
      </c>
      <c r="L10" s="36">
        <f t="shared" si="3"/>
        <v>259998</v>
      </c>
      <c r="M10" s="36">
        <f t="shared" si="3"/>
        <v>2563.6239999999998</v>
      </c>
      <c r="N10" s="36">
        <f t="shared" si="3"/>
        <v>26483</v>
      </c>
      <c r="O10" s="36">
        <f>SUM(O12:O17)</f>
        <v>524.39600000000007</v>
      </c>
      <c r="P10" s="36">
        <f t="shared" si="3"/>
        <v>188673</v>
      </c>
      <c r="Q10" s="36">
        <f t="shared" si="3"/>
        <v>1681.883</v>
      </c>
      <c r="R10" s="36">
        <f t="shared" si="3"/>
        <v>27618</v>
      </c>
      <c r="S10" s="36">
        <f t="shared" si="3"/>
        <v>507.73700000000002</v>
      </c>
      <c r="T10" s="36">
        <f t="shared" si="3"/>
        <v>8074</v>
      </c>
      <c r="U10" s="36">
        <f t="shared" si="3"/>
        <v>135.54599999999999</v>
      </c>
      <c r="V10" s="36">
        <f t="shared" si="3"/>
        <v>98083</v>
      </c>
      <c r="W10" s="36">
        <f t="shared" si="3"/>
        <v>6289.68</v>
      </c>
      <c r="X10" s="36">
        <f t="shared" si="3"/>
        <v>325516</v>
      </c>
      <c r="Y10" s="36">
        <f t="shared" si="3"/>
        <v>498.62900000000002</v>
      </c>
      <c r="Z10" s="36">
        <f t="shared" si="3"/>
        <v>76436</v>
      </c>
      <c r="AA10" s="36">
        <f t="shared" si="3"/>
        <v>121.419</v>
      </c>
      <c r="AB10" s="46" t="s">
        <v>9</v>
      </c>
      <c r="AC10" s="46"/>
      <c r="AD10" s="46"/>
    </row>
    <row r="11" spans="1:30">
      <c r="A11" s="47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46"/>
      <c r="AC11" s="46"/>
      <c r="AD11" s="46"/>
    </row>
    <row r="12" spans="1:30">
      <c r="A12" s="19" t="s">
        <v>10</v>
      </c>
      <c r="B12" s="27">
        <v>547</v>
      </c>
      <c r="C12" s="27">
        <v>78.635999999999996</v>
      </c>
      <c r="D12" s="27">
        <v>828</v>
      </c>
      <c r="E12" s="27">
        <v>166.84100000000001</v>
      </c>
      <c r="F12" s="27">
        <v>50</v>
      </c>
      <c r="G12" s="27">
        <v>13.5</v>
      </c>
      <c r="H12" s="27">
        <v>7</v>
      </c>
      <c r="I12" s="27">
        <v>2.4500000000000002</v>
      </c>
      <c r="J12" s="27">
        <v>438</v>
      </c>
      <c r="K12" s="27">
        <v>110.804</v>
      </c>
      <c r="L12" s="27">
        <v>15910</v>
      </c>
      <c r="M12" s="27">
        <v>147.74799999999999</v>
      </c>
      <c r="N12" s="27">
        <v>2857</v>
      </c>
      <c r="O12" s="27">
        <v>51.438000000000002</v>
      </c>
      <c r="P12" s="27">
        <v>30869</v>
      </c>
      <c r="Q12" s="27">
        <v>284.726</v>
      </c>
      <c r="R12" s="27">
        <v>6144</v>
      </c>
      <c r="S12" s="27">
        <v>110.09099999999999</v>
      </c>
      <c r="T12" s="27">
        <v>3339</v>
      </c>
      <c r="U12" s="27">
        <v>50.930999999999997</v>
      </c>
      <c r="V12" s="27">
        <v>12193</v>
      </c>
      <c r="W12" s="27">
        <v>746.255</v>
      </c>
      <c r="X12" s="27">
        <v>82911</v>
      </c>
      <c r="Y12" s="27">
        <v>123.136</v>
      </c>
      <c r="Z12" s="27">
        <v>59690</v>
      </c>
      <c r="AA12" s="27">
        <v>89.534999999999997</v>
      </c>
      <c r="AB12" s="22" t="s">
        <v>11</v>
      </c>
      <c r="AC12" s="5"/>
      <c r="AD12" s="5"/>
    </row>
    <row r="13" spans="1:30">
      <c r="A13" s="19" t="s">
        <v>12</v>
      </c>
      <c r="B13" s="27">
        <v>1163</v>
      </c>
      <c r="C13" s="27">
        <v>214.09100000000001</v>
      </c>
      <c r="D13" s="27">
        <v>5392</v>
      </c>
      <c r="E13" s="27">
        <v>1265.8</v>
      </c>
      <c r="F13" s="29" t="s">
        <v>180</v>
      </c>
      <c r="G13" s="29" t="s">
        <v>180</v>
      </c>
      <c r="H13" s="29" t="s">
        <v>180</v>
      </c>
      <c r="I13" s="30" t="s">
        <v>180</v>
      </c>
      <c r="J13" s="27">
        <v>1734</v>
      </c>
      <c r="K13" s="27">
        <v>392.25200000000001</v>
      </c>
      <c r="L13" s="27">
        <v>63284</v>
      </c>
      <c r="M13" s="27">
        <v>665.81399999999996</v>
      </c>
      <c r="N13" s="27">
        <v>7875</v>
      </c>
      <c r="O13" s="27">
        <v>164.49600000000001</v>
      </c>
      <c r="P13" s="27">
        <v>46208</v>
      </c>
      <c r="Q13" s="27">
        <v>398.55200000000002</v>
      </c>
      <c r="R13" s="27">
        <v>4576</v>
      </c>
      <c r="S13" s="27">
        <v>87.331000000000003</v>
      </c>
      <c r="T13" s="27">
        <v>1240</v>
      </c>
      <c r="U13" s="27">
        <v>19.809999999999999</v>
      </c>
      <c r="V13" s="27">
        <v>59739</v>
      </c>
      <c r="W13" s="27">
        <v>3656.1080000000002</v>
      </c>
      <c r="X13" s="27">
        <v>36616</v>
      </c>
      <c r="Y13" s="27">
        <v>42.56</v>
      </c>
      <c r="Z13" s="27">
        <v>2218</v>
      </c>
      <c r="AA13" s="27">
        <v>3.327</v>
      </c>
      <c r="AB13" s="22" t="s">
        <v>13</v>
      </c>
      <c r="AC13" s="5"/>
      <c r="AD13" s="5"/>
    </row>
    <row r="14" spans="1:30">
      <c r="A14" s="19" t="s">
        <v>14</v>
      </c>
      <c r="B14" s="27">
        <v>200</v>
      </c>
      <c r="C14" s="27">
        <v>32</v>
      </c>
      <c r="D14" s="27">
        <v>2742</v>
      </c>
      <c r="E14" s="27">
        <v>767.76</v>
      </c>
      <c r="F14" s="29" t="s">
        <v>180</v>
      </c>
      <c r="G14" s="29" t="s">
        <v>180</v>
      </c>
      <c r="H14" s="29" t="s">
        <v>180</v>
      </c>
      <c r="I14" s="30" t="s">
        <v>180</v>
      </c>
      <c r="J14" s="27">
        <v>575</v>
      </c>
      <c r="K14" s="27">
        <v>162.15</v>
      </c>
      <c r="L14" s="27">
        <v>29099</v>
      </c>
      <c r="M14" s="27">
        <v>291.14499999999998</v>
      </c>
      <c r="N14" s="27">
        <v>4211</v>
      </c>
      <c r="O14" s="27">
        <v>84.396000000000001</v>
      </c>
      <c r="P14" s="27">
        <v>19204</v>
      </c>
      <c r="Q14" s="27">
        <v>172.96</v>
      </c>
      <c r="R14" s="27">
        <v>7566</v>
      </c>
      <c r="S14" s="27">
        <v>136.18199999999999</v>
      </c>
      <c r="T14" s="27">
        <v>434</v>
      </c>
      <c r="U14" s="27">
        <v>7.9349999999999996</v>
      </c>
      <c r="V14" s="27">
        <v>9816</v>
      </c>
      <c r="W14" s="27">
        <v>635.87</v>
      </c>
      <c r="X14" s="27">
        <v>57844</v>
      </c>
      <c r="Y14" s="27">
        <v>93.549000000000007</v>
      </c>
      <c r="Z14" s="27">
        <v>13365</v>
      </c>
      <c r="AA14" s="27">
        <v>26.225999999999999</v>
      </c>
      <c r="AB14" s="22" t="s">
        <v>15</v>
      </c>
      <c r="AC14" s="5"/>
      <c r="AD14" s="5"/>
    </row>
    <row r="15" spans="1:30">
      <c r="A15" s="19" t="s">
        <v>16</v>
      </c>
      <c r="B15" s="27">
        <v>2</v>
      </c>
      <c r="C15" s="30">
        <v>0.26</v>
      </c>
      <c r="D15" s="27">
        <v>1</v>
      </c>
      <c r="E15" s="30">
        <v>0.18</v>
      </c>
      <c r="F15" s="29" t="s">
        <v>180</v>
      </c>
      <c r="G15" s="29" t="s">
        <v>180</v>
      </c>
      <c r="H15" s="29" t="s">
        <v>180</v>
      </c>
      <c r="I15" s="30" t="s">
        <v>180</v>
      </c>
      <c r="J15" s="29" t="s">
        <v>180</v>
      </c>
      <c r="K15" s="30" t="s">
        <v>180</v>
      </c>
      <c r="L15" s="27">
        <v>24083</v>
      </c>
      <c r="M15" s="27">
        <v>233.036</v>
      </c>
      <c r="N15" s="27">
        <v>2786</v>
      </c>
      <c r="O15" s="27">
        <v>52.902000000000001</v>
      </c>
      <c r="P15" s="27">
        <v>14525</v>
      </c>
      <c r="Q15" s="27">
        <v>116.801</v>
      </c>
      <c r="R15" s="27">
        <v>2348</v>
      </c>
      <c r="S15" s="27">
        <v>40.308999999999997</v>
      </c>
      <c r="T15" s="27">
        <v>33</v>
      </c>
      <c r="U15" s="27">
        <v>0.66</v>
      </c>
      <c r="V15" s="27">
        <v>5</v>
      </c>
      <c r="W15" s="27">
        <v>0.317</v>
      </c>
      <c r="X15" s="27">
        <v>6305</v>
      </c>
      <c r="Y15" s="27">
        <v>11.010999999999999</v>
      </c>
      <c r="Z15" s="27">
        <v>64</v>
      </c>
      <c r="AA15" s="27">
        <v>0.128</v>
      </c>
      <c r="AB15" s="22" t="s">
        <v>17</v>
      </c>
      <c r="AC15" s="5"/>
      <c r="AD15" s="5"/>
    </row>
    <row r="16" spans="1:30">
      <c r="A16" s="19" t="s">
        <v>18</v>
      </c>
      <c r="B16" s="27">
        <v>450</v>
      </c>
      <c r="C16" s="27">
        <v>60</v>
      </c>
      <c r="D16" s="27">
        <v>350</v>
      </c>
      <c r="E16" s="27">
        <v>80.5</v>
      </c>
      <c r="F16" s="29" t="s">
        <v>180</v>
      </c>
      <c r="G16" s="29" t="s">
        <v>180</v>
      </c>
      <c r="H16" s="29" t="s">
        <v>180</v>
      </c>
      <c r="I16" s="30" t="s">
        <v>180</v>
      </c>
      <c r="J16" s="29" t="s">
        <v>180</v>
      </c>
      <c r="K16" s="30" t="s">
        <v>180</v>
      </c>
      <c r="L16" s="27">
        <v>36013</v>
      </c>
      <c r="M16" s="27">
        <v>370.05900000000003</v>
      </c>
      <c r="N16" s="27">
        <v>1193</v>
      </c>
      <c r="O16" s="27">
        <v>19.943999999999999</v>
      </c>
      <c r="P16" s="27">
        <v>34181</v>
      </c>
      <c r="Q16" s="27">
        <v>349.97800000000001</v>
      </c>
      <c r="R16" s="27">
        <v>1911</v>
      </c>
      <c r="S16" s="27">
        <v>31.968</v>
      </c>
      <c r="T16" s="27">
        <v>1110</v>
      </c>
      <c r="U16" s="27">
        <v>17.850000000000001</v>
      </c>
      <c r="V16" s="27">
        <v>237</v>
      </c>
      <c r="W16" s="27">
        <v>11.85</v>
      </c>
      <c r="X16" s="27">
        <v>61489</v>
      </c>
      <c r="Y16" s="27">
        <v>94.350999999999999</v>
      </c>
      <c r="Z16" s="27">
        <v>11</v>
      </c>
      <c r="AA16" s="27">
        <v>2.7E-2</v>
      </c>
      <c r="AB16" s="22" t="s">
        <v>19</v>
      </c>
      <c r="AC16" s="5"/>
      <c r="AD16" s="5"/>
    </row>
    <row r="17" spans="1:30">
      <c r="A17" s="19" t="s">
        <v>20</v>
      </c>
      <c r="B17" s="27">
        <v>2273</v>
      </c>
      <c r="C17" s="27">
        <v>409.35</v>
      </c>
      <c r="D17" s="27">
        <v>3639</v>
      </c>
      <c r="E17" s="27">
        <v>744.83399999999995</v>
      </c>
      <c r="F17" s="29" t="s">
        <v>180</v>
      </c>
      <c r="G17" s="29" t="s">
        <v>180</v>
      </c>
      <c r="H17" s="29" t="s">
        <v>180</v>
      </c>
      <c r="I17" s="30" t="s">
        <v>180</v>
      </c>
      <c r="J17" s="27">
        <v>817</v>
      </c>
      <c r="K17" s="27">
        <v>193.96</v>
      </c>
      <c r="L17" s="27">
        <v>91609</v>
      </c>
      <c r="M17" s="27">
        <v>855.822</v>
      </c>
      <c r="N17" s="27">
        <v>7561</v>
      </c>
      <c r="O17" s="27">
        <v>151.22</v>
      </c>
      <c r="P17" s="27">
        <v>43686</v>
      </c>
      <c r="Q17" s="27">
        <v>358.86599999999999</v>
      </c>
      <c r="R17" s="27">
        <v>5073</v>
      </c>
      <c r="S17" s="27">
        <v>101.85599999999999</v>
      </c>
      <c r="T17" s="27">
        <v>1918</v>
      </c>
      <c r="U17" s="27">
        <v>38.36</v>
      </c>
      <c r="V17" s="27">
        <v>16093</v>
      </c>
      <c r="W17" s="27">
        <v>1239.28</v>
      </c>
      <c r="X17" s="27">
        <v>80351</v>
      </c>
      <c r="Y17" s="27">
        <v>134.02199999999999</v>
      </c>
      <c r="Z17" s="27">
        <v>1088</v>
      </c>
      <c r="AA17" s="27">
        <v>2.1760000000000002</v>
      </c>
      <c r="AB17" s="22" t="s">
        <v>21</v>
      </c>
      <c r="AC17" s="5"/>
      <c r="AD17" s="5"/>
    </row>
    <row r="18" spans="1:30">
      <c r="A18" s="47" t="s">
        <v>22</v>
      </c>
      <c r="B18" s="36">
        <f>SUM(B20:B26)</f>
        <v>2558</v>
      </c>
      <c r="C18" s="36">
        <f t="shared" ref="C18:AA18" si="4">SUM(C20:C26)</f>
        <v>477.91199999999992</v>
      </c>
      <c r="D18" s="36">
        <f t="shared" si="4"/>
        <v>31381</v>
      </c>
      <c r="E18" s="36">
        <f t="shared" si="4"/>
        <v>8907.5739999999987</v>
      </c>
      <c r="F18" s="36">
        <f t="shared" si="4"/>
        <v>2748</v>
      </c>
      <c r="G18" s="36">
        <f t="shared" si="4"/>
        <v>794.255</v>
      </c>
      <c r="H18" s="36">
        <f t="shared" si="4"/>
        <v>1118</v>
      </c>
      <c r="I18" s="36">
        <f t="shared" si="4"/>
        <v>424.267</v>
      </c>
      <c r="J18" s="36">
        <f t="shared" si="4"/>
        <v>12075</v>
      </c>
      <c r="K18" s="36">
        <f t="shared" si="4"/>
        <v>3361.0219999999999</v>
      </c>
      <c r="L18" s="36">
        <f t="shared" si="4"/>
        <v>495596</v>
      </c>
      <c r="M18" s="36">
        <f t="shared" si="4"/>
        <v>4652.4140000000007</v>
      </c>
      <c r="N18" s="36">
        <f t="shared" si="4"/>
        <v>39321</v>
      </c>
      <c r="O18" s="36">
        <f>SUM(O20:O26)</f>
        <v>856.51599999999996</v>
      </c>
      <c r="P18" s="36">
        <f t="shared" si="4"/>
        <v>261918</v>
      </c>
      <c r="Q18" s="36">
        <f t="shared" si="4"/>
        <v>2306.0829999999996</v>
      </c>
      <c r="R18" s="36">
        <f t="shared" si="4"/>
        <v>28267</v>
      </c>
      <c r="S18" s="36">
        <f t="shared" si="4"/>
        <v>538.18799999999999</v>
      </c>
      <c r="T18" s="36">
        <f t="shared" si="4"/>
        <v>3752</v>
      </c>
      <c r="U18" s="36">
        <f t="shared" si="4"/>
        <v>72.524000000000001</v>
      </c>
      <c r="V18" s="36">
        <f t="shared" si="4"/>
        <v>219916</v>
      </c>
      <c r="W18" s="36">
        <f t="shared" si="4"/>
        <v>13974.571000000002</v>
      </c>
      <c r="X18" s="36">
        <f t="shared" si="4"/>
        <v>20793770</v>
      </c>
      <c r="Y18" s="36">
        <f t="shared" si="4"/>
        <v>30537.43</v>
      </c>
      <c r="Z18" s="36">
        <f t="shared" si="4"/>
        <v>204584</v>
      </c>
      <c r="AA18" s="36">
        <f t="shared" si="4"/>
        <v>407.00200000000001</v>
      </c>
      <c r="AB18" s="50" t="s">
        <v>23</v>
      </c>
      <c r="AC18" s="50"/>
      <c r="AD18" s="50"/>
    </row>
    <row r="19" spans="1:30">
      <c r="A19" s="47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50"/>
      <c r="AC19" s="50"/>
      <c r="AD19" s="50"/>
    </row>
    <row r="20" spans="1:30">
      <c r="A20" s="19" t="s">
        <v>24</v>
      </c>
      <c r="B20" s="27">
        <v>544</v>
      </c>
      <c r="C20" s="27">
        <v>88.442999999999998</v>
      </c>
      <c r="D20" s="27">
        <v>8077</v>
      </c>
      <c r="E20" s="27">
        <v>2255.9409999999998</v>
      </c>
      <c r="F20" s="27">
        <v>1</v>
      </c>
      <c r="G20" s="27">
        <v>0.155</v>
      </c>
      <c r="H20" s="27">
        <v>36</v>
      </c>
      <c r="I20" s="27">
        <v>7.6669999999999998</v>
      </c>
      <c r="J20" s="27">
        <v>6300</v>
      </c>
      <c r="K20" s="27">
        <v>1754.665</v>
      </c>
      <c r="L20" s="27">
        <v>104380</v>
      </c>
      <c r="M20" s="27">
        <v>917.39700000000005</v>
      </c>
      <c r="N20" s="27">
        <v>10268</v>
      </c>
      <c r="O20" s="27">
        <v>206.934</v>
      </c>
      <c r="P20" s="27">
        <v>54385</v>
      </c>
      <c r="Q20" s="27">
        <v>434.14600000000002</v>
      </c>
      <c r="R20" s="27">
        <v>4646</v>
      </c>
      <c r="S20" s="27">
        <v>86.373999999999995</v>
      </c>
      <c r="T20" s="27">
        <v>676</v>
      </c>
      <c r="U20" s="27">
        <v>12.446999999999999</v>
      </c>
      <c r="V20" s="27">
        <v>28143</v>
      </c>
      <c r="W20" s="27">
        <v>1785.847</v>
      </c>
      <c r="X20" s="27">
        <v>5138541</v>
      </c>
      <c r="Y20" s="27">
        <v>6697.8760000000002</v>
      </c>
      <c r="Z20" s="27">
        <v>290</v>
      </c>
      <c r="AA20" s="27">
        <v>0.44900000000000001</v>
      </c>
      <c r="AB20" s="22" t="s">
        <v>25</v>
      </c>
      <c r="AC20" s="5"/>
      <c r="AD20" s="5"/>
    </row>
    <row r="21" spans="1:30">
      <c r="A21" s="19" t="s">
        <v>26</v>
      </c>
      <c r="B21" s="27">
        <v>324</v>
      </c>
      <c r="C21" s="27">
        <v>48.923999999999999</v>
      </c>
      <c r="D21" s="27">
        <v>2110</v>
      </c>
      <c r="E21" s="27">
        <v>578.14</v>
      </c>
      <c r="F21" s="29" t="s">
        <v>180</v>
      </c>
      <c r="G21" s="29" t="s">
        <v>180</v>
      </c>
      <c r="H21" s="29" t="s">
        <v>180</v>
      </c>
      <c r="I21" s="30" t="s">
        <v>180</v>
      </c>
      <c r="J21" s="27">
        <v>114</v>
      </c>
      <c r="K21" s="27">
        <v>45.533000000000001</v>
      </c>
      <c r="L21" s="27">
        <v>5436</v>
      </c>
      <c r="M21" s="27">
        <v>46.143999999999998</v>
      </c>
      <c r="N21" s="27">
        <v>746</v>
      </c>
      <c r="O21" s="27">
        <v>28.19</v>
      </c>
      <c r="P21" s="27">
        <v>5146</v>
      </c>
      <c r="Q21" s="27">
        <v>49.734000000000002</v>
      </c>
      <c r="R21" s="27">
        <v>3882</v>
      </c>
      <c r="S21" s="27">
        <v>87.15</v>
      </c>
      <c r="T21" s="27">
        <v>205</v>
      </c>
      <c r="U21" s="27">
        <v>4.0999999999999996</v>
      </c>
      <c r="V21" s="27">
        <v>707</v>
      </c>
      <c r="W21" s="27">
        <v>38.869999999999997</v>
      </c>
      <c r="X21" s="27">
        <v>2464</v>
      </c>
      <c r="Y21" s="27">
        <v>3.7839999999999998</v>
      </c>
      <c r="Z21" s="27">
        <v>19</v>
      </c>
      <c r="AA21" s="27">
        <v>5.8000000000000003E-2</v>
      </c>
      <c r="AB21" s="22" t="s">
        <v>27</v>
      </c>
      <c r="AC21" s="5"/>
      <c r="AD21" s="5"/>
    </row>
    <row r="22" spans="1:30">
      <c r="A22" s="19" t="s">
        <v>28</v>
      </c>
      <c r="B22" s="27">
        <v>268</v>
      </c>
      <c r="C22" s="27">
        <v>50.92</v>
      </c>
      <c r="D22" s="27">
        <v>1975</v>
      </c>
      <c r="E22" s="27">
        <v>514.1</v>
      </c>
      <c r="F22" s="29" t="s">
        <v>180</v>
      </c>
      <c r="G22" s="29" t="s">
        <v>180</v>
      </c>
      <c r="H22" s="27">
        <v>80</v>
      </c>
      <c r="I22" s="27">
        <v>33.6</v>
      </c>
      <c r="J22" s="27">
        <v>740</v>
      </c>
      <c r="K22" s="27">
        <v>222</v>
      </c>
      <c r="L22" s="27">
        <v>46112</v>
      </c>
      <c r="M22" s="27">
        <v>461.35300000000001</v>
      </c>
      <c r="N22" s="27">
        <v>3947</v>
      </c>
      <c r="O22" s="27">
        <v>74.721000000000004</v>
      </c>
      <c r="P22" s="27">
        <v>11241</v>
      </c>
      <c r="Q22" s="27">
        <v>111.96599999999999</v>
      </c>
      <c r="R22" s="27">
        <v>1167</v>
      </c>
      <c r="S22" s="27">
        <v>19.594999999999999</v>
      </c>
      <c r="T22" s="29" t="s">
        <v>180</v>
      </c>
      <c r="U22" s="30" t="s">
        <v>180</v>
      </c>
      <c r="V22" s="27">
        <v>14389</v>
      </c>
      <c r="W22" s="27">
        <v>729.82</v>
      </c>
      <c r="X22" s="27">
        <v>31320</v>
      </c>
      <c r="Y22" s="27">
        <v>57.417000000000002</v>
      </c>
      <c r="Z22" s="27">
        <v>1720</v>
      </c>
      <c r="AA22" s="27">
        <v>3.32</v>
      </c>
      <c r="AB22" s="22" t="s">
        <v>29</v>
      </c>
      <c r="AC22" s="5"/>
      <c r="AD22" s="5"/>
    </row>
    <row r="23" spans="1:30">
      <c r="A23" s="19" t="s">
        <v>30</v>
      </c>
      <c r="B23" s="27">
        <v>504</v>
      </c>
      <c r="C23" s="27">
        <v>120.93</v>
      </c>
      <c r="D23" s="27">
        <v>7689</v>
      </c>
      <c r="E23" s="27">
        <v>2244.7869999999998</v>
      </c>
      <c r="F23" s="29" t="s">
        <v>180</v>
      </c>
      <c r="G23" s="29" t="s">
        <v>180</v>
      </c>
      <c r="H23" s="29" t="s">
        <v>180</v>
      </c>
      <c r="I23" s="30" t="s">
        <v>180</v>
      </c>
      <c r="J23" s="27">
        <v>2048</v>
      </c>
      <c r="K23" s="27">
        <v>523.12400000000002</v>
      </c>
      <c r="L23" s="27">
        <v>87872</v>
      </c>
      <c r="M23" s="27">
        <v>803.83199999999999</v>
      </c>
      <c r="N23" s="27">
        <v>9941</v>
      </c>
      <c r="O23" s="27">
        <v>180.65</v>
      </c>
      <c r="P23" s="27">
        <v>26484</v>
      </c>
      <c r="Q23" s="27">
        <v>215.73699999999999</v>
      </c>
      <c r="R23" s="27">
        <v>3266</v>
      </c>
      <c r="S23" s="27">
        <v>56.109000000000002</v>
      </c>
      <c r="T23" s="27">
        <v>1014</v>
      </c>
      <c r="U23" s="27">
        <v>19.725000000000001</v>
      </c>
      <c r="V23" s="27">
        <v>100851</v>
      </c>
      <c r="W23" s="27">
        <v>7022.7160000000003</v>
      </c>
      <c r="X23" s="27">
        <v>515560</v>
      </c>
      <c r="Y23" s="27">
        <v>882.35900000000004</v>
      </c>
      <c r="Z23" s="27">
        <v>40915</v>
      </c>
      <c r="AA23" s="27">
        <v>81.98</v>
      </c>
      <c r="AB23" s="22" t="s">
        <v>31</v>
      </c>
      <c r="AC23" s="5"/>
      <c r="AD23" s="5"/>
    </row>
    <row r="24" spans="1:30">
      <c r="A24" s="19" t="s">
        <v>32</v>
      </c>
      <c r="B24" s="29" t="s">
        <v>180</v>
      </c>
      <c r="C24" s="29" t="s">
        <v>180</v>
      </c>
      <c r="D24" s="27">
        <v>943</v>
      </c>
      <c r="E24" s="27">
        <v>226.32</v>
      </c>
      <c r="F24" s="29" t="s">
        <v>180</v>
      </c>
      <c r="G24" s="29" t="s">
        <v>180</v>
      </c>
      <c r="H24" s="29" t="s">
        <v>180</v>
      </c>
      <c r="I24" s="30" t="s">
        <v>180</v>
      </c>
      <c r="J24" s="27">
        <v>65</v>
      </c>
      <c r="K24" s="27">
        <v>14.43</v>
      </c>
      <c r="L24" s="27">
        <v>21394</v>
      </c>
      <c r="M24" s="27">
        <v>192.29599999999999</v>
      </c>
      <c r="N24" s="27">
        <v>2291</v>
      </c>
      <c r="O24" s="27">
        <v>57.274999999999999</v>
      </c>
      <c r="P24" s="27">
        <v>4227</v>
      </c>
      <c r="Q24" s="27">
        <v>33.856000000000002</v>
      </c>
      <c r="R24" s="27">
        <v>188</v>
      </c>
      <c r="S24" s="27">
        <v>3.55</v>
      </c>
      <c r="T24" s="27">
        <v>11</v>
      </c>
      <c r="U24" s="30">
        <v>0.22</v>
      </c>
      <c r="V24" s="27">
        <v>50291</v>
      </c>
      <c r="W24" s="27">
        <v>2978.018</v>
      </c>
      <c r="X24" s="27">
        <v>12340800</v>
      </c>
      <c r="Y24" s="27">
        <v>18515.859</v>
      </c>
      <c r="Z24" s="27">
        <v>5930</v>
      </c>
      <c r="AA24" s="27">
        <v>10.06</v>
      </c>
      <c r="AB24" s="22" t="s">
        <v>33</v>
      </c>
      <c r="AC24" s="5"/>
      <c r="AD24" s="5"/>
    </row>
    <row r="25" spans="1:30">
      <c r="A25" s="19" t="s">
        <v>34</v>
      </c>
      <c r="B25" s="27">
        <v>183</v>
      </c>
      <c r="C25" s="27">
        <v>25.702999999999999</v>
      </c>
      <c r="D25" s="27">
        <v>9384</v>
      </c>
      <c r="E25" s="27">
        <v>2810.32</v>
      </c>
      <c r="F25" s="27">
        <v>2747</v>
      </c>
      <c r="G25" s="27">
        <v>794.1</v>
      </c>
      <c r="H25" s="27">
        <v>1002</v>
      </c>
      <c r="I25" s="27">
        <v>383</v>
      </c>
      <c r="J25" s="27">
        <v>2718</v>
      </c>
      <c r="K25" s="27">
        <v>771.61</v>
      </c>
      <c r="L25" s="27">
        <v>185803</v>
      </c>
      <c r="M25" s="27">
        <v>1858.069</v>
      </c>
      <c r="N25" s="27">
        <v>10787</v>
      </c>
      <c r="O25" s="27">
        <v>276.39999999999998</v>
      </c>
      <c r="P25" s="27">
        <v>82316</v>
      </c>
      <c r="Q25" s="27">
        <v>822.06</v>
      </c>
      <c r="R25" s="27">
        <v>12119</v>
      </c>
      <c r="S25" s="27">
        <v>219.15100000000001</v>
      </c>
      <c r="T25" s="27">
        <v>1424</v>
      </c>
      <c r="U25" s="27">
        <v>28.48</v>
      </c>
      <c r="V25" s="27">
        <v>12770</v>
      </c>
      <c r="W25" s="27">
        <v>766.2</v>
      </c>
      <c r="X25" s="27">
        <v>2181105</v>
      </c>
      <c r="Y25" s="27">
        <v>3275.4229999999998</v>
      </c>
      <c r="Z25" s="27">
        <v>155580</v>
      </c>
      <c r="AA25" s="27">
        <v>310.87</v>
      </c>
      <c r="AB25" s="22" t="s">
        <v>35</v>
      </c>
      <c r="AC25" s="5"/>
      <c r="AD25" s="5"/>
    </row>
    <row r="26" spans="1:30">
      <c r="A26" s="19" t="s">
        <v>36</v>
      </c>
      <c r="B26" s="27">
        <v>735</v>
      </c>
      <c r="C26" s="27">
        <v>142.99199999999999</v>
      </c>
      <c r="D26" s="27">
        <v>1203</v>
      </c>
      <c r="E26" s="27">
        <v>277.96600000000001</v>
      </c>
      <c r="F26" s="29" t="s">
        <v>180</v>
      </c>
      <c r="G26" s="29" t="s">
        <v>180</v>
      </c>
      <c r="H26" s="29" t="s">
        <v>180</v>
      </c>
      <c r="I26" s="30" t="s">
        <v>180</v>
      </c>
      <c r="J26" s="27">
        <v>90</v>
      </c>
      <c r="K26" s="27">
        <v>29.66</v>
      </c>
      <c r="L26" s="27">
        <v>44599</v>
      </c>
      <c r="M26" s="27">
        <v>373.32299999999998</v>
      </c>
      <c r="N26" s="27">
        <v>1341</v>
      </c>
      <c r="O26" s="27">
        <v>32.345999999999997</v>
      </c>
      <c r="P26" s="27">
        <v>78119</v>
      </c>
      <c r="Q26" s="27">
        <v>638.58399999999995</v>
      </c>
      <c r="R26" s="27">
        <v>2999</v>
      </c>
      <c r="S26" s="27">
        <v>66.259</v>
      </c>
      <c r="T26" s="27">
        <v>422</v>
      </c>
      <c r="U26" s="27">
        <v>7.5519999999999996</v>
      </c>
      <c r="V26" s="27">
        <v>12765</v>
      </c>
      <c r="W26" s="27">
        <v>653.1</v>
      </c>
      <c r="X26" s="27">
        <v>583980</v>
      </c>
      <c r="Y26" s="27">
        <v>1104.712</v>
      </c>
      <c r="Z26" s="27">
        <v>130</v>
      </c>
      <c r="AA26" s="27">
        <v>0.26500000000000001</v>
      </c>
      <c r="AB26" s="22" t="s">
        <v>37</v>
      </c>
      <c r="AC26" s="5"/>
      <c r="AD26" s="5"/>
    </row>
    <row r="27" spans="1:30" ht="23.95" customHeight="1">
      <c r="A27" s="16" t="s">
        <v>190</v>
      </c>
      <c r="B27" s="14">
        <f>SUM(B28:B31)</f>
        <v>739</v>
      </c>
      <c r="C27" s="14">
        <f t="shared" ref="C27:AA27" si="5">SUM(C28:C31)</f>
        <v>138.042</v>
      </c>
      <c r="D27" s="14">
        <f t="shared" si="5"/>
        <v>3873</v>
      </c>
      <c r="E27" s="14">
        <f t="shared" si="5"/>
        <v>1007.6070000000001</v>
      </c>
      <c r="F27" s="14">
        <f t="shared" si="5"/>
        <v>0</v>
      </c>
      <c r="G27" s="14">
        <f t="shared" si="5"/>
        <v>0</v>
      </c>
      <c r="H27" s="14">
        <f t="shared" si="5"/>
        <v>0</v>
      </c>
      <c r="I27" s="14">
        <f t="shared" si="5"/>
        <v>0</v>
      </c>
      <c r="J27" s="14">
        <f t="shared" si="5"/>
        <v>1312</v>
      </c>
      <c r="K27" s="14">
        <f t="shared" si="5"/>
        <v>454.78000000000003</v>
      </c>
      <c r="L27" s="14">
        <f t="shared" si="5"/>
        <v>134197</v>
      </c>
      <c r="M27" s="14">
        <f t="shared" si="5"/>
        <v>1252.81</v>
      </c>
      <c r="N27" s="14">
        <f t="shared" si="5"/>
        <v>19076</v>
      </c>
      <c r="O27" s="14">
        <f>SUM(O28:O31)</f>
        <v>429.56800000000004</v>
      </c>
      <c r="P27" s="14">
        <f t="shared" si="5"/>
        <v>46176</v>
      </c>
      <c r="Q27" s="14">
        <f t="shared" si="5"/>
        <v>373.83300000000003</v>
      </c>
      <c r="R27" s="14">
        <f t="shared" si="5"/>
        <v>3744</v>
      </c>
      <c r="S27" s="14">
        <f t="shared" si="5"/>
        <v>76.292000000000002</v>
      </c>
      <c r="T27" s="14">
        <f t="shared" si="5"/>
        <v>595</v>
      </c>
      <c r="U27" s="14">
        <f t="shared" si="5"/>
        <v>10.745000000000001</v>
      </c>
      <c r="V27" s="14">
        <f t="shared" si="5"/>
        <v>47297</v>
      </c>
      <c r="W27" s="14">
        <f t="shared" si="5"/>
        <v>2587.998</v>
      </c>
      <c r="X27" s="14">
        <f t="shared" si="5"/>
        <v>50672</v>
      </c>
      <c r="Y27" s="14">
        <f t="shared" si="5"/>
        <v>83.609999999999985</v>
      </c>
      <c r="Z27" s="14">
        <f t="shared" si="5"/>
        <v>7333</v>
      </c>
      <c r="AA27" s="14">
        <f t="shared" si="5"/>
        <v>14.67</v>
      </c>
      <c r="AB27" s="15" t="s">
        <v>189</v>
      </c>
      <c r="AC27" s="5"/>
      <c r="AD27" s="5"/>
    </row>
    <row r="28" spans="1:30">
      <c r="A28" s="19" t="s">
        <v>38</v>
      </c>
      <c r="B28" s="27">
        <v>84</v>
      </c>
      <c r="C28" s="27">
        <v>14.009</v>
      </c>
      <c r="D28" s="27">
        <v>1614</v>
      </c>
      <c r="E28" s="27">
        <v>403.49299999999999</v>
      </c>
      <c r="F28" s="29" t="s">
        <v>180</v>
      </c>
      <c r="G28" s="29" t="s">
        <v>180</v>
      </c>
      <c r="H28" s="29" t="s">
        <v>180</v>
      </c>
      <c r="I28" s="30" t="s">
        <v>180</v>
      </c>
      <c r="J28" s="27">
        <v>1027</v>
      </c>
      <c r="K28" s="27">
        <v>349.72</v>
      </c>
      <c r="L28" s="27">
        <v>50637</v>
      </c>
      <c r="M28" s="27">
        <v>501.61700000000002</v>
      </c>
      <c r="N28" s="27">
        <v>6835</v>
      </c>
      <c r="O28" s="27">
        <v>140.33199999999999</v>
      </c>
      <c r="P28" s="27">
        <v>17872</v>
      </c>
      <c r="Q28" s="27">
        <v>144.50399999999999</v>
      </c>
      <c r="R28" s="27">
        <v>1156</v>
      </c>
      <c r="S28" s="27">
        <v>23.18</v>
      </c>
      <c r="T28" s="27">
        <v>231</v>
      </c>
      <c r="U28" s="27">
        <v>4.1900000000000004</v>
      </c>
      <c r="V28" s="27">
        <v>43942</v>
      </c>
      <c r="W28" s="27">
        <v>2467.7620000000002</v>
      </c>
      <c r="X28" s="27">
        <v>28194</v>
      </c>
      <c r="Y28" s="27">
        <v>42.811</v>
      </c>
      <c r="Z28" s="27">
        <v>5698</v>
      </c>
      <c r="AA28" s="27">
        <v>11.4</v>
      </c>
      <c r="AB28" s="22" t="s">
        <v>39</v>
      </c>
      <c r="AC28" s="5"/>
      <c r="AD28" s="5"/>
    </row>
    <row r="29" spans="1:30">
      <c r="A29" s="19" t="s">
        <v>40</v>
      </c>
      <c r="B29" s="27">
        <v>184</v>
      </c>
      <c r="C29" s="27">
        <v>33.808</v>
      </c>
      <c r="D29" s="27">
        <v>957</v>
      </c>
      <c r="E29" s="27">
        <v>246.26400000000001</v>
      </c>
      <c r="F29" s="29" t="s">
        <v>180</v>
      </c>
      <c r="G29" s="29" t="s">
        <v>180</v>
      </c>
      <c r="H29" s="29" t="s">
        <v>180</v>
      </c>
      <c r="I29" s="30" t="s">
        <v>180</v>
      </c>
      <c r="J29" s="27">
        <v>63</v>
      </c>
      <c r="K29" s="27">
        <v>25.2</v>
      </c>
      <c r="L29" s="27">
        <v>34527</v>
      </c>
      <c r="M29" s="27">
        <v>309.83699999999999</v>
      </c>
      <c r="N29" s="27">
        <v>4643</v>
      </c>
      <c r="O29" s="27">
        <v>102.146</v>
      </c>
      <c r="P29" s="27">
        <v>18284</v>
      </c>
      <c r="Q29" s="27">
        <v>139.06399999999999</v>
      </c>
      <c r="R29" s="27">
        <v>1794</v>
      </c>
      <c r="S29" s="27">
        <v>35.880000000000003</v>
      </c>
      <c r="T29" s="27">
        <v>358</v>
      </c>
      <c r="U29" s="27">
        <v>6.444</v>
      </c>
      <c r="V29" s="27">
        <v>2634</v>
      </c>
      <c r="W29" s="27">
        <v>48.136000000000003</v>
      </c>
      <c r="X29" s="27">
        <v>7028</v>
      </c>
      <c r="Y29" s="27">
        <v>14.111000000000001</v>
      </c>
      <c r="Z29" s="27">
        <v>1000</v>
      </c>
      <c r="AA29" s="27">
        <v>2</v>
      </c>
      <c r="AB29" s="22" t="s">
        <v>41</v>
      </c>
      <c r="AC29" s="5"/>
      <c r="AD29" s="5"/>
    </row>
    <row r="30" spans="1:30">
      <c r="A30" s="19" t="s">
        <v>42</v>
      </c>
      <c r="B30" s="27">
        <v>435</v>
      </c>
      <c r="C30" s="27">
        <v>84.825000000000003</v>
      </c>
      <c r="D30" s="27">
        <v>352</v>
      </c>
      <c r="E30" s="27">
        <v>123.2</v>
      </c>
      <c r="F30" s="29" t="s">
        <v>180</v>
      </c>
      <c r="G30" s="29" t="s">
        <v>180</v>
      </c>
      <c r="H30" s="29" t="s">
        <v>180</v>
      </c>
      <c r="I30" s="30" t="s">
        <v>180</v>
      </c>
      <c r="J30" s="27">
        <v>102</v>
      </c>
      <c r="K30" s="27">
        <v>43.86</v>
      </c>
      <c r="L30" s="27">
        <v>44004</v>
      </c>
      <c r="M30" s="27">
        <v>396.09</v>
      </c>
      <c r="N30" s="27">
        <v>6602</v>
      </c>
      <c r="O30" s="27">
        <v>167.27</v>
      </c>
      <c r="P30" s="27">
        <v>9804</v>
      </c>
      <c r="Q30" s="27">
        <v>88.320999999999998</v>
      </c>
      <c r="R30" s="27">
        <v>222</v>
      </c>
      <c r="S30" s="27">
        <v>6.9359999999999999</v>
      </c>
      <c r="T30" s="29" t="s">
        <v>180</v>
      </c>
      <c r="U30" s="30" t="s">
        <v>180</v>
      </c>
      <c r="V30" s="27">
        <v>721</v>
      </c>
      <c r="W30" s="27">
        <v>72.099999999999994</v>
      </c>
      <c r="X30" s="27">
        <v>7990</v>
      </c>
      <c r="Y30" s="27">
        <v>13.007999999999999</v>
      </c>
      <c r="Z30" s="30" t="s">
        <v>180</v>
      </c>
      <c r="AA30" s="30" t="s">
        <v>180</v>
      </c>
      <c r="AB30" s="22" t="s">
        <v>43</v>
      </c>
      <c r="AC30" s="5"/>
      <c r="AD30" s="5"/>
    </row>
    <row r="31" spans="1:30">
      <c r="A31" s="19" t="s">
        <v>44</v>
      </c>
      <c r="B31" s="27">
        <v>36</v>
      </c>
      <c r="C31" s="27">
        <v>5.4</v>
      </c>
      <c r="D31" s="27">
        <v>950</v>
      </c>
      <c r="E31" s="27">
        <v>234.65</v>
      </c>
      <c r="F31" s="29" t="s">
        <v>180</v>
      </c>
      <c r="G31" s="29" t="s">
        <v>180</v>
      </c>
      <c r="H31" s="29" t="s">
        <v>180</v>
      </c>
      <c r="I31" s="30" t="s">
        <v>180</v>
      </c>
      <c r="J31" s="27">
        <v>120</v>
      </c>
      <c r="K31" s="27">
        <v>36</v>
      </c>
      <c r="L31" s="27">
        <v>5029</v>
      </c>
      <c r="M31" s="27">
        <v>45.265999999999998</v>
      </c>
      <c r="N31" s="27">
        <v>996</v>
      </c>
      <c r="O31" s="27">
        <v>19.82</v>
      </c>
      <c r="P31" s="27">
        <v>216</v>
      </c>
      <c r="Q31" s="27">
        <v>1.944</v>
      </c>
      <c r="R31" s="27">
        <v>572</v>
      </c>
      <c r="S31" s="27">
        <v>10.295999999999999</v>
      </c>
      <c r="T31" s="27">
        <v>6</v>
      </c>
      <c r="U31" s="30">
        <v>0.111</v>
      </c>
      <c r="V31" s="29" t="s">
        <v>180</v>
      </c>
      <c r="W31" s="30" t="s">
        <v>180</v>
      </c>
      <c r="X31" s="27">
        <v>7460</v>
      </c>
      <c r="Y31" s="27">
        <v>13.68</v>
      </c>
      <c r="Z31" s="27">
        <v>635</v>
      </c>
      <c r="AA31" s="27">
        <v>1.27</v>
      </c>
      <c r="AB31" s="22" t="s">
        <v>45</v>
      </c>
      <c r="AC31" s="5"/>
      <c r="AD31" s="5"/>
    </row>
    <row r="32" spans="1:30">
      <c r="A32" s="47" t="s">
        <v>46</v>
      </c>
      <c r="B32" s="36">
        <f>SUM(B34:B37)</f>
        <v>4537</v>
      </c>
      <c r="C32" s="36">
        <f>SUM(C34:C37)</f>
        <v>409.37599999999998</v>
      </c>
      <c r="D32" s="36">
        <f t="shared" ref="D32:AA32" si="6">SUM(D34:D37)</f>
        <v>3493</v>
      </c>
      <c r="E32" s="36">
        <f t="shared" si="6"/>
        <v>633.322</v>
      </c>
      <c r="F32" s="36">
        <f t="shared" si="6"/>
        <v>13</v>
      </c>
      <c r="G32" s="36">
        <f t="shared" si="6"/>
        <v>6.45</v>
      </c>
      <c r="H32" s="36">
        <f t="shared" si="6"/>
        <v>3</v>
      </c>
      <c r="I32" s="36">
        <f t="shared" si="6"/>
        <v>1.8</v>
      </c>
      <c r="J32" s="36">
        <f t="shared" si="6"/>
        <v>1058</v>
      </c>
      <c r="K32" s="36">
        <f t="shared" si="6"/>
        <v>260.86</v>
      </c>
      <c r="L32" s="36">
        <f t="shared" si="6"/>
        <v>278385</v>
      </c>
      <c r="M32" s="36">
        <f t="shared" si="6"/>
        <v>2814.0150000000003</v>
      </c>
      <c r="N32" s="36">
        <f t="shared" si="6"/>
        <v>31646</v>
      </c>
      <c r="O32" s="36">
        <f>SUM(O34:O37)</f>
        <v>619.78399999999999</v>
      </c>
      <c r="P32" s="36">
        <f t="shared" si="6"/>
        <v>50170</v>
      </c>
      <c r="Q32" s="36">
        <f t="shared" si="6"/>
        <v>659.20299999999997</v>
      </c>
      <c r="R32" s="36">
        <f t="shared" si="6"/>
        <v>10569</v>
      </c>
      <c r="S32" s="36">
        <f t="shared" si="6"/>
        <v>225.67099999999999</v>
      </c>
      <c r="T32" s="36">
        <f t="shared" si="6"/>
        <v>6045</v>
      </c>
      <c r="U32" s="36">
        <f t="shared" si="6"/>
        <v>91.429000000000002</v>
      </c>
      <c r="V32" s="36">
        <f t="shared" si="6"/>
        <v>99553</v>
      </c>
      <c r="W32" s="36">
        <f t="shared" si="6"/>
        <v>7664.3099999999995</v>
      </c>
      <c r="X32" s="36">
        <f t="shared" si="6"/>
        <v>75417572</v>
      </c>
      <c r="Y32" s="36">
        <f t="shared" si="6"/>
        <v>154481.90600000002</v>
      </c>
      <c r="Z32" s="36">
        <f t="shared" si="6"/>
        <v>60360</v>
      </c>
      <c r="AA32" s="36">
        <f t="shared" si="6"/>
        <v>154.69800000000001</v>
      </c>
      <c r="AB32" s="52" t="s">
        <v>47</v>
      </c>
      <c r="AC32" s="52"/>
      <c r="AD32" s="52"/>
    </row>
    <row r="33" spans="1:30">
      <c r="A33" s="47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52"/>
      <c r="AC33" s="52"/>
      <c r="AD33" s="52"/>
    </row>
    <row r="34" spans="1:30">
      <c r="A34" s="19" t="s">
        <v>48</v>
      </c>
      <c r="B34" s="29" t="s">
        <v>180</v>
      </c>
      <c r="C34" s="29" t="s">
        <v>180</v>
      </c>
      <c r="D34" s="27">
        <v>755</v>
      </c>
      <c r="E34" s="27">
        <v>204</v>
      </c>
      <c r="F34" s="27">
        <v>13</v>
      </c>
      <c r="G34" s="27">
        <v>6.45</v>
      </c>
      <c r="H34" s="27">
        <v>3</v>
      </c>
      <c r="I34" s="27">
        <v>1.8</v>
      </c>
      <c r="J34" s="27">
        <v>68</v>
      </c>
      <c r="K34" s="27">
        <v>20</v>
      </c>
      <c r="L34" s="27">
        <v>23732</v>
      </c>
      <c r="M34" s="27">
        <v>200.58500000000001</v>
      </c>
      <c r="N34" s="27">
        <v>5126</v>
      </c>
      <c r="O34" s="27">
        <v>87.918000000000006</v>
      </c>
      <c r="P34" s="27">
        <v>12508</v>
      </c>
      <c r="Q34" s="27">
        <v>157.5</v>
      </c>
      <c r="R34" s="27">
        <v>5953</v>
      </c>
      <c r="S34" s="27">
        <v>111.45399999999999</v>
      </c>
      <c r="T34" s="29" t="s">
        <v>180</v>
      </c>
      <c r="U34" s="29" t="s">
        <v>180</v>
      </c>
      <c r="V34" s="27">
        <v>20149</v>
      </c>
      <c r="W34" s="27">
        <v>2266.9699999999998</v>
      </c>
      <c r="X34" s="27">
        <v>62858805</v>
      </c>
      <c r="Y34" s="27">
        <v>132000.85200000001</v>
      </c>
      <c r="Z34" s="27">
        <v>58000</v>
      </c>
      <c r="AA34" s="27">
        <v>151.30000000000001</v>
      </c>
      <c r="AB34" s="22" t="s">
        <v>49</v>
      </c>
      <c r="AC34" s="5"/>
      <c r="AD34" s="5"/>
    </row>
    <row r="35" spans="1:30">
      <c r="A35" s="19" t="s">
        <v>50</v>
      </c>
      <c r="B35" s="27">
        <v>93</v>
      </c>
      <c r="C35" s="27">
        <v>17.047999999999998</v>
      </c>
      <c r="D35" s="29" t="s">
        <v>180</v>
      </c>
      <c r="E35" s="29" t="s">
        <v>180</v>
      </c>
      <c r="F35" s="29" t="s">
        <v>180</v>
      </c>
      <c r="G35" s="29" t="s">
        <v>180</v>
      </c>
      <c r="H35" s="29" t="s">
        <v>180</v>
      </c>
      <c r="I35" s="30" t="s">
        <v>180</v>
      </c>
      <c r="J35" s="27">
        <v>375</v>
      </c>
      <c r="K35" s="27">
        <v>130.5</v>
      </c>
      <c r="L35" s="27">
        <v>13172</v>
      </c>
      <c r="M35" s="27">
        <v>140.983</v>
      </c>
      <c r="N35" s="27">
        <v>500</v>
      </c>
      <c r="O35" s="27">
        <v>11.925000000000001</v>
      </c>
      <c r="P35" s="27">
        <v>1569</v>
      </c>
      <c r="Q35" s="27">
        <v>16.497</v>
      </c>
      <c r="R35" s="27">
        <v>107</v>
      </c>
      <c r="S35" s="27">
        <v>2.9820000000000002</v>
      </c>
      <c r="T35" s="27">
        <v>160</v>
      </c>
      <c r="U35" s="27">
        <v>2.98</v>
      </c>
      <c r="V35" s="27">
        <v>5320</v>
      </c>
      <c r="W35" s="27">
        <v>358.45</v>
      </c>
      <c r="X35" s="27">
        <v>12466875</v>
      </c>
      <c r="Y35" s="27">
        <v>22323.422999999999</v>
      </c>
      <c r="Z35" s="27">
        <v>1820</v>
      </c>
      <c r="AA35" s="27">
        <v>2.4980000000000002</v>
      </c>
      <c r="AB35" s="22" t="s">
        <v>51</v>
      </c>
      <c r="AC35" s="5"/>
      <c r="AD35" s="5"/>
    </row>
    <row r="36" spans="1:30">
      <c r="A36" s="19" t="s">
        <v>52</v>
      </c>
      <c r="B36" s="27">
        <v>526</v>
      </c>
      <c r="C36" s="27">
        <v>89.945999999999998</v>
      </c>
      <c r="D36" s="27">
        <v>705</v>
      </c>
      <c r="E36" s="27">
        <v>155.1</v>
      </c>
      <c r="F36" s="29" t="s">
        <v>180</v>
      </c>
      <c r="G36" s="29" t="s">
        <v>180</v>
      </c>
      <c r="H36" s="29" t="s">
        <v>180</v>
      </c>
      <c r="I36" s="30" t="s">
        <v>180</v>
      </c>
      <c r="J36" s="27">
        <v>3</v>
      </c>
      <c r="K36" s="27">
        <v>0.6</v>
      </c>
      <c r="L36" s="27">
        <v>83871</v>
      </c>
      <c r="M36" s="27">
        <v>838.71</v>
      </c>
      <c r="N36" s="27">
        <v>9017</v>
      </c>
      <c r="O36" s="27">
        <v>102.657</v>
      </c>
      <c r="P36" s="27">
        <v>11331</v>
      </c>
      <c r="Q36" s="27">
        <v>196.779</v>
      </c>
      <c r="R36" s="27">
        <v>755</v>
      </c>
      <c r="S36" s="27">
        <v>18.875</v>
      </c>
      <c r="T36" s="27">
        <v>36</v>
      </c>
      <c r="U36" s="27">
        <v>0.71399999999999997</v>
      </c>
      <c r="V36" s="27">
        <v>100</v>
      </c>
      <c r="W36" s="27">
        <v>6.2619999999999996</v>
      </c>
      <c r="X36" s="27">
        <v>25494</v>
      </c>
      <c r="Y36" s="27">
        <v>39.375999999999998</v>
      </c>
      <c r="Z36" s="29" t="s">
        <v>180</v>
      </c>
      <c r="AA36" s="30" t="s">
        <v>180</v>
      </c>
      <c r="AB36" s="22" t="s">
        <v>53</v>
      </c>
      <c r="AC36" s="5"/>
      <c r="AD36" s="5"/>
    </row>
    <row r="37" spans="1:30">
      <c r="A37" s="19" t="s">
        <v>54</v>
      </c>
      <c r="B37" s="27">
        <v>3918</v>
      </c>
      <c r="C37" s="27">
        <v>302.38200000000001</v>
      </c>
      <c r="D37" s="27">
        <v>2033</v>
      </c>
      <c r="E37" s="27">
        <v>274.22199999999998</v>
      </c>
      <c r="F37" s="29" t="s">
        <v>180</v>
      </c>
      <c r="G37" s="29" t="s">
        <v>180</v>
      </c>
      <c r="H37" s="29" t="s">
        <v>180</v>
      </c>
      <c r="I37" s="30" t="s">
        <v>180</v>
      </c>
      <c r="J37" s="27">
        <v>612</v>
      </c>
      <c r="K37" s="27">
        <v>109.76</v>
      </c>
      <c r="L37" s="27">
        <v>157610</v>
      </c>
      <c r="M37" s="27">
        <v>1633.7370000000001</v>
      </c>
      <c r="N37" s="27">
        <v>17003</v>
      </c>
      <c r="O37" s="27">
        <v>417.28399999999999</v>
      </c>
      <c r="P37" s="27">
        <v>24762</v>
      </c>
      <c r="Q37" s="27">
        <v>288.42700000000002</v>
      </c>
      <c r="R37" s="27">
        <v>3754</v>
      </c>
      <c r="S37" s="27">
        <v>92.36</v>
      </c>
      <c r="T37" s="27">
        <v>5849</v>
      </c>
      <c r="U37" s="27">
        <v>87.734999999999999</v>
      </c>
      <c r="V37" s="27">
        <v>73984</v>
      </c>
      <c r="W37" s="27">
        <v>5032.6279999999997</v>
      </c>
      <c r="X37" s="27">
        <v>66398</v>
      </c>
      <c r="Y37" s="27">
        <v>118.255</v>
      </c>
      <c r="Z37" s="27">
        <v>540</v>
      </c>
      <c r="AA37" s="27">
        <v>0.9</v>
      </c>
      <c r="AB37" s="22" t="s">
        <v>55</v>
      </c>
      <c r="AC37" s="5"/>
      <c r="AD37" s="5"/>
    </row>
    <row r="38" spans="1:30">
      <c r="A38" s="47" t="s">
        <v>56</v>
      </c>
      <c r="B38" s="36">
        <f>SUM(B40:B44)</f>
        <v>18095</v>
      </c>
      <c r="C38" s="36">
        <f>SUM(C40:C44)</f>
        <v>2786.6410000000001</v>
      </c>
      <c r="D38" s="36">
        <f t="shared" ref="D38:K38" si="7">SUM(D40:D44)</f>
        <v>23189</v>
      </c>
      <c r="E38" s="36">
        <f t="shared" si="7"/>
        <v>5418.2210000000005</v>
      </c>
      <c r="F38" s="36">
        <f t="shared" si="7"/>
        <v>3</v>
      </c>
      <c r="G38" s="36">
        <f t="shared" si="7"/>
        <v>0.75</v>
      </c>
      <c r="H38" s="36">
        <f t="shared" si="7"/>
        <v>0</v>
      </c>
      <c r="I38" s="36">
        <f t="shared" si="7"/>
        <v>0</v>
      </c>
      <c r="J38" s="36">
        <f t="shared" si="7"/>
        <v>3006</v>
      </c>
      <c r="K38" s="36">
        <f t="shared" si="7"/>
        <v>857.27199999999993</v>
      </c>
      <c r="L38" s="36">
        <f t="shared" ref="L38:P38" si="8">SUM(L40:L44)</f>
        <v>677687</v>
      </c>
      <c r="M38" s="36">
        <f t="shared" si="8"/>
        <v>6461.46</v>
      </c>
      <c r="N38" s="36">
        <f t="shared" si="8"/>
        <v>92616</v>
      </c>
      <c r="O38" s="36">
        <f>SUM(O40:O44)</f>
        <v>2041.0210000000002</v>
      </c>
      <c r="P38" s="36">
        <f t="shared" si="8"/>
        <v>221814</v>
      </c>
      <c r="Q38" s="36">
        <f t="shared" ref="Q38:AA38" si="9">SUM(Q40:Q44)</f>
        <v>1973.0920000000001</v>
      </c>
      <c r="R38" s="36">
        <f t="shared" si="9"/>
        <v>28529</v>
      </c>
      <c r="S38" s="36">
        <f t="shared" si="9"/>
        <v>594.26700000000005</v>
      </c>
      <c r="T38" s="36">
        <f t="shared" si="9"/>
        <v>75904</v>
      </c>
      <c r="U38" s="36">
        <f t="shared" si="9"/>
        <v>1216.683</v>
      </c>
      <c r="V38" s="36">
        <f t="shared" si="9"/>
        <v>198264</v>
      </c>
      <c r="W38" s="36">
        <f t="shared" si="9"/>
        <v>12846.844999999999</v>
      </c>
      <c r="X38" s="36">
        <f t="shared" si="9"/>
        <v>785515</v>
      </c>
      <c r="Y38" s="36">
        <f t="shared" si="9"/>
        <v>1640.373</v>
      </c>
      <c r="Z38" s="36">
        <f t="shared" si="9"/>
        <v>54065</v>
      </c>
      <c r="AA38" s="36">
        <f t="shared" si="9"/>
        <v>101.03999999999999</v>
      </c>
      <c r="AB38" s="52" t="s">
        <v>57</v>
      </c>
      <c r="AC38" s="52"/>
      <c r="AD38" s="52"/>
    </row>
    <row r="39" spans="1:30">
      <c r="A39" s="47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52"/>
      <c r="AC39" s="52"/>
      <c r="AD39" s="52"/>
    </row>
    <row r="40" spans="1:30">
      <c r="A40" s="19" t="s">
        <v>58</v>
      </c>
      <c r="B40" s="27">
        <v>2770</v>
      </c>
      <c r="C40" s="27">
        <v>546.101</v>
      </c>
      <c r="D40" s="27">
        <v>5790</v>
      </c>
      <c r="E40" s="27">
        <v>1565.75</v>
      </c>
      <c r="F40" s="29" t="s">
        <v>180</v>
      </c>
      <c r="G40" s="29" t="s">
        <v>180</v>
      </c>
      <c r="H40" s="29" t="s">
        <v>180</v>
      </c>
      <c r="I40" s="30" t="s">
        <v>180</v>
      </c>
      <c r="J40" s="27">
        <v>574</v>
      </c>
      <c r="K40" s="27">
        <v>199.75200000000001</v>
      </c>
      <c r="L40" s="27">
        <v>282842</v>
      </c>
      <c r="M40" s="27">
        <v>2483.3270000000002</v>
      </c>
      <c r="N40" s="27">
        <v>48849</v>
      </c>
      <c r="O40" s="27">
        <v>950.97400000000005</v>
      </c>
      <c r="P40" s="27">
        <v>62145</v>
      </c>
      <c r="Q40" s="27">
        <v>491.07299999999998</v>
      </c>
      <c r="R40" s="27">
        <v>7926</v>
      </c>
      <c r="S40" s="27">
        <v>121.16200000000001</v>
      </c>
      <c r="T40" s="27">
        <v>717</v>
      </c>
      <c r="U40" s="27">
        <v>14.09</v>
      </c>
      <c r="V40" s="27">
        <v>78086</v>
      </c>
      <c r="W40" s="27">
        <v>5308.1059999999998</v>
      </c>
      <c r="X40" s="27">
        <v>259955</v>
      </c>
      <c r="Y40" s="27">
        <v>791.11300000000006</v>
      </c>
      <c r="Z40" s="27">
        <v>7840</v>
      </c>
      <c r="AA40" s="27">
        <v>19.155999999999999</v>
      </c>
      <c r="AB40" s="22" t="s">
        <v>59</v>
      </c>
      <c r="AC40" s="5"/>
      <c r="AD40" s="5"/>
    </row>
    <row r="41" spans="1:30">
      <c r="A41" s="19" t="s">
        <v>60</v>
      </c>
      <c r="B41" s="27">
        <v>2137</v>
      </c>
      <c r="C41" s="27">
        <v>268.65699999999998</v>
      </c>
      <c r="D41" s="27">
        <v>2549</v>
      </c>
      <c r="E41" s="27">
        <v>569.27</v>
      </c>
      <c r="F41" s="29" t="s">
        <v>180</v>
      </c>
      <c r="G41" s="29" t="s">
        <v>180</v>
      </c>
      <c r="H41" s="29" t="s">
        <v>180</v>
      </c>
      <c r="I41" s="30" t="s">
        <v>180</v>
      </c>
      <c r="J41" s="27">
        <v>56</v>
      </c>
      <c r="K41" s="27">
        <v>13.821999999999999</v>
      </c>
      <c r="L41" s="27">
        <v>135738</v>
      </c>
      <c r="M41" s="27">
        <v>1457.675</v>
      </c>
      <c r="N41" s="27">
        <v>9611</v>
      </c>
      <c r="O41" s="27">
        <v>215.71199999999999</v>
      </c>
      <c r="P41" s="27">
        <v>24555</v>
      </c>
      <c r="Q41" s="27">
        <v>250.441</v>
      </c>
      <c r="R41" s="27">
        <v>1031</v>
      </c>
      <c r="S41" s="27">
        <v>21.981000000000002</v>
      </c>
      <c r="T41" s="27">
        <v>6085</v>
      </c>
      <c r="U41" s="27">
        <v>96.507999999999996</v>
      </c>
      <c r="V41" s="27">
        <v>11452</v>
      </c>
      <c r="W41" s="27">
        <v>692.09</v>
      </c>
      <c r="X41" s="27">
        <v>226635</v>
      </c>
      <c r="Y41" s="27">
        <v>312.98899999999998</v>
      </c>
      <c r="Z41" s="27">
        <v>12743</v>
      </c>
      <c r="AA41" s="27">
        <v>19.079000000000001</v>
      </c>
      <c r="AB41" s="22" t="s">
        <v>61</v>
      </c>
      <c r="AC41" s="5"/>
      <c r="AD41" s="5"/>
    </row>
    <row r="42" spans="1:30">
      <c r="A42" s="19" t="s">
        <v>62</v>
      </c>
      <c r="B42" s="27">
        <v>3746</v>
      </c>
      <c r="C42" s="27">
        <v>709.48400000000004</v>
      </c>
      <c r="D42" s="27">
        <v>5271</v>
      </c>
      <c r="E42" s="27">
        <v>1144.2360000000001</v>
      </c>
      <c r="F42" s="29" t="s">
        <v>180</v>
      </c>
      <c r="G42" s="29" t="s">
        <v>180</v>
      </c>
      <c r="H42" s="29" t="s">
        <v>180</v>
      </c>
      <c r="I42" s="30" t="s">
        <v>180</v>
      </c>
      <c r="J42" s="27">
        <v>368</v>
      </c>
      <c r="K42" s="27">
        <v>119.1</v>
      </c>
      <c r="L42" s="27">
        <v>65703</v>
      </c>
      <c r="M42" s="27">
        <v>587.46799999999996</v>
      </c>
      <c r="N42" s="27">
        <v>9109</v>
      </c>
      <c r="O42" s="27">
        <v>236.886</v>
      </c>
      <c r="P42" s="27">
        <v>51255</v>
      </c>
      <c r="Q42" s="27">
        <v>485.50200000000001</v>
      </c>
      <c r="R42" s="27">
        <v>7093</v>
      </c>
      <c r="S42" s="27">
        <v>171.37</v>
      </c>
      <c r="T42" s="27">
        <v>6742</v>
      </c>
      <c r="U42" s="27">
        <v>134.77699999999999</v>
      </c>
      <c r="V42" s="27">
        <v>16435</v>
      </c>
      <c r="W42" s="27">
        <v>1101.039</v>
      </c>
      <c r="X42" s="27">
        <v>9185</v>
      </c>
      <c r="Y42" s="27">
        <v>13.361000000000001</v>
      </c>
      <c r="Z42" s="27">
        <v>130</v>
      </c>
      <c r="AA42" s="27">
        <v>0.23100000000000001</v>
      </c>
      <c r="AB42" s="22" t="s">
        <v>63</v>
      </c>
      <c r="AC42" s="5"/>
      <c r="AD42" s="5"/>
    </row>
    <row r="43" spans="1:30">
      <c r="A43" s="19" t="s">
        <v>64</v>
      </c>
      <c r="B43" s="29" t="s">
        <v>180</v>
      </c>
      <c r="C43" s="30" t="s">
        <v>180</v>
      </c>
      <c r="D43" s="29" t="s">
        <v>180</v>
      </c>
      <c r="E43" s="30" t="s">
        <v>180</v>
      </c>
      <c r="F43" s="29" t="s">
        <v>180</v>
      </c>
      <c r="G43" s="30" t="s">
        <v>180</v>
      </c>
      <c r="H43" s="29" t="s">
        <v>180</v>
      </c>
      <c r="I43" s="30" t="s">
        <v>180</v>
      </c>
      <c r="J43" s="29" t="s">
        <v>180</v>
      </c>
      <c r="K43" s="30" t="s">
        <v>180</v>
      </c>
      <c r="L43" s="27">
        <v>463</v>
      </c>
      <c r="M43" s="27">
        <v>3.7040000000000002</v>
      </c>
      <c r="N43" s="27">
        <v>165</v>
      </c>
      <c r="O43" s="27">
        <v>3.3</v>
      </c>
      <c r="P43" s="27">
        <v>6053</v>
      </c>
      <c r="Q43" s="27">
        <v>48.423999999999999</v>
      </c>
      <c r="R43" s="27">
        <v>1140</v>
      </c>
      <c r="S43" s="27">
        <v>22.8</v>
      </c>
      <c r="T43" s="29" t="s">
        <v>180</v>
      </c>
      <c r="U43" s="30" t="s">
        <v>180</v>
      </c>
      <c r="V43" s="29" t="s">
        <v>180</v>
      </c>
      <c r="W43" s="30" t="s">
        <v>180</v>
      </c>
      <c r="X43" s="27">
        <v>685</v>
      </c>
      <c r="Y43" s="27">
        <v>1.1379999999999999</v>
      </c>
      <c r="Z43" s="29" t="s">
        <v>180</v>
      </c>
      <c r="AA43" s="30" t="s">
        <v>180</v>
      </c>
      <c r="AB43" s="22" t="s">
        <v>65</v>
      </c>
      <c r="AC43" s="5"/>
      <c r="AD43" s="5"/>
    </row>
    <row r="44" spans="1:30">
      <c r="A44" s="19" t="s">
        <v>66</v>
      </c>
      <c r="B44" s="27">
        <v>9442</v>
      </c>
      <c r="C44" s="27">
        <v>1262.3989999999999</v>
      </c>
      <c r="D44" s="27">
        <v>9579</v>
      </c>
      <c r="E44" s="27">
        <v>2138.9650000000001</v>
      </c>
      <c r="F44" s="27">
        <v>3</v>
      </c>
      <c r="G44" s="27">
        <v>0.75</v>
      </c>
      <c r="H44" s="29" t="s">
        <v>180</v>
      </c>
      <c r="I44" s="29" t="s">
        <v>180</v>
      </c>
      <c r="J44" s="27">
        <v>2008</v>
      </c>
      <c r="K44" s="27">
        <v>524.59799999999996</v>
      </c>
      <c r="L44" s="27">
        <v>192941</v>
      </c>
      <c r="M44" s="27">
        <v>1929.2860000000001</v>
      </c>
      <c r="N44" s="27">
        <v>24882</v>
      </c>
      <c r="O44" s="27">
        <v>634.149</v>
      </c>
      <c r="P44" s="27">
        <v>77806</v>
      </c>
      <c r="Q44" s="27">
        <v>697.65200000000004</v>
      </c>
      <c r="R44" s="27">
        <v>11339</v>
      </c>
      <c r="S44" s="27">
        <v>256.95400000000001</v>
      </c>
      <c r="T44" s="27">
        <v>62360</v>
      </c>
      <c r="U44" s="27">
        <v>971.30799999999999</v>
      </c>
      <c r="V44" s="27">
        <v>92291</v>
      </c>
      <c r="W44" s="27">
        <v>5745.61</v>
      </c>
      <c r="X44" s="27">
        <v>289055</v>
      </c>
      <c r="Y44" s="27">
        <v>521.77200000000005</v>
      </c>
      <c r="Z44" s="27">
        <v>33352</v>
      </c>
      <c r="AA44" s="27">
        <v>62.573999999999998</v>
      </c>
      <c r="AB44" s="22" t="s">
        <v>67</v>
      </c>
      <c r="AC44" s="5"/>
      <c r="AD44" s="5"/>
    </row>
    <row r="45" spans="1:30">
      <c r="A45" s="47" t="s">
        <v>68</v>
      </c>
      <c r="B45" s="36">
        <f t="shared" ref="B45:G45" si="10">SUM(B47:B51)</f>
        <v>3786</v>
      </c>
      <c r="C45" s="36">
        <f t="shared" si="10"/>
        <v>464.08100000000002</v>
      </c>
      <c r="D45" s="36">
        <f t="shared" si="10"/>
        <v>5042</v>
      </c>
      <c r="E45" s="36">
        <f t="shared" si="10"/>
        <v>1041.115</v>
      </c>
      <c r="F45" s="36">
        <f t="shared" si="10"/>
        <v>66</v>
      </c>
      <c r="G45" s="36">
        <f t="shared" si="10"/>
        <v>20.37</v>
      </c>
      <c r="H45" s="36">
        <f t="shared" ref="H45:M45" si="11">SUM(H47:H51)</f>
        <v>7</v>
      </c>
      <c r="I45" s="36">
        <f t="shared" si="11"/>
        <v>2.1</v>
      </c>
      <c r="J45" s="36">
        <f t="shared" si="11"/>
        <v>1492</v>
      </c>
      <c r="K45" s="36">
        <f t="shared" si="11"/>
        <v>496.25199999999995</v>
      </c>
      <c r="L45" s="36">
        <f t="shared" si="11"/>
        <v>370956</v>
      </c>
      <c r="M45" s="36">
        <f t="shared" si="11"/>
        <v>3944.0829999999996</v>
      </c>
      <c r="N45" s="36">
        <f>SUM(N47:N51)</f>
        <v>62518</v>
      </c>
      <c r="O45" s="36">
        <f>SUM(O47:O51)</f>
        <v>1433.547</v>
      </c>
      <c r="P45" s="36">
        <f>SUM(P47:P51)</f>
        <v>218894</v>
      </c>
      <c r="Q45" s="36">
        <f t="shared" ref="Q45:AA45" si="12">SUM(Q47:Q51)</f>
        <v>2280.2759999999998</v>
      </c>
      <c r="R45" s="36">
        <f t="shared" si="12"/>
        <v>38982</v>
      </c>
      <c r="S45" s="36">
        <f t="shared" si="12"/>
        <v>865.63300000000004</v>
      </c>
      <c r="T45" s="36">
        <f t="shared" si="12"/>
        <v>32407</v>
      </c>
      <c r="U45" s="36">
        <f t="shared" si="12"/>
        <v>654.73899999999992</v>
      </c>
      <c r="V45" s="36">
        <f t="shared" si="12"/>
        <v>155226</v>
      </c>
      <c r="W45" s="36">
        <f t="shared" si="12"/>
        <v>12087.312</v>
      </c>
      <c r="X45" s="36">
        <f t="shared" si="12"/>
        <v>30554519</v>
      </c>
      <c r="Y45" s="36">
        <f t="shared" si="12"/>
        <v>55640.06</v>
      </c>
      <c r="Z45" s="36">
        <f t="shared" si="12"/>
        <v>64597</v>
      </c>
      <c r="AA45" s="36">
        <f t="shared" si="12"/>
        <v>105.20700000000001</v>
      </c>
      <c r="AB45" s="52" t="s">
        <v>69</v>
      </c>
      <c r="AC45" s="52"/>
      <c r="AD45" s="52"/>
    </row>
    <row r="46" spans="1:30">
      <c r="A46" s="47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52"/>
      <c r="AC46" s="52"/>
      <c r="AD46" s="52"/>
    </row>
    <row r="47" spans="1:30">
      <c r="A47" s="19" t="s">
        <v>70</v>
      </c>
      <c r="B47" s="27">
        <v>724</v>
      </c>
      <c r="C47" s="27">
        <v>118.179</v>
      </c>
      <c r="D47" s="27">
        <v>2148</v>
      </c>
      <c r="E47" s="27">
        <v>535.04600000000005</v>
      </c>
      <c r="F47" s="27">
        <v>29</v>
      </c>
      <c r="G47" s="27">
        <v>8.9</v>
      </c>
      <c r="H47" s="27">
        <v>7</v>
      </c>
      <c r="I47" s="27">
        <v>2.1</v>
      </c>
      <c r="J47" s="27">
        <v>443</v>
      </c>
      <c r="K47" s="27">
        <v>148.97399999999999</v>
      </c>
      <c r="L47" s="27">
        <v>85035</v>
      </c>
      <c r="M47" s="27">
        <v>948.41700000000003</v>
      </c>
      <c r="N47" s="27">
        <v>24588</v>
      </c>
      <c r="O47" s="27">
        <v>572.00099999999998</v>
      </c>
      <c r="P47" s="27">
        <v>28665</v>
      </c>
      <c r="Q47" s="27">
        <v>305.72800000000001</v>
      </c>
      <c r="R47" s="27">
        <v>9934</v>
      </c>
      <c r="S47" s="27">
        <v>215.95500000000001</v>
      </c>
      <c r="T47" s="27">
        <v>20937</v>
      </c>
      <c r="U47" s="27">
        <v>360.63400000000001</v>
      </c>
      <c r="V47" s="27">
        <v>10539</v>
      </c>
      <c r="W47" s="27">
        <v>563.36900000000003</v>
      </c>
      <c r="X47" s="27">
        <v>85889</v>
      </c>
      <c r="Y47" s="27">
        <v>157.51300000000001</v>
      </c>
      <c r="Z47" s="27">
        <v>41750</v>
      </c>
      <c r="AA47" s="27">
        <v>69.745999999999995</v>
      </c>
      <c r="AB47" s="22" t="s">
        <v>71</v>
      </c>
      <c r="AC47" s="5"/>
      <c r="AD47" s="5"/>
    </row>
    <row r="48" spans="1:30">
      <c r="A48" s="19" t="s">
        <v>72</v>
      </c>
      <c r="B48" s="27">
        <v>1214</v>
      </c>
      <c r="C48" s="27">
        <v>144.607</v>
      </c>
      <c r="D48" s="27">
        <v>536</v>
      </c>
      <c r="E48" s="27">
        <v>82.704999999999998</v>
      </c>
      <c r="F48" s="29" t="s">
        <v>180</v>
      </c>
      <c r="G48" s="29" t="s">
        <v>180</v>
      </c>
      <c r="H48" s="29" t="s">
        <v>180</v>
      </c>
      <c r="I48" s="30" t="s">
        <v>180</v>
      </c>
      <c r="J48" s="27">
        <v>502</v>
      </c>
      <c r="K48" s="27">
        <v>212.33</v>
      </c>
      <c r="L48" s="27">
        <v>76305</v>
      </c>
      <c r="M48" s="27">
        <v>854.88099999999997</v>
      </c>
      <c r="N48" s="27">
        <v>17856</v>
      </c>
      <c r="O48" s="27">
        <v>397.072</v>
      </c>
      <c r="P48" s="27">
        <v>41884</v>
      </c>
      <c r="Q48" s="27">
        <v>465.02499999999998</v>
      </c>
      <c r="R48" s="27">
        <v>11073</v>
      </c>
      <c r="S48" s="27">
        <v>242.09200000000001</v>
      </c>
      <c r="T48" s="27">
        <v>256</v>
      </c>
      <c r="U48" s="27">
        <v>5.12</v>
      </c>
      <c r="V48" s="27">
        <v>783</v>
      </c>
      <c r="W48" s="27">
        <v>41.354999999999997</v>
      </c>
      <c r="X48" s="27">
        <v>4837540</v>
      </c>
      <c r="Y48" s="27">
        <v>7886.223</v>
      </c>
      <c r="Z48" s="27">
        <v>1880</v>
      </c>
      <c r="AA48" s="27">
        <v>3.17</v>
      </c>
      <c r="AB48" s="22" t="s">
        <v>73</v>
      </c>
      <c r="AC48" s="5"/>
      <c r="AD48" s="5"/>
    </row>
    <row r="49" spans="1:30">
      <c r="A49" s="19" t="s">
        <v>74</v>
      </c>
      <c r="B49" s="27">
        <v>369</v>
      </c>
      <c r="C49" s="27">
        <v>74.665000000000006</v>
      </c>
      <c r="D49" s="27">
        <v>687</v>
      </c>
      <c r="E49" s="27">
        <v>167.20599999999999</v>
      </c>
      <c r="F49" s="29" t="s">
        <v>180</v>
      </c>
      <c r="G49" s="29" t="s">
        <v>180</v>
      </c>
      <c r="H49" s="29" t="s">
        <v>180</v>
      </c>
      <c r="I49" s="30" t="s">
        <v>180</v>
      </c>
      <c r="J49" s="27">
        <v>129</v>
      </c>
      <c r="K49" s="27">
        <v>66.516000000000005</v>
      </c>
      <c r="L49" s="27">
        <v>155327</v>
      </c>
      <c r="M49" s="27">
        <v>1584.777</v>
      </c>
      <c r="N49" s="27">
        <v>10706</v>
      </c>
      <c r="O49" s="27">
        <v>289.00299999999999</v>
      </c>
      <c r="P49" s="27">
        <v>101329</v>
      </c>
      <c r="Q49" s="27">
        <v>1043.9449999999999</v>
      </c>
      <c r="R49" s="27">
        <v>10681</v>
      </c>
      <c r="S49" s="27">
        <v>255.863</v>
      </c>
      <c r="T49" s="27">
        <v>11148</v>
      </c>
      <c r="U49" s="27">
        <v>287.70999999999998</v>
      </c>
      <c r="V49" s="27">
        <v>142579</v>
      </c>
      <c r="W49" s="27">
        <v>11404.5</v>
      </c>
      <c r="X49" s="27">
        <v>23136665</v>
      </c>
      <c r="Y49" s="27">
        <v>43823.22</v>
      </c>
      <c r="Z49" s="27">
        <v>4580</v>
      </c>
      <c r="AA49" s="27">
        <v>7.64</v>
      </c>
      <c r="AB49" s="22" t="s">
        <v>75</v>
      </c>
      <c r="AC49" s="5"/>
      <c r="AD49" s="5"/>
    </row>
    <row r="50" spans="1:30">
      <c r="A50" s="19" t="s">
        <v>76</v>
      </c>
      <c r="B50" s="27">
        <v>555</v>
      </c>
      <c r="C50" s="27">
        <v>47.493000000000002</v>
      </c>
      <c r="D50" s="27">
        <v>292</v>
      </c>
      <c r="E50" s="27">
        <v>58.51</v>
      </c>
      <c r="F50" s="29" t="s">
        <v>180</v>
      </c>
      <c r="G50" s="29" t="s">
        <v>180</v>
      </c>
      <c r="H50" s="29" t="s">
        <v>180</v>
      </c>
      <c r="I50" s="30" t="s">
        <v>180</v>
      </c>
      <c r="J50" s="27">
        <v>60</v>
      </c>
      <c r="K50" s="27">
        <v>12.64</v>
      </c>
      <c r="L50" s="27">
        <v>31684</v>
      </c>
      <c r="M50" s="27">
        <v>331.43</v>
      </c>
      <c r="N50" s="27">
        <v>3555</v>
      </c>
      <c r="O50" s="27">
        <v>76.492000000000004</v>
      </c>
      <c r="P50" s="27">
        <v>26863</v>
      </c>
      <c r="Q50" s="27">
        <v>268.13</v>
      </c>
      <c r="R50" s="27">
        <v>3144</v>
      </c>
      <c r="S50" s="27">
        <v>70.436999999999998</v>
      </c>
      <c r="T50" s="27">
        <v>26</v>
      </c>
      <c r="U50" s="27">
        <v>0.5</v>
      </c>
      <c r="V50" s="27">
        <v>555</v>
      </c>
      <c r="W50" s="27">
        <v>32.76</v>
      </c>
      <c r="X50" s="27">
        <v>10395</v>
      </c>
      <c r="Y50" s="27">
        <v>21.657</v>
      </c>
      <c r="Z50" s="27">
        <v>5143</v>
      </c>
      <c r="AA50" s="27">
        <v>8.9949999999999992</v>
      </c>
      <c r="AB50" s="22" t="s">
        <v>77</v>
      </c>
      <c r="AC50" s="5"/>
      <c r="AD50" s="5"/>
    </row>
    <row r="51" spans="1:30">
      <c r="A51" s="19" t="s">
        <v>78</v>
      </c>
      <c r="B51" s="27">
        <v>924</v>
      </c>
      <c r="C51" s="27">
        <v>79.137</v>
      </c>
      <c r="D51" s="27">
        <v>1379</v>
      </c>
      <c r="E51" s="27">
        <v>197.648</v>
      </c>
      <c r="F51" s="27">
        <v>37</v>
      </c>
      <c r="G51" s="27">
        <v>11.47</v>
      </c>
      <c r="H51" s="29" t="s">
        <v>180</v>
      </c>
      <c r="I51" s="29" t="s">
        <v>180</v>
      </c>
      <c r="J51" s="27">
        <v>358</v>
      </c>
      <c r="K51" s="27">
        <v>55.792000000000002</v>
      </c>
      <c r="L51" s="27">
        <v>22605</v>
      </c>
      <c r="M51" s="27">
        <v>224.578</v>
      </c>
      <c r="N51" s="27">
        <v>5813</v>
      </c>
      <c r="O51" s="27">
        <v>98.978999999999999</v>
      </c>
      <c r="P51" s="27">
        <v>20153</v>
      </c>
      <c r="Q51" s="27">
        <v>197.44800000000001</v>
      </c>
      <c r="R51" s="27">
        <v>4150</v>
      </c>
      <c r="S51" s="27">
        <v>81.286000000000001</v>
      </c>
      <c r="T51" s="27">
        <v>40</v>
      </c>
      <c r="U51" s="27">
        <v>0.77500000000000002</v>
      </c>
      <c r="V51" s="27">
        <v>770</v>
      </c>
      <c r="W51" s="27">
        <v>45.328000000000003</v>
      </c>
      <c r="X51" s="27">
        <v>2484030</v>
      </c>
      <c r="Y51" s="27">
        <v>3751.4470000000001</v>
      </c>
      <c r="Z51" s="27">
        <v>11244</v>
      </c>
      <c r="AA51" s="27">
        <v>15.656000000000001</v>
      </c>
      <c r="AB51" s="22" t="s">
        <v>79</v>
      </c>
      <c r="AC51" s="5"/>
      <c r="AD51" s="5"/>
    </row>
    <row r="52" spans="1:30">
      <c r="A52" s="47" t="s">
        <v>80</v>
      </c>
      <c r="B52" s="36">
        <f t="shared" ref="B52:E52" si="13">SUM(B54:B58)</f>
        <v>306</v>
      </c>
      <c r="C52" s="36">
        <f t="shared" si="13"/>
        <v>64.353999999999999</v>
      </c>
      <c r="D52" s="36">
        <f t="shared" si="13"/>
        <v>825</v>
      </c>
      <c r="E52" s="36">
        <f t="shared" si="13"/>
        <v>239.01900000000001</v>
      </c>
      <c r="F52" s="36">
        <f t="shared" ref="F52:I52" si="14">SUM(F54:F58)</f>
        <v>0</v>
      </c>
      <c r="G52" s="36">
        <f t="shared" si="14"/>
        <v>0</v>
      </c>
      <c r="H52" s="36">
        <f t="shared" si="14"/>
        <v>0</v>
      </c>
      <c r="I52" s="36">
        <f t="shared" si="14"/>
        <v>0</v>
      </c>
      <c r="J52" s="36">
        <f t="shared" ref="J52:M52" si="15">SUM(J54:J58)</f>
        <v>232</v>
      </c>
      <c r="K52" s="36">
        <f t="shared" si="15"/>
        <v>75.626000000000005</v>
      </c>
      <c r="L52" s="36">
        <f t="shared" si="15"/>
        <v>66040</v>
      </c>
      <c r="M52" s="36">
        <f t="shared" si="15"/>
        <v>652.98700000000008</v>
      </c>
      <c r="N52" s="36">
        <f>SUM(N54:N58)</f>
        <v>5291</v>
      </c>
      <c r="O52" s="36">
        <f>SUM(O54:O58)</f>
        <v>111.90200000000002</v>
      </c>
      <c r="P52" s="36">
        <f>SUM(P54:P58)</f>
        <v>51092</v>
      </c>
      <c r="Q52" s="36">
        <f t="shared" ref="Q52:AA52" si="16">SUM(Q54:Q58)</f>
        <v>466.56899999999996</v>
      </c>
      <c r="R52" s="36">
        <f t="shared" si="16"/>
        <v>3968</v>
      </c>
      <c r="S52" s="36">
        <f t="shared" si="16"/>
        <v>76.572000000000003</v>
      </c>
      <c r="T52" s="36">
        <f t="shared" si="16"/>
        <v>2318</v>
      </c>
      <c r="U52" s="36">
        <f t="shared" si="16"/>
        <v>43.732999999999997</v>
      </c>
      <c r="V52" s="36">
        <f t="shared" si="16"/>
        <v>1335</v>
      </c>
      <c r="W52" s="36">
        <f t="shared" si="16"/>
        <v>50.008000000000003</v>
      </c>
      <c r="X52" s="36">
        <f t="shared" si="16"/>
        <v>99279</v>
      </c>
      <c r="Y52" s="36">
        <f t="shared" si="16"/>
        <v>149.25399999999999</v>
      </c>
      <c r="Z52" s="36">
        <f t="shared" si="16"/>
        <v>30519</v>
      </c>
      <c r="AA52" s="36">
        <f t="shared" si="16"/>
        <v>46.576999999999998</v>
      </c>
      <c r="AB52" s="52" t="s">
        <v>81</v>
      </c>
      <c r="AC52" s="52"/>
      <c r="AD52" s="52"/>
    </row>
    <row r="53" spans="1:30">
      <c r="A53" s="47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52"/>
      <c r="AC53" s="52"/>
      <c r="AD53" s="52"/>
    </row>
    <row r="54" spans="1:30">
      <c r="A54" s="19" t="s">
        <v>82</v>
      </c>
      <c r="B54" s="29" t="s">
        <v>180</v>
      </c>
      <c r="C54" s="29" t="s">
        <v>180</v>
      </c>
      <c r="D54" s="29" t="s">
        <v>180</v>
      </c>
      <c r="E54" s="30" t="s">
        <v>180</v>
      </c>
      <c r="F54" s="29" t="s">
        <v>180</v>
      </c>
      <c r="G54" s="29" t="s">
        <v>180</v>
      </c>
      <c r="H54" s="29" t="s">
        <v>180</v>
      </c>
      <c r="I54" s="30" t="s">
        <v>180</v>
      </c>
      <c r="J54" s="27">
        <v>33</v>
      </c>
      <c r="K54" s="27">
        <v>11.55</v>
      </c>
      <c r="L54" s="27">
        <v>3913</v>
      </c>
      <c r="M54" s="27">
        <v>37.767000000000003</v>
      </c>
      <c r="N54" s="27">
        <v>1221</v>
      </c>
      <c r="O54" s="27">
        <v>24.158000000000001</v>
      </c>
      <c r="P54" s="27">
        <v>2914</v>
      </c>
      <c r="Q54" s="27">
        <v>33.466999999999999</v>
      </c>
      <c r="R54" s="27">
        <v>885</v>
      </c>
      <c r="S54" s="27">
        <v>11.795</v>
      </c>
      <c r="T54" s="27">
        <v>438</v>
      </c>
      <c r="U54" s="27">
        <v>8.4930000000000003</v>
      </c>
      <c r="V54" s="27">
        <v>152</v>
      </c>
      <c r="W54" s="27">
        <v>7.4219999999999997</v>
      </c>
      <c r="X54" s="27">
        <v>50808</v>
      </c>
      <c r="Y54" s="27">
        <v>82.408000000000001</v>
      </c>
      <c r="Z54" s="27">
        <v>5981</v>
      </c>
      <c r="AA54" s="27">
        <v>9.1039999999999992</v>
      </c>
      <c r="AB54" s="22" t="s">
        <v>83</v>
      </c>
      <c r="AC54" s="5"/>
      <c r="AD54" s="5"/>
    </row>
    <row r="55" spans="1:30">
      <c r="A55" s="19" t="s">
        <v>84</v>
      </c>
      <c r="B55" s="27">
        <v>110</v>
      </c>
      <c r="C55" s="27">
        <v>25.972999999999999</v>
      </c>
      <c r="D55" s="27">
        <v>463</v>
      </c>
      <c r="E55" s="27">
        <v>160.05000000000001</v>
      </c>
      <c r="F55" s="29" t="s">
        <v>180</v>
      </c>
      <c r="G55" s="30" t="s">
        <v>180</v>
      </c>
      <c r="H55" s="29" t="s">
        <v>180</v>
      </c>
      <c r="I55" s="30" t="s">
        <v>180</v>
      </c>
      <c r="J55" s="27">
        <v>59</v>
      </c>
      <c r="K55" s="27">
        <v>20.25</v>
      </c>
      <c r="L55" s="27">
        <v>8504</v>
      </c>
      <c r="M55" s="27">
        <v>101.79</v>
      </c>
      <c r="N55" s="27">
        <v>271</v>
      </c>
      <c r="O55" s="27">
        <v>6.7880000000000003</v>
      </c>
      <c r="P55" s="27">
        <v>9699</v>
      </c>
      <c r="Q55" s="27">
        <v>115.79</v>
      </c>
      <c r="R55" s="27">
        <v>339</v>
      </c>
      <c r="S55" s="27">
        <v>8.0579999999999998</v>
      </c>
      <c r="T55" s="27">
        <v>1020</v>
      </c>
      <c r="U55" s="27">
        <v>19.38</v>
      </c>
      <c r="V55" s="27">
        <v>1022</v>
      </c>
      <c r="W55" s="27">
        <v>34.286000000000001</v>
      </c>
      <c r="X55" s="27">
        <v>34634</v>
      </c>
      <c r="Y55" s="27">
        <v>44.847000000000001</v>
      </c>
      <c r="Z55" s="27">
        <v>17703</v>
      </c>
      <c r="AA55" s="27">
        <v>26.125</v>
      </c>
      <c r="AB55" s="22" t="s">
        <v>85</v>
      </c>
      <c r="AC55" s="5"/>
      <c r="AD55" s="5"/>
    </row>
    <row r="56" spans="1:30">
      <c r="A56" s="19" t="s">
        <v>86</v>
      </c>
      <c r="B56" s="27">
        <v>1</v>
      </c>
      <c r="C56" s="30">
        <v>0.2</v>
      </c>
      <c r="D56" s="29" t="s">
        <v>180</v>
      </c>
      <c r="E56" s="30" t="s">
        <v>180</v>
      </c>
      <c r="F56" s="29" t="s">
        <v>180</v>
      </c>
      <c r="G56" s="30" t="s">
        <v>180</v>
      </c>
      <c r="H56" s="29" t="s">
        <v>180</v>
      </c>
      <c r="I56" s="30" t="s">
        <v>180</v>
      </c>
      <c r="J56" s="29" t="s">
        <v>180</v>
      </c>
      <c r="K56" s="30" t="s">
        <v>180</v>
      </c>
      <c r="L56" s="27">
        <v>2225</v>
      </c>
      <c r="M56" s="27">
        <v>24.61</v>
      </c>
      <c r="N56" s="27">
        <v>265</v>
      </c>
      <c r="O56" s="27">
        <v>3.9249999999999998</v>
      </c>
      <c r="P56" s="27">
        <v>3548</v>
      </c>
      <c r="Q56" s="27">
        <v>31.931999999999999</v>
      </c>
      <c r="R56" s="27">
        <v>545</v>
      </c>
      <c r="S56" s="27">
        <v>9.2650000000000006</v>
      </c>
      <c r="T56" s="27">
        <v>95</v>
      </c>
      <c r="U56" s="27">
        <v>1.9</v>
      </c>
      <c r="V56" s="27">
        <v>10</v>
      </c>
      <c r="W56" s="27">
        <v>0.45</v>
      </c>
      <c r="X56" s="27">
        <v>700</v>
      </c>
      <c r="Y56" s="27">
        <v>1.405</v>
      </c>
      <c r="Z56" s="27">
        <v>160</v>
      </c>
      <c r="AA56" s="27">
        <v>0.29499999999999998</v>
      </c>
      <c r="AB56" s="22" t="s">
        <v>87</v>
      </c>
      <c r="AC56" s="5"/>
      <c r="AD56" s="5"/>
    </row>
    <row r="57" spans="1:30">
      <c r="A57" s="19" t="s">
        <v>88</v>
      </c>
      <c r="B57" s="27">
        <v>195</v>
      </c>
      <c r="C57" s="27">
        <v>38.180999999999997</v>
      </c>
      <c r="D57" s="27">
        <v>362</v>
      </c>
      <c r="E57" s="27">
        <v>78.968999999999994</v>
      </c>
      <c r="F57" s="29" t="s">
        <v>180</v>
      </c>
      <c r="G57" s="29" t="s">
        <v>180</v>
      </c>
      <c r="H57" s="29" t="s">
        <v>180</v>
      </c>
      <c r="I57" s="30" t="s">
        <v>180</v>
      </c>
      <c r="J57" s="27">
        <v>140</v>
      </c>
      <c r="K57" s="27">
        <v>43.826000000000001</v>
      </c>
      <c r="L57" s="27">
        <v>51398</v>
      </c>
      <c r="M57" s="27">
        <v>488.82</v>
      </c>
      <c r="N57" s="27">
        <v>3534</v>
      </c>
      <c r="O57" s="27">
        <v>77.031000000000006</v>
      </c>
      <c r="P57" s="27">
        <v>34931</v>
      </c>
      <c r="Q57" s="27">
        <v>285.38</v>
      </c>
      <c r="R57" s="27">
        <v>2199</v>
      </c>
      <c r="S57" s="27">
        <v>47.454000000000001</v>
      </c>
      <c r="T57" s="27">
        <v>765</v>
      </c>
      <c r="U57" s="27">
        <v>13.96</v>
      </c>
      <c r="V57" s="27">
        <v>151</v>
      </c>
      <c r="W57" s="27">
        <v>7.85</v>
      </c>
      <c r="X57" s="27">
        <v>12330</v>
      </c>
      <c r="Y57" s="27">
        <v>19.236000000000001</v>
      </c>
      <c r="Z57" s="27">
        <v>6675</v>
      </c>
      <c r="AA57" s="27">
        <v>11.053000000000001</v>
      </c>
      <c r="AB57" s="22" t="s">
        <v>89</v>
      </c>
      <c r="AC57" s="5"/>
      <c r="AD57" s="5"/>
    </row>
    <row r="58" spans="1:30">
      <c r="A58" s="19" t="s">
        <v>90</v>
      </c>
      <c r="B58" s="29" t="s">
        <v>180</v>
      </c>
      <c r="C58" s="29" t="s">
        <v>180</v>
      </c>
      <c r="D58" s="29" t="s">
        <v>180</v>
      </c>
      <c r="E58" s="30" t="s">
        <v>180</v>
      </c>
      <c r="F58" s="29" t="s">
        <v>180</v>
      </c>
      <c r="G58" s="30" t="s">
        <v>180</v>
      </c>
      <c r="H58" s="29" t="s">
        <v>180</v>
      </c>
      <c r="I58" s="30" t="s">
        <v>180</v>
      </c>
      <c r="J58" s="29" t="s">
        <v>180</v>
      </c>
      <c r="K58" s="30" t="s">
        <v>180</v>
      </c>
      <c r="L58" s="29" t="s">
        <v>180</v>
      </c>
      <c r="M58" s="30" t="s">
        <v>180</v>
      </c>
      <c r="N58" s="29" t="s">
        <v>180</v>
      </c>
      <c r="O58" s="30" t="s">
        <v>180</v>
      </c>
      <c r="P58" s="29" t="s">
        <v>180</v>
      </c>
      <c r="Q58" s="30" t="s">
        <v>180</v>
      </c>
      <c r="R58" s="29" t="s">
        <v>180</v>
      </c>
      <c r="S58" s="30" t="s">
        <v>180</v>
      </c>
      <c r="T58" s="29" t="s">
        <v>180</v>
      </c>
      <c r="U58" s="30" t="s">
        <v>180</v>
      </c>
      <c r="V58" s="29" t="s">
        <v>180</v>
      </c>
      <c r="W58" s="30" t="s">
        <v>180</v>
      </c>
      <c r="X58" s="27">
        <v>807</v>
      </c>
      <c r="Y58" s="27">
        <v>1.3580000000000001</v>
      </c>
      <c r="Z58" s="29" t="s">
        <v>180</v>
      </c>
      <c r="AA58" s="30" t="s">
        <v>180</v>
      </c>
      <c r="AB58" s="22" t="s">
        <v>91</v>
      </c>
      <c r="AC58" s="5"/>
      <c r="AD58" s="5"/>
    </row>
    <row r="59" spans="1:30">
      <c r="A59" s="47" t="s">
        <v>92</v>
      </c>
      <c r="B59" s="36">
        <f t="shared" ref="B59:G59" si="17">SUM(B61:B63)</f>
        <v>9874</v>
      </c>
      <c r="C59" s="36">
        <f t="shared" si="17"/>
        <v>1400.9770000000001</v>
      </c>
      <c r="D59" s="36">
        <f t="shared" si="17"/>
        <v>4721</v>
      </c>
      <c r="E59" s="36">
        <f t="shared" si="17"/>
        <v>983.00700000000006</v>
      </c>
      <c r="F59" s="36">
        <f t="shared" si="17"/>
        <v>59</v>
      </c>
      <c r="G59" s="36">
        <f t="shared" si="17"/>
        <v>18.170000000000002</v>
      </c>
      <c r="H59" s="36">
        <f t="shared" ref="H59:AA59" si="18">SUM(H61:H63)</f>
        <v>2</v>
      </c>
      <c r="I59" s="36">
        <f t="shared" si="18"/>
        <v>0.26</v>
      </c>
      <c r="J59" s="36">
        <f t="shared" si="18"/>
        <v>2395</v>
      </c>
      <c r="K59" s="36">
        <f t="shared" si="18"/>
        <v>563.29700000000003</v>
      </c>
      <c r="L59" s="36">
        <f t="shared" si="18"/>
        <v>973007</v>
      </c>
      <c r="M59" s="36">
        <f t="shared" si="18"/>
        <v>9236.0570000000007</v>
      </c>
      <c r="N59" s="36">
        <f t="shared" si="18"/>
        <v>106523</v>
      </c>
      <c r="O59" s="36">
        <f>SUM(O61:O63)</f>
        <v>2041.7860000000001</v>
      </c>
      <c r="P59" s="36">
        <f t="shared" si="18"/>
        <v>319634</v>
      </c>
      <c r="Q59" s="36">
        <f t="shared" si="18"/>
        <v>2817.3110000000001</v>
      </c>
      <c r="R59" s="36">
        <f t="shared" si="18"/>
        <v>48805</v>
      </c>
      <c r="S59" s="36">
        <f t="shared" si="18"/>
        <v>938.89099999999985</v>
      </c>
      <c r="T59" s="36">
        <f t="shared" si="18"/>
        <v>31959</v>
      </c>
      <c r="U59" s="36">
        <f t="shared" si="18"/>
        <v>536.60599999999999</v>
      </c>
      <c r="V59" s="36">
        <f t="shared" si="18"/>
        <v>100152</v>
      </c>
      <c r="W59" s="36">
        <f t="shared" si="18"/>
        <v>5936.75</v>
      </c>
      <c r="X59" s="36">
        <f t="shared" si="18"/>
        <v>775847</v>
      </c>
      <c r="Y59" s="36">
        <f t="shared" si="18"/>
        <v>1314.8679999999999</v>
      </c>
      <c r="Z59" s="36">
        <f t="shared" si="18"/>
        <v>300801</v>
      </c>
      <c r="AA59" s="36">
        <f t="shared" si="18"/>
        <v>540.28199999999993</v>
      </c>
      <c r="AB59" s="52" t="s">
        <v>93</v>
      </c>
      <c r="AC59" s="52"/>
      <c r="AD59" s="52"/>
    </row>
    <row r="60" spans="1:30">
      <c r="A60" s="47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52"/>
      <c r="AC60" s="52"/>
      <c r="AD60" s="52"/>
    </row>
    <row r="61" spans="1:30">
      <c r="A61" s="19" t="s">
        <v>94</v>
      </c>
      <c r="B61" s="27">
        <v>1194</v>
      </c>
      <c r="C61" s="27">
        <v>143.542</v>
      </c>
      <c r="D61" s="27">
        <v>229</v>
      </c>
      <c r="E61" s="27">
        <v>37.555999999999997</v>
      </c>
      <c r="F61" s="29" t="s">
        <v>180</v>
      </c>
      <c r="G61" s="29" t="s">
        <v>180</v>
      </c>
      <c r="H61" s="29" t="s">
        <v>180</v>
      </c>
      <c r="I61" s="30" t="s">
        <v>180</v>
      </c>
      <c r="J61" s="27">
        <v>471</v>
      </c>
      <c r="K61" s="27">
        <v>92.06</v>
      </c>
      <c r="L61" s="27">
        <v>314526</v>
      </c>
      <c r="M61" s="27">
        <v>3027.931</v>
      </c>
      <c r="N61" s="27">
        <v>32207</v>
      </c>
      <c r="O61" s="27">
        <v>665.32500000000005</v>
      </c>
      <c r="P61" s="27">
        <v>124566</v>
      </c>
      <c r="Q61" s="27">
        <v>1133.761</v>
      </c>
      <c r="R61" s="27">
        <v>14547</v>
      </c>
      <c r="S61" s="27">
        <v>265.62200000000001</v>
      </c>
      <c r="T61" s="27">
        <v>58</v>
      </c>
      <c r="U61" s="27">
        <v>0.98599999999999999</v>
      </c>
      <c r="V61" s="27">
        <v>3362</v>
      </c>
      <c r="W61" s="27">
        <v>209.64500000000001</v>
      </c>
      <c r="X61" s="27">
        <v>113702</v>
      </c>
      <c r="Y61" s="27">
        <v>217.928</v>
      </c>
      <c r="Z61" s="27">
        <v>25776</v>
      </c>
      <c r="AA61" s="27">
        <v>49.198</v>
      </c>
      <c r="AB61" s="22" t="s">
        <v>95</v>
      </c>
      <c r="AC61" s="5"/>
      <c r="AD61" s="5"/>
    </row>
    <row r="62" spans="1:30">
      <c r="A62" s="19" t="s">
        <v>96</v>
      </c>
      <c r="B62" s="27">
        <v>5983</v>
      </c>
      <c r="C62" s="27">
        <v>636.49800000000005</v>
      </c>
      <c r="D62" s="27">
        <v>3067</v>
      </c>
      <c r="E62" s="27">
        <v>460.096</v>
      </c>
      <c r="F62" s="27">
        <v>59</v>
      </c>
      <c r="G62" s="27">
        <v>18.170000000000002</v>
      </c>
      <c r="H62" s="27">
        <v>2</v>
      </c>
      <c r="I62" s="30">
        <v>0.26</v>
      </c>
      <c r="J62" s="27">
        <v>1349</v>
      </c>
      <c r="K62" s="27">
        <v>266.08699999999999</v>
      </c>
      <c r="L62" s="27">
        <v>385641</v>
      </c>
      <c r="M62" s="27">
        <v>3402.502</v>
      </c>
      <c r="N62" s="27">
        <v>60804</v>
      </c>
      <c r="O62" s="27">
        <v>1092.0350000000001</v>
      </c>
      <c r="P62" s="27">
        <v>151784</v>
      </c>
      <c r="Q62" s="27">
        <v>1250.914</v>
      </c>
      <c r="R62" s="27">
        <v>29661</v>
      </c>
      <c r="S62" s="27">
        <v>567.50699999999995</v>
      </c>
      <c r="T62" s="27">
        <v>22945</v>
      </c>
      <c r="U62" s="27">
        <v>359.98399999999998</v>
      </c>
      <c r="V62" s="27">
        <v>78429</v>
      </c>
      <c r="W62" s="27">
        <v>4678.3429999999998</v>
      </c>
      <c r="X62" s="27">
        <v>404938</v>
      </c>
      <c r="Y62" s="27">
        <v>612.60699999999997</v>
      </c>
      <c r="Z62" s="27">
        <v>169852</v>
      </c>
      <c r="AA62" s="27">
        <v>288.875</v>
      </c>
      <c r="AB62" s="22" t="s">
        <v>97</v>
      </c>
      <c r="AC62" s="5"/>
      <c r="AD62" s="5"/>
    </row>
    <row r="63" spans="1:30">
      <c r="A63" s="19" t="s">
        <v>98</v>
      </c>
      <c r="B63" s="27">
        <v>2697</v>
      </c>
      <c r="C63" s="27">
        <v>620.93700000000001</v>
      </c>
      <c r="D63" s="27">
        <v>1425</v>
      </c>
      <c r="E63" s="27">
        <v>485.35500000000002</v>
      </c>
      <c r="F63" s="29" t="s">
        <v>180</v>
      </c>
      <c r="G63" s="29" t="s">
        <v>180</v>
      </c>
      <c r="H63" s="29" t="s">
        <v>180</v>
      </c>
      <c r="I63" s="30" t="s">
        <v>180</v>
      </c>
      <c r="J63" s="27">
        <v>575</v>
      </c>
      <c r="K63" s="27">
        <v>205.15</v>
      </c>
      <c r="L63" s="27">
        <v>272840</v>
      </c>
      <c r="M63" s="27">
        <v>2805.6239999999998</v>
      </c>
      <c r="N63" s="27">
        <v>13512</v>
      </c>
      <c r="O63" s="27">
        <v>284.42599999999999</v>
      </c>
      <c r="P63" s="27">
        <v>43284</v>
      </c>
      <c r="Q63" s="27">
        <v>432.63600000000002</v>
      </c>
      <c r="R63" s="27">
        <v>4597</v>
      </c>
      <c r="S63" s="27">
        <v>105.762</v>
      </c>
      <c r="T63" s="27">
        <v>8956</v>
      </c>
      <c r="U63" s="27">
        <v>175.636</v>
      </c>
      <c r="V63" s="27">
        <v>18361</v>
      </c>
      <c r="W63" s="27">
        <v>1048.7619999999999</v>
      </c>
      <c r="X63" s="27">
        <v>257207</v>
      </c>
      <c r="Y63" s="27">
        <v>484.33300000000003</v>
      </c>
      <c r="Z63" s="27">
        <v>105173</v>
      </c>
      <c r="AA63" s="27">
        <v>202.209</v>
      </c>
      <c r="AB63" s="22" t="s">
        <v>99</v>
      </c>
      <c r="AC63" s="5"/>
      <c r="AD63" s="5"/>
    </row>
    <row r="64" spans="1:30">
      <c r="A64" s="47" t="s">
        <v>100</v>
      </c>
      <c r="B64" s="36">
        <f t="shared" ref="B64:F64" si="19">SUM(B66:B70)</f>
        <v>2062</v>
      </c>
      <c r="C64" s="36">
        <f t="shared" si="19"/>
        <v>400.33000000000004</v>
      </c>
      <c r="D64" s="36">
        <f t="shared" si="19"/>
        <v>3036</v>
      </c>
      <c r="E64" s="36">
        <f t="shared" si="19"/>
        <v>777.27800000000002</v>
      </c>
      <c r="F64" s="36">
        <f t="shared" si="19"/>
        <v>110</v>
      </c>
      <c r="G64" s="36">
        <f t="shared" ref="G64:AA64" si="20">SUM(G66:G70)</f>
        <v>34.1</v>
      </c>
      <c r="H64" s="36">
        <f t="shared" si="20"/>
        <v>0</v>
      </c>
      <c r="I64" s="36">
        <f t="shared" si="20"/>
        <v>0</v>
      </c>
      <c r="J64" s="36">
        <f t="shared" si="20"/>
        <v>596</v>
      </c>
      <c r="K64" s="36">
        <f t="shared" si="20"/>
        <v>210.62899999999999</v>
      </c>
      <c r="L64" s="36">
        <f t="shared" si="20"/>
        <v>300834</v>
      </c>
      <c r="M64" s="36">
        <f t="shared" si="20"/>
        <v>2895.6580000000004</v>
      </c>
      <c r="N64" s="36">
        <f t="shared" si="20"/>
        <v>36116</v>
      </c>
      <c r="O64" s="36">
        <f>SUM(O66:O70)</f>
        <v>720.33500000000004</v>
      </c>
      <c r="P64" s="36">
        <f t="shared" si="20"/>
        <v>319342</v>
      </c>
      <c r="Q64" s="36">
        <f t="shared" si="20"/>
        <v>3100.7550000000001</v>
      </c>
      <c r="R64" s="36">
        <f t="shared" si="20"/>
        <v>30946</v>
      </c>
      <c r="S64" s="36">
        <f t="shared" si="20"/>
        <v>586.92499999999995</v>
      </c>
      <c r="T64" s="36">
        <f t="shared" si="20"/>
        <v>14308</v>
      </c>
      <c r="U64" s="36">
        <f t="shared" si="20"/>
        <v>279.85199999999998</v>
      </c>
      <c r="V64" s="36">
        <f t="shared" si="20"/>
        <v>86166</v>
      </c>
      <c r="W64" s="36">
        <f t="shared" si="20"/>
        <v>5471.7470000000003</v>
      </c>
      <c r="X64" s="36">
        <f t="shared" si="20"/>
        <v>806519</v>
      </c>
      <c r="Y64" s="36">
        <f t="shared" si="20"/>
        <v>1444.0449999999998</v>
      </c>
      <c r="Z64" s="36">
        <f t="shared" si="20"/>
        <v>145411</v>
      </c>
      <c r="AA64" s="36">
        <f t="shared" si="20"/>
        <v>280.57599999999996</v>
      </c>
      <c r="AB64" s="52" t="s">
        <v>101</v>
      </c>
      <c r="AC64" s="52"/>
      <c r="AD64" s="52"/>
    </row>
    <row r="65" spans="1:30">
      <c r="A65" s="47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52"/>
      <c r="AC65" s="52"/>
      <c r="AD65" s="52"/>
    </row>
    <row r="66" spans="1:30">
      <c r="A66" s="19" t="s">
        <v>102</v>
      </c>
      <c r="B66" s="27">
        <v>68</v>
      </c>
      <c r="C66" s="27">
        <v>17</v>
      </c>
      <c r="D66" s="27">
        <v>254</v>
      </c>
      <c r="E66" s="27">
        <v>88.9</v>
      </c>
      <c r="F66" s="29" t="s">
        <v>180</v>
      </c>
      <c r="G66" s="29" t="s">
        <v>180</v>
      </c>
      <c r="H66" s="29" t="s">
        <v>180</v>
      </c>
      <c r="I66" s="30" t="s">
        <v>180</v>
      </c>
      <c r="J66" s="27">
        <v>95</v>
      </c>
      <c r="K66" s="27">
        <v>23.5</v>
      </c>
      <c r="L66" s="27">
        <v>26843</v>
      </c>
      <c r="M66" s="27">
        <v>268.43</v>
      </c>
      <c r="N66" s="27">
        <v>5142</v>
      </c>
      <c r="O66" s="27">
        <v>123.408</v>
      </c>
      <c r="P66" s="27">
        <v>9681</v>
      </c>
      <c r="Q66" s="27">
        <v>87.129000000000005</v>
      </c>
      <c r="R66" s="27">
        <v>1759</v>
      </c>
      <c r="S66" s="27">
        <v>35.18</v>
      </c>
      <c r="T66" s="27">
        <v>395</v>
      </c>
      <c r="U66" s="27">
        <v>7.68</v>
      </c>
      <c r="V66" s="27">
        <v>2302</v>
      </c>
      <c r="W66" s="27">
        <v>136.82400000000001</v>
      </c>
      <c r="X66" s="27">
        <v>117163</v>
      </c>
      <c r="Y66" s="27">
        <v>235.565</v>
      </c>
      <c r="Z66" s="27">
        <v>6341</v>
      </c>
      <c r="AA66" s="27">
        <v>12.682</v>
      </c>
      <c r="AB66" s="22" t="s">
        <v>103</v>
      </c>
      <c r="AC66" s="5"/>
      <c r="AD66" s="5"/>
    </row>
    <row r="67" spans="1:30">
      <c r="A67" s="19" t="s">
        <v>104</v>
      </c>
      <c r="B67" s="27">
        <v>243</v>
      </c>
      <c r="C67" s="27">
        <v>39.645000000000003</v>
      </c>
      <c r="D67" s="27">
        <v>64</v>
      </c>
      <c r="E67" s="27">
        <v>12.34</v>
      </c>
      <c r="F67" s="29" t="s">
        <v>180</v>
      </c>
      <c r="G67" s="29" t="s">
        <v>180</v>
      </c>
      <c r="H67" s="29" t="s">
        <v>180</v>
      </c>
      <c r="I67" s="30" t="s">
        <v>180</v>
      </c>
      <c r="J67" s="27">
        <v>1</v>
      </c>
      <c r="K67" s="27">
        <v>0.3</v>
      </c>
      <c r="L67" s="27">
        <v>76360</v>
      </c>
      <c r="M67" s="27">
        <v>659.27300000000002</v>
      </c>
      <c r="N67" s="27">
        <v>7210</v>
      </c>
      <c r="O67" s="27">
        <v>113.746</v>
      </c>
      <c r="P67" s="27">
        <v>64762</v>
      </c>
      <c r="Q67" s="27">
        <v>608.88499999999999</v>
      </c>
      <c r="R67" s="27">
        <v>5890</v>
      </c>
      <c r="S67" s="27">
        <v>95.578000000000003</v>
      </c>
      <c r="T67" s="27">
        <v>7141</v>
      </c>
      <c r="U67" s="27">
        <v>142.12700000000001</v>
      </c>
      <c r="V67" s="27">
        <v>15675</v>
      </c>
      <c r="W67" s="27">
        <v>1233.8499999999999</v>
      </c>
      <c r="X67" s="27">
        <v>121100</v>
      </c>
      <c r="Y67" s="27">
        <v>227.935</v>
      </c>
      <c r="Z67" s="27">
        <v>32795</v>
      </c>
      <c r="AA67" s="27">
        <v>60.875999999999998</v>
      </c>
      <c r="AB67" s="22" t="s">
        <v>105</v>
      </c>
      <c r="AC67" s="5"/>
      <c r="AD67" s="5"/>
    </row>
    <row r="68" spans="1:30">
      <c r="A68" s="19" t="s">
        <v>106</v>
      </c>
      <c r="B68" s="27">
        <v>31</v>
      </c>
      <c r="C68" s="27">
        <v>6.4</v>
      </c>
      <c r="D68" s="27">
        <v>206</v>
      </c>
      <c r="E68" s="27">
        <v>47.13</v>
      </c>
      <c r="F68" s="29" t="s">
        <v>180</v>
      </c>
      <c r="G68" s="29" t="s">
        <v>180</v>
      </c>
      <c r="H68" s="29" t="s">
        <v>180</v>
      </c>
      <c r="I68" s="30" t="s">
        <v>180</v>
      </c>
      <c r="J68" s="27">
        <v>173</v>
      </c>
      <c r="K68" s="27">
        <v>70.849999999999994</v>
      </c>
      <c r="L68" s="27">
        <v>52969</v>
      </c>
      <c r="M68" s="27">
        <v>531.24599999999998</v>
      </c>
      <c r="N68" s="27">
        <v>9733</v>
      </c>
      <c r="O68" s="27">
        <v>195.71600000000001</v>
      </c>
      <c r="P68" s="27">
        <v>43942</v>
      </c>
      <c r="Q68" s="27">
        <v>441.34199999999998</v>
      </c>
      <c r="R68" s="27">
        <v>7382</v>
      </c>
      <c r="S68" s="27">
        <v>149.39400000000001</v>
      </c>
      <c r="T68" s="27">
        <v>5351</v>
      </c>
      <c r="U68" s="27">
        <v>102.589</v>
      </c>
      <c r="V68" s="27">
        <v>46955</v>
      </c>
      <c r="W68" s="27">
        <v>2981.05</v>
      </c>
      <c r="X68" s="27">
        <v>285341</v>
      </c>
      <c r="Y68" s="27">
        <v>460.19200000000001</v>
      </c>
      <c r="Z68" s="27">
        <v>60814</v>
      </c>
      <c r="AA68" s="27">
        <v>124.76</v>
      </c>
      <c r="AB68" s="22" t="s">
        <v>107</v>
      </c>
      <c r="AC68" s="5"/>
      <c r="AD68" s="5"/>
    </row>
    <row r="69" spans="1:30">
      <c r="A69" s="19" t="s">
        <v>108</v>
      </c>
      <c r="B69" s="27">
        <v>1593</v>
      </c>
      <c r="C69" s="27">
        <v>306.89800000000002</v>
      </c>
      <c r="D69" s="27">
        <v>1621</v>
      </c>
      <c r="E69" s="27">
        <v>361.17</v>
      </c>
      <c r="F69" s="27">
        <v>110</v>
      </c>
      <c r="G69" s="27">
        <v>34.1</v>
      </c>
      <c r="H69" s="29" t="s">
        <v>180</v>
      </c>
      <c r="I69" s="29" t="s">
        <v>180</v>
      </c>
      <c r="J69" s="27">
        <v>154</v>
      </c>
      <c r="K69" s="27">
        <v>57.091000000000001</v>
      </c>
      <c r="L69" s="27">
        <v>71055</v>
      </c>
      <c r="M69" s="27">
        <v>698.673</v>
      </c>
      <c r="N69" s="27">
        <v>10305</v>
      </c>
      <c r="O69" s="27">
        <v>209.25299999999999</v>
      </c>
      <c r="P69" s="27">
        <v>163217</v>
      </c>
      <c r="Q69" s="27">
        <v>1610.7650000000001</v>
      </c>
      <c r="R69" s="27">
        <v>14012</v>
      </c>
      <c r="S69" s="27">
        <v>267.012</v>
      </c>
      <c r="T69" s="27">
        <v>1137</v>
      </c>
      <c r="U69" s="27">
        <v>22.077999999999999</v>
      </c>
      <c r="V69" s="27">
        <v>16512</v>
      </c>
      <c r="W69" s="27">
        <v>831.12699999999995</v>
      </c>
      <c r="X69" s="27">
        <v>203581</v>
      </c>
      <c r="Y69" s="27">
        <v>386.43700000000001</v>
      </c>
      <c r="Z69" s="27">
        <v>29838</v>
      </c>
      <c r="AA69" s="27">
        <v>51.906999999999996</v>
      </c>
      <c r="AB69" s="22" t="s">
        <v>109</v>
      </c>
      <c r="AC69" s="5"/>
      <c r="AD69" s="5"/>
    </row>
    <row r="70" spans="1:30">
      <c r="A70" s="19" t="s">
        <v>110</v>
      </c>
      <c r="B70" s="27">
        <v>127</v>
      </c>
      <c r="C70" s="27">
        <v>30.387</v>
      </c>
      <c r="D70" s="27">
        <v>891</v>
      </c>
      <c r="E70" s="27">
        <v>267.738</v>
      </c>
      <c r="F70" s="29" t="s">
        <v>180</v>
      </c>
      <c r="G70" s="29" t="s">
        <v>180</v>
      </c>
      <c r="H70" s="29" t="s">
        <v>180</v>
      </c>
      <c r="I70" s="30" t="s">
        <v>180</v>
      </c>
      <c r="J70" s="27">
        <v>173</v>
      </c>
      <c r="K70" s="27">
        <v>58.887999999999998</v>
      </c>
      <c r="L70" s="27">
        <v>73607</v>
      </c>
      <c r="M70" s="27">
        <v>738.03599999999994</v>
      </c>
      <c r="N70" s="27">
        <v>3726</v>
      </c>
      <c r="O70" s="27">
        <v>78.212000000000003</v>
      </c>
      <c r="P70" s="27">
        <v>37740</v>
      </c>
      <c r="Q70" s="27">
        <v>352.63400000000001</v>
      </c>
      <c r="R70" s="27">
        <v>1903</v>
      </c>
      <c r="S70" s="27">
        <v>39.761000000000003</v>
      </c>
      <c r="T70" s="27">
        <v>284</v>
      </c>
      <c r="U70" s="27">
        <v>5.3780000000000001</v>
      </c>
      <c r="V70" s="27">
        <v>4722</v>
      </c>
      <c r="W70" s="27">
        <v>288.89600000000002</v>
      </c>
      <c r="X70" s="27">
        <v>79334</v>
      </c>
      <c r="Y70" s="27">
        <v>133.916</v>
      </c>
      <c r="Z70" s="27">
        <v>15623</v>
      </c>
      <c r="AA70" s="27">
        <v>30.350999999999999</v>
      </c>
      <c r="AB70" s="22" t="s">
        <v>111</v>
      </c>
      <c r="AC70" s="5"/>
      <c r="AD70" s="5"/>
    </row>
    <row r="71" spans="1:30">
      <c r="A71" s="47" t="s">
        <v>112</v>
      </c>
      <c r="B71" s="36">
        <f t="shared" ref="B71:G71" si="21">SUM(B73:B80)</f>
        <v>200</v>
      </c>
      <c r="C71" s="36">
        <f t="shared" si="21"/>
        <v>32.200000000000003</v>
      </c>
      <c r="D71" s="36">
        <f t="shared" si="21"/>
        <v>1510</v>
      </c>
      <c r="E71" s="36">
        <f t="shared" si="21"/>
        <v>304.10000000000002</v>
      </c>
      <c r="F71" s="36">
        <f t="shared" si="21"/>
        <v>0</v>
      </c>
      <c r="G71" s="36">
        <f t="shared" si="21"/>
        <v>0</v>
      </c>
      <c r="H71" s="36">
        <f t="shared" ref="H71:M71" si="22">SUM(H73:H80)</f>
        <v>0</v>
      </c>
      <c r="I71" s="36">
        <f t="shared" si="22"/>
        <v>0</v>
      </c>
      <c r="J71" s="36">
        <f t="shared" si="22"/>
        <v>80</v>
      </c>
      <c r="K71" s="36">
        <f t="shared" si="22"/>
        <v>26</v>
      </c>
      <c r="L71" s="36">
        <f t="shared" si="22"/>
        <v>28981</v>
      </c>
      <c r="M71" s="36">
        <f t="shared" si="22"/>
        <v>264.51800000000003</v>
      </c>
      <c r="N71" s="36">
        <f t="shared" ref="N71:AA71" si="23">SUM(N73:N80)</f>
        <v>11732</v>
      </c>
      <c r="O71" s="36">
        <f>SUM(O73:O80)</f>
        <v>198.28100000000001</v>
      </c>
      <c r="P71" s="36">
        <f t="shared" si="23"/>
        <v>18946</v>
      </c>
      <c r="Q71" s="36">
        <f t="shared" si="23"/>
        <v>165.45400000000001</v>
      </c>
      <c r="R71" s="36">
        <f t="shared" si="23"/>
        <v>2518</v>
      </c>
      <c r="S71" s="36">
        <f t="shared" si="23"/>
        <v>45.655999999999999</v>
      </c>
      <c r="T71" s="36">
        <f t="shared" si="23"/>
        <v>17306</v>
      </c>
      <c r="U71" s="36">
        <f t="shared" si="23"/>
        <v>337.86099999999999</v>
      </c>
      <c r="V71" s="36">
        <f t="shared" si="23"/>
        <v>15706</v>
      </c>
      <c r="W71" s="36">
        <f t="shared" si="23"/>
        <v>916.90699999999993</v>
      </c>
      <c r="X71" s="36">
        <f t="shared" si="23"/>
        <v>2166605</v>
      </c>
      <c r="Y71" s="36">
        <f t="shared" si="23"/>
        <v>3252.3420000000001</v>
      </c>
      <c r="Z71" s="36">
        <f t="shared" si="23"/>
        <v>95960</v>
      </c>
      <c r="AA71" s="36">
        <f t="shared" si="23"/>
        <v>144.92099999999999</v>
      </c>
      <c r="AB71" s="52" t="s">
        <v>113</v>
      </c>
      <c r="AC71" s="52"/>
      <c r="AD71" s="52"/>
    </row>
    <row r="72" spans="1:30">
      <c r="A72" s="47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52"/>
      <c r="AC72" s="52"/>
      <c r="AD72" s="52"/>
    </row>
    <row r="73" spans="1:30">
      <c r="A73" s="20" t="s">
        <v>114</v>
      </c>
      <c r="B73" s="30" t="s">
        <v>180</v>
      </c>
      <c r="C73" s="30" t="s">
        <v>180</v>
      </c>
      <c r="D73" s="30" t="s">
        <v>180</v>
      </c>
      <c r="E73" s="30" t="s">
        <v>180</v>
      </c>
      <c r="F73" s="30" t="s">
        <v>180</v>
      </c>
      <c r="G73" s="30" t="s">
        <v>180</v>
      </c>
      <c r="H73" s="29" t="s">
        <v>180</v>
      </c>
      <c r="I73" s="30" t="s">
        <v>180</v>
      </c>
      <c r="J73" s="29" t="s">
        <v>180</v>
      </c>
      <c r="K73" s="30" t="s">
        <v>180</v>
      </c>
      <c r="L73" s="30" t="s">
        <v>180</v>
      </c>
      <c r="M73" s="30" t="s">
        <v>180</v>
      </c>
      <c r="N73" s="30" t="s">
        <v>180</v>
      </c>
      <c r="O73" s="30" t="s">
        <v>180</v>
      </c>
      <c r="P73" s="30" t="s">
        <v>180</v>
      </c>
      <c r="Q73" s="30" t="s">
        <v>180</v>
      </c>
      <c r="R73" s="30" t="s">
        <v>180</v>
      </c>
      <c r="S73" s="30" t="s">
        <v>180</v>
      </c>
      <c r="T73" s="30" t="s">
        <v>180</v>
      </c>
      <c r="U73" s="30" t="s">
        <v>180</v>
      </c>
      <c r="V73" s="30" t="s">
        <v>180</v>
      </c>
      <c r="W73" s="30" t="s">
        <v>180</v>
      </c>
      <c r="X73" s="30" t="s">
        <v>180</v>
      </c>
      <c r="Y73" s="30" t="s">
        <v>180</v>
      </c>
      <c r="Z73" s="30" t="s">
        <v>180</v>
      </c>
      <c r="AA73" s="30" t="s">
        <v>180</v>
      </c>
      <c r="AB73" s="22" t="s">
        <v>115</v>
      </c>
      <c r="AC73" s="5"/>
      <c r="AD73" s="5"/>
    </row>
    <row r="74" spans="1:30">
      <c r="A74" s="20" t="s">
        <v>116</v>
      </c>
      <c r="B74" s="30" t="s">
        <v>180</v>
      </c>
      <c r="C74" s="30">
        <v>0.2</v>
      </c>
      <c r="D74" s="29" t="s">
        <v>180</v>
      </c>
      <c r="E74" s="30" t="s">
        <v>180</v>
      </c>
      <c r="F74" s="29" t="s">
        <v>180</v>
      </c>
      <c r="G74" s="30" t="s">
        <v>180</v>
      </c>
      <c r="H74" s="29" t="s">
        <v>180</v>
      </c>
      <c r="I74" s="30" t="s">
        <v>180</v>
      </c>
      <c r="J74" s="29" t="s">
        <v>180</v>
      </c>
      <c r="K74" s="30" t="s">
        <v>180</v>
      </c>
      <c r="L74" s="30" t="s">
        <v>180</v>
      </c>
      <c r="M74" s="30" t="s">
        <v>180</v>
      </c>
      <c r="N74" s="29" t="s">
        <v>180</v>
      </c>
      <c r="O74" s="30" t="s">
        <v>180</v>
      </c>
      <c r="P74" s="27">
        <v>200</v>
      </c>
      <c r="Q74" s="27">
        <v>1.4</v>
      </c>
      <c r="R74" s="29" t="s">
        <v>180</v>
      </c>
      <c r="S74" s="30" t="s">
        <v>180</v>
      </c>
      <c r="T74" s="29" t="s">
        <v>180</v>
      </c>
      <c r="U74" s="30" t="s">
        <v>180</v>
      </c>
      <c r="V74" s="29" t="s">
        <v>180</v>
      </c>
      <c r="W74" s="30" t="s">
        <v>180</v>
      </c>
      <c r="X74" s="27">
        <v>25</v>
      </c>
      <c r="Y74" s="30">
        <v>3.6999999999999998E-2</v>
      </c>
      <c r="Z74" s="29" t="s">
        <v>180</v>
      </c>
      <c r="AA74" s="30" t="s">
        <v>180</v>
      </c>
      <c r="AB74" s="22" t="s">
        <v>117</v>
      </c>
      <c r="AC74" s="5"/>
      <c r="AD74" s="5"/>
    </row>
    <row r="75" spans="1:30">
      <c r="A75" s="20" t="s">
        <v>118</v>
      </c>
      <c r="B75" s="29" t="s">
        <v>180</v>
      </c>
      <c r="C75" s="30" t="s">
        <v>180</v>
      </c>
      <c r="D75" s="29" t="s">
        <v>180</v>
      </c>
      <c r="E75" s="30" t="s">
        <v>180</v>
      </c>
      <c r="F75" s="29" t="s">
        <v>180</v>
      </c>
      <c r="G75" s="30" t="s">
        <v>180</v>
      </c>
      <c r="H75" s="29" t="s">
        <v>180</v>
      </c>
      <c r="I75" s="30" t="s">
        <v>180</v>
      </c>
      <c r="J75" s="29" t="s">
        <v>180</v>
      </c>
      <c r="K75" s="30" t="s">
        <v>180</v>
      </c>
      <c r="L75" s="29" t="s">
        <v>180</v>
      </c>
      <c r="M75" s="30" t="s">
        <v>180</v>
      </c>
      <c r="N75" s="29" t="s">
        <v>180</v>
      </c>
      <c r="O75" s="30" t="s">
        <v>180</v>
      </c>
      <c r="P75" s="29" t="s">
        <v>180</v>
      </c>
      <c r="Q75" s="30" t="s">
        <v>180</v>
      </c>
      <c r="R75" s="29" t="s">
        <v>180</v>
      </c>
      <c r="S75" s="30" t="s">
        <v>180</v>
      </c>
      <c r="T75" s="29" t="s">
        <v>180</v>
      </c>
      <c r="U75" s="30" t="s">
        <v>180</v>
      </c>
      <c r="V75" s="29" t="s">
        <v>180</v>
      </c>
      <c r="W75" s="30" t="s">
        <v>180</v>
      </c>
      <c r="X75" s="27">
        <v>150</v>
      </c>
      <c r="Y75" s="30">
        <v>0.255</v>
      </c>
      <c r="Z75" s="29" t="s">
        <v>180</v>
      </c>
      <c r="AA75" s="30" t="s">
        <v>180</v>
      </c>
      <c r="AB75" s="22" t="s">
        <v>119</v>
      </c>
      <c r="AC75" s="5"/>
      <c r="AD75" s="5"/>
    </row>
    <row r="76" spans="1:30">
      <c r="A76" s="20" t="s">
        <v>120</v>
      </c>
      <c r="B76" s="29" t="s">
        <v>180</v>
      </c>
      <c r="C76" s="30" t="s">
        <v>180</v>
      </c>
      <c r="D76" s="29" t="s">
        <v>180</v>
      </c>
      <c r="E76" s="30" t="s">
        <v>180</v>
      </c>
      <c r="F76" s="29" t="s">
        <v>180</v>
      </c>
      <c r="G76" s="30" t="s">
        <v>180</v>
      </c>
      <c r="H76" s="29" t="s">
        <v>180</v>
      </c>
      <c r="I76" s="30" t="s">
        <v>180</v>
      </c>
      <c r="J76" s="29" t="s">
        <v>180</v>
      </c>
      <c r="K76" s="30" t="s">
        <v>180</v>
      </c>
      <c r="L76" s="29" t="s">
        <v>180</v>
      </c>
      <c r="M76" s="30" t="s">
        <v>180</v>
      </c>
      <c r="N76" s="29" t="s">
        <v>180</v>
      </c>
      <c r="O76" s="30" t="s">
        <v>180</v>
      </c>
      <c r="P76" s="29" t="s">
        <v>180</v>
      </c>
      <c r="Q76" s="30" t="s">
        <v>180</v>
      </c>
      <c r="R76" s="29" t="s">
        <v>180</v>
      </c>
      <c r="S76" s="30" t="s">
        <v>180</v>
      </c>
      <c r="T76" s="29" t="s">
        <v>180</v>
      </c>
      <c r="U76" s="30" t="s">
        <v>180</v>
      </c>
      <c r="V76" s="29" t="s">
        <v>180</v>
      </c>
      <c r="W76" s="30" t="s">
        <v>180</v>
      </c>
      <c r="X76" s="30" t="s">
        <v>180</v>
      </c>
      <c r="Y76" s="30" t="s">
        <v>180</v>
      </c>
      <c r="Z76" s="29" t="s">
        <v>180</v>
      </c>
      <c r="AA76" s="30" t="s">
        <v>180</v>
      </c>
      <c r="AB76" s="22" t="s">
        <v>121</v>
      </c>
      <c r="AC76" s="5"/>
      <c r="AD76" s="5"/>
    </row>
    <row r="77" spans="1:30">
      <c r="A77" s="20" t="s">
        <v>122</v>
      </c>
      <c r="B77" s="29" t="s">
        <v>180</v>
      </c>
      <c r="C77" s="29" t="s">
        <v>180</v>
      </c>
      <c r="D77" s="29" t="s">
        <v>180</v>
      </c>
      <c r="E77" s="29" t="s">
        <v>180</v>
      </c>
      <c r="F77" s="29" t="s">
        <v>180</v>
      </c>
      <c r="G77" s="30" t="s">
        <v>180</v>
      </c>
      <c r="H77" s="29" t="s">
        <v>180</v>
      </c>
      <c r="I77" s="30" t="s">
        <v>180</v>
      </c>
      <c r="J77" s="29" t="s">
        <v>180</v>
      </c>
      <c r="K77" s="30" t="s">
        <v>180</v>
      </c>
      <c r="L77" s="27">
        <v>11384</v>
      </c>
      <c r="M77" s="27">
        <v>102.82</v>
      </c>
      <c r="N77" s="27">
        <v>1337</v>
      </c>
      <c r="O77" s="27">
        <v>27.088000000000001</v>
      </c>
      <c r="P77" s="27">
        <v>2340</v>
      </c>
      <c r="Q77" s="27">
        <v>20.602</v>
      </c>
      <c r="R77" s="27">
        <v>359</v>
      </c>
      <c r="S77" s="27">
        <v>6.8609999999999998</v>
      </c>
      <c r="T77" s="27">
        <v>13595</v>
      </c>
      <c r="U77" s="27">
        <v>271.89999999999998</v>
      </c>
      <c r="V77" s="27">
        <v>12089</v>
      </c>
      <c r="W77" s="27">
        <v>713.25099999999998</v>
      </c>
      <c r="X77" s="27">
        <v>2124565</v>
      </c>
      <c r="Y77" s="27">
        <v>3188.087</v>
      </c>
      <c r="Z77" s="27">
        <v>6960</v>
      </c>
      <c r="AA77" s="27">
        <v>11.420999999999999</v>
      </c>
      <c r="AB77" s="22" t="s">
        <v>123</v>
      </c>
      <c r="AC77" s="5"/>
      <c r="AD77" s="5"/>
    </row>
    <row r="78" spans="1:30">
      <c r="A78" s="20" t="s">
        <v>124</v>
      </c>
      <c r="B78" s="27">
        <v>200</v>
      </c>
      <c r="C78" s="27">
        <v>32</v>
      </c>
      <c r="D78" s="27">
        <v>1510</v>
      </c>
      <c r="E78" s="27">
        <v>304.10000000000002</v>
      </c>
      <c r="F78" s="29" t="s">
        <v>180</v>
      </c>
      <c r="G78" s="29" t="s">
        <v>180</v>
      </c>
      <c r="H78" s="29" t="s">
        <v>180</v>
      </c>
      <c r="I78" s="30" t="s">
        <v>180</v>
      </c>
      <c r="J78" s="27">
        <v>80</v>
      </c>
      <c r="K78" s="27">
        <v>26</v>
      </c>
      <c r="L78" s="27">
        <v>17597</v>
      </c>
      <c r="M78" s="27">
        <v>161.69800000000001</v>
      </c>
      <c r="N78" s="27">
        <v>10395</v>
      </c>
      <c r="O78" s="27">
        <v>171.19300000000001</v>
      </c>
      <c r="P78" s="27">
        <v>16406</v>
      </c>
      <c r="Q78" s="27">
        <v>143.452</v>
      </c>
      <c r="R78" s="27">
        <v>2159</v>
      </c>
      <c r="S78" s="27">
        <v>38.795000000000002</v>
      </c>
      <c r="T78" s="27">
        <v>3703</v>
      </c>
      <c r="U78" s="27">
        <v>65.801000000000002</v>
      </c>
      <c r="V78" s="27">
        <v>3617</v>
      </c>
      <c r="W78" s="27">
        <v>203.65600000000001</v>
      </c>
      <c r="X78" s="27">
        <v>41865</v>
      </c>
      <c r="Y78" s="27">
        <v>63.963000000000001</v>
      </c>
      <c r="Z78" s="27">
        <v>89000</v>
      </c>
      <c r="AA78" s="27">
        <v>133.5</v>
      </c>
      <c r="AB78" s="22" t="s">
        <v>125</v>
      </c>
      <c r="AC78" s="5"/>
      <c r="AD78" s="5"/>
    </row>
    <row r="79" spans="1:30">
      <c r="A79" s="20" t="s">
        <v>126</v>
      </c>
      <c r="B79" s="30" t="s">
        <v>180</v>
      </c>
      <c r="C79" s="30" t="s">
        <v>180</v>
      </c>
      <c r="D79" s="30" t="s">
        <v>180</v>
      </c>
      <c r="E79" s="30" t="s">
        <v>180</v>
      </c>
      <c r="F79" s="30" t="s">
        <v>180</v>
      </c>
      <c r="G79" s="30" t="s">
        <v>180</v>
      </c>
      <c r="H79" s="29" t="s">
        <v>180</v>
      </c>
      <c r="I79" s="30" t="s">
        <v>180</v>
      </c>
      <c r="J79" s="29" t="s">
        <v>180</v>
      </c>
      <c r="K79" s="30" t="s">
        <v>180</v>
      </c>
      <c r="L79" s="30" t="s">
        <v>180</v>
      </c>
      <c r="M79" s="30" t="s">
        <v>180</v>
      </c>
      <c r="N79" s="30" t="s">
        <v>180</v>
      </c>
      <c r="O79" s="30" t="s">
        <v>180</v>
      </c>
      <c r="P79" s="30" t="s">
        <v>180</v>
      </c>
      <c r="Q79" s="30" t="s">
        <v>180</v>
      </c>
      <c r="R79" s="30" t="s">
        <v>180</v>
      </c>
      <c r="S79" s="30" t="s">
        <v>180</v>
      </c>
      <c r="T79" s="30" t="s">
        <v>180</v>
      </c>
      <c r="U79" s="30" t="s">
        <v>180</v>
      </c>
      <c r="V79" s="30" t="s">
        <v>180</v>
      </c>
      <c r="W79" s="30" t="s">
        <v>180</v>
      </c>
      <c r="X79" s="30" t="s">
        <v>180</v>
      </c>
      <c r="Y79" s="30" t="s">
        <v>180</v>
      </c>
      <c r="Z79" s="30" t="s">
        <v>180</v>
      </c>
      <c r="AA79" s="30" t="s">
        <v>180</v>
      </c>
      <c r="AB79" s="22" t="s">
        <v>127</v>
      </c>
      <c r="AC79" s="5"/>
      <c r="AD79" s="5"/>
    </row>
    <row r="80" spans="1:30">
      <c r="A80" s="20" t="s">
        <v>128</v>
      </c>
      <c r="B80" s="29" t="s">
        <v>180</v>
      </c>
      <c r="C80" s="30" t="s">
        <v>180</v>
      </c>
      <c r="D80" s="29" t="s">
        <v>180</v>
      </c>
      <c r="E80" s="30" t="s">
        <v>180</v>
      </c>
      <c r="F80" s="29" t="s">
        <v>180</v>
      </c>
      <c r="G80" s="30" t="s">
        <v>180</v>
      </c>
      <c r="H80" s="29" t="s">
        <v>180</v>
      </c>
      <c r="I80" s="30" t="s">
        <v>180</v>
      </c>
      <c r="J80" s="29" t="s">
        <v>180</v>
      </c>
      <c r="K80" s="30" t="s">
        <v>180</v>
      </c>
      <c r="L80" s="29" t="s">
        <v>180</v>
      </c>
      <c r="M80" s="30" t="s">
        <v>180</v>
      </c>
      <c r="N80" s="29" t="s">
        <v>180</v>
      </c>
      <c r="O80" s="30" t="s">
        <v>180</v>
      </c>
      <c r="P80" s="30" t="s">
        <v>180</v>
      </c>
      <c r="Q80" s="30" t="s">
        <v>180</v>
      </c>
      <c r="R80" s="30" t="s">
        <v>180</v>
      </c>
      <c r="S80" s="30" t="s">
        <v>180</v>
      </c>
      <c r="T80" s="27">
        <v>8</v>
      </c>
      <c r="U80" s="27">
        <v>0.16</v>
      </c>
      <c r="V80" s="30" t="s">
        <v>180</v>
      </c>
      <c r="W80" s="30" t="s">
        <v>180</v>
      </c>
      <c r="X80" s="29" t="s">
        <v>180</v>
      </c>
      <c r="Y80" s="30" t="s">
        <v>180</v>
      </c>
      <c r="Z80" s="30" t="s">
        <v>180</v>
      </c>
      <c r="AA80" s="30" t="s">
        <v>180</v>
      </c>
      <c r="AB80" s="22" t="s">
        <v>129</v>
      </c>
      <c r="AC80" s="5"/>
      <c r="AD80" s="5"/>
    </row>
    <row r="81" spans="1:30">
      <c r="A81" s="47" t="s">
        <v>130</v>
      </c>
      <c r="B81" s="36">
        <f t="shared" ref="B81:E81" si="24">SUM(B83:B87)</f>
        <v>251</v>
      </c>
      <c r="C81" s="36">
        <f t="shared" si="24"/>
        <v>44.573000000000008</v>
      </c>
      <c r="D81" s="36">
        <f t="shared" si="24"/>
        <v>2351</v>
      </c>
      <c r="E81" s="36">
        <f t="shared" si="24"/>
        <v>644.13199999999995</v>
      </c>
      <c r="F81" s="36">
        <f t="shared" ref="F81:H81" si="25">SUM(F83:F87)</f>
        <v>0</v>
      </c>
      <c r="G81" s="36">
        <f t="shared" si="25"/>
        <v>0</v>
      </c>
      <c r="H81" s="36">
        <f t="shared" si="25"/>
        <v>0</v>
      </c>
      <c r="I81" s="36">
        <f t="shared" ref="I81:AA81" si="26">SUM(I83:I87)</f>
        <v>0</v>
      </c>
      <c r="J81" s="36">
        <f t="shared" si="26"/>
        <v>596</v>
      </c>
      <c r="K81" s="36">
        <f t="shared" si="26"/>
        <v>183.00300000000001</v>
      </c>
      <c r="L81" s="36">
        <f t="shared" si="26"/>
        <v>176142</v>
      </c>
      <c r="M81" s="36">
        <f t="shared" si="26"/>
        <v>1629.2629999999999</v>
      </c>
      <c r="N81" s="37">
        <f t="shared" si="26"/>
        <v>25704</v>
      </c>
      <c r="O81" s="37">
        <f>SUM(O83:O87)</f>
        <v>554.78899999999999</v>
      </c>
      <c r="P81" s="37">
        <f t="shared" si="26"/>
        <v>98230</v>
      </c>
      <c r="Q81" s="37">
        <f t="shared" si="26"/>
        <v>960.4190000000001</v>
      </c>
      <c r="R81" s="37">
        <f t="shared" si="26"/>
        <v>7026</v>
      </c>
      <c r="S81" s="37">
        <f t="shared" si="26"/>
        <v>125.44200000000001</v>
      </c>
      <c r="T81" s="37">
        <f t="shared" si="26"/>
        <v>3625</v>
      </c>
      <c r="U81" s="37">
        <f t="shared" si="26"/>
        <v>63.077000000000005</v>
      </c>
      <c r="V81" s="37">
        <f t="shared" si="26"/>
        <v>9371</v>
      </c>
      <c r="W81" s="37">
        <f t="shared" si="26"/>
        <v>536.34900000000005</v>
      </c>
      <c r="X81" s="37">
        <f t="shared" si="26"/>
        <v>549313</v>
      </c>
      <c r="Y81" s="37">
        <f t="shared" si="26"/>
        <v>912.54499999999996</v>
      </c>
      <c r="Z81" s="37">
        <f t="shared" si="26"/>
        <v>36015</v>
      </c>
      <c r="AA81" s="37">
        <f t="shared" si="26"/>
        <v>62.575000000000003</v>
      </c>
      <c r="AB81" s="52" t="s">
        <v>131</v>
      </c>
      <c r="AC81" s="52"/>
      <c r="AD81" s="52"/>
    </row>
    <row r="82" spans="1:30">
      <c r="A82" s="47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52"/>
      <c r="AC82" s="52"/>
      <c r="AD82" s="52"/>
    </row>
    <row r="83" spans="1:30">
      <c r="A83" s="19" t="s">
        <v>132</v>
      </c>
      <c r="B83" s="27">
        <v>179</v>
      </c>
      <c r="C83" s="27">
        <v>31.108000000000001</v>
      </c>
      <c r="D83" s="27">
        <v>1252</v>
      </c>
      <c r="E83" s="27">
        <v>350.202</v>
      </c>
      <c r="F83" s="29" t="s">
        <v>180</v>
      </c>
      <c r="G83" s="29" t="s">
        <v>180</v>
      </c>
      <c r="H83" s="29" t="s">
        <v>180</v>
      </c>
      <c r="I83" s="30" t="s">
        <v>180</v>
      </c>
      <c r="J83" s="27">
        <v>534</v>
      </c>
      <c r="K83" s="27">
        <v>165.07300000000001</v>
      </c>
      <c r="L83" s="27">
        <v>145706</v>
      </c>
      <c r="M83" s="27">
        <v>1315.61</v>
      </c>
      <c r="N83" s="27">
        <v>23399</v>
      </c>
      <c r="O83" s="27">
        <v>499.286</v>
      </c>
      <c r="P83" s="27">
        <v>23596</v>
      </c>
      <c r="Q83" s="27">
        <v>212.983</v>
      </c>
      <c r="R83" s="27">
        <v>2933</v>
      </c>
      <c r="S83" s="27">
        <v>56.33</v>
      </c>
      <c r="T83" s="27">
        <v>1442</v>
      </c>
      <c r="U83" s="27">
        <v>27.59</v>
      </c>
      <c r="V83" s="27">
        <v>3502</v>
      </c>
      <c r="W83" s="27">
        <v>185.86500000000001</v>
      </c>
      <c r="X83" s="27">
        <v>452315</v>
      </c>
      <c r="Y83" s="27">
        <v>763.4</v>
      </c>
      <c r="Z83" s="27">
        <v>3760</v>
      </c>
      <c r="AA83" s="27">
        <v>6.7450000000000001</v>
      </c>
      <c r="AB83" s="22" t="s">
        <v>133</v>
      </c>
      <c r="AC83" s="5"/>
      <c r="AD83" s="5"/>
    </row>
    <row r="84" spans="1:30">
      <c r="A84" s="19" t="s">
        <v>134</v>
      </c>
      <c r="B84" s="27">
        <v>15</v>
      </c>
      <c r="C84" s="27">
        <v>2.25</v>
      </c>
      <c r="D84" s="27">
        <v>133</v>
      </c>
      <c r="E84" s="27">
        <v>26.65</v>
      </c>
      <c r="F84" s="29" t="s">
        <v>180</v>
      </c>
      <c r="G84" s="29" t="s">
        <v>180</v>
      </c>
      <c r="H84" s="29" t="s">
        <v>180</v>
      </c>
      <c r="I84" s="30" t="s">
        <v>180</v>
      </c>
      <c r="J84" s="27">
        <v>23</v>
      </c>
      <c r="K84" s="27">
        <v>5.75</v>
      </c>
      <c r="L84" s="27">
        <v>2885</v>
      </c>
      <c r="M84" s="27">
        <v>29.95</v>
      </c>
      <c r="N84" s="27">
        <v>535</v>
      </c>
      <c r="O84" s="27">
        <v>8.66</v>
      </c>
      <c r="P84" s="27">
        <v>16805</v>
      </c>
      <c r="Q84" s="27">
        <v>172.25</v>
      </c>
      <c r="R84" s="27">
        <v>2865</v>
      </c>
      <c r="S84" s="27">
        <v>41.23</v>
      </c>
      <c r="T84" s="27">
        <v>215</v>
      </c>
      <c r="U84" s="27">
        <v>4.3</v>
      </c>
      <c r="V84" s="27">
        <v>1885</v>
      </c>
      <c r="W84" s="27">
        <v>113.1</v>
      </c>
      <c r="X84" s="27">
        <v>11265</v>
      </c>
      <c r="Y84" s="27">
        <v>16.898</v>
      </c>
      <c r="Z84" s="27">
        <v>16600</v>
      </c>
      <c r="AA84" s="27">
        <v>24.9</v>
      </c>
      <c r="AB84" s="22" t="s">
        <v>135</v>
      </c>
      <c r="AC84" s="5"/>
      <c r="AD84" s="5"/>
    </row>
    <row r="85" spans="1:30">
      <c r="A85" s="19" t="s">
        <v>136</v>
      </c>
      <c r="B85" s="27">
        <v>6</v>
      </c>
      <c r="C85" s="27">
        <v>1.101</v>
      </c>
      <c r="D85" s="27">
        <v>339</v>
      </c>
      <c r="E85" s="27">
        <v>97.57</v>
      </c>
      <c r="F85" s="29" t="s">
        <v>180</v>
      </c>
      <c r="G85" s="29" t="s">
        <v>180</v>
      </c>
      <c r="H85" s="29" t="s">
        <v>180</v>
      </c>
      <c r="I85" s="30" t="s">
        <v>180</v>
      </c>
      <c r="J85" s="27">
        <v>21</v>
      </c>
      <c r="K85" s="27">
        <v>6.28</v>
      </c>
      <c r="L85" s="27">
        <v>15300</v>
      </c>
      <c r="M85" s="27">
        <v>145.4</v>
      </c>
      <c r="N85" s="27">
        <v>1550</v>
      </c>
      <c r="O85" s="27">
        <v>42</v>
      </c>
      <c r="P85" s="27">
        <v>5650</v>
      </c>
      <c r="Q85" s="27">
        <v>51.6</v>
      </c>
      <c r="R85" s="27">
        <v>500</v>
      </c>
      <c r="S85" s="27">
        <v>11.7</v>
      </c>
      <c r="T85" s="27">
        <v>23</v>
      </c>
      <c r="U85" s="27">
        <v>0.46</v>
      </c>
      <c r="V85" s="27">
        <v>2169</v>
      </c>
      <c r="W85" s="27">
        <v>142.07</v>
      </c>
      <c r="X85" s="27">
        <v>3700</v>
      </c>
      <c r="Y85" s="27">
        <v>7.04</v>
      </c>
      <c r="Z85" s="29" t="s">
        <v>180</v>
      </c>
      <c r="AA85" s="30" t="s">
        <v>180</v>
      </c>
      <c r="AB85" s="22" t="s">
        <v>137</v>
      </c>
      <c r="AC85" s="5"/>
      <c r="AD85" s="5"/>
    </row>
    <row r="86" spans="1:30">
      <c r="A86" s="19" t="s">
        <v>138</v>
      </c>
      <c r="B86" s="27">
        <v>25</v>
      </c>
      <c r="C86" s="27">
        <v>4.9539999999999997</v>
      </c>
      <c r="D86" s="27">
        <v>19</v>
      </c>
      <c r="E86" s="27">
        <v>4.7</v>
      </c>
      <c r="F86" s="29" t="s">
        <v>180</v>
      </c>
      <c r="G86" s="29" t="s">
        <v>180</v>
      </c>
      <c r="H86" s="29" t="s">
        <v>180</v>
      </c>
      <c r="I86" s="30" t="s">
        <v>180</v>
      </c>
      <c r="J86" s="29" t="s">
        <v>180</v>
      </c>
      <c r="K86" s="30" t="s">
        <v>180</v>
      </c>
      <c r="L86" s="27">
        <v>1751</v>
      </c>
      <c r="M86" s="27">
        <v>17.510000000000002</v>
      </c>
      <c r="N86" s="27">
        <v>67</v>
      </c>
      <c r="O86" s="27">
        <v>1.4850000000000001</v>
      </c>
      <c r="P86" s="27">
        <v>6366</v>
      </c>
      <c r="Q86" s="27">
        <v>64.430000000000007</v>
      </c>
      <c r="R86" s="27">
        <v>301</v>
      </c>
      <c r="S86" s="27">
        <v>6.1150000000000002</v>
      </c>
      <c r="T86" s="27">
        <v>178</v>
      </c>
      <c r="U86" s="27">
        <v>3.56</v>
      </c>
      <c r="V86" s="27">
        <v>545</v>
      </c>
      <c r="W86" s="27">
        <v>17.86</v>
      </c>
      <c r="X86" s="27">
        <v>3615</v>
      </c>
      <c r="Y86" s="27">
        <v>7.43</v>
      </c>
      <c r="Z86" s="27">
        <v>2395</v>
      </c>
      <c r="AA86" s="27">
        <v>4.79</v>
      </c>
      <c r="AB86" s="22" t="s">
        <v>139</v>
      </c>
      <c r="AC86" s="5"/>
      <c r="AD86" s="5"/>
    </row>
    <row r="87" spans="1:30">
      <c r="A87" s="19" t="s">
        <v>140</v>
      </c>
      <c r="B87" s="27">
        <v>26</v>
      </c>
      <c r="C87" s="27">
        <v>5.16</v>
      </c>
      <c r="D87" s="27">
        <v>608</v>
      </c>
      <c r="E87" s="27">
        <v>165.01</v>
      </c>
      <c r="F87" s="29" t="s">
        <v>180</v>
      </c>
      <c r="G87" s="29" t="s">
        <v>180</v>
      </c>
      <c r="H87" s="29" t="s">
        <v>180</v>
      </c>
      <c r="I87" s="30" t="s">
        <v>180</v>
      </c>
      <c r="J87" s="27">
        <v>18</v>
      </c>
      <c r="K87" s="27">
        <v>5.9</v>
      </c>
      <c r="L87" s="27">
        <v>10500</v>
      </c>
      <c r="M87" s="27">
        <v>120.79300000000001</v>
      </c>
      <c r="N87" s="27">
        <v>153</v>
      </c>
      <c r="O87" s="27">
        <v>3.3580000000000001</v>
      </c>
      <c r="P87" s="27">
        <v>45813</v>
      </c>
      <c r="Q87" s="27">
        <v>459.15600000000001</v>
      </c>
      <c r="R87" s="27">
        <v>427</v>
      </c>
      <c r="S87" s="27">
        <v>10.067</v>
      </c>
      <c r="T87" s="27">
        <v>1767</v>
      </c>
      <c r="U87" s="27">
        <v>27.167000000000002</v>
      </c>
      <c r="V87" s="27">
        <v>1270</v>
      </c>
      <c r="W87" s="27">
        <v>77.453999999999994</v>
      </c>
      <c r="X87" s="27">
        <v>78418</v>
      </c>
      <c r="Y87" s="27">
        <v>117.777</v>
      </c>
      <c r="Z87" s="27">
        <v>13260</v>
      </c>
      <c r="AA87" s="27">
        <v>26.14</v>
      </c>
      <c r="AB87" s="22" t="s">
        <v>141</v>
      </c>
      <c r="AC87" s="5"/>
      <c r="AD87" s="5"/>
    </row>
    <row r="88" spans="1:30">
      <c r="A88" s="47" t="s">
        <v>142</v>
      </c>
      <c r="B88" s="36">
        <f t="shared" ref="B88:F88" si="27">SUM(B90:B102)</f>
        <v>1265</v>
      </c>
      <c r="C88" s="36">
        <f t="shared" si="27"/>
        <v>248.20999999999998</v>
      </c>
      <c r="D88" s="36">
        <f t="shared" si="27"/>
        <v>3538</v>
      </c>
      <c r="E88" s="36">
        <f t="shared" si="27"/>
        <v>953.78899999999999</v>
      </c>
      <c r="F88" s="36">
        <f t="shared" si="27"/>
        <v>0</v>
      </c>
      <c r="G88" s="36">
        <f t="shared" ref="G88:M88" si="28">SUM(G90:G102)</f>
        <v>0</v>
      </c>
      <c r="H88" s="36">
        <f t="shared" si="28"/>
        <v>0</v>
      </c>
      <c r="I88" s="36">
        <f t="shared" si="28"/>
        <v>0</v>
      </c>
      <c r="J88" s="36">
        <f t="shared" si="28"/>
        <v>460</v>
      </c>
      <c r="K88" s="36">
        <f t="shared" si="28"/>
        <v>116.27499999999999</v>
      </c>
      <c r="L88" s="36">
        <f t="shared" si="28"/>
        <v>158950</v>
      </c>
      <c r="M88" s="36">
        <f t="shared" si="28"/>
        <v>1402.1119999999999</v>
      </c>
      <c r="N88" s="36">
        <f>SUM(N90:N102)</f>
        <v>7636</v>
      </c>
      <c r="O88" s="36">
        <f>SUM(O90:O102)</f>
        <v>135.465</v>
      </c>
      <c r="P88" s="36">
        <f>SUM(P90:P102)</f>
        <v>162978</v>
      </c>
      <c r="Q88" s="36">
        <f t="shared" ref="Q88:AA88" si="29">SUM(Q90:Q102)</f>
        <v>1541.63</v>
      </c>
      <c r="R88" s="36">
        <f t="shared" si="29"/>
        <v>12551</v>
      </c>
      <c r="S88" s="36">
        <f t="shared" si="29"/>
        <v>222.37100000000001</v>
      </c>
      <c r="T88" s="36">
        <f t="shared" si="29"/>
        <v>11040</v>
      </c>
      <c r="U88" s="36">
        <f t="shared" si="29"/>
        <v>210.00700000000001</v>
      </c>
      <c r="V88" s="36">
        <f t="shared" si="29"/>
        <v>15052</v>
      </c>
      <c r="W88" s="36">
        <f t="shared" si="29"/>
        <v>945.70300000000009</v>
      </c>
      <c r="X88" s="36">
        <f t="shared" si="29"/>
        <v>426536</v>
      </c>
      <c r="Y88" s="36">
        <f t="shared" si="29"/>
        <v>530.47499999999991</v>
      </c>
      <c r="Z88" s="36">
        <f t="shared" si="29"/>
        <v>82075</v>
      </c>
      <c r="AA88" s="36">
        <f t="shared" si="29"/>
        <v>147.35999999999999</v>
      </c>
      <c r="AB88" s="52" t="s">
        <v>143</v>
      </c>
      <c r="AC88" s="52"/>
      <c r="AD88" s="52"/>
    </row>
    <row r="89" spans="1:30">
      <c r="A89" s="47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52"/>
      <c r="AC89" s="52"/>
      <c r="AD89" s="52"/>
    </row>
    <row r="90" spans="1:30">
      <c r="A90" s="19" t="s">
        <v>144</v>
      </c>
      <c r="B90" s="27">
        <v>78</v>
      </c>
      <c r="C90" s="27">
        <v>19.649999999999999</v>
      </c>
      <c r="D90" s="27">
        <v>143</v>
      </c>
      <c r="E90" s="27">
        <v>35.75</v>
      </c>
      <c r="F90" s="29" t="s">
        <v>180</v>
      </c>
      <c r="G90" s="29" t="s">
        <v>180</v>
      </c>
      <c r="H90" s="29" t="s">
        <v>180</v>
      </c>
      <c r="I90" s="30" t="s">
        <v>180</v>
      </c>
      <c r="J90" s="27">
        <v>5</v>
      </c>
      <c r="K90" s="27">
        <v>1.5</v>
      </c>
      <c r="L90" s="27">
        <v>3380</v>
      </c>
      <c r="M90" s="27">
        <v>33.450000000000003</v>
      </c>
      <c r="N90" s="27">
        <v>35</v>
      </c>
      <c r="O90" s="27">
        <v>0.73499999999999999</v>
      </c>
      <c r="P90" s="27">
        <v>2545</v>
      </c>
      <c r="Q90" s="27">
        <v>25.59</v>
      </c>
      <c r="R90" s="27">
        <v>5</v>
      </c>
      <c r="S90" s="30">
        <v>8.5000000000000006E-2</v>
      </c>
      <c r="T90" s="27">
        <v>70</v>
      </c>
      <c r="U90" s="27">
        <v>1.3</v>
      </c>
      <c r="V90" s="27">
        <v>1238</v>
      </c>
      <c r="W90" s="27">
        <v>90.73</v>
      </c>
      <c r="X90" s="27">
        <v>6800</v>
      </c>
      <c r="Y90" s="27">
        <v>12.824999999999999</v>
      </c>
      <c r="Z90" s="27">
        <v>8690</v>
      </c>
      <c r="AA90" s="27">
        <v>13.48</v>
      </c>
      <c r="AB90" s="22" t="s">
        <v>145</v>
      </c>
      <c r="AC90" s="5"/>
      <c r="AD90" s="5"/>
    </row>
    <row r="91" spans="1:30">
      <c r="A91" s="19" t="s">
        <v>146</v>
      </c>
      <c r="B91" s="27">
        <v>58</v>
      </c>
      <c r="C91" s="27">
        <v>13.994999999999999</v>
      </c>
      <c r="D91" s="27">
        <v>169</v>
      </c>
      <c r="E91" s="27">
        <v>45.893000000000001</v>
      </c>
      <c r="F91" s="29" t="s">
        <v>180</v>
      </c>
      <c r="G91" s="30" t="s">
        <v>180</v>
      </c>
      <c r="H91" s="29" t="s">
        <v>180</v>
      </c>
      <c r="I91" s="30" t="s">
        <v>180</v>
      </c>
      <c r="J91" s="29" t="s">
        <v>180</v>
      </c>
      <c r="K91" s="30" t="s">
        <v>180</v>
      </c>
      <c r="L91" s="27">
        <v>27517</v>
      </c>
      <c r="M91" s="27">
        <v>255.15799999999999</v>
      </c>
      <c r="N91" s="27">
        <v>90</v>
      </c>
      <c r="O91" s="27">
        <v>2.2999999999999998</v>
      </c>
      <c r="P91" s="27">
        <v>15211</v>
      </c>
      <c r="Q91" s="27">
        <v>152.11000000000001</v>
      </c>
      <c r="R91" s="27">
        <v>20</v>
      </c>
      <c r="S91" s="30">
        <v>0.3</v>
      </c>
      <c r="T91" s="27">
        <v>95</v>
      </c>
      <c r="U91" s="27">
        <v>1.7150000000000001</v>
      </c>
      <c r="V91" s="27">
        <v>958</v>
      </c>
      <c r="W91" s="27">
        <v>62.537999999999997</v>
      </c>
      <c r="X91" s="27">
        <v>7200</v>
      </c>
      <c r="Y91" s="27">
        <v>13.25</v>
      </c>
      <c r="Z91" s="27">
        <v>3377</v>
      </c>
      <c r="AA91" s="27">
        <v>3.8170000000000002</v>
      </c>
      <c r="AB91" s="22" t="s">
        <v>147</v>
      </c>
      <c r="AC91" s="5"/>
      <c r="AD91" s="5"/>
    </row>
    <row r="92" spans="1:30">
      <c r="A92" s="19" t="s">
        <v>148</v>
      </c>
      <c r="B92" s="27">
        <v>23</v>
      </c>
      <c r="C92" s="27">
        <v>2.262</v>
      </c>
      <c r="D92" s="29" t="s">
        <v>180</v>
      </c>
      <c r="E92" s="29" t="s">
        <v>180</v>
      </c>
      <c r="F92" s="29" t="s">
        <v>180</v>
      </c>
      <c r="G92" s="29" t="s">
        <v>180</v>
      </c>
      <c r="H92" s="29" t="s">
        <v>180</v>
      </c>
      <c r="I92" s="30" t="s">
        <v>180</v>
      </c>
      <c r="J92" s="29" t="s">
        <v>180</v>
      </c>
      <c r="K92" s="30" t="s">
        <v>180</v>
      </c>
      <c r="L92" s="27">
        <v>1592</v>
      </c>
      <c r="M92" s="27">
        <v>16.89</v>
      </c>
      <c r="N92" s="27">
        <v>87</v>
      </c>
      <c r="O92" s="27">
        <v>2.0699999999999998</v>
      </c>
      <c r="P92" s="27">
        <v>1447</v>
      </c>
      <c r="Q92" s="27">
        <v>15.577</v>
      </c>
      <c r="R92" s="27">
        <v>134</v>
      </c>
      <c r="S92" s="27">
        <v>3.0150000000000001</v>
      </c>
      <c r="T92" s="27">
        <v>752</v>
      </c>
      <c r="U92" s="27">
        <v>12.837999999999999</v>
      </c>
      <c r="V92" s="27">
        <v>349</v>
      </c>
      <c r="W92" s="27">
        <v>23.123000000000001</v>
      </c>
      <c r="X92" s="27">
        <v>6065</v>
      </c>
      <c r="Y92" s="27">
        <v>10.77</v>
      </c>
      <c r="Z92" s="27">
        <v>5670</v>
      </c>
      <c r="AA92" s="27">
        <v>10.141999999999999</v>
      </c>
      <c r="AB92" s="22" t="s">
        <v>149</v>
      </c>
      <c r="AC92" s="5"/>
      <c r="AD92" s="5"/>
    </row>
    <row r="93" spans="1:30">
      <c r="A93" s="19" t="s">
        <v>150</v>
      </c>
      <c r="B93" s="27">
        <v>20</v>
      </c>
      <c r="C93" s="27">
        <v>3.74</v>
      </c>
      <c r="D93" s="27">
        <v>8</v>
      </c>
      <c r="E93" s="27">
        <v>2</v>
      </c>
      <c r="F93" s="29" t="s">
        <v>180</v>
      </c>
      <c r="G93" s="29" t="s">
        <v>180</v>
      </c>
      <c r="H93" s="29" t="s">
        <v>180</v>
      </c>
      <c r="I93" s="30" t="s">
        <v>180</v>
      </c>
      <c r="J93" s="27">
        <v>2</v>
      </c>
      <c r="K93" s="27">
        <v>0.55000000000000004</v>
      </c>
      <c r="L93" s="27">
        <v>4980</v>
      </c>
      <c r="M93" s="27">
        <v>41.18</v>
      </c>
      <c r="N93" s="27">
        <v>90</v>
      </c>
      <c r="O93" s="27">
        <v>1.8</v>
      </c>
      <c r="P93" s="27">
        <v>15708</v>
      </c>
      <c r="Q93" s="27">
        <v>137</v>
      </c>
      <c r="R93" s="27">
        <v>450</v>
      </c>
      <c r="S93" s="27">
        <v>9</v>
      </c>
      <c r="T93" s="27">
        <v>411</v>
      </c>
      <c r="U93" s="27">
        <v>7.2779999999999996</v>
      </c>
      <c r="V93" s="27">
        <v>520</v>
      </c>
      <c r="W93" s="27">
        <v>31.71</v>
      </c>
      <c r="X93" s="27">
        <v>18100</v>
      </c>
      <c r="Y93" s="27">
        <v>33.520000000000003</v>
      </c>
      <c r="Z93" s="27">
        <v>13735</v>
      </c>
      <c r="AA93" s="27">
        <v>31.068000000000001</v>
      </c>
      <c r="AB93" s="22" t="s">
        <v>151</v>
      </c>
      <c r="AC93" s="5"/>
      <c r="AD93" s="5"/>
    </row>
    <row r="94" spans="1:30">
      <c r="A94" s="19" t="s">
        <v>152</v>
      </c>
      <c r="B94" s="29" t="s">
        <v>180</v>
      </c>
      <c r="C94" s="30">
        <v>0</v>
      </c>
      <c r="D94" s="29" t="s">
        <v>180</v>
      </c>
      <c r="E94" s="29" t="s">
        <v>180</v>
      </c>
      <c r="F94" s="29" t="s">
        <v>180</v>
      </c>
      <c r="G94" s="30" t="s">
        <v>180</v>
      </c>
      <c r="H94" s="29" t="s">
        <v>180</v>
      </c>
      <c r="I94" s="30" t="s">
        <v>180</v>
      </c>
      <c r="J94" s="29" t="s">
        <v>180</v>
      </c>
      <c r="K94" s="30" t="s">
        <v>180</v>
      </c>
      <c r="L94" s="27">
        <v>3825</v>
      </c>
      <c r="M94" s="27">
        <v>35.424999999999997</v>
      </c>
      <c r="N94" s="27">
        <v>305</v>
      </c>
      <c r="O94" s="27">
        <v>5.0910000000000002</v>
      </c>
      <c r="P94" s="27">
        <v>4600</v>
      </c>
      <c r="Q94" s="27">
        <v>42.847000000000001</v>
      </c>
      <c r="R94" s="27">
        <v>580</v>
      </c>
      <c r="S94" s="27">
        <v>10.329000000000001</v>
      </c>
      <c r="T94" s="27">
        <v>1272</v>
      </c>
      <c r="U94" s="27">
        <v>23.495999999999999</v>
      </c>
      <c r="V94" s="27">
        <v>123</v>
      </c>
      <c r="W94" s="27">
        <v>6.5650000000000004</v>
      </c>
      <c r="X94" s="27">
        <v>1727</v>
      </c>
      <c r="Y94" s="27">
        <v>2.7930000000000001</v>
      </c>
      <c r="Z94" s="27">
        <v>1314</v>
      </c>
      <c r="AA94" s="27">
        <v>2.7210000000000001</v>
      </c>
      <c r="AB94" s="22" t="s">
        <v>153</v>
      </c>
      <c r="AC94" s="5"/>
      <c r="AD94" s="5"/>
    </row>
    <row r="95" spans="1:30">
      <c r="A95" s="19" t="s">
        <v>154</v>
      </c>
      <c r="B95" s="27">
        <v>81</v>
      </c>
      <c r="C95" s="27">
        <v>18.63</v>
      </c>
      <c r="D95" s="27">
        <v>179</v>
      </c>
      <c r="E95" s="27">
        <v>42.423000000000002</v>
      </c>
      <c r="F95" s="29" t="s">
        <v>180</v>
      </c>
      <c r="G95" s="30" t="s">
        <v>180</v>
      </c>
      <c r="H95" s="29" t="s">
        <v>180</v>
      </c>
      <c r="I95" s="30" t="s">
        <v>180</v>
      </c>
      <c r="J95" s="29" t="s">
        <v>180</v>
      </c>
      <c r="K95" s="30" t="s">
        <v>180</v>
      </c>
      <c r="L95" s="27">
        <v>3576</v>
      </c>
      <c r="M95" s="27">
        <v>35.76</v>
      </c>
      <c r="N95" s="29" t="s">
        <v>180</v>
      </c>
      <c r="O95" s="29" t="s">
        <v>180</v>
      </c>
      <c r="P95" s="27">
        <v>6066</v>
      </c>
      <c r="Q95" s="27">
        <v>60.66</v>
      </c>
      <c r="R95" s="29" t="s">
        <v>180</v>
      </c>
      <c r="S95" s="29" t="s">
        <v>180</v>
      </c>
      <c r="T95" s="27">
        <v>300</v>
      </c>
      <c r="U95" s="27">
        <v>5.4</v>
      </c>
      <c r="V95" s="27">
        <v>130</v>
      </c>
      <c r="W95" s="27">
        <v>6.5</v>
      </c>
      <c r="X95" s="27">
        <v>2500</v>
      </c>
      <c r="Y95" s="27">
        <v>4.2</v>
      </c>
      <c r="Z95" s="27">
        <v>380</v>
      </c>
      <c r="AA95" s="27">
        <v>0.56999999999999995</v>
      </c>
      <c r="AB95" s="22" t="s">
        <v>155</v>
      </c>
      <c r="AC95" s="5"/>
      <c r="AD95" s="5"/>
    </row>
    <row r="96" spans="1:30">
      <c r="A96" s="19" t="s">
        <v>156</v>
      </c>
      <c r="B96" s="27">
        <v>337</v>
      </c>
      <c r="C96" s="27">
        <v>66.475999999999999</v>
      </c>
      <c r="D96" s="27">
        <v>1197</v>
      </c>
      <c r="E96" s="27">
        <v>364.32</v>
      </c>
      <c r="F96" s="29" t="s">
        <v>180</v>
      </c>
      <c r="G96" s="29" t="s">
        <v>180</v>
      </c>
      <c r="H96" s="29" t="s">
        <v>180</v>
      </c>
      <c r="I96" s="30" t="s">
        <v>180</v>
      </c>
      <c r="J96" s="27">
        <v>133</v>
      </c>
      <c r="K96" s="27">
        <v>46.38</v>
      </c>
      <c r="L96" s="27">
        <v>12279</v>
      </c>
      <c r="M96" s="27">
        <v>126.39700000000001</v>
      </c>
      <c r="N96" s="27">
        <v>237</v>
      </c>
      <c r="O96" s="27">
        <v>5.9770000000000003</v>
      </c>
      <c r="P96" s="27">
        <v>14500</v>
      </c>
      <c r="Q96" s="27">
        <v>153.92400000000001</v>
      </c>
      <c r="R96" s="27">
        <v>320</v>
      </c>
      <c r="S96" s="27">
        <v>6.6349999999999998</v>
      </c>
      <c r="T96" s="27">
        <v>1853</v>
      </c>
      <c r="U96" s="27">
        <v>34.887999999999998</v>
      </c>
      <c r="V96" s="27">
        <v>4119</v>
      </c>
      <c r="W96" s="27">
        <v>229.74600000000001</v>
      </c>
      <c r="X96" s="27">
        <v>24030</v>
      </c>
      <c r="Y96" s="27">
        <v>37.805</v>
      </c>
      <c r="Z96" s="27">
        <v>4327</v>
      </c>
      <c r="AA96" s="27">
        <v>6.0810000000000004</v>
      </c>
      <c r="AB96" s="22" t="s">
        <v>157</v>
      </c>
      <c r="AC96" s="5"/>
      <c r="AD96" s="5"/>
    </row>
    <row r="97" spans="1:30">
      <c r="A97" s="19" t="s">
        <v>158</v>
      </c>
      <c r="B97" s="27">
        <v>24</v>
      </c>
      <c r="C97" s="27">
        <v>4.8159999999999998</v>
      </c>
      <c r="D97" s="27">
        <v>2</v>
      </c>
      <c r="E97" s="30">
        <v>0.37</v>
      </c>
      <c r="F97" s="29" t="s">
        <v>180</v>
      </c>
      <c r="G97" s="30" t="s">
        <v>180</v>
      </c>
      <c r="H97" s="29" t="s">
        <v>180</v>
      </c>
      <c r="I97" s="30" t="s">
        <v>180</v>
      </c>
      <c r="J97" s="29" t="s">
        <v>180</v>
      </c>
      <c r="K97" s="30" t="s">
        <v>180</v>
      </c>
      <c r="L97" s="27">
        <v>4855</v>
      </c>
      <c r="M97" s="27">
        <v>39.83</v>
      </c>
      <c r="N97" s="27">
        <v>1215</v>
      </c>
      <c r="O97" s="27">
        <v>20.675000000000001</v>
      </c>
      <c r="P97" s="27">
        <v>7123</v>
      </c>
      <c r="Q97" s="27">
        <v>71.010000000000005</v>
      </c>
      <c r="R97" s="27">
        <v>1957</v>
      </c>
      <c r="S97" s="27">
        <v>31.965</v>
      </c>
      <c r="T97" s="27">
        <v>71</v>
      </c>
      <c r="U97" s="27">
        <v>1.135</v>
      </c>
      <c r="V97" s="27">
        <v>377</v>
      </c>
      <c r="W97" s="27">
        <v>22.454999999999998</v>
      </c>
      <c r="X97" s="27">
        <v>14900</v>
      </c>
      <c r="Y97" s="27">
        <v>22.6</v>
      </c>
      <c r="Z97" s="27">
        <v>3110</v>
      </c>
      <c r="AA97" s="27">
        <v>6.21</v>
      </c>
      <c r="AB97" s="22" t="s">
        <v>159</v>
      </c>
      <c r="AC97" s="5"/>
      <c r="AD97" s="5"/>
    </row>
    <row r="98" spans="1:30">
      <c r="A98" s="19" t="s">
        <v>160</v>
      </c>
      <c r="B98" s="27">
        <v>60</v>
      </c>
      <c r="C98" s="27">
        <v>12</v>
      </c>
      <c r="D98" s="29" t="s">
        <v>180</v>
      </c>
      <c r="E98" s="30">
        <v>0</v>
      </c>
      <c r="F98" s="29" t="s">
        <v>180</v>
      </c>
      <c r="G98" s="30" t="s">
        <v>180</v>
      </c>
      <c r="H98" s="29" t="s">
        <v>180</v>
      </c>
      <c r="I98" s="30" t="s">
        <v>180</v>
      </c>
      <c r="J98" s="29" t="s">
        <v>180</v>
      </c>
      <c r="K98" s="30" t="s">
        <v>180</v>
      </c>
      <c r="L98" s="27">
        <v>2800</v>
      </c>
      <c r="M98" s="27">
        <v>28</v>
      </c>
      <c r="N98" s="27">
        <v>800</v>
      </c>
      <c r="O98" s="27">
        <v>12</v>
      </c>
      <c r="P98" s="27">
        <v>1950</v>
      </c>
      <c r="Q98" s="27">
        <v>19.5</v>
      </c>
      <c r="R98" s="27">
        <v>700</v>
      </c>
      <c r="S98" s="27">
        <v>10.5</v>
      </c>
      <c r="T98" s="27">
        <v>100</v>
      </c>
      <c r="U98" s="27">
        <v>2</v>
      </c>
      <c r="V98" s="27">
        <v>1080</v>
      </c>
      <c r="W98" s="27">
        <v>86.4</v>
      </c>
      <c r="X98" s="27">
        <v>1650</v>
      </c>
      <c r="Y98" s="27">
        <v>2.625</v>
      </c>
      <c r="Z98" s="27">
        <v>1050</v>
      </c>
      <c r="AA98" s="27">
        <v>1.65</v>
      </c>
      <c r="AB98" s="22" t="s">
        <v>161</v>
      </c>
      <c r="AC98" s="5"/>
      <c r="AD98" s="5"/>
    </row>
    <row r="99" spans="1:30">
      <c r="A99" s="19" t="s">
        <v>162</v>
      </c>
      <c r="B99" s="27">
        <v>370</v>
      </c>
      <c r="C99" s="27">
        <v>67.986999999999995</v>
      </c>
      <c r="D99" s="27">
        <v>1334</v>
      </c>
      <c r="E99" s="27">
        <v>342.07799999999997</v>
      </c>
      <c r="F99" s="29" t="s">
        <v>180</v>
      </c>
      <c r="G99" s="29" t="s">
        <v>180</v>
      </c>
      <c r="H99" s="29" t="s">
        <v>180</v>
      </c>
      <c r="I99" s="30" t="s">
        <v>180</v>
      </c>
      <c r="J99" s="27">
        <v>244</v>
      </c>
      <c r="K99" s="27">
        <v>54.445</v>
      </c>
      <c r="L99" s="27">
        <v>79031</v>
      </c>
      <c r="M99" s="27">
        <v>635.51199999999994</v>
      </c>
      <c r="N99" s="27">
        <v>4045</v>
      </c>
      <c r="O99" s="27">
        <v>71.277000000000001</v>
      </c>
      <c r="P99" s="27">
        <v>75285</v>
      </c>
      <c r="Q99" s="27">
        <v>678.30700000000002</v>
      </c>
      <c r="R99" s="27">
        <v>5230</v>
      </c>
      <c r="S99" s="27">
        <v>88.564999999999998</v>
      </c>
      <c r="T99" s="27">
        <v>1568</v>
      </c>
      <c r="U99" s="27">
        <v>29.792000000000002</v>
      </c>
      <c r="V99" s="27">
        <v>3010</v>
      </c>
      <c r="W99" s="27">
        <v>211.31200000000001</v>
      </c>
      <c r="X99" s="27">
        <v>33945</v>
      </c>
      <c r="Y99" s="27">
        <v>50.671999999999997</v>
      </c>
      <c r="Z99" s="27">
        <v>23035</v>
      </c>
      <c r="AA99" s="27">
        <v>39.045999999999999</v>
      </c>
      <c r="AB99" s="22" t="s">
        <v>163</v>
      </c>
      <c r="AC99" s="5"/>
      <c r="AD99" s="5"/>
    </row>
    <row r="100" spans="1:30">
      <c r="A100" s="19" t="s">
        <v>164</v>
      </c>
      <c r="B100" s="27">
        <v>8</v>
      </c>
      <c r="C100" s="27">
        <v>1.52</v>
      </c>
      <c r="D100" s="27">
        <v>255</v>
      </c>
      <c r="E100" s="27">
        <v>63.7</v>
      </c>
      <c r="F100" s="29" t="s">
        <v>180</v>
      </c>
      <c r="G100" s="29" t="s">
        <v>180</v>
      </c>
      <c r="H100" s="29" t="s">
        <v>180</v>
      </c>
      <c r="I100" s="30" t="s">
        <v>180</v>
      </c>
      <c r="J100" s="27">
        <v>38</v>
      </c>
      <c r="K100" s="27">
        <v>7.6</v>
      </c>
      <c r="L100" s="27">
        <v>810</v>
      </c>
      <c r="M100" s="27">
        <v>9.6999999999999993</v>
      </c>
      <c r="N100" s="29" t="s">
        <v>180</v>
      </c>
      <c r="O100" s="30" t="s">
        <v>180</v>
      </c>
      <c r="P100" s="27">
        <v>924</v>
      </c>
      <c r="Q100" s="27">
        <v>11</v>
      </c>
      <c r="R100" s="29" t="s">
        <v>180</v>
      </c>
      <c r="S100" s="30" t="s">
        <v>180</v>
      </c>
      <c r="T100" s="29" t="s">
        <v>180</v>
      </c>
      <c r="U100" s="30" t="s">
        <v>180</v>
      </c>
      <c r="V100" s="27">
        <v>68</v>
      </c>
      <c r="W100" s="27">
        <v>4</v>
      </c>
      <c r="X100" s="27">
        <v>11000</v>
      </c>
      <c r="Y100" s="27">
        <v>13.7</v>
      </c>
      <c r="Z100" s="29" t="s">
        <v>180</v>
      </c>
      <c r="AA100" s="27">
        <v>0</v>
      </c>
      <c r="AB100" s="22" t="s">
        <v>165</v>
      </c>
      <c r="AC100" s="5"/>
      <c r="AD100" s="5"/>
    </row>
    <row r="101" spans="1:30">
      <c r="A101" s="19" t="s">
        <v>166</v>
      </c>
      <c r="B101" s="27">
        <v>103</v>
      </c>
      <c r="C101" s="27">
        <v>18.797999999999998</v>
      </c>
      <c r="D101" s="27">
        <v>75</v>
      </c>
      <c r="E101" s="27">
        <v>18.855</v>
      </c>
      <c r="F101" s="29" t="s">
        <v>180</v>
      </c>
      <c r="G101" s="29" t="s">
        <v>180</v>
      </c>
      <c r="H101" s="29" t="s">
        <v>180</v>
      </c>
      <c r="I101" s="30" t="s">
        <v>180</v>
      </c>
      <c r="J101" s="27">
        <v>38</v>
      </c>
      <c r="K101" s="27">
        <v>5.8</v>
      </c>
      <c r="L101" s="27">
        <v>4805</v>
      </c>
      <c r="M101" s="27">
        <v>49.81</v>
      </c>
      <c r="N101" s="27">
        <v>732</v>
      </c>
      <c r="O101" s="27">
        <v>13.54</v>
      </c>
      <c r="P101" s="27">
        <v>10644</v>
      </c>
      <c r="Q101" s="27">
        <v>104.355</v>
      </c>
      <c r="R101" s="27">
        <v>3155</v>
      </c>
      <c r="S101" s="27">
        <v>61.976999999999997</v>
      </c>
      <c r="T101" s="27">
        <v>4320</v>
      </c>
      <c r="U101" s="27">
        <v>85.724999999999994</v>
      </c>
      <c r="V101" s="27">
        <v>2830</v>
      </c>
      <c r="W101" s="27">
        <v>154.17400000000001</v>
      </c>
      <c r="X101" s="27">
        <v>297519</v>
      </c>
      <c r="Y101" s="27">
        <v>323.70499999999998</v>
      </c>
      <c r="Z101" s="27">
        <v>13987</v>
      </c>
      <c r="AA101" s="27">
        <v>25.734999999999999</v>
      </c>
      <c r="AB101" s="22" t="s">
        <v>167</v>
      </c>
      <c r="AC101" s="5"/>
      <c r="AD101" s="5"/>
    </row>
    <row r="102" spans="1:30">
      <c r="A102" s="19" t="s">
        <v>168</v>
      </c>
      <c r="B102" s="27">
        <v>103</v>
      </c>
      <c r="C102" s="27">
        <v>18.335999999999999</v>
      </c>
      <c r="D102" s="27">
        <v>176</v>
      </c>
      <c r="E102" s="27">
        <v>38.4</v>
      </c>
      <c r="F102" s="29" t="s">
        <v>180</v>
      </c>
      <c r="G102" s="30" t="s">
        <v>180</v>
      </c>
      <c r="H102" s="29" t="s">
        <v>180</v>
      </c>
      <c r="I102" s="30" t="s">
        <v>180</v>
      </c>
      <c r="J102" s="29" t="s">
        <v>180</v>
      </c>
      <c r="K102" s="30" t="s">
        <v>180</v>
      </c>
      <c r="L102" s="27">
        <v>9500</v>
      </c>
      <c r="M102" s="27">
        <v>95</v>
      </c>
      <c r="N102" s="29" t="s">
        <v>180</v>
      </c>
      <c r="O102" s="30" t="s">
        <v>180</v>
      </c>
      <c r="P102" s="27">
        <v>6975</v>
      </c>
      <c r="Q102" s="27">
        <v>69.75</v>
      </c>
      <c r="R102" s="29" t="s">
        <v>180</v>
      </c>
      <c r="S102" s="30" t="s">
        <v>180</v>
      </c>
      <c r="T102" s="27">
        <v>228</v>
      </c>
      <c r="U102" s="27">
        <v>4.4400000000000004</v>
      </c>
      <c r="V102" s="27">
        <v>250</v>
      </c>
      <c r="W102" s="27">
        <v>16.45</v>
      </c>
      <c r="X102" s="27">
        <v>1100</v>
      </c>
      <c r="Y102" s="27">
        <v>2.0099999999999998</v>
      </c>
      <c r="Z102" s="27">
        <v>3400</v>
      </c>
      <c r="AA102" s="27">
        <v>6.84</v>
      </c>
      <c r="AB102" s="22" t="s">
        <v>169</v>
      </c>
      <c r="AC102" s="5"/>
      <c r="AD102" s="5"/>
    </row>
    <row r="103" spans="1:30">
      <c r="A103" s="47" t="s">
        <v>170</v>
      </c>
      <c r="B103" s="36">
        <f t="shared" ref="B103:G103" si="30">SUM(B105:B108)</f>
        <v>198</v>
      </c>
      <c r="C103" s="36">
        <f t="shared" si="30"/>
        <v>35.768999999999998</v>
      </c>
      <c r="D103" s="36">
        <f t="shared" si="30"/>
        <v>1645</v>
      </c>
      <c r="E103" s="36">
        <f t="shared" si="30"/>
        <v>410.125</v>
      </c>
      <c r="F103" s="36">
        <f t="shared" si="30"/>
        <v>1</v>
      </c>
      <c r="G103" s="36">
        <f t="shared" si="30"/>
        <v>0</v>
      </c>
      <c r="H103" s="36">
        <f t="shared" ref="H103:M103" si="31">SUM(H105:H108)</f>
        <v>0</v>
      </c>
      <c r="I103" s="36">
        <f t="shared" si="31"/>
        <v>0</v>
      </c>
      <c r="J103" s="36">
        <f t="shared" si="31"/>
        <v>326</v>
      </c>
      <c r="K103" s="36">
        <f t="shared" si="31"/>
        <v>92.662000000000006</v>
      </c>
      <c r="L103" s="36">
        <f t="shared" si="31"/>
        <v>788318</v>
      </c>
      <c r="M103" s="36">
        <f t="shared" si="31"/>
        <v>7682.1900000000005</v>
      </c>
      <c r="N103" s="36">
        <f>SUM(N105:N108)</f>
        <v>87047</v>
      </c>
      <c r="O103" s="36">
        <f>SUM(O105:O108)</f>
        <v>1613.846</v>
      </c>
      <c r="P103" s="36">
        <f t="shared" ref="P103:AA103" si="32">SUM(P105:P108)</f>
        <v>202095</v>
      </c>
      <c r="Q103" s="36">
        <f t="shared" si="32"/>
        <v>1923.2670000000001</v>
      </c>
      <c r="R103" s="36">
        <f t="shared" si="32"/>
        <v>38123</v>
      </c>
      <c r="S103" s="36">
        <f t="shared" si="32"/>
        <v>800.98400000000004</v>
      </c>
      <c r="T103" s="36">
        <f t="shared" si="32"/>
        <v>35584</v>
      </c>
      <c r="U103" s="36">
        <f t="shared" si="32"/>
        <v>612.74400000000003</v>
      </c>
      <c r="V103" s="36">
        <f t="shared" si="32"/>
        <v>65797</v>
      </c>
      <c r="W103" s="36">
        <f t="shared" si="32"/>
        <v>4492.366</v>
      </c>
      <c r="X103" s="36">
        <f t="shared" si="32"/>
        <v>730029</v>
      </c>
      <c r="Y103" s="36">
        <f t="shared" si="32"/>
        <v>1407.7329999999999</v>
      </c>
      <c r="Z103" s="36">
        <f t="shared" si="32"/>
        <v>887017</v>
      </c>
      <c r="AA103" s="36">
        <f t="shared" si="32"/>
        <v>1547.58</v>
      </c>
      <c r="AB103" s="52" t="s">
        <v>171</v>
      </c>
      <c r="AC103" s="52"/>
      <c r="AD103" s="52"/>
    </row>
    <row r="104" spans="1:30">
      <c r="A104" s="47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52"/>
      <c r="AC104" s="52"/>
      <c r="AD104" s="52"/>
    </row>
    <row r="105" spans="1:30">
      <c r="A105" s="19" t="s">
        <v>172</v>
      </c>
      <c r="B105" s="27">
        <v>112</v>
      </c>
      <c r="C105" s="27">
        <v>18.553999999999998</v>
      </c>
      <c r="D105" s="27">
        <v>1120</v>
      </c>
      <c r="E105" s="27">
        <v>224</v>
      </c>
      <c r="F105" s="29" t="s">
        <v>180</v>
      </c>
      <c r="G105" s="29" t="s">
        <v>180</v>
      </c>
      <c r="H105" s="29" t="s">
        <v>180</v>
      </c>
      <c r="I105" s="30" t="s">
        <v>180</v>
      </c>
      <c r="J105" s="27">
        <v>266</v>
      </c>
      <c r="K105" s="27">
        <v>70.2</v>
      </c>
      <c r="L105" s="27">
        <v>101396</v>
      </c>
      <c r="M105" s="27">
        <v>896.71900000000005</v>
      </c>
      <c r="N105" s="27">
        <v>17368</v>
      </c>
      <c r="O105" s="27">
        <v>316.58600000000001</v>
      </c>
      <c r="P105" s="27">
        <v>14809</v>
      </c>
      <c r="Q105" s="27">
        <v>140.17699999999999</v>
      </c>
      <c r="R105" s="27">
        <v>3085</v>
      </c>
      <c r="S105" s="27">
        <v>57.338000000000001</v>
      </c>
      <c r="T105" s="27">
        <v>6476</v>
      </c>
      <c r="U105" s="27">
        <v>128.28</v>
      </c>
      <c r="V105" s="27">
        <v>5328</v>
      </c>
      <c r="W105" s="27">
        <v>303.05</v>
      </c>
      <c r="X105" s="27">
        <v>234441</v>
      </c>
      <c r="Y105" s="27">
        <v>446.36</v>
      </c>
      <c r="Z105" s="27">
        <v>403695</v>
      </c>
      <c r="AA105" s="27">
        <v>634.15</v>
      </c>
      <c r="AB105" s="22" t="s">
        <v>173</v>
      </c>
      <c r="AC105" s="5"/>
      <c r="AD105" s="5"/>
    </row>
    <row r="106" spans="1:30">
      <c r="A106" s="19" t="s">
        <v>174</v>
      </c>
      <c r="B106" s="27">
        <v>2</v>
      </c>
      <c r="C106" s="30">
        <v>0.4</v>
      </c>
      <c r="D106" s="27">
        <v>7</v>
      </c>
      <c r="E106" s="27">
        <v>1.26</v>
      </c>
      <c r="F106" s="29" t="s">
        <v>180</v>
      </c>
      <c r="G106" s="29" t="s">
        <v>180</v>
      </c>
      <c r="H106" s="29" t="s">
        <v>180</v>
      </c>
      <c r="I106" s="30" t="s">
        <v>180</v>
      </c>
      <c r="J106" s="29" t="s">
        <v>180</v>
      </c>
      <c r="K106" s="30" t="s">
        <v>180</v>
      </c>
      <c r="L106" s="27">
        <v>25253</v>
      </c>
      <c r="M106" s="27">
        <v>260.81299999999999</v>
      </c>
      <c r="N106" s="27">
        <v>19858</v>
      </c>
      <c r="O106" s="27">
        <v>417.822</v>
      </c>
      <c r="P106" s="27">
        <v>20413</v>
      </c>
      <c r="Q106" s="27">
        <v>213.39</v>
      </c>
      <c r="R106" s="27">
        <v>18253</v>
      </c>
      <c r="S106" s="27">
        <v>442.76600000000002</v>
      </c>
      <c r="T106" s="27">
        <v>3914</v>
      </c>
      <c r="U106" s="27">
        <v>69.120999999999995</v>
      </c>
      <c r="V106" s="27">
        <v>4956</v>
      </c>
      <c r="W106" s="27">
        <v>232.68299999999999</v>
      </c>
      <c r="X106" s="27">
        <v>48645</v>
      </c>
      <c r="Y106" s="27">
        <v>81.486999999999995</v>
      </c>
      <c r="Z106" s="27">
        <v>118140</v>
      </c>
      <c r="AA106" s="27">
        <v>224.934</v>
      </c>
      <c r="AB106" s="22" t="s">
        <v>175</v>
      </c>
      <c r="AC106" s="5"/>
      <c r="AD106" s="5"/>
    </row>
    <row r="107" spans="1:30">
      <c r="A107" s="19" t="s">
        <v>176</v>
      </c>
      <c r="B107" s="27">
        <v>68</v>
      </c>
      <c r="C107" s="27">
        <v>13.951000000000001</v>
      </c>
      <c r="D107" s="27">
        <v>186</v>
      </c>
      <c r="E107" s="27">
        <v>63.226999999999997</v>
      </c>
      <c r="F107" s="27">
        <v>1</v>
      </c>
      <c r="G107" s="30" t="s">
        <v>180</v>
      </c>
      <c r="H107" s="29" t="s">
        <v>180</v>
      </c>
      <c r="I107" s="29" t="s">
        <v>180</v>
      </c>
      <c r="J107" s="29" t="s">
        <v>180</v>
      </c>
      <c r="K107" s="30" t="s">
        <v>180</v>
      </c>
      <c r="L107" s="27">
        <v>584952</v>
      </c>
      <c r="M107" s="27">
        <v>5762.7290000000003</v>
      </c>
      <c r="N107" s="27">
        <v>40061</v>
      </c>
      <c r="O107" s="27">
        <v>715.55200000000002</v>
      </c>
      <c r="P107" s="27">
        <v>135431</v>
      </c>
      <c r="Q107" s="27">
        <v>1265.078</v>
      </c>
      <c r="R107" s="27">
        <v>11121</v>
      </c>
      <c r="S107" s="27">
        <v>206.86699999999999</v>
      </c>
      <c r="T107" s="27">
        <v>19349</v>
      </c>
      <c r="U107" s="27">
        <v>316.56099999999998</v>
      </c>
      <c r="V107" s="27">
        <v>38915</v>
      </c>
      <c r="W107" s="27">
        <v>2851.3870000000002</v>
      </c>
      <c r="X107" s="27">
        <v>243579</v>
      </c>
      <c r="Y107" s="27">
        <v>485.19200000000001</v>
      </c>
      <c r="Z107" s="27">
        <v>151825</v>
      </c>
      <c r="AA107" s="27">
        <v>318.73500000000001</v>
      </c>
      <c r="AB107" s="22" t="s">
        <v>177</v>
      </c>
      <c r="AC107" s="5"/>
      <c r="AD107" s="5"/>
    </row>
    <row r="108" spans="1:30" ht="11.3" thickBot="1">
      <c r="A108" s="21" t="s">
        <v>178</v>
      </c>
      <c r="B108" s="28">
        <v>16</v>
      </c>
      <c r="C108" s="28">
        <v>2.8639999999999999</v>
      </c>
      <c r="D108" s="28">
        <v>332</v>
      </c>
      <c r="E108" s="28">
        <v>121.63800000000001</v>
      </c>
      <c r="F108" s="31" t="s">
        <v>180</v>
      </c>
      <c r="G108" s="31" t="s">
        <v>180</v>
      </c>
      <c r="H108" s="31" t="s">
        <v>180</v>
      </c>
      <c r="I108" s="32" t="s">
        <v>180</v>
      </c>
      <c r="J108" s="28">
        <v>60</v>
      </c>
      <c r="K108" s="28">
        <v>22.462</v>
      </c>
      <c r="L108" s="28">
        <v>76717</v>
      </c>
      <c r="M108" s="28">
        <v>761.92899999999997</v>
      </c>
      <c r="N108" s="28">
        <v>9760</v>
      </c>
      <c r="O108" s="28">
        <v>163.886</v>
      </c>
      <c r="P108" s="28">
        <v>31442</v>
      </c>
      <c r="Q108" s="28">
        <v>304.62200000000001</v>
      </c>
      <c r="R108" s="28">
        <v>5664</v>
      </c>
      <c r="S108" s="28">
        <v>94.013000000000005</v>
      </c>
      <c r="T108" s="28">
        <v>5845</v>
      </c>
      <c r="U108" s="28">
        <v>98.781999999999996</v>
      </c>
      <c r="V108" s="28">
        <v>16598</v>
      </c>
      <c r="W108" s="28">
        <v>1105.2460000000001</v>
      </c>
      <c r="X108" s="28">
        <v>203364</v>
      </c>
      <c r="Y108" s="28">
        <v>394.69400000000002</v>
      </c>
      <c r="Z108" s="28">
        <v>213357</v>
      </c>
      <c r="AA108" s="28">
        <v>369.76100000000002</v>
      </c>
      <c r="AB108" s="23" t="s">
        <v>179</v>
      </c>
      <c r="AC108" s="6"/>
      <c r="AD108" s="6"/>
    </row>
  </sheetData>
  <mergeCells count="381">
    <mergeCell ref="AB32:AD33"/>
    <mergeCell ref="A103:A104"/>
    <mergeCell ref="AB103:AD104"/>
    <mergeCell ref="A64:A65"/>
    <mergeCell ref="AB64:AD65"/>
    <mergeCell ref="A71:A72"/>
    <mergeCell ref="AB71:AD72"/>
    <mergeCell ref="A81:A82"/>
    <mergeCell ref="AB81:AD82"/>
    <mergeCell ref="A52:A53"/>
    <mergeCell ref="AB52:AD53"/>
    <mergeCell ref="A59:A60"/>
    <mergeCell ref="AB59:AD60"/>
    <mergeCell ref="E59:E60"/>
    <mergeCell ref="B59:B60"/>
    <mergeCell ref="C59:C60"/>
    <mergeCell ref="D59:D60"/>
    <mergeCell ref="F59:F60"/>
    <mergeCell ref="H64:H65"/>
    <mergeCell ref="M59:M60"/>
    <mergeCell ref="A88:A89"/>
    <mergeCell ref="AB88:AD89"/>
    <mergeCell ref="A38:A39"/>
    <mergeCell ref="AB38:AD39"/>
    <mergeCell ref="B38:B39"/>
    <mergeCell ref="C38:C39"/>
    <mergeCell ref="A45:A46"/>
    <mergeCell ref="AB45:AD46"/>
    <mergeCell ref="F38:F39"/>
    <mergeCell ref="G38:G39"/>
    <mergeCell ref="A32:A33"/>
    <mergeCell ref="B32:B33"/>
    <mergeCell ref="L38:L39"/>
    <mergeCell ref="M38:M39"/>
    <mergeCell ref="H38:H39"/>
    <mergeCell ref="I38:I39"/>
    <mergeCell ref="C32:C33"/>
    <mergeCell ref="D32:D33"/>
    <mergeCell ref="E32:E33"/>
    <mergeCell ref="J38:J39"/>
    <mergeCell ref="K38:K39"/>
    <mergeCell ref="D38:D39"/>
    <mergeCell ref="E38:E39"/>
    <mergeCell ref="L32:L33"/>
    <mergeCell ref="M32:M33"/>
    <mergeCell ref="J32:J33"/>
    <mergeCell ref="K32:K33"/>
    <mergeCell ref="F32:F33"/>
    <mergeCell ref="A18:A19"/>
    <mergeCell ref="AB18:AD19"/>
    <mergeCell ref="A8:A9"/>
    <mergeCell ref="H18:H19"/>
    <mergeCell ref="I18:I19"/>
    <mergeCell ref="J18:J19"/>
    <mergeCell ref="K18:K19"/>
    <mergeCell ref="H10:H11"/>
    <mergeCell ref="B10:B11"/>
    <mergeCell ref="C10:C11"/>
    <mergeCell ref="L18:L19"/>
    <mergeCell ref="M18:M19"/>
    <mergeCell ref="B18:B19"/>
    <mergeCell ref="C18:C19"/>
    <mergeCell ref="D18:D19"/>
    <mergeCell ref="E18:E19"/>
    <mergeCell ref="Z8:Z9"/>
    <mergeCell ref="AA8:AA9"/>
    <mergeCell ref="Z10:Z11"/>
    <mergeCell ref="AA10:AA11"/>
    <mergeCell ref="Z18:Z19"/>
    <mergeCell ref="AA18:AA19"/>
    <mergeCell ref="Y18:Y19"/>
    <mergeCell ref="J10:J11"/>
    <mergeCell ref="B6:C6"/>
    <mergeCell ref="D6:E6"/>
    <mergeCell ref="F6:G6"/>
    <mergeCell ref="H6:I6"/>
    <mergeCell ref="J6:K6"/>
    <mergeCell ref="L6:M6"/>
    <mergeCell ref="A6:A7"/>
    <mergeCell ref="AB8:AD9"/>
    <mergeCell ref="A10:A11"/>
    <mergeCell ref="AB10:AD11"/>
    <mergeCell ref="L10:L11"/>
    <mergeCell ref="M10:M11"/>
    <mergeCell ref="B8:B9"/>
    <mergeCell ref="C8:C9"/>
    <mergeCell ref="L8:L9"/>
    <mergeCell ref="M8:M9"/>
    <mergeCell ref="N8:N9"/>
    <mergeCell ref="O8:O9"/>
    <mergeCell ref="P8:P9"/>
    <mergeCell ref="N10:N11"/>
    <mergeCell ref="O10:O11"/>
    <mergeCell ref="P10:P11"/>
    <mergeCell ref="Z6:AA6"/>
    <mergeCell ref="N6:O6"/>
    <mergeCell ref="K10:K11"/>
    <mergeCell ref="I8:I9"/>
    <mergeCell ref="J8:J9"/>
    <mergeCell ref="K8:K9"/>
    <mergeCell ref="D10:D11"/>
    <mergeCell ref="E10:E11"/>
    <mergeCell ref="D52:D53"/>
    <mergeCell ref="E52:E53"/>
    <mergeCell ref="L45:L46"/>
    <mergeCell ref="G32:G33"/>
    <mergeCell ref="H32:H33"/>
    <mergeCell ref="I32:I33"/>
    <mergeCell ref="F18:F19"/>
    <mergeCell ref="G18:G19"/>
    <mergeCell ref="D8:D9"/>
    <mergeCell ref="E8:E9"/>
    <mergeCell ref="F10:F11"/>
    <mergeCell ref="G10:G11"/>
    <mergeCell ref="H8:H9"/>
    <mergeCell ref="F8:F9"/>
    <mergeCell ref="G8:G9"/>
    <mergeCell ref="I10:I11"/>
    <mergeCell ref="M45:M46"/>
    <mergeCell ref="H52:H53"/>
    <mergeCell ref="B52:B53"/>
    <mergeCell ref="C52:C53"/>
    <mergeCell ref="E45:E46"/>
    <mergeCell ref="B45:B46"/>
    <mergeCell ref="C45:C46"/>
    <mergeCell ref="D45:D46"/>
    <mergeCell ref="F45:F46"/>
    <mergeCell ref="I52:I53"/>
    <mergeCell ref="J52:J53"/>
    <mergeCell ref="I45:I46"/>
    <mergeCell ref="J45:J46"/>
    <mergeCell ref="K45:K46"/>
    <mergeCell ref="K52:K53"/>
    <mergeCell ref="L52:L53"/>
    <mergeCell ref="M52:M53"/>
    <mergeCell ref="F52:F53"/>
    <mergeCell ref="G52:G53"/>
    <mergeCell ref="G45:G46"/>
    <mergeCell ref="H45:H46"/>
    <mergeCell ref="D64:D65"/>
    <mergeCell ref="B64:B65"/>
    <mergeCell ref="C64:C65"/>
    <mergeCell ref="E64:E65"/>
    <mergeCell ref="J59:J60"/>
    <mergeCell ref="K59:K60"/>
    <mergeCell ref="L59:L60"/>
    <mergeCell ref="G59:G60"/>
    <mergeCell ref="H59:H60"/>
    <mergeCell ref="I59:I60"/>
    <mergeCell ref="L64:L65"/>
    <mergeCell ref="M64:M65"/>
    <mergeCell ref="I71:I72"/>
    <mergeCell ref="J71:J72"/>
    <mergeCell ref="I64:I65"/>
    <mergeCell ref="J64:J65"/>
    <mergeCell ref="K64:K65"/>
    <mergeCell ref="F64:F65"/>
    <mergeCell ref="G64:G65"/>
    <mergeCell ref="K71:K72"/>
    <mergeCell ref="L71:L72"/>
    <mergeCell ref="M71:M72"/>
    <mergeCell ref="F71:F72"/>
    <mergeCell ref="G71:G72"/>
    <mergeCell ref="H71:H72"/>
    <mergeCell ref="B71:B72"/>
    <mergeCell ref="C71:C72"/>
    <mergeCell ref="D71:D72"/>
    <mergeCell ref="E71:E72"/>
    <mergeCell ref="M81:M82"/>
    <mergeCell ref="D88:D89"/>
    <mergeCell ref="B88:B89"/>
    <mergeCell ref="C88:C89"/>
    <mergeCell ref="E88:E89"/>
    <mergeCell ref="J81:J82"/>
    <mergeCell ref="K81:K82"/>
    <mergeCell ref="L81:L82"/>
    <mergeCell ref="G81:G82"/>
    <mergeCell ref="H81:H82"/>
    <mergeCell ref="I81:I82"/>
    <mergeCell ref="B81:B82"/>
    <mergeCell ref="C81:C82"/>
    <mergeCell ref="D81:D82"/>
    <mergeCell ref="E81:E82"/>
    <mergeCell ref="F81:F82"/>
    <mergeCell ref="L88:L89"/>
    <mergeCell ref="M88:M89"/>
    <mergeCell ref="B103:B104"/>
    <mergeCell ref="C103:C104"/>
    <mergeCell ref="E103:E104"/>
    <mergeCell ref="H103:H104"/>
    <mergeCell ref="I103:I104"/>
    <mergeCell ref="J103:J104"/>
    <mergeCell ref="D103:D104"/>
    <mergeCell ref="F103:F104"/>
    <mergeCell ref="G103:G104"/>
    <mergeCell ref="K103:K104"/>
    <mergeCell ref="L103:L104"/>
    <mergeCell ref="M103:M104"/>
    <mergeCell ref="K88:K89"/>
    <mergeCell ref="F88:F89"/>
    <mergeCell ref="G88:G89"/>
    <mergeCell ref="H88:H89"/>
    <mergeCell ref="I88:I89"/>
    <mergeCell ref="J88:J89"/>
    <mergeCell ref="P6:Q6"/>
    <mergeCell ref="R6:S6"/>
    <mergeCell ref="T6:U6"/>
    <mergeCell ref="V6:W6"/>
    <mergeCell ref="X6:Y6"/>
    <mergeCell ref="W10:W11"/>
    <mergeCell ref="X10:X11"/>
    <mergeCell ref="T10:T11"/>
    <mergeCell ref="U10:U11"/>
    <mergeCell ref="V10:V11"/>
    <mergeCell ref="Q10:Q11"/>
    <mergeCell ref="Y8:Y9"/>
    <mergeCell ref="Y10:Y11"/>
    <mergeCell ref="Q8:Q9"/>
    <mergeCell ref="R8:R9"/>
    <mergeCell ref="S8:S9"/>
    <mergeCell ref="R10:R11"/>
    <mergeCell ref="S10:S11"/>
    <mergeCell ref="W8:W9"/>
    <mergeCell ref="X8:X9"/>
    <mergeCell ref="T8:T9"/>
    <mergeCell ref="U8:U9"/>
    <mergeCell ref="V8:V9"/>
    <mergeCell ref="N32:N33"/>
    <mergeCell ref="O32:O33"/>
    <mergeCell ref="P32:P33"/>
    <mergeCell ref="W18:W19"/>
    <mergeCell ref="X18:X19"/>
    <mergeCell ref="T18:T19"/>
    <mergeCell ref="U18:U19"/>
    <mergeCell ref="V18:V19"/>
    <mergeCell ref="Q18:Q19"/>
    <mergeCell ref="R18:R19"/>
    <mergeCell ref="S18:S19"/>
    <mergeCell ref="R32:R33"/>
    <mergeCell ref="S32:S33"/>
    <mergeCell ref="N18:N19"/>
    <mergeCell ref="O18:O19"/>
    <mergeCell ref="P18:P19"/>
    <mergeCell ref="W32:W33"/>
    <mergeCell ref="X32:X33"/>
    <mergeCell ref="T32:T33"/>
    <mergeCell ref="U32:U33"/>
    <mergeCell ref="V32:V33"/>
    <mergeCell ref="Q32:Q33"/>
    <mergeCell ref="Z32:Z33"/>
    <mergeCell ref="AA32:AA33"/>
    <mergeCell ref="Y32:Y33"/>
    <mergeCell ref="N45:N46"/>
    <mergeCell ref="O45:O46"/>
    <mergeCell ref="P45:P46"/>
    <mergeCell ref="W38:W39"/>
    <mergeCell ref="X38:X39"/>
    <mergeCell ref="T38:T39"/>
    <mergeCell ref="U38:U39"/>
    <mergeCell ref="V38:V39"/>
    <mergeCell ref="Q38:Q39"/>
    <mergeCell ref="R38:R39"/>
    <mergeCell ref="S38:S39"/>
    <mergeCell ref="R45:R46"/>
    <mergeCell ref="S45:S46"/>
    <mergeCell ref="N38:N39"/>
    <mergeCell ref="O38:O39"/>
    <mergeCell ref="P38:P39"/>
    <mergeCell ref="W45:W46"/>
    <mergeCell ref="X45:X46"/>
    <mergeCell ref="T45:T46"/>
    <mergeCell ref="U45:U46"/>
    <mergeCell ref="V45:V46"/>
    <mergeCell ref="Q45:Q46"/>
    <mergeCell ref="Z38:Z39"/>
    <mergeCell ref="AA38:AA39"/>
    <mergeCell ref="Y38:Y39"/>
    <mergeCell ref="Z45:Z46"/>
    <mergeCell ref="AA45:AA46"/>
    <mergeCell ref="Y45:Y46"/>
    <mergeCell ref="N59:N60"/>
    <mergeCell ref="O59:O60"/>
    <mergeCell ref="P59:P60"/>
    <mergeCell ref="W52:W53"/>
    <mergeCell ref="X52:X53"/>
    <mergeCell ref="T52:T53"/>
    <mergeCell ref="U52:U53"/>
    <mergeCell ref="V52:V53"/>
    <mergeCell ref="Q52:Q53"/>
    <mergeCell ref="R52:R53"/>
    <mergeCell ref="S52:S53"/>
    <mergeCell ref="R59:R60"/>
    <mergeCell ref="S59:S60"/>
    <mergeCell ref="N52:N53"/>
    <mergeCell ref="O52:O53"/>
    <mergeCell ref="P52:P53"/>
    <mergeCell ref="W59:W60"/>
    <mergeCell ref="X59:X60"/>
    <mergeCell ref="T59:T60"/>
    <mergeCell ref="U59:U60"/>
    <mergeCell ref="V59:V60"/>
    <mergeCell ref="Q59:Q60"/>
    <mergeCell ref="Z52:Z53"/>
    <mergeCell ref="AA52:AA53"/>
    <mergeCell ref="Y52:Y53"/>
    <mergeCell ref="Z59:Z60"/>
    <mergeCell ref="AA59:AA60"/>
    <mergeCell ref="Y59:Y60"/>
    <mergeCell ref="N71:N72"/>
    <mergeCell ref="O71:O72"/>
    <mergeCell ref="P71:P72"/>
    <mergeCell ref="W64:W65"/>
    <mergeCell ref="X64:X65"/>
    <mergeCell ref="T64:T65"/>
    <mergeCell ref="U64:U65"/>
    <mergeCell ref="V64:V65"/>
    <mergeCell ref="Q64:Q65"/>
    <mergeCell ref="R64:R65"/>
    <mergeCell ref="S64:S65"/>
    <mergeCell ref="R71:R72"/>
    <mergeCell ref="S71:S72"/>
    <mergeCell ref="N64:N65"/>
    <mergeCell ref="O64:O65"/>
    <mergeCell ref="P64:P65"/>
    <mergeCell ref="W71:W72"/>
    <mergeCell ref="X71:X72"/>
    <mergeCell ref="T71:T72"/>
    <mergeCell ref="U71:U72"/>
    <mergeCell ref="V71:V72"/>
    <mergeCell ref="Q71:Q72"/>
    <mergeCell ref="Z64:Z65"/>
    <mergeCell ref="AA64:AA65"/>
    <mergeCell ref="Y64:Y65"/>
    <mergeCell ref="Z71:Z72"/>
    <mergeCell ref="AA71:AA72"/>
    <mergeCell ref="Y71:Y72"/>
    <mergeCell ref="AA81:AA82"/>
    <mergeCell ref="Y81:Y82"/>
    <mergeCell ref="Z88:Z89"/>
    <mergeCell ref="AA88:AA89"/>
    <mergeCell ref="Y88:Y89"/>
    <mergeCell ref="N88:N89"/>
    <mergeCell ref="O88:O89"/>
    <mergeCell ref="P88:P89"/>
    <mergeCell ref="W81:W82"/>
    <mergeCell ref="X81:X82"/>
    <mergeCell ref="T81:T82"/>
    <mergeCell ref="U81:U82"/>
    <mergeCell ref="V81:V82"/>
    <mergeCell ref="Q81:Q82"/>
    <mergeCell ref="R81:R82"/>
    <mergeCell ref="S81:S82"/>
    <mergeCell ref="R88:R89"/>
    <mergeCell ref="S88:S89"/>
    <mergeCell ref="N81:N82"/>
    <mergeCell ref="O81:O82"/>
    <mergeCell ref="P81:P82"/>
    <mergeCell ref="G3:V3"/>
    <mergeCell ref="G2:V2"/>
    <mergeCell ref="W103:W104"/>
    <mergeCell ref="X103:X104"/>
    <mergeCell ref="Y103:Y104"/>
    <mergeCell ref="AB6:AD7"/>
    <mergeCell ref="R103:R104"/>
    <mergeCell ref="S103:S104"/>
    <mergeCell ref="Z103:Z104"/>
    <mergeCell ref="AA103:AA104"/>
    <mergeCell ref="N103:N104"/>
    <mergeCell ref="O103:O104"/>
    <mergeCell ref="P103:P104"/>
    <mergeCell ref="W88:W89"/>
    <mergeCell ref="X88:X89"/>
    <mergeCell ref="T88:T89"/>
    <mergeCell ref="U88:U89"/>
    <mergeCell ref="V88:V89"/>
    <mergeCell ref="Q88:Q89"/>
    <mergeCell ref="T103:T104"/>
    <mergeCell ref="U103:U104"/>
    <mergeCell ref="V103:V104"/>
    <mergeCell ref="Q103:Q104"/>
    <mergeCell ref="Z81:Z8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moniakix</cp:lastModifiedBy>
  <dcterms:created xsi:type="dcterms:W3CDTF">2015-05-22T07:33:21Z</dcterms:created>
  <dcterms:modified xsi:type="dcterms:W3CDTF">2019-02-06T15:01:33Z</dcterms:modified>
</cp:coreProperties>
</file>