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E9" i="1"/>
  <c r="H13"/>
  <c r="D13"/>
  <c r="B65"/>
  <c r="C65"/>
  <c r="H109" l="1"/>
  <c r="H108"/>
  <c r="H107"/>
  <c r="H106"/>
  <c r="H103"/>
  <c r="H102"/>
  <c r="H101"/>
  <c r="H100"/>
  <c r="H99"/>
  <c r="H98"/>
  <c r="H97"/>
  <c r="H96"/>
  <c r="H95"/>
  <c r="H94"/>
  <c r="H93"/>
  <c r="H92"/>
  <c r="H91"/>
  <c r="H88"/>
  <c r="H87"/>
  <c r="H86"/>
  <c r="H85"/>
  <c r="H84"/>
  <c r="H81"/>
  <c r="H80"/>
  <c r="H79"/>
  <c r="H78"/>
  <c r="H77"/>
  <c r="H76"/>
  <c r="H75"/>
  <c r="H74"/>
  <c r="H71"/>
  <c r="H70"/>
  <c r="H69"/>
  <c r="H68"/>
  <c r="H67"/>
  <c r="H64"/>
  <c r="H63"/>
  <c r="H62"/>
  <c r="H59"/>
  <c r="H58"/>
  <c r="H57"/>
  <c r="H56"/>
  <c r="H55"/>
  <c r="H52"/>
  <c r="H51"/>
  <c r="H50"/>
  <c r="H49"/>
  <c r="H48"/>
  <c r="H45"/>
  <c r="H44"/>
  <c r="H43"/>
  <c r="H42"/>
  <c r="H41"/>
  <c r="H38"/>
  <c r="H37"/>
  <c r="H36"/>
  <c r="H35"/>
  <c r="H32"/>
  <c r="H31"/>
  <c r="H30"/>
  <c r="H29"/>
  <c r="H27"/>
  <c r="H26"/>
  <c r="H25"/>
  <c r="H24"/>
  <c r="H23"/>
  <c r="H22"/>
  <c r="H21"/>
  <c r="H18"/>
  <c r="H17"/>
  <c r="H16"/>
  <c r="H15"/>
  <c r="H14"/>
  <c r="H11" l="1"/>
  <c r="H104"/>
  <c r="H89"/>
  <c r="H82"/>
  <c r="H72"/>
  <c r="H65"/>
  <c r="H60"/>
  <c r="H53"/>
  <c r="H46"/>
  <c r="H39"/>
  <c r="H33"/>
  <c r="H28"/>
  <c r="H19"/>
  <c r="B19"/>
  <c r="B11"/>
  <c r="K104"/>
  <c r="J104"/>
  <c r="I104"/>
  <c r="G104"/>
  <c r="F104"/>
  <c r="E104"/>
  <c r="K89"/>
  <c r="J89"/>
  <c r="I89"/>
  <c r="G89"/>
  <c r="F89"/>
  <c r="E89"/>
  <c r="K82"/>
  <c r="J82"/>
  <c r="I82"/>
  <c r="G82"/>
  <c r="F82"/>
  <c r="E82"/>
  <c r="K72"/>
  <c r="J72"/>
  <c r="I72"/>
  <c r="G72"/>
  <c r="F72"/>
  <c r="E72"/>
  <c r="K65"/>
  <c r="J65"/>
  <c r="I65"/>
  <c r="G65"/>
  <c r="F65"/>
  <c r="E65"/>
  <c r="K60"/>
  <c r="J60"/>
  <c r="I60"/>
  <c r="G60"/>
  <c r="F60"/>
  <c r="E60"/>
  <c r="K53"/>
  <c r="J53"/>
  <c r="I53"/>
  <c r="G53"/>
  <c r="F53"/>
  <c r="E53"/>
  <c r="K46"/>
  <c r="J46"/>
  <c r="I46"/>
  <c r="G46"/>
  <c r="F46"/>
  <c r="E46"/>
  <c r="K39"/>
  <c r="J39"/>
  <c r="I39"/>
  <c r="G39"/>
  <c r="F39"/>
  <c r="E39"/>
  <c r="K33"/>
  <c r="J33"/>
  <c r="I33"/>
  <c r="G33"/>
  <c r="F33"/>
  <c r="E33"/>
  <c r="K28"/>
  <c r="J28"/>
  <c r="I28"/>
  <c r="F28"/>
  <c r="G28"/>
  <c r="E28"/>
  <c r="K19"/>
  <c r="J19"/>
  <c r="I19"/>
  <c r="F19"/>
  <c r="G19"/>
  <c r="E19"/>
  <c r="K11"/>
  <c r="J11"/>
  <c r="I11"/>
  <c r="F11"/>
  <c r="G11"/>
  <c r="E11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8"/>
  <c r="D57"/>
  <c r="D56"/>
  <c r="D55"/>
  <c r="D52"/>
  <c r="D51"/>
  <c r="D50"/>
  <c r="D49"/>
  <c r="D48"/>
  <c r="D45"/>
  <c r="D44"/>
  <c r="D43"/>
  <c r="D42"/>
  <c r="D41"/>
  <c r="D38"/>
  <c r="D37"/>
  <c r="D36"/>
  <c r="D35"/>
  <c r="D32"/>
  <c r="D31"/>
  <c r="D30"/>
  <c r="D29"/>
  <c r="D27"/>
  <c r="D26"/>
  <c r="D25"/>
  <c r="D24"/>
  <c r="D23"/>
  <c r="D22"/>
  <c r="D21"/>
  <c r="D18"/>
  <c r="D17"/>
  <c r="D16"/>
  <c r="D15"/>
  <c r="D14"/>
  <c r="C104"/>
  <c r="B104"/>
  <c r="C89"/>
  <c r="B89"/>
  <c r="C82"/>
  <c r="B82"/>
  <c r="C72"/>
  <c r="B72"/>
  <c r="C60"/>
  <c r="B60"/>
  <c r="C53"/>
  <c r="B53"/>
  <c r="C39"/>
  <c r="C33"/>
  <c r="C46"/>
  <c r="B46"/>
  <c r="B39"/>
  <c r="B33"/>
  <c r="C28"/>
  <c r="B28"/>
  <c r="C19"/>
  <c r="C11"/>
  <c r="C9" s="1"/>
  <c r="B9" l="1"/>
  <c r="D28"/>
  <c r="D33"/>
  <c r="D39"/>
  <c r="D53"/>
  <c r="D65"/>
  <c r="D89"/>
  <c r="D11"/>
  <c r="D19"/>
  <c r="D46"/>
  <c r="D60"/>
  <c r="D72"/>
  <c r="D82"/>
  <c r="D104"/>
  <c r="H9"/>
  <c r="K9"/>
  <c r="F9"/>
  <c r="I9"/>
  <c r="J9"/>
  <c r="G9"/>
  <c r="D9" l="1"/>
</calcChain>
</file>

<file path=xl/sharedStrings.xml><?xml version="1.0" encoding="utf-8"?>
<sst xmlns="http://schemas.openxmlformats.org/spreadsheetml/2006/main" count="384" uniqueCount="194">
  <si>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</si>
  <si>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</si>
  <si>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</si>
  <si>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</si>
  <si>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</si>
  <si>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</si>
  <si>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</si>
  <si>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</si>
  <si>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</si>
  <si>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</si>
  <si>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</si>
  <si>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</si>
  <si>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</si>
  <si>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</si>
  <si>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</si>
  <si>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</si>
  <si>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</si>
  <si>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</si>
  <si>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</si>
  <si>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</si>
  <si>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</si>
  <si>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</si>
  <si>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</si>
  <si>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</si>
  <si>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</si>
  <si>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</si>
  <si>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</si>
  <si>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</si>
  <si>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</si>
  <si>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</si>
  <si>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</si>
  <si>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</si>
  <si>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</si>
  <si>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</si>
  <si>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</si>
  <si>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</si>
  <si>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</si>
  <si>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</si>
  <si>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</si>
  <si>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</si>
  <si>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</si>
  <si>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</si>
  <si>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</si>
  <si>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</si>
  <si>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</si>
  <si>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</si>
  <si>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</si>
  <si>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</si>
  <si>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</si>
  <si>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</si>
  <si>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</si>
  <si>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</si>
  <si>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</si>
  <si>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</si>
  <si>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</si>
  <si>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</si>
  <si>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</si>
  <si>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</si>
  <si>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</si>
  <si>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</si>
  <si>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</si>
  <si>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</si>
  <si>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</si>
  <si>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</si>
  <si>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</si>
  <si>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</si>
  <si>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</si>
  <si>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</si>
  <si>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</si>
  <si>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</si>
  <si>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</si>
  <si>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</si>
  <si>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</si>
  <si>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</si>
  <si>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</si>
  <si>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</si>
  <si>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</si>
  <si>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</si>
  <si>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</si>
  <si>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</si>
  <si>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</si>
  <si>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</si>
  <si>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</si>
  <si>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</si>
  <si>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</si>
  <si>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</si>
  <si>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</si>
  <si>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</si>
  <si>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</si>
  <si>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</si>
  <si>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</si>
  <si>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</si>
  <si>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</si>
  <si>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</si>
  <si>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</si>
  <si>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</si>
  <si>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</si>
  <si>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</si>
  <si>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</si>
  <si>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</si>
  <si>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</si>
  <si>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</si>
  <si>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</si>
  <si>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</si>
  <si>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</si>
  <si>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</si>
  <si>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</si>
  <si>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</si>
  <si>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</si>
  <si>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</si>
  <si>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</si>
  <si>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</si>
  <si>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</si>
  <si>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</si>
  <si>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</si>
  <si>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</si>
  <si>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</si>
  <si>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</si>
  <si>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</si>
  <si>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</si>
  <si>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</si>
  <si>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</si>
  <si>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</si>
  <si>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</si>
  <si>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</si>
  <si>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</si>
  <si>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</si>
  <si>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</si>
  <si>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</si>
  <si>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</si>
  <si>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</si>
  <si>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</si>
  <si>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</si>
  <si>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</si>
  <si>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</si>
  <si>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</si>
  <si>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</si>
  <si>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</si>
  <si>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</si>
  <si>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</si>
  <si>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</si>
  <si>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</si>
  <si>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</si>
  <si>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</si>
  <si>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</si>
  <si>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</si>
  <si>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</si>
  <si>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</si>
  <si>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</si>
  <si>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</si>
  <si>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</si>
  <si>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</si>
  <si>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</si>
  <si>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</si>
  <si>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</si>
  <si>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</si>
  <si>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</si>
  <si>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</si>
  <si>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</si>
  <si>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</si>
  <si>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</si>
  <si>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</si>
  <si>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</si>
  <si>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</si>
  <si>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</si>
  <si>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</si>
  <si>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</si>
  <si>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</si>
  <si>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</si>
  <si>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</si>
  <si>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</si>
  <si>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</si>
  <si>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</si>
  <si>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</si>
  <si>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</si>
  <si>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</si>
  <si>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</si>
  <si>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</si>
  <si>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</si>
  <si>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</si>
  <si>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</si>
  <si>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</si>
  <si>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</si>
  <si>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</si>
  <si>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</si>
  <si>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</si>
  <si>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</si>
  <si>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</si>
  <si>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</si>
  <si>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</si>
  <si>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</si>
  <si>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Πίνακας 6. Ζώα που αρμέχτηκαν όλο το έτος 2015, κατά Περιφέρεια και Περιφερειακή Ενότητα</t>
  </si>
  <si>
    <t>Table 6. Animals milked during 2015, by Region and Regional Unities</t>
  </si>
  <si>
    <t>Αγελάδες γαλακτοπαραγωγής
Cows for milk production</t>
  </si>
</sst>
</file>

<file path=xl/styles.xml><?xml version="1.0" encoding="utf-8"?>
<styleSheet xmlns="http://schemas.openxmlformats.org/spreadsheetml/2006/main">
  <fonts count="14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10"/>
      <color indexed="8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3" fontId="5" fillId="0" borderId="3" xfId="0" applyNumberFormat="1" applyFont="1" applyFill="1" applyBorder="1" applyAlignment="1" applyProtection="1">
      <alignment horizontal="right"/>
    </xf>
    <xf numFmtId="3" fontId="5" fillId="0" borderId="3" xfId="0" quotePrefix="1" applyNumberFormat="1" applyFont="1" applyFill="1" applyBorder="1" applyAlignment="1" applyProtection="1">
      <alignment horizontal="right"/>
    </xf>
    <xf numFmtId="3" fontId="5" fillId="0" borderId="4" xfId="0" applyNumberFormat="1" applyFont="1" applyFill="1" applyBorder="1" applyAlignment="1" applyProtection="1">
      <alignment horizontal="right"/>
    </xf>
    <xf numFmtId="3" fontId="5" fillId="0" borderId="4" xfId="0" quotePrefix="1" applyNumberFormat="1" applyFont="1" applyFill="1" applyBorder="1" applyAlignment="1" applyProtection="1">
      <alignment horizontal="right"/>
    </xf>
    <xf numFmtId="49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0" fontId="13" fillId="0" borderId="0" xfId="0" applyNumberFormat="1" applyFont="1" applyFill="1" applyBorder="1" applyAlignment="1" applyProtection="1">
      <alignment vertical="center" wrapText="1"/>
    </xf>
    <xf numFmtId="0" fontId="12" fillId="0" borderId="0" xfId="0" applyFont="1" applyBorder="1" applyAlignment="1">
      <alignment vertic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left" wrapText="1" inden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49" fontId="5" fillId="0" borderId="1" xfId="0" applyNumberFormat="1" applyFont="1" applyFill="1" applyBorder="1" applyAlignment="1" applyProtection="1">
      <alignment horizontal="left" wrapText="1" indent="1"/>
    </xf>
    <xf numFmtId="0" fontId="1" fillId="0" borderId="0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17" xfId="0" applyNumberFormat="1" applyFont="1" applyFill="1" applyBorder="1" applyAlignment="1" applyProtection="1">
      <alignment horizontal="right" vertical="center"/>
    </xf>
    <xf numFmtId="3" fontId="4" fillId="0" borderId="21" xfId="0" applyNumberFormat="1" applyFont="1" applyFill="1" applyBorder="1" applyAlignment="1" applyProtection="1">
      <alignment horizontal="right" vertical="center"/>
    </xf>
    <xf numFmtId="3" fontId="11" fillId="0" borderId="3" xfId="0" applyNumberFormat="1" applyFont="1" applyFill="1" applyBorder="1" applyAlignment="1">
      <alignment horizontal="right" vertical="top"/>
    </xf>
    <xf numFmtId="0" fontId="11" fillId="0" borderId="3" xfId="0" applyFont="1" applyFill="1" applyBorder="1" applyAlignment="1">
      <alignment horizontal="right" vertical="top"/>
    </xf>
    <xf numFmtId="3" fontId="11" fillId="0" borderId="21" xfId="0" applyNumberFormat="1" applyFont="1" applyFill="1" applyBorder="1" applyAlignment="1">
      <alignment horizontal="right" vertical="top"/>
    </xf>
    <xf numFmtId="0" fontId="11" fillId="0" borderId="6" xfId="0" applyFont="1" applyFill="1" applyBorder="1" applyAlignment="1">
      <alignment horizontal="right" vertical="top"/>
    </xf>
    <xf numFmtId="3" fontId="11" fillId="0" borderId="6" xfId="0" applyNumberFormat="1" applyFont="1" applyFill="1" applyBorder="1" applyAlignment="1">
      <alignment horizontal="right" vertical="top"/>
    </xf>
    <xf numFmtId="0" fontId="11" fillId="0" borderId="21" xfId="0" applyFont="1" applyFill="1" applyBorder="1" applyAlignment="1">
      <alignment horizontal="right" vertical="top"/>
    </xf>
    <xf numFmtId="3" fontId="11" fillId="0" borderId="27" xfId="0" applyNumberFormat="1" applyFont="1" applyFill="1" applyBorder="1" applyAlignment="1">
      <alignment horizontal="right" vertical="top"/>
    </xf>
    <xf numFmtId="0" fontId="11" fillId="0" borderId="4" xfId="0" applyFont="1" applyFill="1" applyBorder="1" applyAlignment="1">
      <alignment horizontal="right" vertical="top"/>
    </xf>
    <xf numFmtId="3" fontId="11" fillId="0" borderId="4" xfId="0" applyNumberFormat="1" applyFont="1" applyFill="1" applyBorder="1" applyAlignment="1">
      <alignment horizontal="right" vertical="top"/>
    </xf>
    <xf numFmtId="3" fontId="11" fillId="0" borderId="22" xfId="0" applyNumberFormat="1" applyFont="1" applyFill="1" applyBorder="1" applyAlignment="1">
      <alignment horizontal="right" vertical="top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8" xfId="0" applyNumberFormat="1" applyFont="1" applyFill="1" applyBorder="1" applyAlignment="1" applyProtection="1">
      <alignment horizontal="right" vertical="center" wrapText="1"/>
    </xf>
    <xf numFmtId="3" fontId="4" fillId="0" borderId="3" xfId="0" applyNumberFormat="1" applyFont="1" applyFill="1" applyBorder="1" applyAlignment="1" applyProtection="1">
      <alignment horizontal="right" vertical="center" wrapText="1"/>
    </xf>
    <xf numFmtId="3" fontId="4" fillId="0" borderId="9" xfId="0" applyNumberFormat="1" applyFont="1" applyFill="1" applyBorder="1" applyAlignment="1" applyProtection="1">
      <alignment horizontal="right" vertical="center" wrapText="1"/>
    </xf>
    <xf numFmtId="3" fontId="4" fillId="0" borderId="0" xfId="0" applyNumberFormat="1" applyFont="1" applyFill="1" applyBorder="1" applyAlignment="1" applyProtection="1">
      <alignment horizontal="right" vertical="center" wrapText="1"/>
    </xf>
    <xf numFmtId="3" fontId="4" fillId="0" borderId="16" xfId="0" applyNumberFormat="1" applyFont="1" applyFill="1" applyBorder="1" applyAlignment="1" applyProtection="1">
      <alignment horizontal="right" vertical="center" wrapText="1"/>
    </xf>
    <xf numFmtId="3" fontId="4" fillId="0" borderId="17" xfId="0" applyNumberFormat="1" applyFont="1" applyFill="1" applyBorder="1" applyAlignment="1" applyProtection="1">
      <alignment horizontal="right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2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3" fontId="4" fillId="0" borderId="17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21" xfId="0" applyNumberFormat="1" applyFont="1" applyFill="1" applyBorder="1" applyAlignment="1" applyProtection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3" fontId="6" fillId="0" borderId="2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/>
    </xf>
    <xf numFmtId="49" fontId="4" fillId="0" borderId="9" xfId="0" applyNumberFormat="1" applyFont="1" applyFill="1" applyBorder="1" applyAlignment="1" applyProtection="1">
      <alignment vertical="center" wrapText="1"/>
    </xf>
    <xf numFmtId="49" fontId="4" fillId="0" borderId="0" xfId="0" applyNumberFormat="1" applyFont="1" applyFill="1" applyBorder="1" applyAlignment="1" applyProtection="1">
      <alignment vertical="center" wrapText="1"/>
    </xf>
    <xf numFmtId="3" fontId="4" fillId="0" borderId="24" xfId="0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showGridLines="0" tabSelected="1" zoomScale="120" zoomScaleNormal="120" workbookViewId="0">
      <selection activeCell="E11" sqref="E11:E12"/>
    </sheetView>
  </sheetViews>
  <sheetFormatPr defaultRowHeight="10.199999999999999"/>
  <cols>
    <col min="1" max="1" width="35.5546875" style="1" customWidth="1"/>
    <col min="2" max="2" width="14.5546875" style="1" customWidth="1"/>
    <col min="3" max="3" width="7" style="1" bestFit="1" customWidth="1"/>
    <col min="4" max="11" width="11.77734375" style="1" customWidth="1"/>
    <col min="12" max="12" width="9.6640625" style="1" customWidth="1"/>
    <col min="13" max="13" width="9.33203125" style="1" customWidth="1"/>
    <col min="14" max="14" width="11" style="1" customWidth="1"/>
    <col min="15" max="15" width="8.4414062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4"/>
    </row>
    <row r="2" spans="1:15" s="32" customFormat="1" ht="18" customHeight="1"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33"/>
      <c r="L2" s="33"/>
      <c r="M2" s="33"/>
      <c r="N2" s="33"/>
      <c r="O2" s="34"/>
    </row>
    <row r="3" spans="1:15" s="32" customFormat="1" ht="15.6" customHeight="1">
      <c r="A3" s="35"/>
      <c r="B3" s="58" t="s">
        <v>192</v>
      </c>
      <c r="C3" s="58"/>
      <c r="D3" s="58"/>
      <c r="E3" s="58"/>
      <c r="F3" s="58"/>
      <c r="G3" s="58"/>
      <c r="H3" s="58"/>
      <c r="I3" s="58"/>
      <c r="J3" s="58"/>
      <c r="K3" s="35"/>
      <c r="L3" s="35"/>
      <c r="M3" s="35"/>
      <c r="N3" s="35"/>
      <c r="O3" s="34"/>
    </row>
    <row r="4" spans="1:1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4"/>
    </row>
    <row r="5" spans="1:15" ht="10.8" thickBot="1">
      <c r="A5" s="5" t="s">
        <v>0</v>
      </c>
      <c r="B5" s="5"/>
      <c r="C5" s="5"/>
      <c r="D5" s="5"/>
      <c r="E5" s="5"/>
      <c r="F5" s="5"/>
      <c r="G5" s="5"/>
      <c r="H5" s="5"/>
      <c r="I5" s="71"/>
      <c r="J5" s="71"/>
      <c r="K5" s="71"/>
      <c r="L5" s="6"/>
      <c r="M5" s="71" t="s">
        <v>1</v>
      </c>
      <c r="N5" s="71"/>
      <c r="O5" s="7"/>
    </row>
    <row r="6" spans="1:15" ht="25.2" customHeight="1">
      <c r="A6" s="72" t="s">
        <v>2</v>
      </c>
      <c r="B6" s="55" t="s">
        <v>193</v>
      </c>
      <c r="C6" s="95" t="s">
        <v>181</v>
      </c>
      <c r="D6" s="74" t="s">
        <v>190</v>
      </c>
      <c r="E6" s="75"/>
      <c r="F6" s="75"/>
      <c r="G6" s="76"/>
      <c r="H6" s="75" t="s">
        <v>189</v>
      </c>
      <c r="I6" s="75"/>
      <c r="J6" s="75"/>
      <c r="K6" s="77"/>
      <c r="L6" s="72" t="s">
        <v>3</v>
      </c>
      <c r="M6" s="72"/>
      <c r="N6" s="72"/>
      <c r="O6" s="8"/>
    </row>
    <row r="7" spans="1:15" ht="31.8" customHeight="1">
      <c r="A7" s="60"/>
      <c r="B7" s="56"/>
      <c r="C7" s="68"/>
      <c r="D7" s="78" t="s">
        <v>182</v>
      </c>
      <c r="E7" s="67" t="s">
        <v>183</v>
      </c>
      <c r="F7" s="67" t="s">
        <v>184</v>
      </c>
      <c r="G7" s="67" t="s">
        <v>185</v>
      </c>
      <c r="H7" s="80" t="s">
        <v>182</v>
      </c>
      <c r="I7" s="67" t="s">
        <v>186</v>
      </c>
      <c r="J7" s="67" t="s">
        <v>187</v>
      </c>
      <c r="K7" s="69" t="s">
        <v>188</v>
      </c>
      <c r="L7" s="60"/>
      <c r="M7" s="60"/>
      <c r="N7" s="60"/>
      <c r="O7" s="8"/>
    </row>
    <row r="8" spans="1:15" ht="30.6" customHeight="1">
      <c r="A8" s="73"/>
      <c r="B8" s="57"/>
      <c r="C8" s="96"/>
      <c r="D8" s="79"/>
      <c r="E8" s="68"/>
      <c r="F8" s="68"/>
      <c r="G8" s="68"/>
      <c r="H8" s="81"/>
      <c r="I8" s="68"/>
      <c r="J8" s="68"/>
      <c r="K8" s="70"/>
      <c r="L8" s="73"/>
      <c r="M8" s="73"/>
      <c r="N8" s="73"/>
      <c r="O8" s="8"/>
    </row>
    <row r="9" spans="1:15">
      <c r="A9" s="106" t="s">
        <v>4</v>
      </c>
      <c r="B9" s="108">
        <f>SUM(B11,B19,B28,B33,B39,B46,B53,B60,B65,B72,B82,B89,B104)</f>
        <v>130875</v>
      </c>
      <c r="C9" s="61">
        <f>SUM(C11,C19,C28,C33,C39,C46,C53,C60,C65,C72,C82,C89,C104)</f>
        <v>389</v>
      </c>
      <c r="D9" s="61">
        <f>SUM(D11,D19,D28,D33,D39,D46,D53,D60,D65,D72,D82,D89,D104)</f>
        <v>6284987</v>
      </c>
      <c r="E9" s="63">
        <f>SUM(E11,E19,E28,E33,E39,E46,E53,E60,E65,E72,E82,E89,E104)</f>
        <v>195837</v>
      </c>
      <c r="F9" s="61">
        <f t="shared" ref="E9:K9" si="0">SUM(F11,F19,F28,F33,F39,F46,F53,F60,F65,F72,F82,F89,F104)</f>
        <v>5735145</v>
      </c>
      <c r="G9" s="63">
        <f t="shared" si="0"/>
        <v>354005</v>
      </c>
      <c r="H9" s="61">
        <f>SUM(H11,H19,H28,H33,H39,H46,H53,H60,H65,H72,H82,H89,H104)</f>
        <v>3003365</v>
      </c>
      <c r="I9" s="63">
        <f t="shared" si="0"/>
        <v>172542</v>
      </c>
      <c r="J9" s="61">
        <f t="shared" si="0"/>
        <v>2696340</v>
      </c>
      <c r="K9" s="65">
        <f t="shared" si="0"/>
        <v>134483</v>
      </c>
      <c r="L9" s="59" t="s">
        <v>5</v>
      </c>
      <c r="M9" s="59"/>
      <c r="N9" s="59"/>
      <c r="O9" s="8"/>
    </row>
    <row r="10" spans="1:15">
      <c r="A10" s="107"/>
      <c r="B10" s="109"/>
      <c r="C10" s="62"/>
      <c r="D10" s="62"/>
      <c r="E10" s="64"/>
      <c r="F10" s="62"/>
      <c r="G10" s="64"/>
      <c r="H10" s="62"/>
      <c r="I10" s="64"/>
      <c r="J10" s="62"/>
      <c r="K10" s="66"/>
      <c r="L10" s="60"/>
      <c r="M10" s="60"/>
      <c r="N10" s="60"/>
      <c r="O10" s="8"/>
    </row>
    <row r="11" spans="1:15">
      <c r="A11" s="91" t="s">
        <v>6</v>
      </c>
      <c r="B11" s="97">
        <f>SUM(B13:B18)</f>
        <v>21590</v>
      </c>
      <c r="C11" s="82">
        <f t="shared" ref="C11" si="1">SUM(C13:C18)</f>
        <v>20</v>
      </c>
      <c r="D11" s="82">
        <f>SUM(D13:D18)</f>
        <v>403534</v>
      </c>
      <c r="E11" s="83">
        <f>SUM(E13:E18)</f>
        <v>8279</v>
      </c>
      <c r="F11" s="82">
        <f t="shared" ref="F11:G11" si="2">SUM(F13:F18)</f>
        <v>395255</v>
      </c>
      <c r="G11" s="83">
        <f t="shared" si="2"/>
        <v>0</v>
      </c>
      <c r="H11" s="82">
        <f>SUM(H13:H18)</f>
        <v>292230</v>
      </c>
      <c r="I11" s="83">
        <f t="shared" ref="I11:K11" si="3">SUM(I13:I18)</f>
        <v>2286</v>
      </c>
      <c r="J11" s="82">
        <f t="shared" si="3"/>
        <v>289944</v>
      </c>
      <c r="K11" s="90">
        <f t="shared" si="3"/>
        <v>0</v>
      </c>
      <c r="L11" s="60" t="s">
        <v>7</v>
      </c>
      <c r="M11" s="60"/>
      <c r="N11" s="60"/>
      <c r="O11" s="8"/>
    </row>
    <row r="12" spans="1:15" ht="18" customHeight="1">
      <c r="A12" s="91"/>
      <c r="B12" s="97"/>
      <c r="C12" s="82"/>
      <c r="D12" s="82"/>
      <c r="E12" s="83"/>
      <c r="F12" s="82"/>
      <c r="G12" s="83"/>
      <c r="H12" s="82"/>
      <c r="I12" s="83"/>
      <c r="J12" s="82"/>
      <c r="K12" s="90"/>
      <c r="L12" s="60"/>
      <c r="M12" s="60"/>
      <c r="N12" s="60"/>
      <c r="O12" s="8"/>
    </row>
    <row r="13" spans="1:15" ht="11.4" customHeight="1">
      <c r="A13" s="36" t="s">
        <v>113</v>
      </c>
      <c r="B13" s="47">
        <v>2442</v>
      </c>
      <c r="C13" s="45">
        <v>20</v>
      </c>
      <c r="D13" s="26">
        <f>SUM(E13:G13)</f>
        <v>105441</v>
      </c>
      <c r="E13" s="45">
        <v>689</v>
      </c>
      <c r="F13" s="45">
        <v>104752</v>
      </c>
      <c r="G13" s="46" t="s">
        <v>112</v>
      </c>
      <c r="H13" s="25">
        <f>SUM(I13:K13)</f>
        <v>68801</v>
      </c>
      <c r="I13" s="45">
        <v>483</v>
      </c>
      <c r="J13" s="45">
        <v>68318</v>
      </c>
      <c r="K13" s="48" t="s">
        <v>112</v>
      </c>
      <c r="L13" s="39" t="s">
        <v>8</v>
      </c>
      <c r="M13" s="9"/>
      <c r="N13" s="9"/>
      <c r="O13" s="8"/>
    </row>
    <row r="14" spans="1:15">
      <c r="A14" s="36" t="s">
        <v>114</v>
      </c>
      <c r="B14" s="47">
        <v>3154</v>
      </c>
      <c r="C14" s="46" t="s">
        <v>112</v>
      </c>
      <c r="D14" s="26">
        <f t="shared" ref="D14:D18" si="4">SUM(E14:G14)</f>
        <v>71732</v>
      </c>
      <c r="E14" s="45">
        <v>4123</v>
      </c>
      <c r="F14" s="45">
        <v>67609</v>
      </c>
      <c r="G14" s="46" t="s">
        <v>112</v>
      </c>
      <c r="H14" s="25">
        <f t="shared" ref="H14:H18" si="5">SUM(I14:K14)</f>
        <v>49187</v>
      </c>
      <c r="I14" s="45">
        <v>1059</v>
      </c>
      <c r="J14" s="45">
        <v>48128</v>
      </c>
      <c r="K14" s="48" t="s">
        <v>112</v>
      </c>
      <c r="L14" s="39" t="s">
        <v>9</v>
      </c>
      <c r="M14" s="9"/>
      <c r="N14" s="9"/>
      <c r="O14" s="8"/>
    </row>
    <row r="15" spans="1:15">
      <c r="A15" s="36" t="s">
        <v>115</v>
      </c>
      <c r="B15" s="47">
        <v>3537</v>
      </c>
      <c r="C15" s="46" t="s">
        <v>112</v>
      </c>
      <c r="D15" s="26">
        <f t="shared" si="4"/>
        <v>62929</v>
      </c>
      <c r="E15" s="45">
        <v>200</v>
      </c>
      <c r="F15" s="45">
        <v>62729</v>
      </c>
      <c r="G15" s="46" t="s">
        <v>112</v>
      </c>
      <c r="H15" s="25">
        <f t="shared" si="5"/>
        <v>62347</v>
      </c>
      <c r="I15" s="45">
        <v>173</v>
      </c>
      <c r="J15" s="45">
        <v>62174</v>
      </c>
      <c r="K15" s="48" t="s">
        <v>112</v>
      </c>
      <c r="L15" s="39" t="s">
        <v>10</v>
      </c>
      <c r="M15" s="9"/>
      <c r="N15" s="9"/>
      <c r="O15" s="8"/>
    </row>
    <row r="16" spans="1:15">
      <c r="A16" s="36" t="s">
        <v>116</v>
      </c>
      <c r="B16" s="47">
        <v>2</v>
      </c>
      <c r="C16" s="46" t="s">
        <v>112</v>
      </c>
      <c r="D16" s="26">
        <f t="shared" si="4"/>
        <v>20651</v>
      </c>
      <c r="E16" s="45">
        <v>71</v>
      </c>
      <c r="F16" s="45">
        <v>20580</v>
      </c>
      <c r="G16" s="46" t="s">
        <v>112</v>
      </c>
      <c r="H16" s="25">
        <f t="shared" si="5"/>
        <v>13710</v>
      </c>
      <c r="I16" s="45">
        <v>50</v>
      </c>
      <c r="J16" s="45">
        <v>13660</v>
      </c>
      <c r="K16" s="48" t="s">
        <v>112</v>
      </c>
      <c r="L16" s="39" t="s">
        <v>11</v>
      </c>
      <c r="M16" s="9"/>
      <c r="N16" s="9"/>
      <c r="O16" s="8"/>
    </row>
    <row r="17" spans="1:15">
      <c r="A17" s="36" t="s">
        <v>117</v>
      </c>
      <c r="B17" s="47">
        <v>1906</v>
      </c>
      <c r="C17" s="46" t="s">
        <v>112</v>
      </c>
      <c r="D17" s="26">
        <f t="shared" si="4"/>
        <v>48298</v>
      </c>
      <c r="E17" s="45">
        <v>429</v>
      </c>
      <c r="F17" s="45">
        <v>47869</v>
      </c>
      <c r="G17" s="46" t="s">
        <v>112</v>
      </c>
      <c r="H17" s="25">
        <f t="shared" si="5"/>
        <v>46812</v>
      </c>
      <c r="I17" s="45">
        <v>521</v>
      </c>
      <c r="J17" s="45">
        <v>46291</v>
      </c>
      <c r="K17" s="48" t="s">
        <v>112</v>
      </c>
      <c r="L17" s="39" t="s">
        <v>12</v>
      </c>
      <c r="M17" s="9"/>
      <c r="N17" s="9"/>
      <c r="O17" s="8"/>
    </row>
    <row r="18" spans="1:15">
      <c r="A18" s="36" t="s">
        <v>118</v>
      </c>
      <c r="B18" s="47">
        <v>10549</v>
      </c>
      <c r="C18" s="46" t="s">
        <v>112</v>
      </c>
      <c r="D18" s="26">
        <f t="shared" si="4"/>
        <v>94483</v>
      </c>
      <c r="E18" s="45">
        <v>2767</v>
      </c>
      <c r="F18" s="45">
        <v>91716</v>
      </c>
      <c r="G18" s="46" t="s">
        <v>112</v>
      </c>
      <c r="H18" s="25">
        <f t="shared" si="5"/>
        <v>51373</v>
      </c>
      <c r="I18" s="46" t="s">
        <v>112</v>
      </c>
      <c r="J18" s="45">
        <v>51373</v>
      </c>
      <c r="K18" s="48" t="s">
        <v>112</v>
      </c>
      <c r="L18" s="39" t="s">
        <v>13</v>
      </c>
      <c r="M18" s="9"/>
      <c r="N18" s="9"/>
      <c r="O18" s="8"/>
    </row>
    <row r="19" spans="1:15">
      <c r="A19" s="91" t="s">
        <v>14</v>
      </c>
      <c r="B19" s="92">
        <f>SUM(B21:B27)</f>
        <v>55744</v>
      </c>
      <c r="C19" s="85">
        <f t="shared" ref="C19" si="6">SUM(C21:C27)</f>
        <v>344</v>
      </c>
      <c r="D19" s="85">
        <f>SUM(D21:D27)</f>
        <v>676250</v>
      </c>
      <c r="E19" s="86">
        <f>SUM(E21:E27)</f>
        <v>874</v>
      </c>
      <c r="F19" s="85">
        <f t="shared" ref="F19:H19" si="7">SUM(F21:F27)</f>
        <v>673293</v>
      </c>
      <c r="G19" s="86">
        <f t="shared" si="7"/>
        <v>2083</v>
      </c>
      <c r="H19" s="85">
        <f t="shared" si="7"/>
        <v>429173</v>
      </c>
      <c r="I19" s="86">
        <f t="shared" ref="I19:K19" si="8">SUM(I21:I27)</f>
        <v>1668</v>
      </c>
      <c r="J19" s="85">
        <f t="shared" si="8"/>
        <v>419494</v>
      </c>
      <c r="K19" s="89">
        <f t="shared" si="8"/>
        <v>8011</v>
      </c>
      <c r="L19" s="87" t="s">
        <v>15</v>
      </c>
      <c r="M19" s="88"/>
      <c r="N19" s="88"/>
      <c r="O19" s="8"/>
    </row>
    <row r="20" spans="1:15">
      <c r="A20" s="91"/>
      <c r="B20" s="92"/>
      <c r="C20" s="85"/>
      <c r="D20" s="85"/>
      <c r="E20" s="86"/>
      <c r="F20" s="85"/>
      <c r="G20" s="86"/>
      <c r="H20" s="85"/>
      <c r="I20" s="86"/>
      <c r="J20" s="85"/>
      <c r="K20" s="89"/>
      <c r="L20" s="88"/>
      <c r="M20" s="88"/>
      <c r="N20" s="88"/>
      <c r="O20" s="8"/>
    </row>
    <row r="21" spans="1:15">
      <c r="A21" s="36" t="s">
        <v>119</v>
      </c>
      <c r="B21" s="47">
        <v>26847</v>
      </c>
      <c r="C21" s="45">
        <v>202</v>
      </c>
      <c r="D21" s="26">
        <f t="shared" ref="D21:D27" si="9">SUM(E21:G21)</f>
        <v>121404</v>
      </c>
      <c r="E21" s="45">
        <v>6</v>
      </c>
      <c r="F21" s="45">
        <v>121398</v>
      </c>
      <c r="G21" s="46" t="s">
        <v>112</v>
      </c>
      <c r="H21" s="25">
        <f t="shared" ref="H21:H27" si="10">SUM(I21:K21)</f>
        <v>114383</v>
      </c>
      <c r="I21" s="45">
        <v>87</v>
      </c>
      <c r="J21" s="45">
        <v>112775</v>
      </c>
      <c r="K21" s="49">
        <v>1521</v>
      </c>
      <c r="L21" s="39" t="s">
        <v>16</v>
      </c>
      <c r="M21" s="9"/>
      <c r="N21" s="9"/>
      <c r="O21" s="8"/>
    </row>
    <row r="22" spans="1:15">
      <c r="A22" s="36" t="s">
        <v>120</v>
      </c>
      <c r="B22" s="47">
        <v>2465</v>
      </c>
      <c r="C22" s="46" t="s">
        <v>112</v>
      </c>
      <c r="D22" s="26">
        <f t="shared" si="9"/>
        <v>18381</v>
      </c>
      <c r="E22" s="45">
        <v>73</v>
      </c>
      <c r="F22" s="45">
        <v>18131</v>
      </c>
      <c r="G22" s="45">
        <v>177</v>
      </c>
      <c r="H22" s="25">
        <f t="shared" si="10"/>
        <v>10631</v>
      </c>
      <c r="I22" s="45">
        <v>35</v>
      </c>
      <c r="J22" s="45">
        <v>10340</v>
      </c>
      <c r="K22" s="49">
        <v>256</v>
      </c>
      <c r="L22" s="39" t="s">
        <v>17</v>
      </c>
      <c r="M22" s="9"/>
      <c r="N22" s="9"/>
      <c r="O22" s="8"/>
    </row>
    <row r="23" spans="1:15">
      <c r="A23" s="36" t="s">
        <v>121</v>
      </c>
      <c r="B23" s="47">
        <v>12106</v>
      </c>
      <c r="C23" s="46" t="s">
        <v>112</v>
      </c>
      <c r="D23" s="26">
        <f t="shared" si="9"/>
        <v>115645</v>
      </c>
      <c r="E23" s="46" t="s">
        <v>112</v>
      </c>
      <c r="F23" s="45">
        <v>115645</v>
      </c>
      <c r="G23" s="46" t="s">
        <v>112</v>
      </c>
      <c r="H23" s="25">
        <f t="shared" si="10"/>
        <v>40990</v>
      </c>
      <c r="I23" s="45">
        <v>2</v>
      </c>
      <c r="J23" s="45">
        <v>40988</v>
      </c>
      <c r="K23" s="48" t="s">
        <v>112</v>
      </c>
      <c r="L23" s="39" t="s">
        <v>18</v>
      </c>
      <c r="M23" s="9"/>
      <c r="N23" s="9"/>
      <c r="O23" s="8"/>
    </row>
    <row r="24" spans="1:15">
      <c r="A24" s="36" t="s">
        <v>122</v>
      </c>
      <c r="B24" s="47">
        <v>2776</v>
      </c>
      <c r="C24" s="46" t="s">
        <v>112</v>
      </c>
      <c r="D24" s="26">
        <f t="shared" si="9"/>
        <v>117034</v>
      </c>
      <c r="E24" s="45">
        <v>657</v>
      </c>
      <c r="F24" s="45">
        <v>116377</v>
      </c>
      <c r="G24" s="46" t="s">
        <v>112</v>
      </c>
      <c r="H24" s="25">
        <f t="shared" si="10"/>
        <v>44727</v>
      </c>
      <c r="I24" s="45">
        <v>1147</v>
      </c>
      <c r="J24" s="45">
        <v>43580</v>
      </c>
      <c r="K24" s="48" t="s">
        <v>112</v>
      </c>
      <c r="L24" s="39" t="s">
        <v>19</v>
      </c>
      <c r="M24" s="9"/>
      <c r="N24" s="9"/>
      <c r="O24" s="8"/>
    </row>
    <row r="25" spans="1:15">
      <c r="A25" s="36" t="s">
        <v>123</v>
      </c>
      <c r="B25" s="47">
        <v>1445</v>
      </c>
      <c r="C25" s="46" t="s">
        <v>112</v>
      </c>
      <c r="D25" s="26">
        <f t="shared" si="9"/>
        <v>73016</v>
      </c>
      <c r="E25" s="45">
        <v>23</v>
      </c>
      <c r="F25" s="45">
        <v>71087</v>
      </c>
      <c r="G25" s="45">
        <v>1906</v>
      </c>
      <c r="H25" s="25">
        <f t="shared" si="10"/>
        <v>34103</v>
      </c>
      <c r="I25" s="45">
        <v>97</v>
      </c>
      <c r="J25" s="45">
        <v>27772</v>
      </c>
      <c r="K25" s="49">
        <v>6234</v>
      </c>
      <c r="L25" s="39" t="s">
        <v>20</v>
      </c>
      <c r="M25" s="9"/>
      <c r="N25" s="9"/>
      <c r="O25" s="8"/>
    </row>
    <row r="26" spans="1:15">
      <c r="A26" s="36" t="s">
        <v>124</v>
      </c>
      <c r="B26" s="47">
        <v>9335</v>
      </c>
      <c r="C26" s="45">
        <v>142</v>
      </c>
      <c r="D26" s="26">
        <f t="shared" si="9"/>
        <v>184286</v>
      </c>
      <c r="E26" s="45">
        <v>90</v>
      </c>
      <c r="F26" s="45">
        <v>184196</v>
      </c>
      <c r="G26" s="46" t="s">
        <v>112</v>
      </c>
      <c r="H26" s="25">
        <f t="shared" si="10"/>
        <v>96343</v>
      </c>
      <c r="I26" s="45">
        <v>235</v>
      </c>
      <c r="J26" s="45">
        <v>96108</v>
      </c>
      <c r="K26" s="48" t="s">
        <v>112</v>
      </c>
      <c r="L26" s="39" t="s">
        <v>21</v>
      </c>
      <c r="M26" s="9"/>
      <c r="N26" s="9"/>
      <c r="O26" s="8"/>
    </row>
    <row r="27" spans="1:15">
      <c r="A27" s="36" t="s">
        <v>125</v>
      </c>
      <c r="B27" s="47">
        <v>770</v>
      </c>
      <c r="C27" s="46" t="s">
        <v>112</v>
      </c>
      <c r="D27" s="26">
        <f t="shared" si="9"/>
        <v>46484</v>
      </c>
      <c r="E27" s="45">
        <v>25</v>
      </c>
      <c r="F27" s="45">
        <v>46459</v>
      </c>
      <c r="G27" s="46" t="s">
        <v>112</v>
      </c>
      <c r="H27" s="25">
        <f t="shared" si="10"/>
        <v>87996</v>
      </c>
      <c r="I27" s="45">
        <v>65</v>
      </c>
      <c r="J27" s="45">
        <v>87931</v>
      </c>
      <c r="K27" s="48" t="s">
        <v>112</v>
      </c>
      <c r="L27" s="39" t="s">
        <v>22</v>
      </c>
      <c r="M27" s="9"/>
      <c r="N27" s="9"/>
      <c r="O27" s="8"/>
    </row>
    <row r="28" spans="1:15" ht="21" customHeight="1">
      <c r="A28" s="29" t="s">
        <v>180</v>
      </c>
      <c r="B28" s="44">
        <f>SUM(B29:B32)</f>
        <v>11973</v>
      </c>
      <c r="C28" s="41">
        <f t="shared" ref="C28" si="11">SUM(C29:C32)</f>
        <v>0</v>
      </c>
      <c r="D28" s="41">
        <f>SUM(D29:D32)</f>
        <v>291093</v>
      </c>
      <c r="E28" s="42">
        <f>SUM(E29:E32)</f>
        <v>803</v>
      </c>
      <c r="F28" s="41">
        <f t="shared" ref="F28:G28" si="12">SUM(F29:F32)</f>
        <v>290290</v>
      </c>
      <c r="G28" s="42">
        <f t="shared" si="12"/>
        <v>0</v>
      </c>
      <c r="H28" s="41">
        <f t="shared" ref="H28:I28" si="13">SUM(H29:H32)</f>
        <v>107703</v>
      </c>
      <c r="I28" s="42">
        <f t="shared" si="13"/>
        <v>1158</v>
      </c>
      <c r="J28" s="41">
        <f t="shared" ref="J28" si="14">SUM(J29:J32)</f>
        <v>106305</v>
      </c>
      <c r="K28" s="43">
        <f t="shared" ref="K28" si="15">SUM(K29:K32)</f>
        <v>240</v>
      </c>
      <c r="L28" s="30" t="s">
        <v>179</v>
      </c>
      <c r="M28" s="9"/>
      <c r="N28" s="9"/>
      <c r="O28" s="8"/>
    </row>
    <row r="29" spans="1:15">
      <c r="A29" s="36" t="s">
        <v>126</v>
      </c>
      <c r="B29" s="47">
        <v>6163</v>
      </c>
      <c r="C29" s="46" t="s">
        <v>112</v>
      </c>
      <c r="D29" s="26">
        <f t="shared" ref="D29:D32" si="16">SUM(E29:G29)</f>
        <v>104304</v>
      </c>
      <c r="E29" s="45">
        <v>504</v>
      </c>
      <c r="F29" s="45">
        <v>103800</v>
      </c>
      <c r="G29" s="46" t="s">
        <v>112</v>
      </c>
      <c r="H29" s="25">
        <f t="shared" ref="H29:H32" si="17">SUM(I29:K29)</f>
        <v>40259</v>
      </c>
      <c r="I29" s="45">
        <v>370</v>
      </c>
      <c r="J29" s="45">
        <v>39889</v>
      </c>
      <c r="K29" s="48" t="s">
        <v>112</v>
      </c>
      <c r="L29" s="39" t="s">
        <v>23</v>
      </c>
      <c r="M29" s="9"/>
      <c r="N29" s="9"/>
      <c r="O29" s="8"/>
    </row>
    <row r="30" spans="1:15">
      <c r="A30" s="36" t="s">
        <v>127</v>
      </c>
      <c r="B30" s="47">
        <v>823</v>
      </c>
      <c r="C30" s="46" t="s">
        <v>112</v>
      </c>
      <c r="D30" s="26">
        <f t="shared" si="16"/>
        <v>56322</v>
      </c>
      <c r="E30" s="45">
        <v>299</v>
      </c>
      <c r="F30" s="45">
        <v>56023</v>
      </c>
      <c r="G30" s="46" t="s">
        <v>112</v>
      </c>
      <c r="H30" s="25">
        <f t="shared" si="17"/>
        <v>35293</v>
      </c>
      <c r="I30" s="45">
        <v>788</v>
      </c>
      <c r="J30" s="45">
        <v>34505</v>
      </c>
      <c r="K30" s="48" t="s">
        <v>112</v>
      </c>
      <c r="L30" s="39" t="s">
        <v>24</v>
      </c>
      <c r="M30" s="9"/>
      <c r="N30" s="9"/>
      <c r="O30" s="8"/>
    </row>
    <row r="31" spans="1:15">
      <c r="A31" s="36" t="s">
        <v>128</v>
      </c>
      <c r="B31" s="47">
        <v>884</v>
      </c>
      <c r="C31" s="46" t="s">
        <v>112</v>
      </c>
      <c r="D31" s="26">
        <f t="shared" si="16"/>
        <v>45425</v>
      </c>
      <c r="E31" s="46" t="s">
        <v>112</v>
      </c>
      <c r="F31" s="45">
        <v>45425</v>
      </c>
      <c r="G31" s="46" t="s">
        <v>112</v>
      </c>
      <c r="H31" s="25">
        <f t="shared" si="17"/>
        <v>9452</v>
      </c>
      <c r="I31" s="46" t="s">
        <v>112</v>
      </c>
      <c r="J31" s="45">
        <v>9452</v>
      </c>
      <c r="K31" s="48" t="s">
        <v>112</v>
      </c>
      <c r="L31" s="39" t="s">
        <v>25</v>
      </c>
      <c r="M31" s="9"/>
      <c r="N31" s="9"/>
      <c r="O31" s="8"/>
    </row>
    <row r="32" spans="1:15">
      <c r="A32" s="36" t="s">
        <v>129</v>
      </c>
      <c r="B32" s="47">
        <v>4103</v>
      </c>
      <c r="C32" s="46" t="s">
        <v>112</v>
      </c>
      <c r="D32" s="26">
        <f t="shared" si="16"/>
        <v>85042</v>
      </c>
      <c r="E32" s="46" t="s">
        <v>112</v>
      </c>
      <c r="F32" s="45">
        <v>85042</v>
      </c>
      <c r="G32" s="46" t="s">
        <v>112</v>
      </c>
      <c r="H32" s="25">
        <f t="shared" si="17"/>
        <v>22699</v>
      </c>
      <c r="I32" s="46" t="s">
        <v>112</v>
      </c>
      <c r="J32" s="45">
        <v>22459</v>
      </c>
      <c r="K32" s="49">
        <v>240</v>
      </c>
      <c r="L32" s="39" t="s">
        <v>26</v>
      </c>
      <c r="M32" s="9"/>
      <c r="N32" s="9"/>
      <c r="O32" s="8"/>
    </row>
    <row r="33" spans="1:15">
      <c r="A33" s="91" t="s">
        <v>27</v>
      </c>
      <c r="B33" s="92">
        <f>SUM(B35:B38)</f>
        <v>5879</v>
      </c>
      <c r="C33" s="85">
        <f t="shared" ref="C33" si="18">SUM(C35:C38)</f>
        <v>0</v>
      </c>
      <c r="D33" s="85">
        <f>SUM(D35:D38)</f>
        <v>432365</v>
      </c>
      <c r="E33" s="86">
        <f>SUM(E35:E38)</f>
        <v>3496</v>
      </c>
      <c r="F33" s="85">
        <f t="shared" ref="F33:H33" si="19">SUM(F35:F38)</f>
        <v>414158</v>
      </c>
      <c r="G33" s="86">
        <f t="shared" si="19"/>
        <v>14711</v>
      </c>
      <c r="H33" s="85">
        <f t="shared" si="19"/>
        <v>141930</v>
      </c>
      <c r="I33" s="86">
        <f t="shared" ref="I33:K33" si="20">SUM(I35:I38)</f>
        <v>1962</v>
      </c>
      <c r="J33" s="85">
        <f t="shared" si="20"/>
        <v>133755</v>
      </c>
      <c r="K33" s="89">
        <f t="shared" si="20"/>
        <v>6213</v>
      </c>
      <c r="L33" s="84" t="s">
        <v>28</v>
      </c>
      <c r="M33" s="84"/>
      <c r="N33" s="84"/>
      <c r="O33" s="8"/>
    </row>
    <row r="34" spans="1:15">
      <c r="A34" s="91"/>
      <c r="B34" s="92"/>
      <c r="C34" s="85"/>
      <c r="D34" s="85"/>
      <c r="E34" s="86"/>
      <c r="F34" s="85"/>
      <c r="G34" s="86"/>
      <c r="H34" s="85"/>
      <c r="I34" s="86"/>
      <c r="J34" s="85"/>
      <c r="K34" s="89"/>
      <c r="L34" s="84"/>
      <c r="M34" s="84"/>
      <c r="N34" s="84"/>
      <c r="O34" s="8"/>
    </row>
    <row r="35" spans="1:15">
      <c r="A35" s="36" t="s">
        <v>130</v>
      </c>
      <c r="B35" s="47">
        <v>2462</v>
      </c>
      <c r="C35" s="46" t="s">
        <v>112</v>
      </c>
      <c r="D35" s="26">
        <f t="shared" ref="D35:D38" si="21">SUM(E35:G35)</f>
        <v>151545</v>
      </c>
      <c r="E35" s="45">
        <v>2967</v>
      </c>
      <c r="F35" s="45">
        <v>147548</v>
      </c>
      <c r="G35" s="45">
        <v>1030</v>
      </c>
      <c r="H35" s="25">
        <f t="shared" ref="H35:H38" si="22">SUM(I35:K35)</f>
        <v>37944</v>
      </c>
      <c r="I35" s="45">
        <v>1633</v>
      </c>
      <c r="J35" s="45">
        <v>35686</v>
      </c>
      <c r="K35" s="49">
        <v>625</v>
      </c>
      <c r="L35" s="39" t="s">
        <v>29</v>
      </c>
      <c r="M35" s="9"/>
      <c r="N35" s="9"/>
      <c r="O35" s="8"/>
    </row>
    <row r="36" spans="1:15">
      <c r="A36" s="36" t="s">
        <v>131</v>
      </c>
      <c r="B36" s="47">
        <v>659</v>
      </c>
      <c r="C36" s="46" t="s">
        <v>112</v>
      </c>
      <c r="D36" s="26">
        <f t="shared" si="21"/>
        <v>92825</v>
      </c>
      <c r="E36" s="46" t="s">
        <v>112</v>
      </c>
      <c r="F36" s="45">
        <v>87225</v>
      </c>
      <c r="G36" s="45">
        <v>5600</v>
      </c>
      <c r="H36" s="25">
        <f t="shared" si="22"/>
        <v>25342</v>
      </c>
      <c r="I36" s="46" t="s">
        <v>112</v>
      </c>
      <c r="J36" s="45">
        <v>25342</v>
      </c>
      <c r="K36" s="48" t="s">
        <v>112</v>
      </c>
      <c r="L36" s="39" t="s">
        <v>30</v>
      </c>
      <c r="M36" s="9"/>
      <c r="N36" s="9"/>
      <c r="O36" s="8"/>
    </row>
    <row r="37" spans="1:15">
      <c r="A37" s="36" t="s">
        <v>132</v>
      </c>
      <c r="B37" s="47">
        <v>134</v>
      </c>
      <c r="C37" s="46" t="s">
        <v>112</v>
      </c>
      <c r="D37" s="26">
        <f t="shared" si="21"/>
        <v>92817</v>
      </c>
      <c r="E37" s="45">
        <v>370</v>
      </c>
      <c r="F37" s="45">
        <v>84366</v>
      </c>
      <c r="G37" s="45">
        <v>8081</v>
      </c>
      <c r="H37" s="25">
        <f t="shared" si="22"/>
        <v>45030</v>
      </c>
      <c r="I37" s="45">
        <v>222</v>
      </c>
      <c r="J37" s="45">
        <v>39220</v>
      </c>
      <c r="K37" s="49">
        <v>5588</v>
      </c>
      <c r="L37" s="39" t="s">
        <v>31</v>
      </c>
      <c r="M37" s="9"/>
      <c r="N37" s="9"/>
      <c r="O37" s="8"/>
    </row>
    <row r="38" spans="1:15">
      <c r="A38" s="36" t="s">
        <v>133</v>
      </c>
      <c r="B38" s="47">
        <v>2624</v>
      </c>
      <c r="C38" s="46" t="s">
        <v>112</v>
      </c>
      <c r="D38" s="26">
        <f t="shared" si="21"/>
        <v>95178</v>
      </c>
      <c r="E38" s="45">
        <v>159</v>
      </c>
      <c r="F38" s="45">
        <v>95019</v>
      </c>
      <c r="G38" s="46" t="s">
        <v>112</v>
      </c>
      <c r="H38" s="25">
        <f t="shared" si="22"/>
        <v>33614</v>
      </c>
      <c r="I38" s="45">
        <v>107</v>
      </c>
      <c r="J38" s="45">
        <v>33507</v>
      </c>
      <c r="K38" s="48" t="s">
        <v>112</v>
      </c>
      <c r="L38" s="39" t="s">
        <v>32</v>
      </c>
      <c r="M38" s="9"/>
      <c r="N38" s="9"/>
      <c r="O38" s="8"/>
    </row>
    <row r="39" spans="1:15">
      <c r="A39" s="91" t="s">
        <v>33</v>
      </c>
      <c r="B39" s="92">
        <f>SUM(B41:B45)</f>
        <v>18900</v>
      </c>
      <c r="C39" s="85">
        <f t="shared" ref="C39" si="23">SUM(C41:C45)</f>
        <v>0</v>
      </c>
      <c r="D39" s="85">
        <f>SUM(D41:D45)</f>
        <v>980293</v>
      </c>
      <c r="E39" s="86">
        <f>SUM(E41:E45)</f>
        <v>8473</v>
      </c>
      <c r="F39" s="85">
        <f t="shared" ref="F39:H39" si="24">SUM(F41:F45)</f>
        <v>759772</v>
      </c>
      <c r="G39" s="86">
        <f t="shared" si="24"/>
        <v>212048</v>
      </c>
      <c r="H39" s="85">
        <f t="shared" si="24"/>
        <v>333201</v>
      </c>
      <c r="I39" s="86">
        <f t="shared" ref="I39:K39" si="25">SUM(I41:I45)</f>
        <v>8300</v>
      </c>
      <c r="J39" s="85">
        <f t="shared" si="25"/>
        <v>265336</v>
      </c>
      <c r="K39" s="89">
        <f t="shared" si="25"/>
        <v>59565</v>
      </c>
      <c r="L39" s="84" t="s">
        <v>34</v>
      </c>
      <c r="M39" s="84"/>
      <c r="N39" s="84"/>
      <c r="O39" s="8"/>
    </row>
    <row r="40" spans="1:15">
      <c r="A40" s="91"/>
      <c r="B40" s="92"/>
      <c r="C40" s="85"/>
      <c r="D40" s="85"/>
      <c r="E40" s="86"/>
      <c r="F40" s="85"/>
      <c r="G40" s="86"/>
      <c r="H40" s="85"/>
      <c r="I40" s="86"/>
      <c r="J40" s="85"/>
      <c r="K40" s="89"/>
      <c r="L40" s="84"/>
      <c r="M40" s="84"/>
      <c r="N40" s="84"/>
      <c r="O40" s="8"/>
    </row>
    <row r="41" spans="1:15">
      <c r="A41" s="36" t="s">
        <v>134</v>
      </c>
      <c r="B41" s="47">
        <v>13186</v>
      </c>
      <c r="C41" s="46" t="s">
        <v>112</v>
      </c>
      <c r="D41" s="26">
        <f t="shared" ref="D41:D45" si="26">SUM(E41:G41)</f>
        <v>558605</v>
      </c>
      <c r="E41" s="45">
        <v>1619</v>
      </c>
      <c r="F41" s="45">
        <v>383261</v>
      </c>
      <c r="G41" s="45">
        <v>173725</v>
      </c>
      <c r="H41" s="25">
        <f t="shared" ref="H41:H45" si="27">SUM(I41:K41)</f>
        <v>175725</v>
      </c>
      <c r="I41" s="45">
        <v>2815</v>
      </c>
      <c r="J41" s="45">
        <v>131671</v>
      </c>
      <c r="K41" s="49">
        <v>41239</v>
      </c>
      <c r="L41" s="39" t="s">
        <v>35</v>
      </c>
      <c r="M41" s="9"/>
      <c r="N41" s="9"/>
      <c r="O41" s="8"/>
    </row>
    <row r="42" spans="1:15">
      <c r="A42" s="36" t="s">
        <v>135</v>
      </c>
      <c r="B42" s="47">
        <v>1002</v>
      </c>
      <c r="C42" s="46" t="s">
        <v>112</v>
      </c>
      <c r="D42" s="26">
        <f t="shared" si="26"/>
        <v>138470</v>
      </c>
      <c r="E42" s="45">
        <v>1300</v>
      </c>
      <c r="F42" s="45">
        <v>122310</v>
      </c>
      <c r="G42" s="45">
        <v>14860</v>
      </c>
      <c r="H42" s="25">
        <f t="shared" si="27"/>
        <v>28052</v>
      </c>
      <c r="I42" s="45">
        <v>1366</v>
      </c>
      <c r="J42" s="45">
        <v>21226</v>
      </c>
      <c r="K42" s="49">
        <v>5460</v>
      </c>
      <c r="L42" s="39" t="s">
        <v>36</v>
      </c>
      <c r="M42" s="9"/>
      <c r="N42" s="9"/>
      <c r="O42" s="8"/>
    </row>
    <row r="43" spans="1:15">
      <c r="A43" s="36" t="s">
        <v>136</v>
      </c>
      <c r="B43" s="47">
        <v>1647</v>
      </c>
      <c r="C43" s="46" t="s">
        <v>112</v>
      </c>
      <c r="D43" s="26">
        <f t="shared" si="26"/>
        <v>108006</v>
      </c>
      <c r="E43" s="45">
        <v>3328</v>
      </c>
      <c r="F43" s="45">
        <v>103793</v>
      </c>
      <c r="G43" s="45">
        <v>885</v>
      </c>
      <c r="H43" s="25">
        <f t="shared" si="27"/>
        <v>55371</v>
      </c>
      <c r="I43" s="45">
        <v>2566</v>
      </c>
      <c r="J43" s="45">
        <v>52226</v>
      </c>
      <c r="K43" s="49">
        <v>579</v>
      </c>
      <c r="L43" s="39" t="s">
        <v>37</v>
      </c>
      <c r="M43" s="9"/>
      <c r="N43" s="9"/>
      <c r="O43" s="8"/>
    </row>
    <row r="44" spans="1:15">
      <c r="A44" s="36" t="s">
        <v>137</v>
      </c>
      <c r="B44" s="50" t="s">
        <v>112</v>
      </c>
      <c r="C44" s="46" t="s">
        <v>112</v>
      </c>
      <c r="D44" s="26">
        <f t="shared" si="26"/>
        <v>533</v>
      </c>
      <c r="E44" s="45">
        <v>37</v>
      </c>
      <c r="F44" s="45">
        <v>496</v>
      </c>
      <c r="G44" s="46" t="s">
        <v>112</v>
      </c>
      <c r="H44" s="25">
        <f t="shared" si="27"/>
        <v>5157</v>
      </c>
      <c r="I44" s="45">
        <v>48</v>
      </c>
      <c r="J44" s="45">
        <v>5109</v>
      </c>
      <c r="K44" s="48" t="s">
        <v>112</v>
      </c>
      <c r="L44" s="39" t="s">
        <v>38</v>
      </c>
      <c r="M44" s="9"/>
      <c r="N44" s="9"/>
      <c r="O44" s="8"/>
    </row>
    <row r="45" spans="1:15">
      <c r="A45" s="36" t="s">
        <v>138</v>
      </c>
      <c r="B45" s="47">
        <v>3065</v>
      </c>
      <c r="C45" s="46" t="s">
        <v>112</v>
      </c>
      <c r="D45" s="26">
        <f t="shared" si="26"/>
        <v>174679</v>
      </c>
      <c r="E45" s="45">
        <v>2189</v>
      </c>
      <c r="F45" s="45">
        <v>149912</v>
      </c>
      <c r="G45" s="45">
        <v>22578</v>
      </c>
      <c r="H45" s="25">
        <f t="shared" si="27"/>
        <v>68896</v>
      </c>
      <c r="I45" s="45">
        <v>1505</v>
      </c>
      <c r="J45" s="45">
        <v>55104</v>
      </c>
      <c r="K45" s="49">
        <v>12287</v>
      </c>
      <c r="L45" s="39" t="s">
        <v>39</v>
      </c>
      <c r="M45" s="9"/>
      <c r="N45" s="9"/>
      <c r="O45" s="8"/>
    </row>
    <row r="46" spans="1:15">
      <c r="A46" s="91" t="s">
        <v>40</v>
      </c>
      <c r="B46" s="92">
        <f>SUM(B48:B52)</f>
        <v>3553</v>
      </c>
      <c r="C46" s="85">
        <f>SUM(C48:C52)</f>
        <v>25</v>
      </c>
      <c r="D46" s="85">
        <f>SUM(D48:D52)</f>
        <v>419008</v>
      </c>
      <c r="E46" s="86">
        <f>SUM(E48:E52)</f>
        <v>17975</v>
      </c>
      <c r="F46" s="85">
        <f t="shared" ref="F46:H46" si="28">SUM(F48:F52)</f>
        <v>383897</v>
      </c>
      <c r="G46" s="86">
        <f t="shared" si="28"/>
        <v>17136</v>
      </c>
      <c r="H46" s="85">
        <f t="shared" si="28"/>
        <v>246413</v>
      </c>
      <c r="I46" s="86">
        <f t="shared" ref="I46:K46" si="29">SUM(I48:I52)</f>
        <v>11360</v>
      </c>
      <c r="J46" s="85">
        <f t="shared" si="29"/>
        <v>231360</v>
      </c>
      <c r="K46" s="89">
        <f t="shared" si="29"/>
        <v>3693</v>
      </c>
      <c r="L46" s="84" t="s">
        <v>41</v>
      </c>
      <c r="M46" s="84"/>
      <c r="N46" s="84"/>
      <c r="O46" s="8"/>
    </row>
    <row r="47" spans="1:15">
      <c r="A47" s="91"/>
      <c r="B47" s="92"/>
      <c r="C47" s="85"/>
      <c r="D47" s="85"/>
      <c r="E47" s="86"/>
      <c r="F47" s="85"/>
      <c r="G47" s="86"/>
      <c r="H47" s="85"/>
      <c r="I47" s="86"/>
      <c r="J47" s="85"/>
      <c r="K47" s="89"/>
      <c r="L47" s="84"/>
      <c r="M47" s="84"/>
      <c r="N47" s="84"/>
      <c r="O47" s="8"/>
    </row>
    <row r="48" spans="1:15">
      <c r="A48" s="36" t="s">
        <v>139</v>
      </c>
      <c r="B48" s="47">
        <v>1338</v>
      </c>
      <c r="C48" s="45">
        <v>25</v>
      </c>
      <c r="D48" s="26">
        <f t="shared" ref="D48:D52" si="30">SUM(E48:G48)</f>
        <v>131240</v>
      </c>
      <c r="E48" s="45">
        <v>5821</v>
      </c>
      <c r="F48" s="45">
        <v>118802</v>
      </c>
      <c r="G48" s="45">
        <v>6617</v>
      </c>
      <c r="H48" s="25">
        <f t="shared" ref="H48:H52" si="31">SUM(I48:K48)</f>
        <v>56900</v>
      </c>
      <c r="I48" s="45">
        <v>2832</v>
      </c>
      <c r="J48" s="45">
        <v>51555</v>
      </c>
      <c r="K48" s="49">
        <v>2513</v>
      </c>
      <c r="L48" s="39" t="s">
        <v>42</v>
      </c>
      <c r="M48" s="9"/>
      <c r="N48" s="9"/>
      <c r="O48" s="8"/>
    </row>
    <row r="49" spans="1:15">
      <c r="A49" s="36" t="s">
        <v>140</v>
      </c>
      <c r="B49" s="47">
        <v>1911</v>
      </c>
      <c r="C49" s="46" t="s">
        <v>112</v>
      </c>
      <c r="D49" s="26">
        <f t="shared" si="30"/>
        <v>84549</v>
      </c>
      <c r="E49" s="45">
        <v>2929</v>
      </c>
      <c r="F49" s="45">
        <v>75696</v>
      </c>
      <c r="G49" s="45">
        <v>5924</v>
      </c>
      <c r="H49" s="25">
        <f t="shared" si="31"/>
        <v>49869</v>
      </c>
      <c r="I49" s="45">
        <v>1310</v>
      </c>
      <c r="J49" s="45">
        <v>48299</v>
      </c>
      <c r="K49" s="49">
        <v>260</v>
      </c>
      <c r="L49" s="39" t="s">
        <v>43</v>
      </c>
      <c r="M49" s="9"/>
      <c r="N49" s="9"/>
      <c r="O49" s="8"/>
    </row>
    <row r="50" spans="1:15">
      <c r="A50" s="36" t="s">
        <v>141</v>
      </c>
      <c r="B50" s="47">
        <v>172</v>
      </c>
      <c r="C50" s="46" t="s">
        <v>112</v>
      </c>
      <c r="D50" s="26">
        <f t="shared" si="30"/>
        <v>133161</v>
      </c>
      <c r="E50" s="45">
        <v>5566</v>
      </c>
      <c r="F50" s="45">
        <v>123195</v>
      </c>
      <c r="G50" s="45">
        <v>4400</v>
      </c>
      <c r="H50" s="25">
        <f t="shared" si="31"/>
        <v>90107</v>
      </c>
      <c r="I50" s="45">
        <v>4145</v>
      </c>
      <c r="J50" s="45">
        <v>85202</v>
      </c>
      <c r="K50" s="49">
        <v>760</v>
      </c>
      <c r="L50" s="39" t="s">
        <v>44</v>
      </c>
      <c r="M50" s="9"/>
      <c r="N50" s="9"/>
      <c r="O50" s="8"/>
    </row>
    <row r="51" spans="1:15">
      <c r="A51" s="36" t="s">
        <v>142</v>
      </c>
      <c r="B51" s="47">
        <v>1</v>
      </c>
      <c r="C51" s="46" t="s">
        <v>112</v>
      </c>
      <c r="D51" s="26">
        <f t="shared" si="30"/>
        <v>24701</v>
      </c>
      <c r="E51" s="45">
        <v>1194</v>
      </c>
      <c r="F51" s="45">
        <v>23507</v>
      </c>
      <c r="G51" s="46" t="s">
        <v>112</v>
      </c>
      <c r="H51" s="25">
        <f t="shared" si="31"/>
        <v>22250</v>
      </c>
      <c r="I51" s="45">
        <v>1698</v>
      </c>
      <c r="J51" s="45">
        <v>20552</v>
      </c>
      <c r="K51" s="48" t="s">
        <v>112</v>
      </c>
      <c r="L51" s="39" t="s">
        <v>45</v>
      </c>
      <c r="M51" s="9"/>
      <c r="N51" s="9"/>
      <c r="O51" s="8"/>
    </row>
    <row r="52" spans="1:15">
      <c r="A52" s="36" t="s">
        <v>143</v>
      </c>
      <c r="B52" s="47">
        <v>131</v>
      </c>
      <c r="C52" s="46" t="s">
        <v>112</v>
      </c>
      <c r="D52" s="26">
        <f t="shared" si="30"/>
        <v>45357</v>
      </c>
      <c r="E52" s="45">
        <v>2465</v>
      </c>
      <c r="F52" s="45">
        <v>42697</v>
      </c>
      <c r="G52" s="45">
        <v>195</v>
      </c>
      <c r="H52" s="25">
        <f t="shared" si="31"/>
        <v>27287</v>
      </c>
      <c r="I52" s="45">
        <v>1375</v>
      </c>
      <c r="J52" s="45">
        <v>25752</v>
      </c>
      <c r="K52" s="49">
        <v>160</v>
      </c>
      <c r="L52" s="39" t="s">
        <v>46</v>
      </c>
      <c r="M52" s="9"/>
      <c r="N52" s="9"/>
      <c r="O52" s="8"/>
    </row>
    <row r="53" spans="1:15">
      <c r="A53" s="91" t="s">
        <v>47</v>
      </c>
      <c r="B53" s="92">
        <f>SUM(B55:B59)</f>
        <v>630</v>
      </c>
      <c r="C53" s="85">
        <f t="shared" ref="C53" si="32">SUM(C55:C59)</f>
        <v>0</v>
      </c>
      <c r="D53" s="85">
        <f>SUM(D55:D59)</f>
        <v>66333</v>
      </c>
      <c r="E53" s="86">
        <f>SUM(E55:E59)</f>
        <v>9868</v>
      </c>
      <c r="F53" s="85">
        <f t="shared" ref="F53:H53" si="33">SUM(F55:F59)</f>
        <v>56465</v>
      </c>
      <c r="G53" s="86">
        <f t="shared" si="33"/>
        <v>0</v>
      </c>
      <c r="H53" s="85">
        <f t="shared" si="33"/>
        <v>60294</v>
      </c>
      <c r="I53" s="86">
        <f t="shared" ref="I53:K53" si="34">SUM(I55:I59)</f>
        <v>9030</v>
      </c>
      <c r="J53" s="85">
        <f t="shared" si="34"/>
        <v>51264</v>
      </c>
      <c r="K53" s="89">
        <f t="shared" si="34"/>
        <v>0</v>
      </c>
      <c r="L53" s="84" t="s">
        <v>48</v>
      </c>
      <c r="M53" s="84"/>
      <c r="N53" s="84"/>
      <c r="O53" s="8"/>
    </row>
    <row r="54" spans="1:15">
      <c r="A54" s="91"/>
      <c r="B54" s="92"/>
      <c r="C54" s="85"/>
      <c r="D54" s="85"/>
      <c r="E54" s="86"/>
      <c r="F54" s="85"/>
      <c r="G54" s="86"/>
      <c r="H54" s="85"/>
      <c r="I54" s="86"/>
      <c r="J54" s="85"/>
      <c r="K54" s="89"/>
      <c r="L54" s="84"/>
      <c r="M54" s="84"/>
      <c r="N54" s="84"/>
      <c r="O54" s="8"/>
    </row>
    <row r="55" spans="1:15">
      <c r="A55" s="36" t="s">
        <v>144</v>
      </c>
      <c r="B55" s="47">
        <v>139</v>
      </c>
      <c r="C55" s="46" t="s">
        <v>112</v>
      </c>
      <c r="D55" s="26">
        <f t="shared" ref="D55:D59" si="35">SUM(E55:G55)</f>
        <v>4904</v>
      </c>
      <c r="E55" s="45">
        <v>3664</v>
      </c>
      <c r="F55" s="45">
        <v>1240</v>
      </c>
      <c r="G55" s="46" t="s">
        <v>112</v>
      </c>
      <c r="H55" s="25">
        <f t="shared" ref="H55:H59" si="36">SUM(I55:K55)</f>
        <v>2960</v>
      </c>
      <c r="I55" s="45">
        <v>2369</v>
      </c>
      <c r="J55" s="45">
        <v>591</v>
      </c>
      <c r="K55" s="48" t="s">
        <v>112</v>
      </c>
      <c r="L55" s="39" t="s">
        <v>49</v>
      </c>
      <c r="M55" s="9"/>
      <c r="N55" s="9"/>
      <c r="O55" s="8"/>
    </row>
    <row r="56" spans="1:15">
      <c r="A56" s="36" t="s">
        <v>145</v>
      </c>
      <c r="B56" s="47">
        <v>138</v>
      </c>
      <c r="C56" s="46" t="s">
        <v>112</v>
      </c>
      <c r="D56" s="26">
        <f t="shared" si="35"/>
        <v>7983</v>
      </c>
      <c r="E56" s="45">
        <v>3038</v>
      </c>
      <c r="F56" s="45">
        <v>4945</v>
      </c>
      <c r="G56" s="46" t="s">
        <v>112</v>
      </c>
      <c r="H56" s="25">
        <f t="shared" si="36"/>
        <v>8509</v>
      </c>
      <c r="I56" s="45">
        <v>3984</v>
      </c>
      <c r="J56" s="45">
        <v>4525</v>
      </c>
      <c r="K56" s="48" t="s">
        <v>112</v>
      </c>
      <c r="L56" s="39" t="s">
        <v>50</v>
      </c>
      <c r="M56" s="9"/>
      <c r="N56" s="9"/>
      <c r="O56" s="8"/>
    </row>
    <row r="57" spans="1:15">
      <c r="A57" s="36" t="s">
        <v>146</v>
      </c>
      <c r="B57" s="47">
        <v>2</v>
      </c>
      <c r="C57" s="46" t="s">
        <v>112</v>
      </c>
      <c r="D57" s="26">
        <f t="shared" si="35"/>
        <v>2315</v>
      </c>
      <c r="E57" s="45">
        <v>15</v>
      </c>
      <c r="F57" s="45">
        <v>2300</v>
      </c>
      <c r="G57" s="46" t="s">
        <v>112</v>
      </c>
      <c r="H57" s="25">
        <f t="shared" si="36"/>
        <v>1449</v>
      </c>
      <c r="I57" s="45">
        <v>9</v>
      </c>
      <c r="J57" s="45">
        <v>1440</v>
      </c>
      <c r="K57" s="48" t="s">
        <v>112</v>
      </c>
      <c r="L57" s="39" t="s">
        <v>51</v>
      </c>
      <c r="M57" s="9"/>
      <c r="N57" s="9"/>
      <c r="O57" s="8"/>
    </row>
    <row r="58" spans="1:15">
      <c r="A58" s="36" t="s">
        <v>147</v>
      </c>
      <c r="B58" s="47">
        <v>213</v>
      </c>
      <c r="C58" s="46" t="s">
        <v>112</v>
      </c>
      <c r="D58" s="26">
        <f t="shared" si="35"/>
        <v>49113</v>
      </c>
      <c r="E58" s="45">
        <v>2936</v>
      </c>
      <c r="F58" s="45">
        <v>46177</v>
      </c>
      <c r="G58" s="46" t="s">
        <v>112</v>
      </c>
      <c r="H58" s="25">
        <f t="shared" si="36"/>
        <v>45122</v>
      </c>
      <c r="I58" s="45">
        <v>2587</v>
      </c>
      <c r="J58" s="45">
        <v>42535</v>
      </c>
      <c r="K58" s="48" t="s">
        <v>112</v>
      </c>
      <c r="L58" s="39" t="s">
        <v>52</v>
      </c>
      <c r="M58" s="9"/>
      <c r="N58" s="9"/>
      <c r="O58" s="8"/>
    </row>
    <row r="59" spans="1:15">
      <c r="A59" s="36" t="s">
        <v>148</v>
      </c>
      <c r="B59" s="47">
        <v>138</v>
      </c>
      <c r="C59" s="46" t="s">
        <v>112</v>
      </c>
      <c r="D59" s="26">
        <f t="shared" si="35"/>
        <v>2018</v>
      </c>
      <c r="E59" s="45">
        <v>215</v>
      </c>
      <c r="F59" s="45">
        <v>1803</v>
      </c>
      <c r="G59" s="46" t="s">
        <v>112</v>
      </c>
      <c r="H59" s="25">
        <f t="shared" si="36"/>
        <v>2254</v>
      </c>
      <c r="I59" s="45">
        <v>81</v>
      </c>
      <c r="J59" s="45">
        <v>2173</v>
      </c>
      <c r="K59" s="48" t="s">
        <v>112</v>
      </c>
      <c r="L59" s="39" t="s">
        <v>53</v>
      </c>
      <c r="M59" s="9"/>
      <c r="N59" s="9"/>
      <c r="O59" s="8"/>
    </row>
    <row r="60" spans="1:15">
      <c r="A60" s="91" t="s">
        <v>54</v>
      </c>
      <c r="B60" s="92">
        <f>SUM(B62:B64)</f>
        <v>3519</v>
      </c>
      <c r="C60" s="85">
        <f t="shared" ref="C60" si="37">SUM(C62:C64)</f>
        <v>0</v>
      </c>
      <c r="D60" s="85">
        <f>SUM(D62:D64)</f>
        <v>1038223</v>
      </c>
      <c r="E60" s="86">
        <f>SUM(E62:E64)</f>
        <v>57235</v>
      </c>
      <c r="F60" s="85">
        <f t="shared" ref="F60:H60" si="38">SUM(F62:F64)</f>
        <v>937099</v>
      </c>
      <c r="G60" s="86">
        <f t="shared" si="38"/>
        <v>43889</v>
      </c>
      <c r="H60" s="85">
        <f t="shared" si="38"/>
        <v>371702</v>
      </c>
      <c r="I60" s="86">
        <f t="shared" ref="I60:K60" si="39">SUM(I62:I64)</f>
        <v>44024</v>
      </c>
      <c r="J60" s="85">
        <f t="shared" si="39"/>
        <v>322973</v>
      </c>
      <c r="K60" s="89">
        <f t="shared" si="39"/>
        <v>4705</v>
      </c>
      <c r="L60" s="84" t="s">
        <v>55</v>
      </c>
      <c r="M60" s="84"/>
      <c r="N60" s="84"/>
      <c r="O60" s="8"/>
    </row>
    <row r="61" spans="1:15">
      <c r="A61" s="91"/>
      <c r="B61" s="92"/>
      <c r="C61" s="85"/>
      <c r="D61" s="85"/>
      <c r="E61" s="86"/>
      <c r="F61" s="85"/>
      <c r="G61" s="86"/>
      <c r="H61" s="85"/>
      <c r="I61" s="86"/>
      <c r="J61" s="85"/>
      <c r="K61" s="89"/>
      <c r="L61" s="84"/>
      <c r="M61" s="84"/>
      <c r="N61" s="84"/>
      <c r="O61" s="8"/>
    </row>
    <row r="62" spans="1:15">
      <c r="A62" s="36" t="s">
        <v>149</v>
      </c>
      <c r="B62" s="47">
        <v>2013</v>
      </c>
      <c r="C62" s="46" t="s">
        <v>112</v>
      </c>
      <c r="D62" s="26">
        <f t="shared" ref="D62:D64" si="40">SUM(E62:G62)</f>
        <v>296655</v>
      </c>
      <c r="E62" s="45">
        <v>18907</v>
      </c>
      <c r="F62" s="45">
        <v>272146</v>
      </c>
      <c r="G62" s="45">
        <v>5602</v>
      </c>
      <c r="H62" s="25">
        <f t="shared" ref="H62:H64" si="41">SUM(I62:K62)</f>
        <v>119531</v>
      </c>
      <c r="I62" s="45">
        <v>7745</v>
      </c>
      <c r="J62" s="45">
        <v>111552</v>
      </c>
      <c r="K62" s="49">
        <v>234</v>
      </c>
      <c r="L62" s="39" t="s">
        <v>56</v>
      </c>
      <c r="M62" s="9"/>
      <c r="N62" s="9"/>
      <c r="O62" s="8"/>
    </row>
    <row r="63" spans="1:15">
      <c r="A63" s="36" t="s">
        <v>150</v>
      </c>
      <c r="B63" s="50" t="s">
        <v>112</v>
      </c>
      <c r="C63" s="46" t="s">
        <v>112</v>
      </c>
      <c r="D63" s="26">
        <f t="shared" si="40"/>
        <v>475420</v>
      </c>
      <c r="E63" s="45">
        <v>29845</v>
      </c>
      <c r="F63" s="45">
        <v>408398</v>
      </c>
      <c r="G63" s="45">
        <v>37177</v>
      </c>
      <c r="H63" s="25">
        <f t="shared" si="41"/>
        <v>200847</v>
      </c>
      <c r="I63" s="45">
        <v>32480</v>
      </c>
      <c r="J63" s="45">
        <v>164096</v>
      </c>
      <c r="K63" s="49">
        <v>4271</v>
      </c>
      <c r="L63" s="39" t="s">
        <v>57</v>
      </c>
      <c r="M63" s="9"/>
      <c r="N63" s="9"/>
      <c r="O63" s="8"/>
    </row>
    <row r="64" spans="1:15">
      <c r="A64" s="36" t="s">
        <v>151</v>
      </c>
      <c r="B64" s="47">
        <v>1506</v>
      </c>
      <c r="C64" s="46" t="s">
        <v>112</v>
      </c>
      <c r="D64" s="26">
        <f t="shared" si="40"/>
        <v>266148</v>
      </c>
      <c r="E64" s="45">
        <v>8483</v>
      </c>
      <c r="F64" s="45">
        <v>256555</v>
      </c>
      <c r="G64" s="45">
        <v>1110</v>
      </c>
      <c r="H64" s="25">
        <f t="shared" si="41"/>
        <v>51324</v>
      </c>
      <c r="I64" s="45">
        <v>3799</v>
      </c>
      <c r="J64" s="45">
        <v>47325</v>
      </c>
      <c r="K64" s="49">
        <v>200</v>
      </c>
      <c r="L64" s="39" t="s">
        <v>58</v>
      </c>
      <c r="M64" s="9"/>
      <c r="N64" s="9"/>
      <c r="O64" s="8"/>
    </row>
    <row r="65" spans="1:15">
      <c r="A65" s="91" t="s">
        <v>59</v>
      </c>
      <c r="B65" s="92">
        <f>SUM(B67:B71)</f>
        <v>2518</v>
      </c>
      <c r="C65" s="85">
        <f t="shared" ref="C65" si="42">SUM(C67:C71)</f>
        <v>0</v>
      </c>
      <c r="D65" s="85">
        <f>SUM(D67:D71)</f>
        <v>373006</v>
      </c>
      <c r="E65" s="86">
        <f>SUM(E67:E71)</f>
        <v>24746</v>
      </c>
      <c r="F65" s="85">
        <f t="shared" ref="F65:H65" si="43">SUM(F67:F71)</f>
        <v>324536</v>
      </c>
      <c r="G65" s="86">
        <f t="shared" si="43"/>
        <v>23724</v>
      </c>
      <c r="H65" s="85">
        <f t="shared" si="43"/>
        <v>386529</v>
      </c>
      <c r="I65" s="86">
        <f t="shared" ref="I65:K65" si="44">SUM(I67:I71)</f>
        <v>30217</v>
      </c>
      <c r="J65" s="85">
        <f t="shared" si="44"/>
        <v>322298</v>
      </c>
      <c r="K65" s="89">
        <f t="shared" si="44"/>
        <v>34014</v>
      </c>
      <c r="L65" s="84" t="s">
        <v>60</v>
      </c>
      <c r="M65" s="84"/>
      <c r="N65" s="84"/>
      <c r="O65" s="8"/>
    </row>
    <row r="66" spans="1:15">
      <c r="A66" s="91"/>
      <c r="B66" s="92"/>
      <c r="C66" s="85"/>
      <c r="D66" s="85"/>
      <c r="E66" s="86"/>
      <c r="F66" s="85"/>
      <c r="G66" s="86"/>
      <c r="H66" s="85"/>
      <c r="I66" s="86"/>
      <c r="J66" s="85"/>
      <c r="K66" s="89"/>
      <c r="L66" s="84"/>
      <c r="M66" s="84"/>
      <c r="N66" s="84"/>
      <c r="O66" s="8"/>
    </row>
    <row r="67" spans="1:15">
      <c r="A67" s="36" t="s">
        <v>152</v>
      </c>
      <c r="B67" s="47">
        <v>446</v>
      </c>
      <c r="C67" s="46" t="s">
        <v>112</v>
      </c>
      <c r="D67" s="26">
        <f t="shared" ref="D67:D71" si="45">SUM(E67:G67)</f>
        <v>113704</v>
      </c>
      <c r="E67" s="45">
        <v>3520</v>
      </c>
      <c r="F67" s="45">
        <v>107144</v>
      </c>
      <c r="G67" s="45">
        <v>3040</v>
      </c>
      <c r="H67" s="25">
        <f t="shared" ref="H67:H71" si="46">SUM(I67:K67)</f>
        <v>88489</v>
      </c>
      <c r="I67" s="45">
        <v>3498</v>
      </c>
      <c r="J67" s="45">
        <v>80193</v>
      </c>
      <c r="K67" s="49">
        <v>4798</v>
      </c>
      <c r="L67" s="39" t="s">
        <v>61</v>
      </c>
      <c r="M67" s="9"/>
      <c r="N67" s="9"/>
      <c r="O67" s="8"/>
    </row>
    <row r="68" spans="1:15">
      <c r="A68" s="36" t="s">
        <v>153</v>
      </c>
      <c r="B68" s="47">
        <v>374</v>
      </c>
      <c r="C68" s="46" t="s">
        <v>112</v>
      </c>
      <c r="D68" s="26">
        <f t="shared" si="45"/>
        <v>91248</v>
      </c>
      <c r="E68" s="45">
        <v>5368</v>
      </c>
      <c r="F68" s="45">
        <v>79085</v>
      </c>
      <c r="G68" s="45">
        <v>6795</v>
      </c>
      <c r="H68" s="25">
        <f t="shared" si="46"/>
        <v>87213</v>
      </c>
      <c r="I68" s="45">
        <v>4528</v>
      </c>
      <c r="J68" s="45">
        <v>70665</v>
      </c>
      <c r="K68" s="49">
        <v>12020</v>
      </c>
      <c r="L68" s="39" t="s">
        <v>62</v>
      </c>
      <c r="M68" s="9"/>
      <c r="N68" s="9"/>
      <c r="O68" s="8"/>
    </row>
    <row r="69" spans="1:15">
      <c r="A69" s="36" t="s">
        <v>154</v>
      </c>
      <c r="B69" s="47">
        <v>62</v>
      </c>
      <c r="C69" s="46" t="s">
        <v>112</v>
      </c>
      <c r="D69" s="26">
        <f t="shared" si="45"/>
        <v>58623</v>
      </c>
      <c r="E69" s="45">
        <v>1613</v>
      </c>
      <c r="F69" s="45">
        <v>52457</v>
      </c>
      <c r="G69" s="45">
        <v>4553</v>
      </c>
      <c r="H69" s="25">
        <f t="shared" si="46"/>
        <v>47656</v>
      </c>
      <c r="I69" s="45">
        <v>2516</v>
      </c>
      <c r="J69" s="45">
        <v>41282</v>
      </c>
      <c r="K69" s="49">
        <v>3858</v>
      </c>
      <c r="L69" s="39" t="s">
        <v>63</v>
      </c>
      <c r="M69" s="9"/>
      <c r="N69" s="9"/>
      <c r="O69" s="8"/>
    </row>
    <row r="70" spans="1:15">
      <c r="A70" s="36" t="s">
        <v>155</v>
      </c>
      <c r="B70" s="47">
        <v>1004</v>
      </c>
      <c r="C70" s="46" t="s">
        <v>112</v>
      </c>
      <c r="D70" s="26">
        <f t="shared" si="45"/>
        <v>54540</v>
      </c>
      <c r="E70" s="45">
        <v>7069</v>
      </c>
      <c r="F70" s="45">
        <v>40224</v>
      </c>
      <c r="G70" s="45">
        <v>7247</v>
      </c>
      <c r="H70" s="25">
        <f t="shared" si="46"/>
        <v>129886</v>
      </c>
      <c r="I70" s="45">
        <v>11778</v>
      </c>
      <c r="J70" s="45">
        <v>106875</v>
      </c>
      <c r="K70" s="49">
        <v>11233</v>
      </c>
      <c r="L70" s="39" t="s">
        <v>64</v>
      </c>
      <c r="M70" s="9"/>
      <c r="N70" s="9"/>
      <c r="O70" s="8"/>
    </row>
    <row r="71" spans="1:15">
      <c r="A71" s="36" t="s">
        <v>156</v>
      </c>
      <c r="B71" s="47">
        <v>632</v>
      </c>
      <c r="C71" s="46" t="s">
        <v>112</v>
      </c>
      <c r="D71" s="26">
        <f t="shared" si="45"/>
        <v>54891</v>
      </c>
      <c r="E71" s="45">
        <v>7176</v>
      </c>
      <c r="F71" s="45">
        <v>45626</v>
      </c>
      <c r="G71" s="45">
        <v>2089</v>
      </c>
      <c r="H71" s="25">
        <f t="shared" si="46"/>
        <v>33285</v>
      </c>
      <c r="I71" s="45">
        <v>7897</v>
      </c>
      <c r="J71" s="45">
        <v>23283</v>
      </c>
      <c r="K71" s="49">
        <v>2105</v>
      </c>
      <c r="L71" s="39" t="s">
        <v>65</v>
      </c>
      <c r="M71" s="9"/>
      <c r="N71" s="9"/>
      <c r="O71" s="8"/>
    </row>
    <row r="72" spans="1:15">
      <c r="A72" s="91" t="s">
        <v>66</v>
      </c>
      <c r="B72" s="92">
        <f>SUM(B74:B81)</f>
        <v>1153</v>
      </c>
      <c r="C72" s="85">
        <f t="shared" ref="C72" si="47">SUM(C74:C81)</f>
        <v>0</v>
      </c>
      <c r="D72" s="85">
        <f>SUM(D74:D81)</f>
        <v>83872</v>
      </c>
      <c r="E72" s="86">
        <f>SUM(E74:E81)</f>
        <v>5674</v>
      </c>
      <c r="F72" s="85">
        <f t="shared" ref="F72:H72" si="48">SUM(F74:F81)</f>
        <v>77073</v>
      </c>
      <c r="G72" s="86">
        <f t="shared" si="48"/>
        <v>1125</v>
      </c>
      <c r="H72" s="85">
        <f t="shared" si="48"/>
        <v>43365</v>
      </c>
      <c r="I72" s="86">
        <f t="shared" ref="I72:K72" si="49">SUM(I74:I81)</f>
        <v>3577</v>
      </c>
      <c r="J72" s="85">
        <f t="shared" si="49"/>
        <v>39698</v>
      </c>
      <c r="K72" s="89">
        <f t="shared" si="49"/>
        <v>90</v>
      </c>
      <c r="L72" s="84" t="s">
        <v>67</v>
      </c>
      <c r="M72" s="84"/>
      <c r="N72" s="84"/>
      <c r="O72" s="8"/>
    </row>
    <row r="73" spans="1:15">
      <c r="A73" s="91"/>
      <c r="B73" s="92"/>
      <c r="C73" s="85"/>
      <c r="D73" s="85"/>
      <c r="E73" s="86"/>
      <c r="F73" s="85"/>
      <c r="G73" s="86"/>
      <c r="H73" s="85"/>
      <c r="I73" s="86"/>
      <c r="J73" s="85"/>
      <c r="K73" s="89"/>
      <c r="L73" s="84"/>
      <c r="M73" s="84"/>
      <c r="N73" s="84"/>
      <c r="O73" s="8"/>
    </row>
    <row r="74" spans="1:15">
      <c r="A74" s="37" t="s">
        <v>68</v>
      </c>
      <c r="B74" s="47" t="s">
        <v>112</v>
      </c>
      <c r="C74" s="46" t="s">
        <v>112</v>
      </c>
      <c r="D74" s="26">
        <f t="shared" ref="D74:D81" si="50">SUM(E74:G74)</f>
        <v>0</v>
      </c>
      <c r="E74" s="45" t="s">
        <v>112</v>
      </c>
      <c r="F74" s="45" t="s">
        <v>112</v>
      </c>
      <c r="G74" s="45" t="s">
        <v>112</v>
      </c>
      <c r="H74" s="25">
        <f t="shared" ref="H74:H81" si="51">SUM(I74:K74)</f>
        <v>0</v>
      </c>
      <c r="I74" s="45" t="s">
        <v>112</v>
      </c>
      <c r="J74" s="45" t="s">
        <v>112</v>
      </c>
      <c r="K74" s="49" t="s">
        <v>112</v>
      </c>
      <c r="L74" s="39" t="s">
        <v>69</v>
      </c>
      <c r="M74" s="9"/>
      <c r="N74" s="9"/>
      <c r="O74" s="8"/>
    </row>
    <row r="75" spans="1:15">
      <c r="A75" s="37" t="s">
        <v>70</v>
      </c>
      <c r="B75" s="47">
        <v>1</v>
      </c>
      <c r="C75" s="46" t="s">
        <v>112</v>
      </c>
      <c r="D75" s="26">
        <f t="shared" si="50"/>
        <v>165</v>
      </c>
      <c r="E75" s="45">
        <v>65</v>
      </c>
      <c r="F75" s="45">
        <v>100</v>
      </c>
      <c r="G75" s="46" t="s">
        <v>112</v>
      </c>
      <c r="H75" s="25">
        <f t="shared" si="51"/>
        <v>230</v>
      </c>
      <c r="I75" s="45">
        <v>30</v>
      </c>
      <c r="J75" s="45">
        <v>200</v>
      </c>
      <c r="K75" s="48" t="s">
        <v>112</v>
      </c>
      <c r="L75" s="39" t="s">
        <v>71</v>
      </c>
      <c r="M75" s="9"/>
      <c r="N75" s="9"/>
      <c r="O75" s="8"/>
    </row>
    <row r="76" spans="1:15">
      <c r="A76" s="37" t="s">
        <v>72</v>
      </c>
      <c r="B76" s="50" t="s">
        <v>112</v>
      </c>
      <c r="C76" s="46" t="s">
        <v>112</v>
      </c>
      <c r="D76" s="26">
        <f t="shared" si="50"/>
        <v>16</v>
      </c>
      <c r="E76" s="46" t="s">
        <v>112</v>
      </c>
      <c r="F76" s="45">
        <v>16</v>
      </c>
      <c r="G76" s="46" t="s">
        <v>112</v>
      </c>
      <c r="H76" s="25">
        <f t="shared" si="51"/>
        <v>0</v>
      </c>
      <c r="I76" s="46" t="s">
        <v>112</v>
      </c>
      <c r="J76" s="46" t="s">
        <v>112</v>
      </c>
      <c r="K76" s="48" t="s">
        <v>112</v>
      </c>
      <c r="L76" s="39" t="s">
        <v>73</v>
      </c>
      <c r="M76" s="9"/>
      <c r="N76" s="9"/>
      <c r="O76" s="8"/>
    </row>
    <row r="77" spans="1:15">
      <c r="A77" s="37" t="s">
        <v>74</v>
      </c>
      <c r="B77" s="50" t="s">
        <v>112</v>
      </c>
      <c r="C77" s="46" t="s">
        <v>112</v>
      </c>
      <c r="D77" s="26">
        <f t="shared" si="50"/>
        <v>0</v>
      </c>
      <c r="E77" s="46" t="s">
        <v>112</v>
      </c>
      <c r="F77" s="45" t="s">
        <v>112</v>
      </c>
      <c r="G77" s="46" t="s">
        <v>112</v>
      </c>
      <c r="H77" s="25">
        <f t="shared" si="51"/>
        <v>0</v>
      </c>
      <c r="I77" s="46" t="s">
        <v>112</v>
      </c>
      <c r="J77" s="46" t="s">
        <v>112</v>
      </c>
      <c r="K77" s="48" t="s">
        <v>112</v>
      </c>
      <c r="L77" s="39" t="s">
        <v>75</v>
      </c>
      <c r="M77" s="9"/>
      <c r="N77" s="9"/>
      <c r="O77" s="8"/>
    </row>
    <row r="78" spans="1:15">
      <c r="A78" s="37" t="s">
        <v>76</v>
      </c>
      <c r="B78" s="47">
        <v>143</v>
      </c>
      <c r="C78" s="46" t="s">
        <v>112</v>
      </c>
      <c r="D78" s="26">
        <f t="shared" si="50"/>
        <v>46684</v>
      </c>
      <c r="E78" s="45">
        <v>5124</v>
      </c>
      <c r="F78" s="45">
        <v>41368</v>
      </c>
      <c r="G78" s="45">
        <v>192</v>
      </c>
      <c r="H78" s="25">
        <f t="shared" si="51"/>
        <v>9973</v>
      </c>
      <c r="I78" s="45">
        <v>2642</v>
      </c>
      <c r="J78" s="45">
        <v>7311</v>
      </c>
      <c r="K78" s="49">
        <v>20</v>
      </c>
      <c r="L78" s="39" t="s">
        <v>77</v>
      </c>
      <c r="M78" s="9"/>
      <c r="N78" s="9"/>
      <c r="O78" s="8"/>
    </row>
    <row r="79" spans="1:15">
      <c r="A79" s="37" t="s">
        <v>78</v>
      </c>
      <c r="B79" s="47">
        <v>818</v>
      </c>
      <c r="C79" s="46" t="s">
        <v>112</v>
      </c>
      <c r="D79" s="26">
        <f t="shared" si="50"/>
        <v>30632</v>
      </c>
      <c r="E79" s="45">
        <v>130</v>
      </c>
      <c r="F79" s="45">
        <v>29969</v>
      </c>
      <c r="G79" s="45">
        <v>533</v>
      </c>
      <c r="H79" s="25">
        <f t="shared" si="51"/>
        <v>25646</v>
      </c>
      <c r="I79" s="45">
        <v>447</v>
      </c>
      <c r="J79" s="45">
        <v>25129</v>
      </c>
      <c r="K79" s="49">
        <v>70</v>
      </c>
      <c r="L79" s="39" t="s">
        <v>79</v>
      </c>
      <c r="M79" s="9"/>
      <c r="N79" s="9"/>
      <c r="O79" s="8"/>
    </row>
    <row r="80" spans="1:15">
      <c r="A80" s="37" t="s">
        <v>80</v>
      </c>
      <c r="B80" s="50" t="s">
        <v>112</v>
      </c>
      <c r="C80" s="46" t="s">
        <v>112</v>
      </c>
      <c r="D80" s="26">
        <f t="shared" si="50"/>
        <v>130</v>
      </c>
      <c r="E80" s="46" t="s">
        <v>112</v>
      </c>
      <c r="F80" s="45">
        <v>130</v>
      </c>
      <c r="G80" s="46" t="s">
        <v>112</v>
      </c>
      <c r="H80" s="25">
        <f t="shared" si="51"/>
        <v>0</v>
      </c>
      <c r="I80" s="46" t="s">
        <v>112</v>
      </c>
      <c r="J80" s="46" t="s">
        <v>112</v>
      </c>
      <c r="K80" s="48" t="s">
        <v>112</v>
      </c>
      <c r="L80" s="39" t="s">
        <v>81</v>
      </c>
      <c r="M80" s="9"/>
      <c r="N80" s="9"/>
      <c r="O80" s="8"/>
    </row>
    <row r="81" spans="1:15">
      <c r="A81" s="37" t="s">
        <v>82</v>
      </c>
      <c r="B81" s="47">
        <v>191</v>
      </c>
      <c r="C81" s="46" t="s">
        <v>112</v>
      </c>
      <c r="D81" s="26">
        <f t="shared" si="50"/>
        <v>6245</v>
      </c>
      <c r="E81" s="45">
        <v>355</v>
      </c>
      <c r="F81" s="45">
        <v>5490</v>
      </c>
      <c r="G81" s="45">
        <v>400</v>
      </c>
      <c r="H81" s="25">
        <f t="shared" si="51"/>
        <v>7516</v>
      </c>
      <c r="I81" s="45">
        <v>458</v>
      </c>
      <c r="J81" s="45">
        <v>7058</v>
      </c>
      <c r="K81" s="48" t="s">
        <v>112</v>
      </c>
      <c r="L81" s="39" t="s">
        <v>83</v>
      </c>
      <c r="M81" s="9"/>
      <c r="N81" s="9"/>
      <c r="O81" s="8"/>
    </row>
    <row r="82" spans="1:15">
      <c r="A82" s="91" t="s">
        <v>84</v>
      </c>
      <c r="B82" s="92">
        <f>SUM(B84:B88)</f>
        <v>720</v>
      </c>
      <c r="C82" s="85">
        <f t="shared" ref="C82" si="52">SUM(C84:C88)</f>
        <v>0</v>
      </c>
      <c r="D82" s="85">
        <f>SUM(D84:D88)</f>
        <v>395925</v>
      </c>
      <c r="E82" s="86">
        <f>SUM(E84:E88)</f>
        <v>8378</v>
      </c>
      <c r="F82" s="85">
        <f t="shared" ref="F82:H82" si="53">SUM(F84:F88)</f>
        <v>378369</v>
      </c>
      <c r="G82" s="86">
        <f t="shared" si="53"/>
        <v>9178</v>
      </c>
      <c r="H82" s="85">
        <f t="shared" si="53"/>
        <v>85899</v>
      </c>
      <c r="I82" s="86">
        <f t="shared" ref="I82:K82" si="54">SUM(I84:I88)</f>
        <v>13506</v>
      </c>
      <c r="J82" s="85">
        <f t="shared" si="54"/>
        <v>64663</v>
      </c>
      <c r="K82" s="89">
        <f t="shared" si="54"/>
        <v>7730</v>
      </c>
      <c r="L82" s="84" t="s">
        <v>85</v>
      </c>
      <c r="M82" s="84"/>
      <c r="N82" s="84"/>
      <c r="O82" s="8"/>
    </row>
    <row r="83" spans="1:15">
      <c r="A83" s="91"/>
      <c r="B83" s="92"/>
      <c r="C83" s="85"/>
      <c r="D83" s="85"/>
      <c r="E83" s="86"/>
      <c r="F83" s="85"/>
      <c r="G83" s="86"/>
      <c r="H83" s="85"/>
      <c r="I83" s="86"/>
      <c r="J83" s="85"/>
      <c r="K83" s="89"/>
      <c r="L83" s="84"/>
      <c r="M83" s="84"/>
      <c r="N83" s="84"/>
      <c r="O83" s="8"/>
    </row>
    <row r="84" spans="1:15">
      <c r="A84" s="36" t="s">
        <v>157</v>
      </c>
      <c r="B84" s="47">
        <v>221</v>
      </c>
      <c r="C84" s="46" t="s">
        <v>112</v>
      </c>
      <c r="D84" s="26">
        <f t="shared" ref="D84:D88" si="55">SUM(E84:G84)</f>
        <v>336095</v>
      </c>
      <c r="E84" s="45">
        <v>6510</v>
      </c>
      <c r="F84" s="45">
        <v>329585</v>
      </c>
      <c r="G84" s="46" t="s">
        <v>112</v>
      </c>
      <c r="H84" s="25">
        <f t="shared" ref="H84:H88" si="56">SUM(I84:K84)</f>
        <v>28445</v>
      </c>
      <c r="I84" s="45">
        <v>7782</v>
      </c>
      <c r="J84" s="45">
        <v>20663</v>
      </c>
      <c r="K84" s="48" t="s">
        <v>112</v>
      </c>
      <c r="L84" s="39" t="s">
        <v>86</v>
      </c>
      <c r="M84" s="9"/>
      <c r="N84" s="9"/>
      <c r="O84" s="8"/>
    </row>
    <row r="85" spans="1:15">
      <c r="A85" s="36" t="s">
        <v>158</v>
      </c>
      <c r="B85" s="47">
        <v>23</v>
      </c>
      <c r="C85" s="46" t="s">
        <v>112</v>
      </c>
      <c r="D85" s="26">
        <f t="shared" si="55"/>
        <v>2425</v>
      </c>
      <c r="E85" s="45">
        <v>375</v>
      </c>
      <c r="F85" s="45">
        <v>2050</v>
      </c>
      <c r="G85" s="46" t="s">
        <v>112</v>
      </c>
      <c r="H85" s="25">
        <f t="shared" si="56"/>
        <v>9070</v>
      </c>
      <c r="I85" s="45">
        <v>2840</v>
      </c>
      <c r="J85" s="45">
        <v>6230</v>
      </c>
      <c r="K85" s="48" t="s">
        <v>112</v>
      </c>
      <c r="L85" s="39" t="s">
        <v>87</v>
      </c>
      <c r="M85" s="9"/>
      <c r="N85" s="9"/>
      <c r="O85" s="8"/>
    </row>
    <row r="86" spans="1:15">
      <c r="A86" s="36" t="s">
        <v>159</v>
      </c>
      <c r="B86" s="47">
        <v>38</v>
      </c>
      <c r="C86" s="46" t="s">
        <v>112</v>
      </c>
      <c r="D86" s="26">
        <f t="shared" si="55"/>
        <v>49345</v>
      </c>
      <c r="E86" s="45">
        <v>860</v>
      </c>
      <c r="F86" s="45">
        <v>41785</v>
      </c>
      <c r="G86" s="45">
        <v>6700</v>
      </c>
      <c r="H86" s="25">
        <f t="shared" si="56"/>
        <v>13063</v>
      </c>
      <c r="I86" s="45">
        <v>815</v>
      </c>
      <c r="J86" s="45">
        <v>10778</v>
      </c>
      <c r="K86" s="49">
        <v>1470</v>
      </c>
      <c r="L86" s="39" t="s">
        <v>88</v>
      </c>
      <c r="M86" s="9"/>
      <c r="N86" s="9"/>
      <c r="O86" s="8"/>
    </row>
    <row r="87" spans="1:15">
      <c r="A87" s="36" t="s">
        <v>160</v>
      </c>
      <c r="B87" s="47">
        <v>115</v>
      </c>
      <c r="C87" s="46" t="s">
        <v>112</v>
      </c>
      <c r="D87" s="26">
        <f t="shared" si="55"/>
        <v>1643</v>
      </c>
      <c r="E87" s="45">
        <v>85</v>
      </c>
      <c r="F87" s="45">
        <v>1558</v>
      </c>
      <c r="G87" s="46" t="s">
        <v>112</v>
      </c>
      <c r="H87" s="25">
        <f t="shared" si="56"/>
        <v>6732</v>
      </c>
      <c r="I87" s="45">
        <v>283</v>
      </c>
      <c r="J87" s="45">
        <v>6449</v>
      </c>
      <c r="K87" s="48" t="s">
        <v>112</v>
      </c>
      <c r="L87" s="39" t="s">
        <v>89</v>
      </c>
      <c r="M87" s="9"/>
      <c r="N87" s="9"/>
      <c r="O87" s="8"/>
    </row>
    <row r="88" spans="1:15">
      <c r="A88" s="36" t="s">
        <v>161</v>
      </c>
      <c r="B88" s="47">
        <v>323</v>
      </c>
      <c r="C88" s="46" t="s">
        <v>112</v>
      </c>
      <c r="D88" s="26">
        <f t="shared" si="55"/>
        <v>6417</v>
      </c>
      <c r="E88" s="45">
        <v>548</v>
      </c>
      <c r="F88" s="45">
        <v>3391</v>
      </c>
      <c r="G88" s="45">
        <v>2478</v>
      </c>
      <c r="H88" s="25">
        <f t="shared" si="56"/>
        <v>28589</v>
      </c>
      <c r="I88" s="45">
        <v>1786</v>
      </c>
      <c r="J88" s="45">
        <v>20543</v>
      </c>
      <c r="K88" s="49">
        <v>6260</v>
      </c>
      <c r="L88" s="39" t="s">
        <v>90</v>
      </c>
      <c r="M88" s="9"/>
      <c r="N88" s="9"/>
      <c r="O88" s="8"/>
    </row>
    <row r="89" spans="1:15">
      <c r="A89" s="91" t="s">
        <v>91</v>
      </c>
      <c r="B89" s="92">
        <f>SUM(B91:B103)</f>
        <v>4576</v>
      </c>
      <c r="C89" s="85">
        <f t="shared" ref="C89" si="57">SUM(C91:C103)</f>
        <v>0</v>
      </c>
      <c r="D89" s="85">
        <f>SUM(D91:D103)</f>
        <v>120072</v>
      </c>
      <c r="E89" s="86">
        <f>SUM(E91:E103)</f>
        <v>7685</v>
      </c>
      <c r="F89" s="85">
        <f t="shared" ref="F89:H89" si="58">SUM(F91:F103)</f>
        <v>112325</v>
      </c>
      <c r="G89" s="86">
        <f t="shared" si="58"/>
        <v>62</v>
      </c>
      <c r="H89" s="85">
        <f t="shared" si="58"/>
        <v>144519</v>
      </c>
      <c r="I89" s="86">
        <f t="shared" ref="I89:K89" si="59">SUM(I91:I103)</f>
        <v>10680</v>
      </c>
      <c r="J89" s="85">
        <f t="shared" si="59"/>
        <v>133351</v>
      </c>
      <c r="K89" s="89">
        <f t="shared" si="59"/>
        <v>488</v>
      </c>
      <c r="L89" s="84" t="s">
        <v>92</v>
      </c>
      <c r="M89" s="84"/>
      <c r="N89" s="84"/>
      <c r="O89" s="8"/>
    </row>
    <row r="90" spans="1:15">
      <c r="A90" s="91"/>
      <c r="B90" s="92"/>
      <c r="C90" s="85"/>
      <c r="D90" s="85"/>
      <c r="E90" s="86"/>
      <c r="F90" s="85"/>
      <c r="G90" s="86"/>
      <c r="H90" s="85"/>
      <c r="I90" s="86"/>
      <c r="J90" s="85"/>
      <c r="K90" s="89"/>
      <c r="L90" s="84"/>
      <c r="M90" s="84"/>
      <c r="N90" s="84"/>
      <c r="O90" s="8"/>
    </row>
    <row r="91" spans="1:15">
      <c r="A91" s="36" t="s">
        <v>162</v>
      </c>
      <c r="B91" s="47">
        <v>189</v>
      </c>
      <c r="C91" s="46" t="s">
        <v>112</v>
      </c>
      <c r="D91" s="26">
        <f t="shared" ref="D91:D103" si="60">SUM(E91:G91)</f>
        <v>2239</v>
      </c>
      <c r="E91" s="45">
        <v>444</v>
      </c>
      <c r="F91" s="45">
        <v>1795</v>
      </c>
      <c r="G91" s="46" t="s">
        <v>112</v>
      </c>
      <c r="H91" s="25">
        <f t="shared" ref="H91:H103" si="61">SUM(I91:K91)</f>
        <v>1508</v>
      </c>
      <c r="I91" s="45">
        <v>458</v>
      </c>
      <c r="J91" s="45">
        <v>1050</v>
      </c>
      <c r="K91" s="48" t="s">
        <v>112</v>
      </c>
      <c r="L91" s="39" t="s">
        <v>93</v>
      </c>
      <c r="M91" s="9"/>
      <c r="N91" s="9"/>
      <c r="O91" s="8"/>
    </row>
    <row r="92" spans="1:15">
      <c r="A92" s="36" t="s">
        <v>163</v>
      </c>
      <c r="B92" s="47">
        <v>16</v>
      </c>
      <c r="C92" s="46" t="s">
        <v>112</v>
      </c>
      <c r="D92" s="26">
        <f t="shared" si="60"/>
        <v>370</v>
      </c>
      <c r="E92" s="46" t="s">
        <v>112</v>
      </c>
      <c r="F92" s="45">
        <v>370</v>
      </c>
      <c r="G92" s="46" t="s">
        <v>112</v>
      </c>
      <c r="H92" s="25">
        <f t="shared" si="61"/>
        <v>4200</v>
      </c>
      <c r="I92" s="46" t="s">
        <v>112</v>
      </c>
      <c r="J92" s="45">
        <v>3800</v>
      </c>
      <c r="K92" s="49">
        <v>400</v>
      </c>
      <c r="L92" s="39" t="s">
        <v>94</v>
      </c>
      <c r="M92" s="9"/>
      <c r="N92" s="9"/>
      <c r="O92" s="8"/>
    </row>
    <row r="93" spans="1:15">
      <c r="A93" s="36" t="s">
        <v>164</v>
      </c>
      <c r="B93" s="47">
        <v>65</v>
      </c>
      <c r="C93" s="46" t="s">
        <v>112</v>
      </c>
      <c r="D93" s="26">
        <f t="shared" si="60"/>
        <v>1602</v>
      </c>
      <c r="E93" s="45">
        <v>902</v>
      </c>
      <c r="F93" s="45">
        <v>700</v>
      </c>
      <c r="G93" s="46" t="s">
        <v>112</v>
      </c>
      <c r="H93" s="25">
        <f t="shared" si="61"/>
        <v>5392</v>
      </c>
      <c r="I93" s="45">
        <v>1895</v>
      </c>
      <c r="J93" s="45">
        <v>3497</v>
      </c>
      <c r="K93" s="48" t="s">
        <v>112</v>
      </c>
      <c r="L93" s="39" t="s">
        <v>95</v>
      </c>
      <c r="M93" s="9"/>
      <c r="N93" s="9"/>
      <c r="O93" s="8"/>
    </row>
    <row r="94" spans="1:15">
      <c r="A94" s="36" t="s">
        <v>165</v>
      </c>
      <c r="B94" s="47">
        <v>45</v>
      </c>
      <c r="C94" s="46" t="s">
        <v>112</v>
      </c>
      <c r="D94" s="26">
        <f t="shared" si="60"/>
        <v>4575</v>
      </c>
      <c r="E94" s="45">
        <v>230</v>
      </c>
      <c r="F94" s="45">
        <v>4345</v>
      </c>
      <c r="G94" s="46" t="s">
        <v>112</v>
      </c>
      <c r="H94" s="25">
        <f t="shared" si="61"/>
        <v>12760</v>
      </c>
      <c r="I94" s="45">
        <v>880</v>
      </c>
      <c r="J94" s="45">
        <v>11880</v>
      </c>
      <c r="K94" s="48" t="s">
        <v>112</v>
      </c>
      <c r="L94" s="39" t="s">
        <v>96</v>
      </c>
      <c r="M94" s="9"/>
      <c r="N94" s="9"/>
      <c r="O94" s="8"/>
    </row>
    <row r="95" spans="1:15">
      <c r="A95" s="36" t="s">
        <v>166</v>
      </c>
      <c r="B95" s="50" t="s">
        <v>112</v>
      </c>
      <c r="C95" s="46" t="s">
        <v>112</v>
      </c>
      <c r="D95" s="26">
        <f t="shared" si="60"/>
        <v>2809</v>
      </c>
      <c r="E95" s="45">
        <v>176</v>
      </c>
      <c r="F95" s="45">
        <v>2633</v>
      </c>
      <c r="G95" s="46" t="s">
        <v>112</v>
      </c>
      <c r="H95" s="25">
        <f t="shared" si="61"/>
        <v>2083</v>
      </c>
      <c r="I95" s="45">
        <v>288</v>
      </c>
      <c r="J95" s="45">
        <v>1795</v>
      </c>
      <c r="K95" s="48" t="s">
        <v>112</v>
      </c>
      <c r="L95" s="39" t="s">
        <v>97</v>
      </c>
      <c r="M95" s="9"/>
      <c r="N95" s="9"/>
      <c r="O95" s="8"/>
    </row>
    <row r="96" spans="1:15">
      <c r="A96" s="36" t="s">
        <v>167</v>
      </c>
      <c r="B96" s="47">
        <v>100</v>
      </c>
      <c r="C96" s="46" t="s">
        <v>112</v>
      </c>
      <c r="D96" s="26">
        <f t="shared" si="60"/>
        <v>7680</v>
      </c>
      <c r="E96" s="45">
        <v>280</v>
      </c>
      <c r="F96" s="45">
        <v>7400</v>
      </c>
      <c r="G96" s="46" t="s">
        <v>112</v>
      </c>
      <c r="H96" s="25">
        <f t="shared" si="61"/>
        <v>10900</v>
      </c>
      <c r="I96" s="45">
        <v>200</v>
      </c>
      <c r="J96" s="45">
        <v>10700</v>
      </c>
      <c r="K96" s="48" t="s">
        <v>112</v>
      </c>
      <c r="L96" s="39" t="s">
        <v>98</v>
      </c>
      <c r="M96" s="9"/>
      <c r="N96" s="9"/>
      <c r="O96" s="8"/>
    </row>
    <row r="97" spans="1:15">
      <c r="A97" s="36" t="s">
        <v>168</v>
      </c>
      <c r="B97" s="47">
        <v>263</v>
      </c>
      <c r="C97" s="46" t="s">
        <v>112</v>
      </c>
      <c r="D97" s="26">
        <f t="shared" si="60"/>
        <v>12720</v>
      </c>
      <c r="E97" s="45">
        <v>1032</v>
      </c>
      <c r="F97" s="45">
        <v>11688</v>
      </c>
      <c r="G97" s="46" t="s">
        <v>112</v>
      </c>
      <c r="H97" s="25">
        <f t="shared" si="61"/>
        <v>15082</v>
      </c>
      <c r="I97" s="45">
        <v>1117</v>
      </c>
      <c r="J97" s="45">
        <v>13965</v>
      </c>
      <c r="K97" s="48" t="s">
        <v>112</v>
      </c>
      <c r="L97" s="39" t="s">
        <v>99</v>
      </c>
      <c r="M97" s="9"/>
      <c r="N97" s="9"/>
      <c r="O97" s="8"/>
    </row>
    <row r="98" spans="1:15">
      <c r="A98" s="36" t="s">
        <v>169</v>
      </c>
      <c r="B98" s="47">
        <v>24</v>
      </c>
      <c r="C98" s="46" t="s">
        <v>112</v>
      </c>
      <c r="D98" s="26">
        <f t="shared" si="60"/>
        <v>3746</v>
      </c>
      <c r="E98" s="45">
        <v>566</v>
      </c>
      <c r="F98" s="45">
        <v>3180</v>
      </c>
      <c r="G98" s="46" t="s">
        <v>112</v>
      </c>
      <c r="H98" s="25">
        <f t="shared" si="61"/>
        <v>7919</v>
      </c>
      <c r="I98" s="45">
        <v>660</v>
      </c>
      <c r="J98" s="45">
        <v>7259</v>
      </c>
      <c r="K98" s="48" t="s">
        <v>112</v>
      </c>
      <c r="L98" s="39" t="s">
        <v>100</v>
      </c>
      <c r="M98" s="9"/>
      <c r="N98" s="9"/>
      <c r="O98" s="8"/>
    </row>
    <row r="99" spans="1:15">
      <c r="A99" s="36" t="s">
        <v>170</v>
      </c>
      <c r="B99" s="47">
        <v>167</v>
      </c>
      <c r="C99" s="46" t="s">
        <v>112</v>
      </c>
      <c r="D99" s="26">
        <f t="shared" si="60"/>
        <v>2750</v>
      </c>
      <c r="E99" s="45">
        <v>950</v>
      </c>
      <c r="F99" s="45">
        <v>1800</v>
      </c>
      <c r="G99" s="46" t="s">
        <v>112</v>
      </c>
      <c r="H99" s="25">
        <f t="shared" si="61"/>
        <v>1100</v>
      </c>
      <c r="I99" s="45">
        <v>300</v>
      </c>
      <c r="J99" s="45">
        <v>800</v>
      </c>
      <c r="K99" s="48" t="s">
        <v>112</v>
      </c>
      <c r="L99" s="39" t="s">
        <v>101</v>
      </c>
      <c r="M99" s="9"/>
      <c r="N99" s="9"/>
      <c r="O99" s="8"/>
    </row>
    <row r="100" spans="1:15">
      <c r="A100" s="36" t="s">
        <v>171</v>
      </c>
      <c r="B100" s="47">
        <v>2637</v>
      </c>
      <c r="C100" s="46" t="s">
        <v>112</v>
      </c>
      <c r="D100" s="26">
        <f t="shared" si="60"/>
        <v>60805</v>
      </c>
      <c r="E100" s="45">
        <v>940</v>
      </c>
      <c r="F100" s="45">
        <v>59865</v>
      </c>
      <c r="G100" s="46" t="s">
        <v>112</v>
      </c>
      <c r="H100" s="25">
        <f t="shared" si="61"/>
        <v>55531</v>
      </c>
      <c r="I100" s="45">
        <v>1047</v>
      </c>
      <c r="J100" s="45">
        <v>54484</v>
      </c>
      <c r="K100" s="48" t="s">
        <v>112</v>
      </c>
      <c r="L100" s="39" t="s">
        <v>102</v>
      </c>
      <c r="M100" s="9"/>
      <c r="N100" s="9"/>
      <c r="O100" s="8"/>
    </row>
    <row r="101" spans="1:15">
      <c r="A101" s="36" t="s">
        <v>172</v>
      </c>
      <c r="B101" s="47">
        <v>573</v>
      </c>
      <c r="C101" s="46" t="s">
        <v>112</v>
      </c>
      <c r="D101" s="26">
        <f t="shared" si="60"/>
        <v>2819</v>
      </c>
      <c r="E101" s="46" t="s">
        <v>112</v>
      </c>
      <c r="F101" s="45">
        <v>2819</v>
      </c>
      <c r="G101" s="46" t="s">
        <v>112</v>
      </c>
      <c r="H101" s="25">
        <f t="shared" si="61"/>
        <v>3726</v>
      </c>
      <c r="I101" s="46" t="s">
        <v>112</v>
      </c>
      <c r="J101" s="45">
        <v>3726</v>
      </c>
      <c r="K101" s="48" t="s">
        <v>112</v>
      </c>
      <c r="L101" s="39" t="s">
        <v>103</v>
      </c>
      <c r="M101" s="9"/>
      <c r="N101" s="9"/>
      <c r="O101" s="8"/>
    </row>
    <row r="102" spans="1:15">
      <c r="A102" s="36" t="s">
        <v>173</v>
      </c>
      <c r="B102" s="47">
        <v>349</v>
      </c>
      <c r="C102" s="46" t="s">
        <v>112</v>
      </c>
      <c r="D102" s="26">
        <f t="shared" si="60"/>
        <v>11307</v>
      </c>
      <c r="E102" s="45">
        <v>2165</v>
      </c>
      <c r="F102" s="45">
        <v>9080</v>
      </c>
      <c r="G102" s="45">
        <v>62</v>
      </c>
      <c r="H102" s="25">
        <f t="shared" si="61"/>
        <v>18788</v>
      </c>
      <c r="I102" s="45">
        <v>3835</v>
      </c>
      <c r="J102" s="45">
        <v>14865</v>
      </c>
      <c r="K102" s="49">
        <v>88</v>
      </c>
      <c r="L102" s="39" t="s">
        <v>104</v>
      </c>
      <c r="M102" s="9"/>
      <c r="N102" s="9"/>
      <c r="O102" s="8"/>
    </row>
    <row r="103" spans="1:15">
      <c r="A103" s="36" t="s">
        <v>174</v>
      </c>
      <c r="B103" s="47">
        <v>148</v>
      </c>
      <c r="C103" s="46" t="s">
        <v>112</v>
      </c>
      <c r="D103" s="26">
        <f t="shared" si="60"/>
        <v>6650</v>
      </c>
      <c r="E103" s="46" t="s">
        <v>112</v>
      </c>
      <c r="F103" s="45">
        <v>6650</v>
      </c>
      <c r="G103" s="46" t="s">
        <v>112</v>
      </c>
      <c r="H103" s="25">
        <f t="shared" si="61"/>
        <v>5530</v>
      </c>
      <c r="I103" s="46" t="s">
        <v>112</v>
      </c>
      <c r="J103" s="45">
        <v>5530</v>
      </c>
      <c r="K103" s="48" t="s">
        <v>112</v>
      </c>
      <c r="L103" s="39" t="s">
        <v>105</v>
      </c>
      <c r="M103" s="9"/>
      <c r="N103" s="9"/>
      <c r="O103" s="8"/>
    </row>
    <row r="104" spans="1:15">
      <c r="A104" s="91" t="s">
        <v>106</v>
      </c>
      <c r="B104" s="92">
        <f>SUM(B106:B109)</f>
        <v>120</v>
      </c>
      <c r="C104" s="85">
        <f t="shared" ref="C104" si="62">SUM(C106:C109)</f>
        <v>0</v>
      </c>
      <c r="D104" s="85">
        <f>SUM(D106:D109)</f>
        <v>1005013</v>
      </c>
      <c r="E104" s="86">
        <f>SUM(E106:E109)</f>
        <v>42351</v>
      </c>
      <c r="F104" s="85">
        <f t="shared" ref="F104:H104" si="63">SUM(F106:F109)</f>
        <v>932613</v>
      </c>
      <c r="G104" s="86">
        <f t="shared" si="63"/>
        <v>30049</v>
      </c>
      <c r="H104" s="85">
        <f t="shared" si="63"/>
        <v>360407</v>
      </c>
      <c r="I104" s="86">
        <f t="shared" ref="I104:K104" si="64">SUM(I106:I109)</f>
        <v>34774</v>
      </c>
      <c r="J104" s="85">
        <f t="shared" si="64"/>
        <v>315899</v>
      </c>
      <c r="K104" s="89">
        <f t="shared" si="64"/>
        <v>9734</v>
      </c>
      <c r="L104" s="84" t="s">
        <v>107</v>
      </c>
      <c r="M104" s="84"/>
      <c r="N104" s="84"/>
      <c r="O104" s="8"/>
    </row>
    <row r="105" spans="1:15">
      <c r="A105" s="91"/>
      <c r="B105" s="92"/>
      <c r="C105" s="85"/>
      <c r="D105" s="85"/>
      <c r="E105" s="86"/>
      <c r="F105" s="85"/>
      <c r="G105" s="86"/>
      <c r="H105" s="85"/>
      <c r="I105" s="86"/>
      <c r="J105" s="85"/>
      <c r="K105" s="89"/>
      <c r="L105" s="84"/>
      <c r="M105" s="84"/>
      <c r="N105" s="84"/>
      <c r="O105" s="8"/>
    </row>
    <row r="106" spans="1:15">
      <c r="A106" s="36" t="s">
        <v>175</v>
      </c>
      <c r="B106" s="47">
        <v>27</v>
      </c>
      <c r="C106" s="46" t="s">
        <v>112</v>
      </c>
      <c r="D106" s="26">
        <f t="shared" ref="D106:D109" si="65">SUM(E106:G106)</f>
        <v>259462</v>
      </c>
      <c r="E106" s="45">
        <v>10861</v>
      </c>
      <c r="F106" s="45">
        <v>242290</v>
      </c>
      <c r="G106" s="45">
        <v>6311</v>
      </c>
      <c r="H106" s="25">
        <f t="shared" ref="H106:H109" si="66">SUM(I106:K106)</f>
        <v>93921</v>
      </c>
      <c r="I106" s="45">
        <v>10344</v>
      </c>
      <c r="J106" s="45">
        <v>83290</v>
      </c>
      <c r="K106" s="49">
        <v>287</v>
      </c>
      <c r="L106" s="39" t="s">
        <v>108</v>
      </c>
      <c r="M106" s="9"/>
      <c r="N106" s="9"/>
      <c r="O106" s="8"/>
    </row>
    <row r="107" spans="1:15">
      <c r="A107" s="36" t="s">
        <v>176</v>
      </c>
      <c r="B107" s="47">
        <v>2</v>
      </c>
      <c r="C107" s="46" t="s">
        <v>112</v>
      </c>
      <c r="D107" s="26">
        <f t="shared" si="65"/>
        <v>128163</v>
      </c>
      <c r="E107" s="45">
        <v>4926</v>
      </c>
      <c r="F107" s="45">
        <v>112857</v>
      </c>
      <c r="G107" s="45">
        <v>10380</v>
      </c>
      <c r="H107" s="25">
        <f t="shared" si="66"/>
        <v>71189</v>
      </c>
      <c r="I107" s="45">
        <v>6573</v>
      </c>
      <c r="J107" s="45">
        <v>59776</v>
      </c>
      <c r="K107" s="49">
        <v>4840</v>
      </c>
      <c r="L107" s="39" t="s">
        <v>109</v>
      </c>
      <c r="M107" s="9"/>
      <c r="N107" s="9"/>
      <c r="O107" s="8"/>
    </row>
    <row r="108" spans="1:15">
      <c r="A108" s="36" t="s">
        <v>177</v>
      </c>
      <c r="B108" s="47">
        <v>48</v>
      </c>
      <c r="C108" s="46" t="s">
        <v>112</v>
      </c>
      <c r="D108" s="26">
        <f t="shared" si="65"/>
        <v>429034</v>
      </c>
      <c r="E108" s="45">
        <v>7276</v>
      </c>
      <c r="F108" s="45">
        <v>411668</v>
      </c>
      <c r="G108" s="45">
        <v>10090</v>
      </c>
      <c r="H108" s="25">
        <f t="shared" si="66"/>
        <v>100884</v>
      </c>
      <c r="I108" s="45">
        <v>5810</v>
      </c>
      <c r="J108" s="45">
        <v>92264</v>
      </c>
      <c r="K108" s="49">
        <v>2810</v>
      </c>
      <c r="L108" s="39" t="s">
        <v>110</v>
      </c>
      <c r="M108" s="9"/>
      <c r="N108" s="9"/>
      <c r="O108" s="8"/>
    </row>
    <row r="109" spans="1:15" ht="10.8" thickBot="1">
      <c r="A109" s="38" t="s">
        <v>178</v>
      </c>
      <c r="B109" s="51">
        <v>43</v>
      </c>
      <c r="C109" s="52" t="s">
        <v>112</v>
      </c>
      <c r="D109" s="28">
        <f t="shared" si="65"/>
        <v>188354</v>
      </c>
      <c r="E109" s="53">
        <v>19288</v>
      </c>
      <c r="F109" s="53">
        <v>165798</v>
      </c>
      <c r="G109" s="53">
        <v>3268</v>
      </c>
      <c r="H109" s="27">
        <f t="shared" si="66"/>
        <v>94413</v>
      </c>
      <c r="I109" s="53">
        <v>12047</v>
      </c>
      <c r="J109" s="53">
        <v>80569</v>
      </c>
      <c r="K109" s="54">
        <v>1797</v>
      </c>
      <c r="L109" s="40" t="s">
        <v>111</v>
      </c>
      <c r="M109" s="10"/>
      <c r="N109" s="10"/>
      <c r="O109" s="8"/>
    </row>
    <row r="110" spans="1:15">
      <c r="A110" s="11"/>
      <c r="B110" s="12"/>
      <c r="C110" s="12"/>
      <c r="M110" s="93"/>
      <c r="N110" s="93"/>
    </row>
    <row r="111" spans="1:15">
      <c r="A111" s="12"/>
      <c r="B111" s="12"/>
      <c r="C111" s="12"/>
      <c r="L111" s="12"/>
      <c r="M111" s="12"/>
      <c r="N111" s="12"/>
    </row>
    <row r="112" spans="1:15" ht="10.199999999999999" customHeight="1">
      <c r="A112" s="13"/>
      <c r="B112" s="13"/>
      <c r="C112" s="13"/>
      <c r="D112" s="14"/>
      <c r="E112" s="14"/>
      <c r="F112" s="14"/>
      <c r="G112" s="14"/>
      <c r="L112" s="14"/>
      <c r="M112" s="14"/>
      <c r="N112" s="14"/>
    </row>
    <row r="113" spans="1:14" ht="10.199999999999999" customHeight="1">
      <c r="A113" s="13"/>
      <c r="B113" s="13"/>
      <c r="C113" s="13"/>
      <c r="D113" s="14"/>
      <c r="E113" s="14"/>
      <c r="F113" s="14"/>
      <c r="G113" s="14"/>
      <c r="L113" s="14"/>
      <c r="M113" s="14"/>
      <c r="N113" s="14"/>
    </row>
    <row r="114" spans="1:14" ht="10.199999999999999" customHeight="1">
      <c r="A114" s="94"/>
      <c r="B114" s="94"/>
      <c r="C114" s="94"/>
      <c r="D114" s="94"/>
      <c r="E114" s="94"/>
      <c r="F114" s="94"/>
      <c r="G114" s="94"/>
      <c r="L114" s="94"/>
      <c r="M114" s="94"/>
      <c r="N114" s="94"/>
    </row>
    <row r="115" spans="1:14">
      <c r="A115" s="94"/>
      <c r="B115" s="94"/>
      <c r="C115" s="94"/>
      <c r="D115" s="94"/>
      <c r="E115" s="94"/>
      <c r="F115" s="94"/>
      <c r="G115" s="94"/>
      <c r="L115" s="94"/>
      <c r="M115" s="94"/>
      <c r="N115" s="94"/>
    </row>
    <row r="116" spans="1:14">
      <c r="A116" s="8"/>
      <c r="B116" s="8"/>
      <c r="C116" s="8"/>
    </row>
    <row r="117" spans="1:14">
      <c r="A117" s="8"/>
      <c r="B117" s="8"/>
      <c r="C117" s="8"/>
    </row>
    <row r="118" spans="1:14">
      <c r="A118" s="8"/>
      <c r="B118" s="8"/>
      <c r="C118" s="8"/>
    </row>
    <row r="119" spans="1:14">
      <c r="A119" s="8"/>
      <c r="B119" s="8"/>
      <c r="C119" s="8"/>
    </row>
    <row r="120" spans="1:14">
      <c r="A120" s="8"/>
      <c r="B120" s="8"/>
      <c r="C120" s="8"/>
    </row>
    <row r="121" spans="1:14">
      <c r="A121" s="8"/>
      <c r="B121" s="8"/>
      <c r="C121" s="8"/>
    </row>
    <row r="122" spans="1:14">
      <c r="A122" s="8"/>
      <c r="B122" s="8"/>
      <c r="C122" s="8"/>
    </row>
    <row r="123" spans="1:14">
      <c r="A123" s="8"/>
      <c r="B123" s="8"/>
      <c r="C123" s="8"/>
    </row>
    <row r="124" spans="1:14">
      <c r="A124" s="15"/>
      <c r="B124" s="15"/>
      <c r="C124" s="15"/>
    </row>
    <row r="125" spans="1:14" s="8" customFormat="1">
      <c r="A125" s="101"/>
      <c r="B125" s="101"/>
      <c r="C125" s="101"/>
      <c r="D125" s="101"/>
      <c r="E125" s="101"/>
      <c r="F125" s="101"/>
      <c r="G125" s="101"/>
      <c r="H125" s="101"/>
      <c r="I125" s="102"/>
      <c r="J125" s="102"/>
      <c r="K125" s="102"/>
    </row>
    <row r="126" spans="1:14" s="8" customFormat="1">
      <c r="A126" s="101"/>
      <c r="B126" s="101"/>
      <c r="C126" s="101"/>
      <c r="D126" s="101"/>
      <c r="E126" s="101"/>
      <c r="F126" s="101"/>
      <c r="G126" s="101"/>
      <c r="H126" s="101"/>
      <c r="I126" s="102"/>
      <c r="J126" s="102"/>
      <c r="K126" s="102"/>
    </row>
    <row r="127" spans="1:14" s="8" customFormat="1">
      <c r="A127" s="101"/>
      <c r="B127" s="101"/>
      <c r="C127" s="101"/>
      <c r="D127" s="101"/>
      <c r="E127" s="101"/>
      <c r="F127" s="101"/>
      <c r="G127" s="101"/>
      <c r="H127" s="101"/>
      <c r="I127" s="102"/>
      <c r="J127" s="102"/>
      <c r="K127" s="102"/>
    </row>
    <row r="128" spans="1:14" s="8" customFormat="1">
      <c r="A128" s="16"/>
      <c r="B128" s="16"/>
      <c r="C128" s="16"/>
      <c r="H128" s="103"/>
      <c r="I128" s="103"/>
      <c r="J128" s="103"/>
      <c r="K128" s="103"/>
    </row>
    <row r="129" spans="1:11" s="8" customFormat="1">
      <c r="A129" s="104"/>
      <c r="B129" s="24"/>
      <c r="C129" s="24"/>
      <c r="D129" s="100"/>
      <c r="E129" s="100"/>
      <c r="F129" s="100"/>
      <c r="G129" s="100"/>
      <c r="H129" s="100"/>
      <c r="I129" s="100"/>
      <c r="J129" s="100"/>
      <c r="K129" s="100"/>
    </row>
    <row r="130" spans="1:11" s="8" customFormat="1">
      <c r="A130" s="104"/>
      <c r="B130" s="24"/>
      <c r="C130" s="24"/>
      <c r="D130" s="100"/>
      <c r="E130" s="100"/>
      <c r="F130" s="100"/>
      <c r="G130" s="100"/>
      <c r="H130" s="100"/>
      <c r="I130" s="100"/>
      <c r="J130" s="100"/>
      <c r="K130" s="100"/>
    </row>
    <row r="131" spans="1:11" s="8" customFormat="1">
      <c r="A131" s="104"/>
      <c r="B131" s="24"/>
      <c r="C131" s="24"/>
      <c r="D131" s="100"/>
      <c r="E131" s="100"/>
      <c r="F131" s="100"/>
      <c r="G131" s="100"/>
      <c r="H131" s="100"/>
      <c r="I131" s="100"/>
      <c r="J131" s="100"/>
      <c r="K131" s="100"/>
    </row>
    <row r="132" spans="1:11" s="8" customFormat="1">
      <c r="A132" s="104"/>
      <c r="B132" s="24"/>
      <c r="C132" s="24"/>
      <c r="D132" s="17"/>
      <c r="E132" s="17"/>
      <c r="F132" s="17"/>
      <c r="G132" s="17"/>
      <c r="H132" s="17"/>
      <c r="I132" s="17"/>
      <c r="J132" s="17"/>
      <c r="K132" s="17"/>
    </row>
    <row r="133" spans="1:11" s="8" customFormat="1">
      <c r="A133" s="18"/>
      <c r="B133" s="18"/>
      <c r="C133" s="18"/>
    </row>
    <row r="134" spans="1:11" s="8" customFormat="1">
      <c r="A134" s="19"/>
      <c r="B134" s="19"/>
      <c r="C134" s="19"/>
    </row>
    <row r="135" spans="1:11" s="8" customFormat="1">
      <c r="A135" s="99"/>
      <c r="B135" s="23"/>
      <c r="C135" s="23"/>
      <c r="D135" s="98"/>
      <c r="E135" s="98"/>
      <c r="F135" s="98"/>
      <c r="G135" s="98"/>
      <c r="H135" s="98"/>
      <c r="I135" s="98"/>
      <c r="J135" s="98"/>
      <c r="K135" s="98"/>
    </row>
    <row r="136" spans="1:11" s="8" customFormat="1">
      <c r="A136" s="99"/>
      <c r="B136" s="23"/>
      <c r="C136" s="23"/>
      <c r="D136" s="98"/>
      <c r="E136" s="98"/>
      <c r="F136" s="98"/>
      <c r="G136" s="98"/>
      <c r="H136" s="98"/>
      <c r="I136" s="98"/>
      <c r="J136" s="98"/>
      <c r="K136" s="98"/>
    </row>
    <row r="137" spans="1:11" s="8" customFormat="1">
      <c r="A137" s="99"/>
      <c r="B137" s="23"/>
      <c r="C137" s="23"/>
      <c r="D137" s="98"/>
      <c r="E137" s="98"/>
      <c r="F137" s="98"/>
      <c r="G137" s="98"/>
      <c r="H137" s="98"/>
      <c r="I137" s="98"/>
      <c r="J137" s="98"/>
      <c r="K137" s="98"/>
    </row>
    <row r="138" spans="1:11" s="8" customFormat="1">
      <c r="A138" s="19"/>
      <c r="B138" s="19"/>
      <c r="C138" s="19"/>
      <c r="H138" s="20"/>
      <c r="I138" s="20"/>
    </row>
    <row r="139" spans="1:11" s="8" customFormat="1">
      <c r="A139" s="19"/>
      <c r="B139" s="19"/>
      <c r="C139" s="19"/>
      <c r="H139" s="20"/>
      <c r="I139" s="20"/>
    </row>
    <row r="140" spans="1:11" s="8" customFormat="1">
      <c r="A140" s="19"/>
      <c r="B140" s="19"/>
      <c r="C140" s="19"/>
      <c r="H140" s="20"/>
      <c r="I140" s="20"/>
    </row>
    <row r="141" spans="1:11" s="8" customFormat="1">
      <c r="A141" s="19"/>
      <c r="B141" s="19"/>
      <c r="C141" s="19"/>
      <c r="H141" s="20"/>
      <c r="I141" s="20"/>
    </row>
    <row r="142" spans="1:11" s="8" customFormat="1">
      <c r="A142" s="19"/>
      <c r="B142" s="19"/>
      <c r="C142" s="19"/>
      <c r="H142" s="20"/>
      <c r="I142" s="20"/>
    </row>
    <row r="143" spans="1:11" s="8" customFormat="1">
      <c r="A143" s="19"/>
      <c r="B143" s="19"/>
      <c r="C143" s="19"/>
      <c r="H143" s="20"/>
      <c r="I143" s="20"/>
    </row>
    <row r="144" spans="1:11" s="8" customFormat="1">
      <c r="A144" s="99"/>
      <c r="B144" s="23"/>
      <c r="C144" s="23"/>
    </row>
    <row r="145" spans="1:9" s="8" customFormat="1">
      <c r="A145" s="99"/>
      <c r="B145" s="23"/>
      <c r="C145" s="23"/>
    </row>
    <row r="146" spans="1:9" s="8" customFormat="1">
      <c r="A146" s="19"/>
      <c r="B146" s="19"/>
      <c r="C146" s="19"/>
      <c r="H146" s="20"/>
      <c r="I146" s="20"/>
    </row>
    <row r="147" spans="1:9" s="8" customFormat="1">
      <c r="A147" s="19"/>
      <c r="B147" s="19"/>
      <c r="C147" s="19"/>
      <c r="H147" s="20"/>
      <c r="I147" s="20"/>
    </row>
    <row r="148" spans="1:9" s="8" customFormat="1">
      <c r="A148" s="19"/>
      <c r="B148" s="19"/>
      <c r="C148" s="19"/>
      <c r="H148" s="20"/>
      <c r="I148" s="20"/>
    </row>
    <row r="149" spans="1:9" s="8" customFormat="1">
      <c r="A149" s="19"/>
      <c r="B149" s="19"/>
      <c r="C149" s="19"/>
      <c r="H149" s="20"/>
      <c r="I149" s="20"/>
    </row>
    <row r="150" spans="1:9" s="8" customFormat="1">
      <c r="A150" s="19"/>
      <c r="B150" s="19"/>
      <c r="C150" s="19"/>
      <c r="H150" s="20"/>
      <c r="I150" s="20"/>
    </row>
    <row r="151" spans="1:9" s="8" customFormat="1">
      <c r="A151" s="19"/>
      <c r="B151" s="19"/>
      <c r="C151" s="19"/>
      <c r="H151" s="20"/>
      <c r="I151" s="20"/>
    </row>
    <row r="152" spans="1:9" s="8" customFormat="1">
      <c r="A152" s="19"/>
      <c r="B152" s="19"/>
      <c r="C152" s="19"/>
      <c r="H152" s="20"/>
      <c r="I152" s="20"/>
    </row>
    <row r="153" spans="1:9" s="8" customFormat="1">
      <c r="A153" s="19"/>
      <c r="B153" s="19"/>
      <c r="C153" s="19"/>
      <c r="H153" s="20"/>
      <c r="I153" s="20"/>
    </row>
    <row r="154" spans="1:9" s="8" customFormat="1">
      <c r="A154" s="19"/>
      <c r="B154" s="19"/>
      <c r="C154" s="19"/>
      <c r="H154" s="20"/>
      <c r="I154" s="20"/>
    </row>
    <row r="155" spans="1:9" s="8" customFormat="1">
      <c r="A155" s="19"/>
      <c r="B155" s="19"/>
      <c r="C155" s="19"/>
      <c r="H155" s="20"/>
      <c r="I155" s="20"/>
    </row>
    <row r="156" spans="1:9" s="8" customFormat="1">
      <c r="A156" s="19"/>
      <c r="B156" s="19"/>
      <c r="C156" s="19"/>
      <c r="H156" s="20"/>
      <c r="I156" s="20"/>
    </row>
    <row r="157" spans="1:9" s="8" customFormat="1">
      <c r="A157" s="105"/>
      <c r="B157" s="22"/>
      <c r="C157" s="22"/>
    </row>
    <row r="158" spans="1:9" s="8" customFormat="1">
      <c r="A158" s="105"/>
      <c r="B158" s="22"/>
      <c r="C158" s="22"/>
    </row>
    <row r="159" spans="1:9" s="8" customFormat="1">
      <c r="A159" s="19"/>
      <c r="B159" s="19"/>
      <c r="C159" s="19"/>
      <c r="H159" s="20"/>
      <c r="I159" s="20"/>
    </row>
    <row r="160" spans="1:9" s="8" customFormat="1">
      <c r="A160" s="19"/>
      <c r="B160" s="19"/>
      <c r="C160" s="19"/>
      <c r="H160" s="20"/>
      <c r="I160" s="20"/>
    </row>
    <row r="161" spans="1:9" s="8" customFormat="1">
      <c r="A161" s="19"/>
      <c r="B161" s="19"/>
      <c r="C161" s="19"/>
      <c r="H161" s="20"/>
      <c r="I161" s="20"/>
    </row>
    <row r="162" spans="1:9" s="8" customFormat="1">
      <c r="A162" s="19"/>
      <c r="B162" s="19"/>
      <c r="C162" s="19"/>
      <c r="H162" s="20"/>
      <c r="I162" s="20"/>
    </row>
    <row r="163" spans="1:9" s="8" customFormat="1">
      <c r="A163" s="105"/>
      <c r="B163" s="22"/>
      <c r="C163" s="22"/>
    </row>
    <row r="164" spans="1:9" s="8" customFormat="1">
      <c r="A164" s="105"/>
      <c r="B164" s="22"/>
      <c r="C164" s="22"/>
    </row>
    <row r="165" spans="1:9" s="8" customFormat="1">
      <c r="A165" s="19"/>
      <c r="B165" s="19"/>
      <c r="C165" s="19"/>
      <c r="H165" s="20"/>
      <c r="I165" s="20"/>
    </row>
    <row r="166" spans="1:9" s="8" customFormat="1">
      <c r="A166" s="19"/>
      <c r="B166" s="19"/>
      <c r="C166" s="19"/>
      <c r="H166" s="20"/>
      <c r="I166" s="20"/>
    </row>
    <row r="167" spans="1:9" s="8" customFormat="1">
      <c r="A167" s="19"/>
      <c r="B167" s="19"/>
      <c r="C167" s="19"/>
      <c r="H167" s="20"/>
      <c r="I167" s="20"/>
    </row>
    <row r="168" spans="1:9" s="8" customFormat="1">
      <c r="A168" s="19"/>
      <c r="B168" s="19"/>
      <c r="C168" s="19"/>
      <c r="H168" s="20"/>
      <c r="I168" s="20"/>
    </row>
    <row r="169" spans="1:9" s="8" customFormat="1">
      <c r="A169" s="19"/>
      <c r="B169" s="19"/>
      <c r="C169" s="19"/>
      <c r="H169" s="20"/>
      <c r="I169" s="20"/>
    </row>
    <row r="170" spans="1:9" s="8" customFormat="1">
      <c r="A170" s="105"/>
      <c r="B170" s="22"/>
      <c r="C170" s="22"/>
    </row>
    <row r="171" spans="1:9" s="8" customFormat="1">
      <c r="A171" s="105"/>
      <c r="B171" s="22"/>
      <c r="C171" s="22"/>
    </row>
    <row r="172" spans="1:9" s="8" customFormat="1">
      <c r="A172" s="19"/>
      <c r="B172" s="19"/>
      <c r="C172" s="19"/>
      <c r="H172" s="20"/>
      <c r="I172" s="20"/>
    </row>
    <row r="173" spans="1:9" s="8" customFormat="1">
      <c r="A173" s="19"/>
      <c r="B173" s="19"/>
      <c r="C173" s="19"/>
      <c r="H173" s="20"/>
      <c r="I173" s="20"/>
    </row>
    <row r="174" spans="1:9" s="8" customFormat="1">
      <c r="A174" s="19"/>
      <c r="B174" s="19"/>
      <c r="C174" s="19"/>
      <c r="H174" s="20"/>
      <c r="I174" s="20"/>
    </row>
    <row r="175" spans="1:9" s="8" customFormat="1">
      <c r="A175" s="19"/>
      <c r="B175" s="19"/>
      <c r="C175" s="19"/>
      <c r="H175" s="20"/>
      <c r="I175" s="20"/>
    </row>
    <row r="176" spans="1:9" s="8" customFormat="1">
      <c r="A176" s="19"/>
      <c r="B176" s="19"/>
      <c r="C176" s="19"/>
      <c r="H176" s="20"/>
      <c r="I176" s="20"/>
    </row>
    <row r="177" spans="1:9" s="8" customFormat="1">
      <c r="A177" s="105"/>
      <c r="B177" s="22"/>
      <c r="C177" s="22"/>
    </row>
    <row r="178" spans="1:9" s="8" customFormat="1">
      <c r="A178" s="105"/>
      <c r="B178" s="22"/>
      <c r="C178" s="22"/>
    </row>
    <row r="179" spans="1:9" s="8" customFormat="1">
      <c r="A179" s="19"/>
      <c r="B179" s="19"/>
      <c r="C179" s="19"/>
      <c r="H179" s="20"/>
      <c r="I179" s="20"/>
    </row>
    <row r="180" spans="1:9" s="8" customFormat="1">
      <c r="A180" s="19"/>
      <c r="B180" s="19"/>
      <c r="C180" s="19"/>
      <c r="H180" s="20"/>
      <c r="I180" s="20"/>
    </row>
    <row r="181" spans="1:9" s="8" customFormat="1">
      <c r="A181" s="19"/>
      <c r="B181" s="19"/>
      <c r="C181" s="19"/>
      <c r="H181" s="20"/>
      <c r="I181" s="20"/>
    </row>
    <row r="182" spans="1:9" s="8" customFormat="1">
      <c r="A182" s="19"/>
      <c r="B182" s="19"/>
      <c r="C182" s="19"/>
      <c r="H182" s="20"/>
      <c r="I182" s="20"/>
    </row>
    <row r="183" spans="1:9" s="8" customFormat="1">
      <c r="A183" s="19"/>
      <c r="B183" s="19"/>
      <c r="C183" s="19"/>
      <c r="H183" s="20"/>
      <c r="I183" s="20"/>
    </row>
    <row r="184" spans="1:9" s="8" customFormat="1">
      <c r="A184" s="105"/>
      <c r="B184" s="22"/>
      <c r="C184" s="22"/>
    </row>
    <row r="185" spans="1:9" s="8" customFormat="1">
      <c r="A185" s="105"/>
      <c r="B185" s="22"/>
      <c r="C185" s="22"/>
    </row>
    <row r="186" spans="1:9" s="8" customFormat="1">
      <c r="A186" s="19"/>
      <c r="B186" s="19"/>
      <c r="C186" s="19"/>
      <c r="H186" s="20"/>
      <c r="I186" s="20"/>
    </row>
    <row r="187" spans="1:9" s="8" customFormat="1">
      <c r="A187" s="19"/>
      <c r="B187" s="19"/>
      <c r="C187" s="19"/>
      <c r="H187" s="20"/>
      <c r="I187" s="20"/>
    </row>
    <row r="188" spans="1:9" s="8" customFormat="1">
      <c r="A188" s="19"/>
      <c r="B188" s="19"/>
      <c r="C188" s="19"/>
      <c r="H188" s="20"/>
      <c r="I188" s="20"/>
    </row>
    <row r="189" spans="1:9" s="8" customFormat="1">
      <c r="A189" s="105"/>
      <c r="B189" s="22"/>
      <c r="C189" s="22"/>
    </row>
    <row r="190" spans="1:9" s="8" customFormat="1">
      <c r="A190" s="105"/>
      <c r="B190" s="22"/>
      <c r="C190" s="22"/>
    </row>
    <row r="191" spans="1:9" s="8" customFormat="1">
      <c r="A191" s="19"/>
      <c r="B191" s="19"/>
      <c r="C191" s="19"/>
      <c r="H191" s="20"/>
      <c r="I191" s="20"/>
    </row>
    <row r="192" spans="1:9" s="8" customFormat="1">
      <c r="A192" s="19"/>
      <c r="B192" s="19"/>
      <c r="C192" s="19"/>
      <c r="H192" s="20"/>
      <c r="I192" s="20"/>
    </row>
    <row r="193" spans="1:9" s="8" customFormat="1">
      <c r="A193" s="19"/>
      <c r="B193" s="19"/>
      <c r="C193" s="19"/>
      <c r="H193" s="20"/>
      <c r="I193" s="20"/>
    </row>
    <row r="194" spans="1:9" s="8" customFormat="1">
      <c r="A194" s="19"/>
      <c r="B194" s="19"/>
      <c r="C194" s="19"/>
      <c r="H194" s="20"/>
      <c r="I194" s="20"/>
    </row>
    <row r="195" spans="1:9" s="8" customFormat="1">
      <c r="A195" s="19"/>
      <c r="B195" s="19"/>
      <c r="C195" s="19"/>
      <c r="H195" s="20"/>
      <c r="I195" s="20"/>
    </row>
    <row r="196" spans="1:9" s="8" customFormat="1">
      <c r="A196" s="105"/>
      <c r="B196" s="22"/>
      <c r="C196" s="22"/>
    </row>
    <row r="197" spans="1:9" s="8" customFormat="1">
      <c r="A197" s="105"/>
      <c r="B197" s="22"/>
      <c r="C197" s="22"/>
    </row>
    <row r="198" spans="1:9" s="8" customFormat="1">
      <c r="A198" s="19"/>
      <c r="B198" s="19"/>
      <c r="C198" s="19"/>
      <c r="H198" s="20"/>
      <c r="I198" s="20"/>
    </row>
    <row r="199" spans="1:9" s="8" customFormat="1">
      <c r="A199" s="19"/>
      <c r="B199" s="19"/>
      <c r="C199" s="19"/>
      <c r="H199" s="20"/>
      <c r="I199" s="20"/>
    </row>
    <row r="200" spans="1:9" s="8" customFormat="1">
      <c r="A200" s="19"/>
      <c r="B200" s="19"/>
      <c r="C200" s="19"/>
      <c r="H200" s="20"/>
      <c r="I200" s="20"/>
    </row>
    <row r="201" spans="1:9" s="8" customFormat="1">
      <c r="A201" s="19"/>
      <c r="B201" s="19"/>
      <c r="C201" s="19"/>
      <c r="H201" s="20"/>
      <c r="I201" s="20"/>
    </row>
    <row r="202" spans="1:9" s="8" customFormat="1">
      <c r="A202" s="19"/>
      <c r="B202" s="19"/>
      <c r="C202" s="19"/>
      <c r="H202" s="20"/>
      <c r="I202" s="20"/>
    </row>
    <row r="203" spans="1:9" s="8" customFormat="1">
      <c r="A203" s="19"/>
      <c r="B203" s="19"/>
      <c r="C203" s="19"/>
      <c r="H203" s="20"/>
      <c r="I203" s="20"/>
    </row>
    <row r="204" spans="1:9" s="8" customFormat="1">
      <c r="A204" s="19"/>
      <c r="B204" s="19"/>
      <c r="C204" s="19"/>
      <c r="H204" s="20"/>
      <c r="I204" s="20"/>
    </row>
    <row r="205" spans="1:9" s="8" customFormat="1">
      <c r="A205" s="19"/>
      <c r="B205" s="19"/>
      <c r="C205" s="19"/>
      <c r="H205" s="20"/>
      <c r="I205" s="20"/>
    </row>
    <row r="206" spans="1:9" s="8" customFormat="1">
      <c r="A206" s="105"/>
      <c r="B206" s="22"/>
      <c r="C206" s="22"/>
    </row>
    <row r="207" spans="1:9" s="8" customFormat="1">
      <c r="A207" s="105"/>
      <c r="B207" s="22"/>
      <c r="C207" s="22"/>
    </row>
    <row r="208" spans="1:9" s="8" customFormat="1">
      <c r="A208" s="19"/>
      <c r="B208" s="19"/>
      <c r="C208" s="19"/>
      <c r="H208" s="20"/>
      <c r="I208" s="20"/>
    </row>
    <row r="209" spans="1:9" s="8" customFormat="1">
      <c r="A209" s="19"/>
      <c r="B209" s="19"/>
      <c r="C209" s="19"/>
      <c r="H209" s="20"/>
      <c r="I209" s="20"/>
    </row>
    <row r="210" spans="1:9" s="8" customFormat="1">
      <c r="A210" s="19"/>
      <c r="B210" s="19"/>
      <c r="C210" s="19"/>
      <c r="H210" s="20"/>
      <c r="I210" s="20"/>
    </row>
    <row r="211" spans="1:9" s="8" customFormat="1">
      <c r="A211" s="19"/>
      <c r="B211" s="19"/>
      <c r="C211" s="19"/>
      <c r="H211" s="20"/>
      <c r="I211" s="20"/>
    </row>
    <row r="212" spans="1:9" s="8" customFormat="1">
      <c r="A212" s="19"/>
      <c r="B212" s="19"/>
      <c r="C212" s="19"/>
      <c r="H212" s="20"/>
      <c r="I212" s="20"/>
    </row>
    <row r="213" spans="1:9" s="8" customFormat="1">
      <c r="A213" s="105"/>
      <c r="B213" s="22"/>
      <c r="C213" s="22"/>
    </row>
    <row r="214" spans="1:9" s="8" customFormat="1">
      <c r="A214" s="105"/>
      <c r="B214" s="22"/>
      <c r="C214" s="22"/>
    </row>
    <row r="215" spans="1:9" s="8" customFormat="1">
      <c r="A215" s="19"/>
      <c r="B215" s="19"/>
      <c r="C215" s="19"/>
      <c r="H215" s="20"/>
      <c r="I215" s="20"/>
    </row>
    <row r="216" spans="1:9" s="8" customFormat="1">
      <c r="A216" s="19"/>
      <c r="B216" s="19"/>
      <c r="C216" s="19"/>
      <c r="H216" s="20"/>
      <c r="I216" s="20"/>
    </row>
    <row r="217" spans="1:9" s="8" customFormat="1">
      <c r="A217" s="19"/>
      <c r="B217" s="19"/>
      <c r="C217" s="19"/>
      <c r="H217" s="20"/>
      <c r="I217" s="20"/>
    </row>
    <row r="218" spans="1:9" s="8" customFormat="1">
      <c r="A218" s="19"/>
      <c r="B218" s="19"/>
      <c r="C218" s="19"/>
      <c r="H218" s="20"/>
      <c r="I218" s="20"/>
    </row>
    <row r="219" spans="1:9" s="8" customFormat="1">
      <c r="A219" s="19"/>
      <c r="B219" s="19"/>
      <c r="C219" s="19"/>
      <c r="H219" s="20"/>
      <c r="I219" s="20"/>
    </row>
    <row r="220" spans="1:9" s="8" customFormat="1">
      <c r="A220" s="19"/>
      <c r="B220" s="19"/>
      <c r="C220" s="19"/>
      <c r="H220" s="20"/>
      <c r="I220" s="20"/>
    </row>
    <row r="221" spans="1:9" s="8" customFormat="1">
      <c r="A221" s="19"/>
      <c r="B221" s="19"/>
      <c r="C221" s="19"/>
      <c r="H221" s="20"/>
      <c r="I221" s="20"/>
    </row>
    <row r="222" spans="1:9" s="8" customFormat="1">
      <c r="A222" s="19"/>
      <c r="B222" s="19"/>
      <c r="C222" s="19"/>
      <c r="H222" s="20"/>
      <c r="I222" s="20"/>
    </row>
    <row r="223" spans="1:9" s="8" customFormat="1">
      <c r="A223" s="19"/>
      <c r="B223" s="19"/>
      <c r="C223" s="19"/>
      <c r="H223" s="20"/>
      <c r="I223" s="20"/>
    </row>
    <row r="224" spans="1:9" s="8" customFormat="1">
      <c r="A224" s="19"/>
      <c r="B224" s="19"/>
      <c r="C224" s="19"/>
      <c r="H224" s="20"/>
      <c r="I224" s="20"/>
    </row>
    <row r="225" spans="1:9" s="8" customFormat="1">
      <c r="A225" s="19"/>
      <c r="B225" s="19"/>
      <c r="C225" s="19"/>
      <c r="H225" s="20"/>
      <c r="I225" s="20"/>
    </row>
    <row r="226" spans="1:9" s="8" customFormat="1">
      <c r="A226" s="19"/>
      <c r="B226" s="19"/>
      <c r="C226" s="19"/>
      <c r="H226" s="20"/>
      <c r="I226" s="20"/>
    </row>
    <row r="227" spans="1:9" s="8" customFormat="1">
      <c r="A227" s="19"/>
      <c r="B227" s="19"/>
      <c r="C227" s="19"/>
      <c r="H227" s="20"/>
      <c r="I227" s="20"/>
    </row>
    <row r="228" spans="1:9" s="8" customFormat="1">
      <c r="A228" s="105"/>
      <c r="B228" s="22"/>
      <c r="C228" s="22"/>
    </row>
    <row r="229" spans="1:9" s="8" customFormat="1">
      <c r="A229" s="105"/>
      <c r="B229" s="22"/>
      <c r="C229" s="22"/>
    </row>
    <row r="230" spans="1:9" s="8" customFormat="1">
      <c r="A230" s="19"/>
      <c r="B230" s="19"/>
      <c r="C230" s="19"/>
      <c r="H230" s="20"/>
      <c r="I230" s="20"/>
    </row>
    <row r="231" spans="1:9" s="8" customFormat="1">
      <c r="A231" s="19"/>
      <c r="B231" s="19"/>
      <c r="C231" s="19"/>
      <c r="H231" s="20"/>
      <c r="I231" s="20"/>
    </row>
    <row r="232" spans="1:9" s="8" customFormat="1">
      <c r="A232" s="19"/>
      <c r="B232" s="19"/>
      <c r="C232" s="19"/>
      <c r="H232" s="20"/>
      <c r="I232" s="20"/>
    </row>
    <row r="233" spans="1:9" s="8" customFormat="1">
      <c r="A233" s="19"/>
      <c r="B233" s="19"/>
      <c r="C233" s="19"/>
      <c r="H233" s="20"/>
      <c r="I233" s="20"/>
    </row>
    <row r="234" spans="1:9" s="8" customFormat="1">
      <c r="A234" s="19"/>
      <c r="B234" s="19"/>
      <c r="C234" s="19"/>
    </row>
    <row r="235" spans="1:9">
      <c r="A235" s="21"/>
      <c r="B235" s="21"/>
      <c r="C235" s="21"/>
    </row>
  </sheetData>
  <mergeCells count="208">
    <mergeCell ref="K19:K20"/>
    <mergeCell ref="B33:B34"/>
    <mergeCell ref="B9:B10"/>
    <mergeCell ref="A11:A12"/>
    <mergeCell ref="I39:I40"/>
    <mergeCell ref="J39:J40"/>
    <mergeCell ref="K39:K40"/>
    <mergeCell ref="C39:C40"/>
    <mergeCell ref="E39:E40"/>
    <mergeCell ref="F39:F40"/>
    <mergeCell ref="G39:G40"/>
    <mergeCell ref="H39:H40"/>
    <mergeCell ref="E11:E12"/>
    <mergeCell ref="J19:J20"/>
    <mergeCell ref="B72:B73"/>
    <mergeCell ref="B65:B66"/>
    <mergeCell ref="D72:D73"/>
    <mergeCell ref="E72:E73"/>
    <mergeCell ref="F72:F73"/>
    <mergeCell ref="G72:G73"/>
    <mergeCell ref="C60:C61"/>
    <mergeCell ref="D39:D40"/>
    <mergeCell ref="B39:B40"/>
    <mergeCell ref="A206:A207"/>
    <mergeCell ref="B104:B105"/>
    <mergeCell ref="A213:A214"/>
    <mergeCell ref="A228:A229"/>
    <mergeCell ref="A184:A185"/>
    <mergeCell ref="A189:A190"/>
    <mergeCell ref="A196:A197"/>
    <mergeCell ref="A170:A171"/>
    <mergeCell ref="A177:A178"/>
    <mergeCell ref="A157:A158"/>
    <mergeCell ref="A163:A164"/>
    <mergeCell ref="H129:I131"/>
    <mergeCell ref="J129:K131"/>
    <mergeCell ref="D131:E131"/>
    <mergeCell ref="F131:G131"/>
    <mergeCell ref="J65:J66"/>
    <mergeCell ref="K65:K66"/>
    <mergeCell ref="J46:J47"/>
    <mergeCell ref="K46:K47"/>
    <mergeCell ref="K53:K54"/>
    <mergeCell ref="A125:H127"/>
    <mergeCell ref="I125:K127"/>
    <mergeCell ref="H128:K128"/>
    <mergeCell ref="A129:A132"/>
    <mergeCell ref="D129:G130"/>
    <mergeCell ref="A82:A83"/>
    <mergeCell ref="E104:E105"/>
    <mergeCell ref="F104:F105"/>
    <mergeCell ref="K72:K73"/>
    <mergeCell ref="I89:I90"/>
    <mergeCell ref="H82:H83"/>
    <mergeCell ref="I82:I83"/>
    <mergeCell ref="F89:F90"/>
    <mergeCell ref="G89:G90"/>
    <mergeCell ref="H89:H90"/>
    <mergeCell ref="I135:I137"/>
    <mergeCell ref="J135:J137"/>
    <mergeCell ref="A144:A145"/>
    <mergeCell ref="H135:H137"/>
    <mergeCell ref="D135:D137"/>
    <mergeCell ref="E135:E137"/>
    <mergeCell ref="F135:F137"/>
    <mergeCell ref="G135:G137"/>
    <mergeCell ref="K135:K137"/>
    <mergeCell ref="A135:A137"/>
    <mergeCell ref="M110:N110"/>
    <mergeCell ref="A114:G114"/>
    <mergeCell ref="L114:N114"/>
    <mergeCell ref="C104:C105"/>
    <mergeCell ref="A104:A105"/>
    <mergeCell ref="D104:D105"/>
    <mergeCell ref="A115:G115"/>
    <mergeCell ref="L115:N115"/>
    <mergeCell ref="C6:C8"/>
    <mergeCell ref="C33:C34"/>
    <mergeCell ref="C9:C10"/>
    <mergeCell ref="C65:C66"/>
    <mergeCell ref="C72:C73"/>
    <mergeCell ref="B11:B12"/>
    <mergeCell ref="C46:C47"/>
    <mergeCell ref="A72:A73"/>
    <mergeCell ref="A65:A66"/>
    <mergeCell ref="A60:A61"/>
    <mergeCell ref="B60:B61"/>
    <mergeCell ref="A33:A34"/>
    <mergeCell ref="B19:B20"/>
    <mergeCell ref="A19:A20"/>
    <mergeCell ref="A39:A40"/>
    <mergeCell ref="B89:B90"/>
    <mergeCell ref="L82:N83"/>
    <mergeCell ref="A89:A90"/>
    <mergeCell ref="D89:D90"/>
    <mergeCell ref="H104:H105"/>
    <mergeCell ref="I104:I105"/>
    <mergeCell ref="J104:J105"/>
    <mergeCell ref="G104:G105"/>
    <mergeCell ref="L104:N105"/>
    <mergeCell ref="K104:K105"/>
    <mergeCell ref="J89:J90"/>
    <mergeCell ref="K89:K90"/>
    <mergeCell ref="L89:N90"/>
    <mergeCell ref="E89:E90"/>
    <mergeCell ref="B82:B83"/>
    <mergeCell ref="D82:D83"/>
    <mergeCell ref="E82:E83"/>
    <mergeCell ref="F82:F83"/>
    <mergeCell ref="G82:G83"/>
    <mergeCell ref="C82:C83"/>
    <mergeCell ref="J82:J83"/>
    <mergeCell ref="K82:K83"/>
    <mergeCell ref="C89:C90"/>
    <mergeCell ref="L72:N73"/>
    <mergeCell ref="H72:H73"/>
    <mergeCell ref="I72:I73"/>
    <mergeCell ref="J72:J73"/>
    <mergeCell ref="L60:N61"/>
    <mergeCell ref="D65:D66"/>
    <mergeCell ref="E65:E66"/>
    <mergeCell ref="F65:F66"/>
    <mergeCell ref="G65:G66"/>
    <mergeCell ref="H65:H66"/>
    <mergeCell ref="I65:I66"/>
    <mergeCell ref="D60:D61"/>
    <mergeCell ref="L65:N66"/>
    <mergeCell ref="I60:I61"/>
    <mergeCell ref="J60:J61"/>
    <mergeCell ref="K60:K61"/>
    <mergeCell ref="E60:E61"/>
    <mergeCell ref="F60:F61"/>
    <mergeCell ref="G60:G61"/>
    <mergeCell ref="H60:H61"/>
    <mergeCell ref="L46:N47"/>
    <mergeCell ref="A53:A54"/>
    <mergeCell ref="D53:D54"/>
    <mergeCell ref="E53:E54"/>
    <mergeCell ref="F53:F54"/>
    <mergeCell ref="G53:G54"/>
    <mergeCell ref="L53:N54"/>
    <mergeCell ref="H53:H54"/>
    <mergeCell ref="I53:I54"/>
    <mergeCell ref="J53:J54"/>
    <mergeCell ref="B53:B54"/>
    <mergeCell ref="C53:C54"/>
    <mergeCell ref="A46:A47"/>
    <mergeCell ref="D46:D47"/>
    <mergeCell ref="E46:E47"/>
    <mergeCell ref="F46:F47"/>
    <mergeCell ref="G46:G47"/>
    <mergeCell ref="H46:H47"/>
    <mergeCell ref="I46:I47"/>
    <mergeCell ref="B46:B47"/>
    <mergeCell ref="L39:N40"/>
    <mergeCell ref="D19:D20"/>
    <mergeCell ref="E19:E20"/>
    <mergeCell ref="F19:F20"/>
    <mergeCell ref="G19:G20"/>
    <mergeCell ref="H19:H20"/>
    <mergeCell ref="C19:C20"/>
    <mergeCell ref="D11:D12"/>
    <mergeCell ref="L19:N20"/>
    <mergeCell ref="D33:D34"/>
    <mergeCell ref="E33:E34"/>
    <mergeCell ref="F33:F34"/>
    <mergeCell ref="G33:G34"/>
    <mergeCell ref="L33:N34"/>
    <mergeCell ref="H33:H34"/>
    <mergeCell ref="I33:I34"/>
    <mergeCell ref="J33:J34"/>
    <mergeCell ref="K33:K34"/>
    <mergeCell ref="L11:N12"/>
    <mergeCell ref="I19:I20"/>
    <mergeCell ref="K11:K12"/>
    <mergeCell ref="I11:I12"/>
    <mergeCell ref="J11:J12"/>
    <mergeCell ref="C11:C12"/>
    <mergeCell ref="F11:F12"/>
    <mergeCell ref="G11:G12"/>
    <mergeCell ref="H11:H12"/>
    <mergeCell ref="D9:D10"/>
    <mergeCell ref="E9:E10"/>
    <mergeCell ref="F9:F10"/>
    <mergeCell ref="G9:G10"/>
    <mergeCell ref="I5:K5"/>
    <mergeCell ref="A6:A8"/>
    <mergeCell ref="A9:A10"/>
    <mergeCell ref="B6:B8"/>
    <mergeCell ref="B2:J2"/>
    <mergeCell ref="B3:J3"/>
    <mergeCell ref="L9:N10"/>
    <mergeCell ref="H9:H10"/>
    <mergeCell ref="I9:I10"/>
    <mergeCell ref="J9:J10"/>
    <mergeCell ref="K9:K10"/>
    <mergeCell ref="J7:J8"/>
    <mergeCell ref="K7:K8"/>
    <mergeCell ref="M5:N5"/>
    <mergeCell ref="L6:N8"/>
    <mergeCell ref="D6:G6"/>
    <mergeCell ref="H6:K6"/>
    <mergeCell ref="D7:D8"/>
    <mergeCell ref="E7:E8"/>
    <mergeCell ref="F7:F8"/>
    <mergeCell ref="G7:G8"/>
    <mergeCell ref="H7:H8"/>
    <mergeCell ref="I7:I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14:D18 E11:G12 I11:K12 D21:D27 E19:G20 D29:D32 E28:G28 D35:D38 E33:G34 D41:D45 E39:G40 D48:D52 E46:G47 D55:D59 E53:G54 D62:D64 E60:G61 D67:D71 E65:G66 D74:D81 E72:G73 D84:D88 E82:G83 D91:D103 E89:G90 D106:D109 E104:G105 I19:K20 I28:K28 I33:K34 I39:K40 I46:K47 I53:K54 I60:K61 I65:K66 I72:K73 I82:K83 I89:K90 I104:K105" formula="1"/>
    <ignoredError sqref="B28:C28 B39:C40 B53:C54 B82:C83 B104:C105 B89:C90 B72:C73 B60:C61 B46:C47 B33:C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2017-11-16T10:16:10Z</dcterms:modified>
</cp:coreProperties>
</file>