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5" yWindow="275" windowWidth="15139" windowHeight="9391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B11" i="1"/>
  <c r="C104"/>
  <c r="D104"/>
  <c r="E104"/>
  <c r="F104"/>
  <c r="G104"/>
  <c r="H104"/>
  <c r="B104"/>
  <c r="C89"/>
  <c r="D89"/>
  <c r="E89"/>
  <c r="F89"/>
  <c r="G89"/>
  <c r="H89"/>
  <c r="B89"/>
  <c r="C82"/>
  <c r="D82"/>
  <c r="E82"/>
  <c r="F82"/>
  <c r="G82"/>
  <c r="H82"/>
  <c r="B82"/>
  <c r="C72"/>
  <c r="D72"/>
  <c r="E72"/>
  <c r="F72"/>
  <c r="G72"/>
  <c r="H72"/>
  <c r="B72"/>
  <c r="C65"/>
  <c r="D65"/>
  <c r="E65"/>
  <c r="F65"/>
  <c r="G65"/>
  <c r="H65"/>
  <c r="B65"/>
  <c r="C60"/>
  <c r="D60"/>
  <c r="E60"/>
  <c r="F60"/>
  <c r="G60"/>
  <c r="H60"/>
  <c r="B60"/>
  <c r="C53"/>
  <c r="D53"/>
  <c r="E53"/>
  <c r="F53"/>
  <c r="G53"/>
  <c r="H53"/>
  <c r="B53"/>
  <c r="C46"/>
  <c r="D46"/>
  <c r="E46"/>
  <c r="F46"/>
  <c r="G46"/>
  <c r="H46"/>
  <c r="B46"/>
  <c r="C39"/>
  <c r="D39"/>
  <c r="E39"/>
  <c r="F39"/>
  <c r="G39"/>
  <c r="H39"/>
  <c r="B39"/>
  <c r="C33"/>
  <c r="D33"/>
  <c r="E33"/>
  <c r="F33"/>
  <c r="G33"/>
  <c r="H33"/>
  <c r="B33"/>
  <c r="C28"/>
  <c r="D28"/>
  <c r="E28"/>
  <c r="F28"/>
  <c r="G28"/>
  <c r="H28"/>
  <c r="B28"/>
  <c r="C19"/>
  <c r="D19"/>
  <c r="E19"/>
  <c r="F19"/>
  <c r="G19"/>
  <c r="H19"/>
  <c r="B19"/>
  <c r="C11"/>
  <c r="D11"/>
  <c r="E11"/>
  <c r="F11"/>
  <c r="G11"/>
  <c r="H11"/>
  <c r="G9" l="1"/>
  <c r="H9"/>
  <c r="F9"/>
  <c r="D9"/>
  <c r="C9"/>
  <c r="B9"/>
  <c r="E9"/>
</calcChain>
</file>

<file path=xl/sharedStrings.xml><?xml version="1.0" encoding="utf-8"?>
<sst xmlns="http://schemas.openxmlformats.org/spreadsheetml/2006/main" count="349" uniqueCount="191">
  <si>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</si>
  <si>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</si>
  <si>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</si>
  <si>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</si>
  <si>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</si>
  <si>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</si>
  <si>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</si>
  <si>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</si>
  <si>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</si>
  <si>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</si>
  <si>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</si>
  <si>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</si>
  <si>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</si>
  <si>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</si>
  <si>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</si>
  <si>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</si>
  <si>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</si>
  <si>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</si>
  <si>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</si>
  <si>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</si>
  <si>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</si>
  <si>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</si>
  <si>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</si>
  <si>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</si>
  <si>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</si>
  <si>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</si>
  <si>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</si>
  <si>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</si>
  <si>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</si>
  <si>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</si>
  <si>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</si>
  <si>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</si>
  <si>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</si>
  <si>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</si>
  <si>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</si>
  <si>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</si>
  <si>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</si>
  <si>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</si>
  <si>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</si>
  <si>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</si>
  <si>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</si>
  <si>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</si>
  <si>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</si>
  <si>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</si>
  <si>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</si>
  <si>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</si>
  <si>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</si>
  <si>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</si>
  <si>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</si>
  <si>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</si>
  <si>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</si>
  <si>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</si>
  <si>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</si>
  <si>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</si>
  <si>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</si>
  <si>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</si>
  <si>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</si>
  <si>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</si>
  <si>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</si>
  <si>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</si>
  <si>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</si>
  <si>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</si>
  <si>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</si>
  <si>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</si>
  <si>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</si>
  <si>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</si>
  <si>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</si>
  <si>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</si>
  <si>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</si>
  <si>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</si>
  <si>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</si>
  <si>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</si>
  <si>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</si>
  <si>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</si>
  <si>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</si>
  <si>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</si>
  <si>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</si>
  <si>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</si>
  <si>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</si>
  <si>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</si>
  <si>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</si>
  <si>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</si>
  <si>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</si>
  <si>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</si>
  <si>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</si>
  <si>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</si>
  <si>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</si>
  <si>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</si>
  <si>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</si>
  <si>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</si>
  <si>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</si>
  <si>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</si>
  <si>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</si>
  <si>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</si>
  <si>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</si>
  <si>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</si>
  <si>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</si>
  <si>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</si>
  <si>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</si>
  <si>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</si>
  <si>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</si>
  <si>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</si>
  <si>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</si>
  <si>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</si>
  <si>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</si>
  <si>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</si>
  <si>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</si>
  <si>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</si>
  <si>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</si>
  <si>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</si>
  <si>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</si>
  <si>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</si>
  <si>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</si>
  <si>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</si>
  <si>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</si>
  <si>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</si>
  <si>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</si>
  <si>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</si>
  <si>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</si>
  <si>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</si>
  <si>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</si>
  <si>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</si>
  <si>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</si>
  <si>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</si>
  <si>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</si>
  <si>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</si>
  <si>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</si>
  <si>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</si>
  <si>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</si>
  <si>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</si>
  <si>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</si>
  <si>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</si>
  <si>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</si>
  <si>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</si>
  <si>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</si>
  <si>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</si>
  <si>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</si>
  <si>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</si>
  <si>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</si>
  <si>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</si>
  <si>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</si>
  <si>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</si>
  <si>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</si>
  <si>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</si>
  <si>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</si>
  <si>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</si>
  <si>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</si>
  <si>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</si>
  <si>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</si>
  <si>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</si>
  <si>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</si>
  <si>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</si>
  <si>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</si>
  <si>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</si>
  <si>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</si>
  <si>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</si>
  <si>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</si>
  <si>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</si>
  <si>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</si>
  <si>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</si>
  <si>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</si>
  <si>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</si>
  <si>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</si>
  <si>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</si>
  <si>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</si>
  <si>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</si>
  <si>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</si>
  <si>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</si>
  <si>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Περιφέρεια Δυτικής Μακεδονίας</t>
  </si>
  <si>
    <t>Region of Western Macedonia</t>
  </si>
  <si>
    <t>Ίπποι
Horses</t>
  </si>
  <si>
    <t>Μοσχάρια
Calves</t>
  </si>
  <si>
    <t>Αρνιά
Lambs</t>
  </si>
  <si>
    <t>Βουβαλίδια
Buffaloes (less than one year)</t>
  </si>
  <si>
    <t>Κατσίκια
Goat kids</t>
  </si>
  <si>
    <t>Χοιρίδια
Piglets</t>
  </si>
  <si>
    <t>—</t>
  </si>
  <si>
    <t>Πουλάρια
Colts</t>
  </si>
  <si>
    <t>Όνοι 
και  Ημίονοι
Donkeys
and Mules</t>
  </si>
  <si>
    <t>Number of heads</t>
  </si>
  <si>
    <t>Αριθμός κεφαλών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</si>
  <si>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</si>
  <si>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</si>
  <si>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</si>
  <si>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</si>
  <si>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</si>
  <si>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</si>
  <si>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</si>
  <si>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</si>
  <si>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>Table 5. Animals born in 2015 (lambs and goat within 1.10.2014 - 30.9.2015), by Region and Regional Unities</t>
  </si>
  <si>
    <t>Πίνακας 5. Ζώα που γεννήθηκαν κατά το έτος 2015 (αρνιά και κατσίκια από 1.10.2014 έως 30.9.2015), κατά Περιφέρεια και Περιφερειακή Ενότητα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</si>
</sst>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  <family val="2"/>
      <charset val="161"/>
    </font>
    <font>
      <sz val="8"/>
      <color indexed="8"/>
      <name val="Arial"/>
      <family val="2"/>
      <charset val="161"/>
    </font>
    <font>
      <b/>
      <sz val="11"/>
      <name val="Arial"/>
      <family val="2"/>
      <charset val="161"/>
    </font>
    <font>
      <sz val="11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b/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name val="Tahoma"/>
      <family val="2"/>
      <charset val="161"/>
    </font>
    <font>
      <b/>
      <sz val="10"/>
      <name val="Arial"/>
      <family val="2"/>
      <charset val="161"/>
    </font>
    <font>
      <sz val="10"/>
      <color indexed="8"/>
      <name val="Arial"/>
      <family val="2"/>
      <charset val="161"/>
    </font>
    <font>
      <sz val="8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9F9F9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vertical="center"/>
    </xf>
    <xf numFmtId="0" fontId="1" fillId="0" borderId="0" xfId="0" applyFont="1" applyBorder="1" applyAlignment="1">
      <alignment vertical="center"/>
    </xf>
    <xf numFmtId="0" fontId="5" fillId="0" borderId="0" xfId="0" applyNumberFormat="1" applyFont="1" applyFill="1" applyBorder="1" applyAlignment="1" applyProtection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5" fillId="0" borderId="2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  <xf numFmtId="49" fontId="5" fillId="0" borderId="0" xfId="0" applyNumberFormat="1" applyFont="1" applyFill="1" applyBorder="1" applyAlignment="1"/>
    <xf numFmtId="49" fontId="5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 applyProtection="1">
      <alignment horizontal="left" indent="2"/>
    </xf>
    <xf numFmtId="0" fontId="5" fillId="0" borderId="0" xfId="0" applyFont="1" applyFill="1" applyBorder="1" applyAlignment="1" applyProtection="1">
      <alignment horizontal="left" indent="2"/>
    </xf>
    <xf numFmtId="0" fontId="8" fillId="0" borderId="0" xfId="0" applyFont="1" applyBorder="1" applyAlignment="1">
      <alignment horizontal="center"/>
    </xf>
    <xf numFmtId="49" fontId="4" fillId="0" borderId="0" xfId="0" applyNumberFormat="1" applyFont="1" applyFill="1" applyBorder="1" applyAlignment="1" applyProtection="1">
      <alignment horizontal="left" indent="2"/>
    </xf>
    <xf numFmtId="49" fontId="1" fillId="0" borderId="0" xfId="0" applyNumberFormat="1" applyFont="1" applyBorder="1"/>
    <xf numFmtId="0" fontId="9" fillId="0" borderId="0" xfId="0" applyNumberFormat="1" applyFont="1" applyFill="1" applyBorder="1" applyAlignment="1" applyProtection="1"/>
    <xf numFmtId="49" fontId="1" fillId="0" borderId="0" xfId="0" applyNumberFormat="1" applyFont="1"/>
    <xf numFmtId="0" fontId="5" fillId="0" borderId="1" xfId="0" applyNumberFormat="1" applyFont="1" applyFill="1" applyBorder="1" applyAlignment="1" applyProtection="1">
      <alignment horizontal="left"/>
    </xf>
    <xf numFmtId="49" fontId="4" fillId="0" borderId="0" xfId="0" applyNumberFormat="1" applyFont="1" applyFill="1" applyBorder="1" applyAlignment="1" applyProtection="1">
      <alignment vertical="center" wrapText="1"/>
    </xf>
    <xf numFmtId="0" fontId="6" fillId="0" borderId="0" xfId="0" applyFont="1" applyBorder="1" applyAlignment="1">
      <alignment horizontal="left" vertical="center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Font="1" applyBorder="1" applyAlignment="1">
      <alignment vertical="center"/>
    </xf>
    <xf numFmtId="0" fontId="11" fillId="0" borderId="0" xfId="0" applyFont="1"/>
    <xf numFmtId="49" fontId="5" fillId="0" borderId="0" xfId="0" applyNumberFormat="1" applyFont="1" applyFill="1" applyBorder="1" applyAlignment="1" applyProtection="1">
      <alignment horizontal="left" wrapText="1" indent="1"/>
    </xf>
    <xf numFmtId="49" fontId="5" fillId="0" borderId="1" xfId="0" applyNumberFormat="1" applyFont="1" applyFill="1" applyBorder="1" applyAlignment="1" applyProtection="1">
      <alignment horizontal="left" wrapText="1" indent="1"/>
    </xf>
    <xf numFmtId="49" fontId="1" fillId="0" borderId="0" xfId="0" applyNumberFormat="1" applyFont="1" applyBorder="1" applyAlignment="1" applyProtection="1">
      <alignment horizontal="left" vertical="center" wrapText="1" indent="1"/>
      <protection locked="0"/>
    </xf>
    <xf numFmtId="0" fontId="1" fillId="0" borderId="0" xfId="0" applyFont="1" applyBorder="1" applyAlignment="1">
      <alignment horizontal="left" indent="1"/>
    </xf>
    <xf numFmtId="0" fontId="1" fillId="0" borderId="1" xfId="0" applyFont="1" applyBorder="1" applyAlignment="1">
      <alignment horizontal="left" indent="1"/>
    </xf>
    <xf numFmtId="3" fontId="5" fillId="0" borderId="3" xfId="0" applyNumberFormat="1" applyFont="1" applyFill="1" applyBorder="1" applyAlignment="1">
      <alignment horizontal="right" vertical="top"/>
    </xf>
    <xf numFmtId="3" fontId="12" fillId="2" borderId="3" xfId="0" applyNumberFormat="1" applyFont="1" applyFill="1" applyBorder="1" applyAlignment="1">
      <alignment horizontal="right" vertical="top" wrapText="1"/>
    </xf>
    <xf numFmtId="3" fontId="4" fillId="0" borderId="3" xfId="0" applyNumberFormat="1" applyFont="1" applyFill="1" applyBorder="1" applyAlignment="1" applyProtection="1">
      <alignment horizontal="right" vertical="center"/>
    </xf>
    <xf numFmtId="3" fontId="4" fillId="0" borderId="3" xfId="0" applyNumberFormat="1" applyFont="1" applyFill="1" applyBorder="1" applyAlignment="1" applyProtection="1">
      <alignment horizontal="right" vertical="center"/>
    </xf>
    <xf numFmtId="3" fontId="5" fillId="0" borderId="7" xfId="0" applyNumberFormat="1" applyFont="1" applyFill="1" applyBorder="1" applyAlignment="1">
      <alignment horizontal="right" vertical="top"/>
    </xf>
    <xf numFmtId="3" fontId="12" fillId="0" borderId="3" xfId="0" applyNumberFormat="1" applyFont="1" applyBorder="1" applyAlignment="1">
      <alignment horizontal="right" vertical="top" wrapText="1"/>
    </xf>
    <xf numFmtId="0" fontId="5" fillId="0" borderId="3" xfId="0" applyFont="1" applyFill="1" applyBorder="1" applyAlignment="1">
      <alignment horizontal="right" vertical="top"/>
    </xf>
    <xf numFmtId="0" fontId="5" fillId="0" borderId="14" xfId="0" applyNumberFormat="1" applyFont="1" applyFill="1" applyBorder="1" applyAlignment="1" applyProtection="1">
      <alignment horizontal="center" vertical="center" wrapText="1"/>
    </xf>
    <xf numFmtId="0" fontId="5" fillId="0" borderId="17" xfId="0" applyNumberFormat="1" applyFont="1" applyFill="1" applyBorder="1" applyAlignment="1" applyProtection="1">
      <alignment horizontal="center" vertical="center" wrapText="1"/>
    </xf>
    <xf numFmtId="0" fontId="5" fillId="0" borderId="6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7" xfId="0" applyNumberFormat="1" applyFont="1" applyFill="1" applyBorder="1" applyAlignment="1" applyProtection="1">
      <alignment horizontal="center" vertical="center" wrapText="1"/>
    </xf>
    <xf numFmtId="0" fontId="5" fillId="0" borderId="8" xfId="0" applyNumberFormat="1" applyFont="1" applyFill="1" applyBorder="1" applyAlignment="1" applyProtection="1">
      <alignment horizontal="center" vertical="center" wrapText="1"/>
    </xf>
    <xf numFmtId="0" fontId="5" fillId="0" borderId="9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center" vertical="center" wrapText="1"/>
    </xf>
    <xf numFmtId="0" fontId="5" fillId="0" borderId="13" xfId="0" applyNumberFormat="1" applyFont="1" applyFill="1" applyBorder="1" applyAlignment="1" applyProtection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3" fontId="4" fillId="0" borderId="3" xfId="0" applyNumberFormat="1" applyFont="1" applyBorder="1" applyAlignment="1">
      <alignment horizontal="right" vertical="center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49" fontId="4" fillId="0" borderId="5" xfId="0" applyNumberFormat="1" applyFont="1" applyFill="1" applyBorder="1" applyAlignment="1" applyProtection="1">
      <alignment vertical="center" wrapText="1"/>
    </xf>
    <xf numFmtId="49" fontId="4" fillId="0" borderId="0" xfId="0" applyNumberFormat="1" applyFont="1" applyFill="1" applyBorder="1" applyAlignment="1" applyProtection="1">
      <alignment vertical="center" wrapText="1"/>
    </xf>
    <xf numFmtId="3" fontId="4" fillId="0" borderId="16" xfId="0" applyNumberFormat="1" applyFont="1" applyFill="1" applyBorder="1" applyAlignment="1" applyProtection="1">
      <alignment horizontal="right" vertical="center" wrapText="1"/>
    </xf>
    <xf numFmtId="3" fontId="4" fillId="0" borderId="3" xfId="0" applyNumberFormat="1" applyFont="1" applyFill="1" applyBorder="1" applyAlignment="1" applyProtection="1">
      <alignment horizontal="right" vertical="center" wrapText="1"/>
    </xf>
    <xf numFmtId="0" fontId="5" fillId="0" borderId="1" xfId="0" applyNumberFormat="1" applyFont="1" applyFill="1" applyBorder="1" applyAlignment="1" applyProtection="1">
      <alignment horizontal="right"/>
    </xf>
    <xf numFmtId="0" fontId="4" fillId="0" borderId="2" xfId="0" applyNumberFormat="1" applyFont="1" applyFill="1" applyBorder="1" applyAlignment="1" applyProtection="1">
      <alignment horizontal="left" vertical="center" wrapText="1"/>
    </xf>
    <xf numFmtId="0" fontId="4" fillId="0" borderId="15" xfId="0" applyNumberFormat="1" applyFont="1" applyFill="1" applyBorder="1" applyAlignment="1" applyProtection="1">
      <alignment horizontal="left" vertical="center" wrapText="1"/>
    </xf>
    <xf numFmtId="0" fontId="4" fillId="0" borderId="5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left"/>
    </xf>
    <xf numFmtId="0" fontId="7" fillId="0" borderId="0" xfId="0" applyFont="1" applyBorder="1" applyAlignment="1">
      <alignment horizontal="left" vertical="center"/>
    </xf>
    <xf numFmtId="3" fontId="4" fillId="0" borderId="3" xfId="0" applyNumberFormat="1" applyFont="1" applyFill="1" applyBorder="1" applyAlignment="1" applyProtection="1">
      <alignment horizontal="right" vertical="center"/>
    </xf>
    <xf numFmtId="0" fontId="1" fillId="0" borderId="0" xfId="0" applyFont="1" applyBorder="1" applyAlignment="1">
      <alignment horizontal="left" wrapText="1" indent="1"/>
    </xf>
    <xf numFmtId="49" fontId="7" fillId="0" borderId="0" xfId="0" applyNumberFormat="1" applyFont="1" applyBorder="1" applyAlignment="1">
      <alignment horizontal="left" vertical="center"/>
    </xf>
    <xf numFmtId="0" fontId="5" fillId="0" borderId="0" xfId="0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right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49" fontId="7" fillId="0" borderId="0" xfId="0" applyNumberFormat="1" applyFont="1" applyBorder="1" applyAlignment="1">
      <alignment horizontal="left" vertical="center" wrapText="1"/>
    </xf>
    <xf numFmtId="3" fontId="5" fillId="0" borderId="3" xfId="0" applyNumberFormat="1" applyFont="1" applyFill="1" applyBorder="1" applyAlignment="1">
      <alignment horizontal="right"/>
    </xf>
    <xf numFmtId="3" fontId="5" fillId="0" borderId="7" xfId="0" applyNumberFormat="1" applyFont="1" applyFill="1" applyBorder="1" applyAlignment="1">
      <alignment horizontal="right"/>
    </xf>
  </cellXfs>
  <cellStyles count="1">
    <cellStyle name="Κανονικό" xfId="0" builtinId="0"/>
  </cellStyles>
  <dxfs count="1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5"/>
  <sheetViews>
    <sheetView showGridLines="0" tabSelected="1" zoomScale="120" zoomScaleNormal="120" workbookViewId="0">
      <selection activeCell="H9" sqref="H9:H109"/>
    </sheetView>
  </sheetViews>
  <sheetFormatPr defaultRowHeight="10.65"/>
  <cols>
    <col min="1" max="1" width="35" style="1" customWidth="1"/>
    <col min="2" max="2" width="8.6640625" style="1" customWidth="1"/>
    <col min="3" max="3" width="8.21875" style="1" bestFit="1" customWidth="1"/>
    <col min="4" max="4" width="10" style="1" customWidth="1"/>
    <col min="5" max="5" width="9.44140625" style="1" customWidth="1"/>
    <col min="6" max="6" width="8.5546875" style="1" customWidth="1"/>
    <col min="7" max="7" width="8.77734375" style="1" customWidth="1"/>
    <col min="8" max="8" width="9.21875" style="1" customWidth="1"/>
    <col min="9" max="9" width="15" style="1" customWidth="1"/>
    <col min="10" max="10" width="13.33203125" style="1" customWidth="1"/>
    <col min="11" max="11" width="10.109375" style="1" customWidth="1"/>
    <col min="12" max="16384" width="8.88671875" style="1"/>
  </cols>
  <sheetData>
    <row r="1" spans="1:11" ht="14.4" customHeight="1">
      <c r="A1" s="2"/>
      <c r="B1" s="2"/>
      <c r="C1" s="2"/>
      <c r="D1" s="2"/>
      <c r="E1" s="2"/>
      <c r="F1" s="2"/>
      <c r="G1" s="2"/>
      <c r="H1" s="2"/>
      <c r="I1" s="3"/>
      <c r="J1" s="3"/>
      <c r="K1" s="4"/>
    </row>
    <row r="2" spans="1:11" s="28" customFormat="1" ht="13.15">
      <c r="A2" s="55" t="s">
        <v>190</v>
      </c>
      <c r="B2" s="55"/>
      <c r="C2" s="55"/>
      <c r="D2" s="55"/>
      <c r="E2" s="55"/>
      <c r="F2" s="55"/>
      <c r="G2" s="55"/>
      <c r="H2" s="55"/>
      <c r="I2" s="55"/>
      <c r="J2" s="55"/>
      <c r="K2" s="27"/>
    </row>
    <row r="3" spans="1:11" s="28" customFormat="1" ht="13.15">
      <c r="A3" s="55" t="s">
        <v>189</v>
      </c>
      <c r="B3" s="55"/>
      <c r="C3" s="55"/>
      <c r="D3" s="55"/>
      <c r="E3" s="55"/>
      <c r="F3" s="55"/>
      <c r="G3" s="55"/>
      <c r="H3" s="55"/>
      <c r="I3" s="55"/>
      <c r="J3" s="55"/>
      <c r="K3" s="27"/>
    </row>
    <row r="4" spans="1:11">
      <c r="A4" s="26"/>
      <c r="B4" s="26"/>
      <c r="C4" s="26"/>
      <c r="D4" s="26"/>
      <c r="E4" s="26"/>
      <c r="F4" s="26"/>
      <c r="G4" s="26"/>
      <c r="H4" s="26"/>
      <c r="I4" s="26"/>
      <c r="J4" s="26"/>
      <c r="K4" s="4"/>
    </row>
    <row r="5" spans="1:11" ht="15.05" customHeight="1" thickBot="1">
      <c r="A5" s="67" t="s">
        <v>180</v>
      </c>
      <c r="B5" s="67"/>
      <c r="C5" s="21"/>
      <c r="D5" s="21"/>
      <c r="E5" s="21"/>
      <c r="F5" s="60"/>
      <c r="G5" s="60"/>
      <c r="H5" s="60"/>
      <c r="I5" s="60" t="s">
        <v>179</v>
      </c>
      <c r="J5" s="60"/>
      <c r="K5" s="5"/>
    </row>
    <row r="6" spans="1:11" ht="23.5" customHeight="1">
      <c r="A6" s="61" t="s">
        <v>0</v>
      </c>
      <c r="B6" s="48" t="s">
        <v>177</v>
      </c>
      <c r="C6" s="49"/>
      <c r="D6" s="43" t="s">
        <v>171</v>
      </c>
      <c r="E6" s="43" t="s">
        <v>173</v>
      </c>
      <c r="F6" s="43" t="s">
        <v>172</v>
      </c>
      <c r="G6" s="43" t="s">
        <v>174</v>
      </c>
      <c r="H6" s="64" t="s">
        <v>175</v>
      </c>
      <c r="I6" s="61" t="s">
        <v>1</v>
      </c>
      <c r="J6" s="61"/>
      <c r="K6" s="6"/>
    </row>
    <row r="7" spans="1:11" ht="31.8" customHeight="1">
      <c r="A7" s="52"/>
      <c r="B7" s="46" t="s">
        <v>170</v>
      </c>
      <c r="C7" s="41" t="s">
        <v>178</v>
      </c>
      <c r="D7" s="44"/>
      <c r="E7" s="44"/>
      <c r="F7" s="44"/>
      <c r="G7" s="44"/>
      <c r="H7" s="65"/>
      <c r="I7" s="52"/>
      <c r="J7" s="52"/>
      <c r="K7" s="6"/>
    </row>
    <row r="8" spans="1:11" ht="30.7" customHeight="1">
      <c r="A8" s="62"/>
      <c r="B8" s="47"/>
      <c r="C8" s="42"/>
      <c r="D8" s="45"/>
      <c r="E8" s="45"/>
      <c r="F8" s="45"/>
      <c r="G8" s="45"/>
      <c r="H8" s="66"/>
      <c r="I8" s="62"/>
      <c r="J8" s="62"/>
      <c r="K8" s="6"/>
    </row>
    <row r="9" spans="1:11">
      <c r="A9" s="56" t="s">
        <v>2</v>
      </c>
      <c r="B9" s="58">
        <f>SUM(B11,B19,B28,B33,B39,B46,B53,B60,B65,B72,B82,B89,B104)</f>
        <v>1583</v>
      </c>
      <c r="C9" s="58">
        <f>SUM(C11,C19,C28,C33,C39,C46,C53,C60,C65,C72,C82,C89,C104)</f>
        <v>1304</v>
      </c>
      <c r="D9" s="58">
        <f t="shared" ref="D9:H9" si="0">SUM(D11,D19,D28,D33,D39,D46,D53,D60,D65,D72,D82,D89,D104)</f>
        <v>201948</v>
      </c>
      <c r="E9" s="58">
        <f t="shared" si="0"/>
        <v>497</v>
      </c>
      <c r="F9" s="58">
        <f t="shared" si="0"/>
        <v>7993360</v>
      </c>
      <c r="G9" s="58">
        <f t="shared" si="0"/>
        <v>3904350</v>
      </c>
      <c r="H9" s="58">
        <f t="shared" si="0"/>
        <v>1821260</v>
      </c>
      <c r="I9" s="63" t="s">
        <v>3</v>
      </c>
      <c r="J9" s="63"/>
      <c r="K9" s="6"/>
    </row>
    <row r="10" spans="1:11">
      <c r="A10" s="57"/>
      <c r="B10" s="59"/>
      <c r="C10" s="59"/>
      <c r="D10" s="59"/>
      <c r="E10" s="59"/>
      <c r="F10" s="59"/>
      <c r="G10" s="59"/>
      <c r="H10" s="59"/>
      <c r="I10" s="52"/>
      <c r="J10" s="52"/>
      <c r="K10" s="6"/>
    </row>
    <row r="11" spans="1:11">
      <c r="A11" s="54" t="s">
        <v>4</v>
      </c>
      <c r="B11" s="53">
        <f>SUM(B13:B18)</f>
        <v>171</v>
      </c>
      <c r="C11" s="53">
        <f t="shared" ref="C11:H11" si="1">SUM(C13:C18)</f>
        <v>77</v>
      </c>
      <c r="D11" s="53">
        <f t="shared" si="1"/>
        <v>38384</v>
      </c>
      <c r="E11" s="53">
        <f t="shared" si="1"/>
        <v>25</v>
      </c>
      <c r="F11" s="53">
        <f t="shared" si="1"/>
        <v>453699</v>
      </c>
      <c r="G11" s="53">
        <f t="shared" si="1"/>
        <v>321292</v>
      </c>
      <c r="H11" s="53">
        <f t="shared" si="1"/>
        <v>140939</v>
      </c>
      <c r="I11" s="52" t="s">
        <v>5</v>
      </c>
      <c r="J11" s="52"/>
      <c r="K11" s="6"/>
    </row>
    <row r="12" spans="1:11">
      <c r="A12" s="54"/>
      <c r="B12" s="53"/>
      <c r="C12" s="53"/>
      <c r="D12" s="53"/>
      <c r="E12" s="53"/>
      <c r="F12" s="53"/>
      <c r="G12" s="53"/>
      <c r="H12" s="53"/>
      <c r="I12" s="52"/>
      <c r="J12" s="52"/>
      <c r="K12" s="6"/>
    </row>
    <row r="13" spans="1:11">
      <c r="A13" s="29" t="s">
        <v>102</v>
      </c>
      <c r="B13" s="35">
        <v>23</v>
      </c>
      <c r="C13" s="34">
        <v>47</v>
      </c>
      <c r="D13" s="34">
        <v>4238</v>
      </c>
      <c r="E13" s="34">
        <v>25</v>
      </c>
      <c r="F13" s="34">
        <v>114439</v>
      </c>
      <c r="G13" s="34">
        <v>74366</v>
      </c>
      <c r="H13" s="79">
        <v>15274</v>
      </c>
      <c r="I13" s="32" t="s">
        <v>6</v>
      </c>
      <c r="J13" s="7"/>
      <c r="K13" s="6"/>
    </row>
    <row r="14" spans="1:11">
      <c r="A14" s="29" t="s">
        <v>103</v>
      </c>
      <c r="B14" s="35">
        <v>71</v>
      </c>
      <c r="C14" s="34">
        <v>4</v>
      </c>
      <c r="D14" s="34">
        <v>12273</v>
      </c>
      <c r="E14" s="34" t="s">
        <v>176</v>
      </c>
      <c r="F14" s="34">
        <v>77330</v>
      </c>
      <c r="G14" s="34">
        <v>55123</v>
      </c>
      <c r="H14" s="79">
        <v>70174</v>
      </c>
      <c r="I14" s="32" t="s">
        <v>7</v>
      </c>
      <c r="J14" s="7"/>
      <c r="K14" s="6"/>
    </row>
    <row r="15" spans="1:11">
      <c r="A15" s="29" t="s">
        <v>104</v>
      </c>
      <c r="B15" s="35">
        <v>37</v>
      </c>
      <c r="C15" s="34">
        <v>14</v>
      </c>
      <c r="D15" s="34">
        <v>9202</v>
      </c>
      <c r="E15" s="34" t="s">
        <v>176</v>
      </c>
      <c r="F15" s="34">
        <v>65283</v>
      </c>
      <c r="G15" s="34">
        <v>66168</v>
      </c>
      <c r="H15" s="79">
        <v>19919</v>
      </c>
      <c r="I15" s="32" t="s">
        <v>8</v>
      </c>
      <c r="J15" s="7"/>
      <c r="K15" s="6"/>
    </row>
    <row r="16" spans="1:11">
      <c r="A16" s="29" t="s">
        <v>105</v>
      </c>
      <c r="B16" s="34" t="s">
        <v>176</v>
      </c>
      <c r="C16" s="34" t="s">
        <v>176</v>
      </c>
      <c r="D16" s="34">
        <v>2</v>
      </c>
      <c r="E16" s="34" t="s">
        <v>176</v>
      </c>
      <c r="F16" s="34">
        <v>25358</v>
      </c>
      <c r="G16" s="34">
        <v>16691</v>
      </c>
      <c r="H16" s="79">
        <v>714</v>
      </c>
      <c r="I16" s="32" t="s">
        <v>9</v>
      </c>
      <c r="J16" s="7"/>
      <c r="K16" s="6"/>
    </row>
    <row r="17" spans="1:11">
      <c r="A17" s="29" t="s">
        <v>106</v>
      </c>
      <c r="B17" s="34" t="s">
        <v>176</v>
      </c>
      <c r="C17" s="34" t="s">
        <v>176</v>
      </c>
      <c r="D17" s="34">
        <v>1798</v>
      </c>
      <c r="E17" s="34" t="s">
        <v>176</v>
      </c>
      <c r="F17" s="34">
        <v>62117</v>
      </c>
      <c r="G17" s="34">
        <v>52345</v>
      </c>
      <c r="H17" s="79">
        <v>8981</v>
      </c>
      <c r="I17" s="32" t="s">
        <v>10</v>
      </c>
      <c r="J17" s="7"/>
      <c r="K17" s="6"/>
    </row>
    <row r="18" spans="1:11">
      <c r="A18" s="29" t="s">
        <v>107</v>
      </c>
      <c r="B18" s="35">
        <v>40</v>
      </c>
      <c r="C18" s="34">
        <v>12</v>
      </c>
      <c r="D18" s="34">
        <v>10871</v>
      </c>
      <c r="E18" s="34" t="s">
        <v>176</v>
      </c>
      <c r="F18" s="34">
        <v>109172</v>
      </c>
      <c r="G18" s="34">
        <v>56599</v>
      </c>
      <c r="H18" s="79">
        <v>25877</v>
      </c>
      <c r="I18" s="32" t="s">
        <v>11</v>
      </c>
      <c r="J18" s="7"/>
      <c r="K18" s="6"/>
    </row>
    <row r="19" spans="1:11">
      <c r="A19" s="54" t="s">
        <v>12</v>
      </c>
      <c r="B19" s="53">
        <f>SUM(B21:B27)</f>
        <v>660</v>
      </c>
      <c r="C19" s="53">
        <f t="shared" ref="C19:H19" si="2">SUM(C21:C27)</f>
        <v>60</v>
      </c>
      <c r="D19" s="53">
        <f t="shared" si="2"/>
        <v>50382</v>
      </c>
      <c r="E19" s="53">
        <f t="shared" si="2"/>
        <v>412</v>
      </c>
      <c r="F19" s="53">
        <f t="shared" si="2"/>
        <v>838452</v>
      </c>
      <c r="G19" s="53">
        <f t="shared" si="2"/>
        <v>526018</v>
      </c>
      <c r="H19" s="53">
        <f t="shared" si="2"/>
        <v>259565</v>
      </c>
      <c r="I19" s="50" t="s">
        <v>13</v>
      </c>
      <c r="J19" s="51"/>
      <c r="K19" s="6"/>
    </row>
    <row r="20" spans="1:11">
      <c r="A20" s="54"/>
      <c r="B20" s="53"/>
      <c r="C20" s="53"/>
      <c r="D20" s="53"/>
      <c r="E20" s="53"/>
      <c r="F20" s="53"/>
      <c r="G20" s="53"/>
      <c r="H20" s="53"/>
      <c r="I20" s="51"/>
      <c r="J20" s="51"/>
      <c r="K20" s="6"/>
    </row>
    <row r="21" spans="1:11">
      <c r="A21" s="29" t="s">
        <v>108</v>
      </c>
      <c r="B21" s="35">
        <v>68</v>
      </c>
      <c r="C21" s="34">
        <v>18</v>
      </c>
      <c r="D21" s="34">
        <v>25599</v>
      </c>
      <c r="E21" s="34">
        <v>202</v>
      </c>
      <c r="F21" s="34">
        <v>157849</v>
      </c>
      <c r="G21" s="34">
        <v>153428</v>
      </c>
      <c r="H21" s="79">
        <v>21805</v>
      </c>
      <c r="I21" s="32" t="s">
        <v>14</v>
      </c>
      <c r="J21" s="7"/>
      <c r="K21" s="6"/>
    </row>
    <row r="22" spans="1:11">
      <c r="A22" s="29" t="s">
        <v>109</v>
      </c>
      <c r="B22" s="35">
        <v>12</v>
      </c>
      <c r="C22" s="34">
        <v>2</v>
      </c>
      <c r="D22" s="34">
        <v>1622</v>
      </c>
      <c r="E22" s="34" t="s">
        <v>176</v>
      </c>
      <c r="F22" s="34">
        <v>19545</v>
      </c>
      <c r="G22" s="34">
        <v>11234</v>
      </c>
      <c r="H22" s="79">
        <v>35740</v>
      </c>
      <c r="I22" s="32" t="s">
        <v>15</v>
      </c>
      <c r="J22" s="7"/>
      <c r="K22" s="6"/>
    </row>
    <row r="23" spans="1:11">
      <c r="A23" s="29" t="s">
        <v>110</v>
      </c>
      <c r="B23" s="35">
        <v>4</v>
      </c>
      <c r="C23" s="34" t="s">
        <v>176</v>
      </c>
      <c r="D23" s="34">
        <v>8916</v>
      </c>
      <c r="E23" s="34" t="s">
        <v>176</v>
      </c>
      <c r="F23" s="34">
        <v>124814</v>
      </c>
      <c r="G23" s="34">
        <v>42998</v>
      </c>
      <c r="H23" s="79">
        <v>12743</v>
      </c>
      <c r="I23" s="32" t="s">
        <v>16</v>
      </c>
      <c r="J23" s="7"/>
      <c r="K23" s="6"/>
    </row>
    <row r="24" spans="1:11">
      <c r="A24" s="29" t="s">
        <v>111</v>
      </c>
      <c r="B24" s="34" t="s">
        <v>176</v>
      </c>
      <c r="C24" s="34" t="s">
        <v>176</v>
      </c>
      <c r="D24" s="34">
        <v>2475</v>
      </c>
      <c r="E24" s="34" t="s">
        <v>176</v>
      </c>
      <c r="F24" s="34">
        <v>160681</v>
      </c>
      <c r="G24" s="34">
        <v>60441</v>
      </c>
      <c r="H24" s="79">
        <v>32638</v>
      </c>
      <c r="I24" s="32" t="s">
        <v>17</v>
      </c>
      <c r="J24" s="7"/>
      <c r="K24" s="6"/>
    </row>
    <row r="25" spans="1:11">
      <c r="A25" s="29" t="s">
        <v>112</v>
      </c>
      <c r="B25" s="35">
        <v>1</v>
      </c>
      <c r="C25" s="34">
        <v>6</v>
      </c>
      <c r="D25" s="34">
        <v>1702</v>
      </c>
      <c r="E25" s="34" t="s">
        <v>176</v>
      </c>
      <c r="F25" s="34">
        <v>87719</v>
      </c>
      <c r="G25" s="34">
        <v>40632</v>
      </c>
      <c r="H25" s="79">
        <v>78335</v>
      </c>
      <c r="I25" s="32" t="s">
        <v>18</v>
      </c>
      <c r="J25" s="7"/>
      <c r="K25" s="6"/>
    </row>
    <row r="26" spans="1:11">
      <c r="A26" s="29" t="s">
        <v>113</v>
      </c>
      <c r="B26" s="35">
        <v>561</v>
      </c>
      <c r="C26" s="34">
        <v>18</v>
      </c>
      <c r="D26" s="34">
        <v>9337</v>
      </c>
      <c r="E26" s="34">
        <v>210</v>
      </c>
      <c r="F26" s="34">
        <v>239498</v>
      </c>
      <c r="G26" s="34">
        <v>127114</v>
      </c>
      <c r="H26" s="79">
        <v>39636</v>
      </c>
      <c r="I26" s="32" t="s">
        <v>19</v>
      </c>
      <c r="J26" s="7"/>
      <c r="K26" s="6"/>
    </row>
    <row r="27" spans="1:11">
      <c r="A27" s="29" t="s">
        <v>114</v>
      </c>
      <c r="B27" s="35">
        <v>14</v>
      </c>
      <c r="C27" s="39">
        <v>16</v>
      </c>
      <c r="D27" s="34">
        <v>731</v>
      </c>
      <c r="E27" s="34" t="s">
        <v>176</v>
      </c>
      <c r="F27" s="34">
        <v>48346</v>
      </c>
      <c r="G27" s="34">
        <v>90171</v>
      </c>
      <c r="H27" s="79">
        <v>38668</v>
      </c>
      <c r="I27" s="32" t="s">
        <v>20</v>
      </c>
      <c r="J27" s="7"/>
      <c r="K27" s="6"/>
    </row>
    <row r="28" spans="1:11" ht="27.55" customHeight="1">
      <c r="A28" s="22" t="s">
        <v>168</v>
      </c>
      <c r="B28" s="36">
        <f>SUM(B29:B32)</f>
        <v>9</v>
      </c>
      <c r="C28" s="36">
        <f t="shared" ref="C28:H28" si="3">SUM(C29:C32)</f>
        <v>16</v>
      </c>
      <c r="D28" s="36">
        <f t="shared" si="3"/>
        <v>11134</v>
      </c>
      <c r="E28" s="36">
        <f t="shared" si="3"/>
        <v>0</v>
      </c>
      <c r="F28" s="37">
        <f t="shared" si="3"/>
        <v>357664</v>
      </c>
      <c r="G28" s="37">
        <f t="shared" si="3"/>
        <v>120003</v>
      </c>
      <c r="H28" s="37">
        <f t="shared" si="3"/>
        <v>50940</v>
      </c>
      <c r="I28" s="23" t="s">
        <v>169</v>
      </c>
      <c r="J28" s="7"/>
      <c r="K28" s="6"/>
    </row>
    <row r="29" spans="1:11">
      <c r="A29" s="29" t="s">
        <v>115</v>
      </c>
      <c r="B29" s="35">
        <v>4</v>
      </c>
      <c r="C29" s="34">
        <v>4</v>
      </c>
      <c r="D29" s="34">
        <v>4004</v>
      </c>
      <c r="E29" s="34" t="s">
        <v>176</v>
      </c>
      <c r="F29" s="34">
        <v>116345</v>
      </c>
      <c r="G29" s="34">
        <v>40659</v>
      </c>
      <c r="H29" s="79">
        <v>30070</v>
      </c>
      <c r="I29" s="32" t="s">
        <v>21</v>
      </c>
      <c r="J29" s="7"/>
      <c r="K29" s="6"/>
    </row>
    <row r="30" spans="1:11">
      <c r="A30" s="29" t="s">
        <v>116</v>
      </c>
      <c r="B30" s="35">
        <v>4</v>
      </c>
      <c r="C30" s="34" t="s">
        <v>176</v>
      </c>
      <c r="D30" s="34">
        <v>1709</v>
      </c>
      <c r="E30" s="34" t="s">
        <v>176</v>
      </c>
      <c r="F30" s="34">
        <v>59453</v>
      </c>
      <c r="G30" s="34">
        <v>37622</v>
      </c>
      <c r="H30" s="79">
        <v>14426</v>
      </c>
      <c r="I30" s="32" t="s">
        <v>22</v>
      </c>
      <c r="J30" s="7"/>
      <c r="K30" s="6"/>
    </row>
    <row r="31" spans="1:11">
      <c r="A31" s="29" t="s">
        <v>117</v>
      </c>
      <c r="B31" s="35">
        <v>1</v>
      </c>
      <c r="C31" s="34">
        <v>10</v>
      </c>
      <c r="D31" s="34">
        <v>568</v>
      </c>
      <c r="E31" s="34" t="s">
        <v>176</v>
      </c>
      <c r="F31" s="34">
        <v>55095</v>
      </c>
      <c r="G31" s="34">
        <v>11392</v>
      </c>
      <c r="H31" s="79">
        <v>3573</v>
      </c>
      <c r="I31" s="32" t="s">
        <v>23</v>
      </c>
      <c r="J31" s="7"/>
      <c r="K31" s="6"/>
    </row>
    <row r="32" spans="1:11">
      <c r="A32" s="29" t="s">
        <v>118</v>
      </c>
      <c r="B32" s="34" t="s">
        <v>176</v>
      </c>
      <c r="C32" s="34">
        <v>2</v>
      </c>
      <c r="D32" s="34">
        <v>4853</v>
      </c>
      <c r="E32" s="34" t="s">
        <v>176</v>
      </c>
      <c r="F32" s="34">
        <v>126771</v>
      </c>
      <c r="G32" s="34">
        <v>30330</v>
      </c>
      <c r="H32" s="79">
        <v>2871</v>
      </c>
      <c r="I32" s="32" t="s">
        <v>24</v>
      </c>
      <c r="J32" s="7"/>
      <c r="K32" s="6"/>
    </row>
    <row r="33" spans="1:11">
      <c r="A33" s="54" t="s">
        <v>25</v>
      </c>
      <c r="B33" s="53">
        <f>SUM(B35:B38)</f>
        <v>63</v>
      </c>
      <c r="C33" s="53">
        <f t="shared" ref="C33:H33" si="4">SUM(C35:C38)</f>
        <v>2</v>
      </c>
      <c r="D33" s="53">
        <f t="shared" si="4"/>
        <v>19100</v>
      </c>
      <c r="E33" s="53">
        <f t="shared" si="4"/>
        <v>0</v>
      </c>
      <c r="F33" s="53">
        <f t="shared" si="4"/>
        <v>608522</v>
      </c>
      <c r="G33" s="53">
        <f t="shared" si="4"/>
        <v>170379</v>
      </c>
      <c r="H33" s="53">
        <f t="shared" si="4"/>
        <v>154238</v>
      </c>
      <c r="I33" s="68" t="s">
        <v>26</v>
      </c>
      <c r="J33" s="68"/>
      <c r="K33" s="6"/>
    </row>
    <row r="34" spans="1:11">
      <c r="A34" s="54"/>
      <c r="B34" s="53"/>
      <c r="C34" s="53"/>
      <c r="D34" s="53"/>
      <c r="E34" s="53"/>
      <c r="F34" s="53"/>
      <c r="G34" s="53"/>
      <c r="H34" s="53"/>
      <c r="I34" s="68"/>
      <c r="J34" s="68"/>
      <c r="K34" s="6"/>
    </row>
    <row r="35" spans="1:11">
      <c r="A35" s="29" t="s">
        <v>119</v>
      </c>
      <c r="B35" s="35">
        <v>44</v>
      </c>
      <c r="C35" s="34">
        <v>1</v>
      </c>
      <c r="D35" s="34">
        <v>5137</v>
      </c>
      <c r="E35" s="34" t="s">
        <v>176</v>
      </c>
      <c r="F35" s="34">
        <v>167392</v>
      </c>
      <c r="G35" s="34">
        <v>41911</v>
      </c>
      <c r="H35" s="79">
        <v>52370</v>
      </c>
      <c r="I35" s="32" t="s">
        <v>27</v>
      </c>
      <c r="J35" s="7"/>
      <c r="K35" s="6"/>
    </row>
    <row r="36" spans="1:11">
      <c r="A36" s="29" t="s">
        <v>120</v>
      </c>
      <c r="B36" s="34" t="s">
        <v>176</v>
      </c>
      <c r="C36" s="34">
        <v>1</v>
      </c>
      <c r="D36" s="34">
        <v>1031</v>
      </c>
      <c r="E36" s="34" t="s">
        <v>176</v>
      </c>
      <c r="F36" s="34">
        <v>163623</v>
      </c>
      <c r="G36" s="34">
        <v>34074</v>
      </c>
      <c r="H36" s="79">
        <v>20230</v>
      </c>
      <c r="I36" s="32" t="s">
        <v>28</v>
      </c>
      <c r="J36" s="7"/>
      <c r="K36" s="6"/>
    </row>
    <row r="37" spans="1:11">
      <c r="A37" s="29" t="s">
        <v>121</v>
      </c>
      <c r="B37" s="35">
        <v>10</v>
      </c>
      <c r="C37" s="34" t="s">
        <v>176</v>
      </c>
      <c r="D37" s="34">
        <v>5946</v>
      </c>
      <c r="E37" s="34" t="s">
        <v>176</v>
      </c>
      <c r="F37" s="34">
        <v>101484</v>
      </c>
      <c r="G37" s="34">
        <v>49626</v>
      </c>
      <c r="H37" s="79">
        <v>2332</v>
      </c>
      <c r="I37" s="32" t="s">
        <v>29</v>
      </c>
      <c r="J37" s="7"/>
      <c r="K37" s="6"/>
    </row>
    <row r="38" spans="1:11">
      <c r="A38" s="29" t="s">
        <v>122</v>
      </c>
      <c r="B38" s="35">
        <v>9</v>
      </c>
      <c r="C38" s="34" t="s">
        <v>176</v>
      </c>
      <c r="D38" s="34">
        <v>6986</v>
      </c>
      <c r="E38" s="34" t="s">
        <v>176</v>
      </c>
      <c r="F38" s="34">
        <v>176023</v>
      </c>
      <c r="G38" s="34">
        <v>44768</v>
      </c>
      <c r="H38" s="79">
        <v>79306</v>
      </c>
      <c r="I38" s="32" t="s">
        <v>30</v>
      </c>
      <c r="J38" s="7"/>
      <c r="K38" s="6"/>
    </row>
    <row r="39" spans="1:11">
      <c r="A39" s="54" t="s">
        <v>31</v>
      </c>
      <c r="B39" s="53">
        <f>SUM(B41:B45)</f>
        <v>392</v>
      </c>
      <c r="C39" s="53">
        <f t="shared" ref="C39:H39" si="5">SUM(C41:C45)</f>
        <v>98</v>
      </c>
      <c r="D39" s="53">
        <f t="shared" si="5"/>
        <v>49527</v>
      </c>
      <c r="E39" s="53">
        <f t="shared" si="5"/>
        <v>31</v>
      </c>
      <c r="F39" s="53">
        <f t="shared" si="5"/>
        <v>1142480</v>
      </c>
      <c r="G39" s="53">
        <f t="shared" si="5"/>
        <v>409673</v>
      </c>
      <c r="H39" s="53">
        <f t="shared" si="5"/>
        <v>327742</v>
      </c>
      <c r="I39" s="68" t="s">
        <v>32</v>
      </c>
      <c r="J39" s="68"/>
      <c r="K39" s="6"/>
    </row>
    <row r="40" spans="1:11">
      <c r="A40" s="54"/>
      <c r="B40" s="53"/>
      <c r="C40" s="53"/>
      <c r="D40" s="53"/>
      <c r="E40" s="53"/>
      <c r="F40" s="53"/>
      <c r="G40" s="53"/>
      <c r="H40" s="53"/>
      <c r="I40" s="68"/>
      <c r="J40" s="68"/>
      <c r="K40" s="6"/>
    </row>
    <row r="41" spans="1:11">
      <c r="A41" s="29" t="s">
        <v>123</v>
      </c>
      <c r="B41" s="35">
        <v>216</v>
      </c>
      <c r="C41" s="39">
        <v>48</v>
      </c>
      <c r="D41" s="34">
        <v>19310</v>
      </c>
      <c r="E41" s="34" t="s">
        <v>176</v>
      </c>
      <c r="F41" s="34">
        <v>619257</v>
      </c>
      <c r="G41" s="34">
        <v>201113</v>
      </c>
      <c r="H41" s="79">
        <v>108324</v>
      </c>
      <c r="I41" s="32" t="s">
        <v>33</v>
      </c>
      <c r="J41" s="7"/>
      <c r="K41" s="6"/>
    </row>
    <row r="42" spans="1:11">
      <c r="A42" s="29" t="s">
        <v>124</v>
      </c>
      <c r="B42" s="35">
        <v>25</v>
      </c>
      <c r="C42" s="39">
        <v>22</v>
      </c>
      <c r="D42" s="34">
        <v>3406</v>
      </c>
      <c r="E42" s="34" t="s">
        <v>176</v>
      </c>
      <c r="F42" s="34">
        <v>178443</v>
      </c>
      <c r="G42" s="34">
        <v>39316</v>
      </c>
      <c r="H42" s="79">
        <v>37297</v>
      </c>
      <c r="I42" s="32" t="s">
        <v>34</v>
      </c>
      <c r="J42" s="7"/>
      <c r="K42" s="6"/>
    </row>
    <row r="43" spans="1:11">
      <c r="A43" s="29" t="s">
        <v>125</v>
      </c>
      <c r="B43" s="35">
        <v>36</v>
      </c>
      <c r="C43" s="39">
        <v>13</v>
      </c>
      <c r="D43" s="34">
        <v>9592</v>
      </c>
      <c r="E43" s="34" t="s">
        <v>176</v>
      </c>
      <c r="F43" s="34">
        <v>126854</v>
      </c>
      <c r="G43" s="34">
        <v>68896</v>
      </c>
      <c r="H43" s="79">
        <v>8796</v>
      </c>
      <c r="I43" s="32" t="s">
        <v>35</v>
      </c>
      <c r="J43" s="7"/>
      <c r="K43" s="6"/>
    </row>
    <row r="44" spans="1:11">
      <c r="A44" s="29" t="s">
        <v>126</v>
      </c>
      <c r="B44" s="34" t="s">
        <v>176</v>
      </c>
      <c r="C44" s="39">
        <v>8</v>
      </c>
      <c r="D44" s="40" t="s">
        <v>176</v>
      </c>
      <c r="E44" s="34" t="s">
        <v>176</v>
      </c>
      <c r="F44" s="34">
        <v>641</v>
      </c>
      <c r="G44" s="34">
        <v>9188</v>
      </c>
      <c r="H44" s="79" t="s">
        <v>176</v>
      </c>
      <c r="I44" s="32" t="s">
        <v>36</v>
      </c>
      <c r="J44" s="7"/>
      <c r="K44" s="6"/>
    </row>
    <row r="45" spans="1:11">
      <c r="A45" s="29" t="s">
        <v>127</v>
      </c>
      <c r="B45" s="35">
        <v>115</v>
      </c>
      <c r="C45" s="39">
        <v>7</v>
      </c>
      <c r="D45" s="34">
        <v>17219</v>
      </c>
      <c r="E45" s="34">
        <v>31</v>
      </c>
      <c r="F45" s="34">
        <v>217285</v>
      </c>
      <c r="G45" s="34">
        <v>91160</v>
      </c>
      <c r="H45" s="79">
        <v>173325</v>
      </c>
      <c r="I45" s="32" t="s">
        <v>37</v>
      </c>
      <c r="J45" s="7"/>
      <c r="K45" s="6"/>
    </row>
    <row r="46" spans="1:11">
      <c r="A46" s="54" t="s">
        <v>38</v>
      </c>
      <c r="B46" s="53">
        <f>SUM(B48:B52)</f>
        <v>32</v>
      </c>
      <c r="C46" s="53">
        <f t="shared" ref="C46:H46" si="6">SUM(C48:C52)</f>
        <v>55</v>
      </c>
      <c r="D46" s="53">
        <f t="shared" si="6"/>
        <v>7170</v>
      </c>
      <c r="E46" s="53">
        <f t="shared" si="6"/>
        <v>29</v>
      </c>
      <c r="F46" s="53">
        <f t="shared" si="6"/>
        <v>521173</v>
      </c>
      <c r="G46" s="53">
        <f t="shared" si="6"/>
        <v>322811</v>
      </c>
      <c r="H46" s="53">
        <f t="shared" si="6"/>
        <v>214090</v>
      </c>
      <c r="I46" s="68" t="s">
        <v>39</v>
      </c>
      <c r="J46" s="68"/>
      <c r="K46" s="6"/>
    </row>
    <row r="47" spans="1:11">
      <c r="A47" s="54"/>
      <c r="B47" s="53"/>
      <c r="C47" s="53"/>
      <c r="D47" s="53"/>
      <c r="E47" s="53"/>
      <c r="F47" s="53"/>
      <c r="G47" s="53"/>
      <c r="H47" s="53"/>
      <c r="I47" s="68"/>
      <c r="J47" s="68"/>
      <c r="K47" s="6"/>
    </row>
    <row r="48" spans="1:11">
      <c r="A48" s="29" t="s">
        <v>128</v>
      </c>
      <c r="B48" s="35">
        <v>1</v>
      </c>
      <c r="C48" s="34">
        <v>53</v>
      </c>
      <c r="D48" s="34">
        <v>1464</v>
      </c>
      <c r="E48" s="34">
        <v>29</v>
      </c>
      <c r="F48" s="34">
        <v>152938</v>
      </c>
      <c r="G48" s="34">
        <v>67777</v>
      </c>
      <c r="H48" s="79">
        <v>35626</v>
      </c>
      <c r="I48" s="32" t="s">
        <v>40</v>
      </c>
      <c r="J48" s="7"/>
      <c r="K48" s="6"/>
    </row>
    <row r="49" spans="1:11">
      <c r="A49" s="29" t="s">
        <v>129</v>
      </c>
      <c r="B49" s="35">
        <v>4</v>
      </c>
      <c r="C49" s="34" t="s">
        <v>176</v>
      </c>
      <c r="D49" s="34">
        <v>2350</v>
      </c>
      <c r="E49" s="34" t="s">
        <v>176</v>
      </c>
      <c r="F49" s="34">
        <v>98099</v>
      </c>
      <c r="G49" s="34">
        <v>57863</v>
      </c>
      <c r="H49" s="79">
        <v>35874</v>
      </c>
      <c r="I49" s="32" t="s">
        <v>41</v>
      </c>
      <c r="J49" s="7"/>
      <c r="K49" s="6"/>
    </row>
    <row r="50" spans="1:11">
      <c r="A50" s="29" t="s">
        <v>130</v>
      </c>
      <c r="B50" s="35">
        <v>19</v>
      </c>
      <c r="C50" s="34">
        <v>1</v>
      </c>
      <c r="D50" s="34">
        <v>97</v>
      </c>
      <c r="E50" s="34" t="s">
        <v>176</v>
      </c>
      <c r="F50" s="34">
        <v>175893</v>
      </c>
      <c r="G50" s="34">
        <v>117214</v>
      </c>
      <c r="H50" s="79">
        <v>138747</v>
      </c>
      <c r="I50" s="32" t="s">
        <v>42</v>
      </c>
      <c r="J50" s="7"/>
      <c r="K50" s="6"/>
    </row>
    <row r="51" spans="1:11">
      <c r="A51" s="29" t="s">
        <v>131</v>
      </c>
      <c r="B51" s="35">
        <v>8</v>
      </c>
      <c r="C51" s="34">
        <v>1</v>
      </c>
      <c r="D51" s="34">
        <v>1006</v>
      </c>
      <c r="E51" s="34" t="s">
        <v>176</v>
      </c>
      <c r="F51" s="34">
        <v>37889</v>
      </c>
      <c r="G51" s="34">
        <v>33252</v>
      </c>
      <c r="H51" s="79">
        <v>396</v>
      </c>
      <c r="I51" s="32" t="s">
        <v>43</v>
      </c>
      <c r="J51" s="7"/>
      <c r="K51" s="6"/>
    </row>
    <row r="52" spans="1:11">
      <c r="A52" s="29" t="s">
        <v>132</v>
      </c>
      <c r="B52" s="34" t="s">
        <v>176</v>
      </c>
      <c r="C52" s="34" t="s">
        <v>176</v>
      </c>
      <c r="D52" s="34">
        <v>2253</v>
      </c>
      <c r="E52" s="34" t="s">
        <v>176</v>
      </c>
      <c r="F52" s="34">
        <v>56354</v>
      </c>
      <c r="G52" s="34">
        <v>46705</v>
      </c>
      <c r="H52" s="79">
        <v>3447</v>
      </c>
      <c r="I52" s="32" t="s">
        <v>44</v>
      </c>
      <c r="J52" s="7"/>
      <c r="K52" s="6"/>
    </row>
    <row r="53" spans="1:11">
      <c r="A53" s="54" t="s">
        <v>45</v>
      </c>
      <c r="B53" s="53">
        <f>SUM(B55:B59)</f>
        <v>40</v>
      </c>
      <c r="C53" s="53">
        <f t="shared" ref="C53:H53" si="7">SUM(C55:C59)</f>
        <v>108</v>
      </c>
      <c r="D53" s="53">
        <f t="shared" si="7"/>
        <v>726</v>
      </c>
      <c r="E53" s="53">
        <f t="shared" si="7"/>
        <v>0</v>
      </c>
      <c r="F53" s="53">
        <f t="shared" si="7"/>
        <v>78637</v>
      </c>
      <c r="G53" s="53">
        <f t="shared" si="7"/>
        <v>85332</v>
      </c>
      <c r="H53" s="53">
        <f t="shared" si="7"/>
        <v>7731</v>
      </c>
      <c r="I53" s="68" t="s">
        <v>46</v>
      </c>
      <c r="J53" s="68"/>
      <c r="K53" s="6"/>
    </row>
    <row r="54" spans="1:11">
      <c r="A54" s="54"/>
      <c r="B54" s="53"/>
      <c r="C54" s="53"/>
      <c r="D54" s="53"/>
      <c r="E54" s="53"/>
      <c r="F54" s="53"/>
      <c r="G54" s="53"/>
      <c r="H54" s="53"/>
      <c r="I54" s="68"/>
      <c r="J54" s="68"/>
      <c r="K54" s="6"/>
    </row>
    <row r="55" spans="1:11">
      <c r="A55" s="29" t="s">
        <v>133</v>
      </c>
      <c r="B55" s="35">
        <v>40</v>
      </c>
      <c r="C55" s="34">
        <v>108</v>
      </c>
      <c r="D55" s="34">
        <v>91</v>
      </c>
      <c r="E55" s="34" t="s">
        <v>176</v>
      </c>
      <c r="F55" s="34">
        <v>6952</v>
      </c>
      <c r="G55" s="34">
        <v>4454</v>
      </c>
      <c r="H55" s="79">
        <v>1973</v>
      </c>
      <c r="I55" s="32" t="s">
        <v>47</v>
      </c>
      <c r="J55" s="7"/>
      <c r="K55" s="6"/>
    </row>
    <row r="56" spans="1:11">
      <c r="A56" s="29" t="s">
        <v>134</v>
      </c>
      <c r="B56" s="34" t="s">
        <v>176</v>
      </c>
      <c r="C56" s="34" t="s">
        <v>176</v>
      </c>
      <c r="D56" s="34">
        <v>181</v>
      </c>
      <c r="E56" s="34" t="s">
        <v>176</v>
      </c>
      <c r="F56" s="34">
        <v>9429</v>
      </c>
      <c r="G56" s="34">
        <v>10812</v>
      </c>
      <c r="H56" s="79">
        <v>2348</v>
      </c>
      <c r="I56" s="32" t="s">
        <v>48</v>
      </c>
      <c r="J56" s="7"/>
      <c r="K56" s="6"/>
    </row>
    <row r="57" spans="1:11">
      <c r="A57" s="29" t="s">
        <v>135</v>
      </c>
      <c r="B57" s="34" t="s">
        <v>176</v>
      </c>
      <c r="C57" s="34" t="s">
        <v>176</v>
      </c>
      <c r="D57" s="34">
        <v>5</v>
      </c>
      <c r="E57" s="34" t="s">
        <v>176</v>
      </c>
      <c r="F57" s="34">
        <v>3472</v>
      </c>
      <c r="G57" s="34">
        <v>4265</v>
      </c>
      <c r="H57" s="79">
        <v>1215</v>
      </c>
      <c r="I57" s="32" t="s">
        <v>49</v>
      </c>
      <c r="J57" s="7"/>
      <c r="K57" s="6"/>
    </row>
    <row r="58" spans="1:11">
      <c r="A58" s="29" t="s">
        <v>136</v>
      </c>
      <c r="B58" s="34" t="s">
        <v>176</v>
      </c>
      <c r="C58" s="34" t="s">
        <v>176</v>
      </c>
      <c r="D58" s="34">
        <v>311</v>
      </c>
      <c r="E58" s="34" t="s">
        <v>176</v>
      </c>
      <c r="F58" s="34">
        <v>55431</v>
      </c>
      <c r="G58" s="34">
        <v>62920</v>
      </c>
      <c r="H58" s="79">
        <v>2195</v>
      </c>
      <c r="I58" s="32" t="s">
        <v>50</v>
      </c>
      <c r="J58" s="7"/>
      <c r="K58" s="6"/>
    </row>
    <row r="59" spans="1:11">
      <c r="A59" s="29" t="s">
        <v>137</v>
      </c>
      <c r="B59" s="34" t="s">
        <v>176</v>
      </c>
      <c r="C59" s="34" t="s">
        <v>176</v>
      </c>
      <c r="D59" s="34">
        <v>138</v>
      </c>
      <c r="E59" s="34" t="s">
        <v>176</v>
      </c>
      <c r="F59" s="34">
        <v>3353</v>
      </c>
      <c r="G59" s="34">
        <v>2881</v>
      </c>
      <c r="H59" s="79" t="s">
        <v>176</v>
      </c>
      <c r="I59" s="32" t="s">
        <v>51</v>
      </c>
      <c r="J59" s="7"/>
      <c r="K59" s="6"/>
    </row>
    <row r="60" spans="1:11">
      <c r="A60" s="54" t="s">
        <v>52</v>
      </c>
      <c r="B60" s="53">
        <f>SUM(B62:B64)</f>
        <v>39</v>
      </c>
      <c r="C60" s="53">
        <f t="shared" ref="C60:H60" si="8">SUM(C62:C64)</f>
        <v>28</v>
      </c>
      <c r="D60" s="53">
        <f t="shared" si="8"/>
        <v>12113</v>
      </c>
      <c r="E60" s="53">
        <f t="shared" si="8"/>
        <v>0</v>
      </c>
      <c r="F60" s="53">
        <f t="shared" si="8"/>
        <v>1337404</v>
      </c>
      <c r="G60" s="53">
        <f t="shared" si="8"/>
        <v>482890</v>
      </c>
      <c r="H60" s="53">
        <f t="shared" si="8"/>
        <v>298294</v>
      </c>
      <c r="I60" s="68" t="s">
        <v>53</v>
      </c>
      <c r="J60" s="68"/>
      <c r="K60" s="6"/>
    </row>
    <row r="61" spans="1:11">
      <c r="A61" s="54"/>
      <c r="B61" s="53"/>
      <c r="C61" s="53"/>
      <c r="D61" s="53"/>
      <c r="E61" s="53"/>
      <c r="F61" s="53"/>
      <c r="G61" s="53"/>
      <c r="H61" s="53"/>
      <c r="I61" s="68"/>
      <c r="J61" s="68"/>
      <c r="K61" s="6"/>
    </row>
    <row r="62" spans="1:11">
      <c r="A62" s="29" t="s">
        <v>138</v>
      </c>
      <c r="B62" s="34" t="s">
        <v>176</v>
      </c>
      <c r="C62" s="34">
        <v>7</v>
      </c>
      <c r="D62" s="34">
        <v>1816</v>
      </c>
      <c r="E62" s="34" t="s">
        <v>176</v>
      </c>
      <c r="F62" s="34">
        <v>403212</v>
      </c>
      <c r="G62" s="34">
        <v>159104</v>
      </c>
      <c r="H62" s="79">
        <v>2776</v>
      </c>
      <c r="I62" s="32" t="s">
        <v>54</v>
      </c>
      <c r="J62" s="7"/>
      <c r="K62" s="6"/>
    </row>
    <row r="63" spans="1:11">
      <c r="A63" s="29" t="s">
        <v>139</v>
      </c>
      <c r="B63" s="35">
        <v>39</v>
      </c>
      <c r="C63" s="34">
        <v>21</v>
      </c>
      <c r="D63" s="34">
        <v>8418</v>
      </c>
      <c r="E63" s="34" t="s">
        <v>176</v>
      </c>
      <c r="F63" s="34">
        <v>580192</v>
      </c>
      <c r="G63" s="34">
        <v>251542</v>
      </c>
      <c r="H63" s="79">
        <v>247203</v>
      </c>
      <c r="I63" s="32" t="s">
        <v>55</v>
      </c>
      <c r="J63" s="7"/>
      <c r="K63" s="6"/>
    </row>
    <row r="64" spans="1:11">
      <c r="A64" s="29" t="s">
        <v>140</v>
      </c>
      <c r="B64" s="34" t="s">
        <v>176</v>
      </c>
      <c r="C64" s="34" t="s">
        <v>176</v>
      </c>
      <c r="D64" s="34">
        <v>1879</v>
      </c>
      <c r="E64" s="34" t="s">
        <v>176</v>
      </c>
      <c r="F64" s="34">
        <v>354000</v>
      </c>
      <c r="G64" s="34">
        <v>72244</v>
      </c>
      <c r="H64" s="79">
        <v>48315</v>
      </c>
      <c r="I64" s="32" t="s">
        <v>56</v>
      </c>
      <c r="J64" s="7"/>
      <c r="K64" s="6"/>
    </row>
    <row r="65" spans="1:11">
      <c r="A65" s="54" t="s">
        <v>57</v>
      </c>
      <c r="B65" s="53">
        <f>SUM(B67:B71)</f>
        <v>0</v>
      </c>
      <c r="C65" s="53">
        <f t="shared" ref="C65:H65" si="9">SUM(C67:C71)</f>
        <v>233</v>
      </c>
      <c r="D65" s="53">
        <f t="shared" si="9"/>
        <v>3687</v>
      </c>
      <c r="E65" s="53">
        <f t="shared" si="9"/>
        <v>0</v>
      </c>
      <c r="F65" s="53">
        <f t="shared" si="9"/>
        <v>476735</v>
      </c>
      <c r="G65" s="53">
        <f t="shared" si="9"/>
        <v>537330</v>
      </c>
      <c r="H65" s="53">
        <f t="shared" si="9"/>
        <v>103427</v>
      </c>
      <c r="I65" s="68" t="s">
        <v>58</v>
      </c>
      <c r="J65" s="68"/>
      <c r="K65" s="6"/>
    </row>
    <row r="66" spans="1:11">
      <c r="A66" s="54"/>
      <c r="B66" s="53"/>
      <c r="C66" s="53"/>
      <c r="D66" s="53"/>
      <c r="E66" s="53"/>
      <c r="F66" s="53"/>
      <c r="G66" s="53"/>
      <c r="H66" s="53"/>
      <c r="I66" s="68"/>
      <c r="J66" s="68"/>
      <c r="K66" s="6"/>
    </row>
    <row r="67" spans="1:11">
      <c r="A67" s="29" t="s">
        <v>141</v>
      </c>
      <c r="B67" s="34" t="s">
        <v>176</v>
      </c>
      <c r="C67" s="34">
        <v>51</v>
      </c>
      <c r="D67" s="34">
        <v>547</v>
      </c>
      <c r="E67" s="34" t="s">
        <v>176</v>
      </c>
      <c r="F67" s="34">
        <v>143592</v>
      </c>
      <c r="G67" s="34">
        <v>115500</v>
      </c>
      <c r="H67" s="79">
        <v>15585</v>
      </c>
      <c r="I67" s="32" t="s">
        <v>59</v>
      </c>
      <c r="J67" s="7"/>
      <c r="K67" s="6"/>
    </row>
    <row r="68" spans="1:11">
      <c r="A68" s="29" t="s">
        <v>142</v>
      </c>
      <c r="B68" s="34" t="s">
        <v>176</v>
      </c>
      <c r="C68" s="34" t="s">
        <v>176</v>
      </c>
      <c r="D68" s="34">
        <v>374</v>
      </c>
      <c r="E68" s="34" t="s">
        <v>176</v>
      </c>
      <c r="F68" s="34">
        <v>119473</v>
      </c>
      <c r="G68" s="34">
        <v>117637</v>
      </c>
      <c r="H68" s="79">
        <v>30451</v>
      </c>
      <c r="I68" s="32" t="s">
        <v>60</v>
      </c>
      <c r="J68" s="7"/>
      <c r="K68" s="6"/>
    </row>
    <row r="69" spans="1:11">
      <c r="A69" s="29" t="s">
        <v>143</v>
      </c>
      <c r="B69" s="34" t="s">
        <v>176</v>
      </c>
      <c r="C69" s="34" t="s">
        <v>176</v>
      </c>
      <c r="D69" s="34">
        <v>62</v>
      </c>
      <c r="E69" s="34" t="s">
        <v>176</v>
      </c>
      <c r="F69" s="34">
        <v>58923</v>
      </c>
      <c r="G69" s="34">
        <v>47954</v>
      </c>
      <c r="H69" s="79">
        <v>27818</v>
      </c>
      <c r="I69" s="32" t="s">
        <v>61</v>
      </c>
      <c r="J69" s="7"/>
      <c r="K69" s="6"/>
    </row>
    <row r="70" spans="1:11">
      <c r="A70" s="29" t="s">
        <v>144</v>
      </c>
      <c r="B70" s="34" t="s">
        <v>176</v>
      </c>
      <c r="C70" s="34">
        <v>182</v>
      </c>
      <c r="D70" s="34">
        <v>1754</v>
      </c>
      <c r="E70" s="34" t="s">
        <v>176</v>
      </c>
      <c r="F70" s="34">
        <v>80004</v>
      </c>
      <c r="G70" s="34">
        <v>193439</v>
      </c>
      <c r="H70" s="79">
        <v>21747</v>
      </c>
      <c r="I70" s="32" t="s">
        <v>62</v>
      </c>
      <c r="J70" s="7"/>
      <c r="K70" s="6"/>
    </row>
    <row r="71" spans="1:11">
      <c r="A71" s="29" t="s">
        <v>145</v>
      </c>
      <c r="B71" s="34" t="s">
        <v>176</v>
      </c>
      <c r="C71" s="34" t="s">
        <v>176</v>
      </c>
      <c r="D71" s="34">
        <v>950</v>
      </c>
      <c r="E71" s="34" t="s">
        <v>176</v>
      </c>
      <c r="F71" s="34">
        <v>74743</v>
      </c>
      <c r="G71" s="34">
        <v>62800</v>
      </c>
      <c r="H71" s="79">
        <v>7826</v>
      </c>
      <c r="I71" s="32" t="s">
        <v>63</v>
      </c>
      <c r="J71" s="7"/>
      <c r="K71" s="6"/>
    </row>
    <row r="72" spans="1:11">
      <c r="A72" s="54" t="s">
        <v>64</v>
      </c>
      <c r="B72" s="69">
        <f>SUM(B74:B81)</f>
        <v>20</v>
      </c>
      <c r="C72" s="69">
        <f t="shared" ref="C72:H72" si="10">SUM(C74:C81)</f>
        <v>10</v>
      </c>
      <c r="D72" s="69">
        <f t="shared" si="10"/>
        <v>1027</v>
      </c>
      <c r="E72" s="69">
        <f t="shared" si="10"/>
        <v>0</v>
      </c>
      <c r="F72" s="69">
        <f t="shared" si="10"/>
        <v>104015</v>
      </c>
      <c r="G72" s="69">
        <f t="shared" si="10"/>
        <v>52827</v>
      </c>
      <c r="H72" s="69">
        <f t="shared" si="10"/>
        <v>48644</v>
      </c>
      <c r="I72" s="68" t="s">
        <v>65</v>
      </c>
      <c r="J72" s="68"/>
      <c r="K72" s="6"/>
    </row>
    <row r="73" spans="1:11">
      <c r="A73" s="54"/>
      <c r="B73" s="69"/>
      <c r="C73" s="69"/>
      <c r="D73" s="69"/>
      <c r="E73" s="69"/>
      <c r="F73" s="69"/>
      <c r="G73" s="69"/>
      <c r="H73" s="69"/>
      <c r="I73" s="68"/>
      <c r="J73" s="68"/>
      <c r="K73" s="6"/>
    </row>
    <row r="74" spans="1:11">
      <c r="A74" s="31" t="s">
        <v>181</v>
      </c>
      <c r="B74" s="34" t="s">
        <v>176</v>
      </c>
      <c r="C74" s="34" t="s">
        <v>176</v>
      </c>
      <c r="D74" s="34" t="s">
        <v>176</v>
      </c>
      <c r="E74" s="34" t="s">
        <v>176</v>
      </c>
      <c r="F74" s="34" t="s">
        <v>176</v>
      </c>
      <c r="G74" s="34" t="s">
        <v>176</v>
      </c>
      <c r="H74" s="34" t="s">
        <v>176</v>
      </c>
      <c r="I74" s="32" t="s">
        <v>66</v>
      </c>
      <c r="J74" s="7"/>
      <c r="K74" s="6"/>
    </row>
    <row r="75" spans="1:11">
      <c r="A75" s="31" t="s">
        <v>182</v>
      </c>
      <c r="B75" s="34" t="s">
        <v>176</v>
      </c>
      <c r="C75" s="34" t="s">
        <v>176</v>
      </c>
      <c r="D75" s="34">
        <v>1</v>
      </c>
      <c r="E75" s="34" t="s">
        <v>176</v>
      </c>
      <c r="F75" s="34">
        <v>165</v>
      </c>
      <c r="G75" s="34">
        <v>230</v>
      </c>
      <c r="H75" s="79" t="s">
        <v>176</v>
      </c>
      <c r="I75" s="32" t="s">
        <v>67</v>
      </c>
      <c r="J75" s="7"/>
      <c r="K75" s="6"/>
    </row>
    <row r="76" spans="1:11">
      <c r="A76" s="31" t="s">
        <v>183</v>
      </c>
      <c r="B76" s="34" t="s">
        <v>176</v>
      </c>
      <c r="C76" s="34" t="s">
        <v>176</v>
      </c>
      <c r="D76" s="40" t="s">
        <v>176</v>
      </c>
      <c r="E76" s="34" t="s">
        <v>176</v>
      </c>
      <c r="F76" s="34">
        <v>20</v>
      </c>
      <c r="G76" s="34" t="s">
        <v>176</v>
      </c>
      <c r="H76" s="79" t="s">
        <v>176</v>
      </c>
      <c r="I76" s="32" t="s">
        <v>68</v>
      </c>
      <c r="J76" s="7"/>
      <c r="K76" s="6"/>
    </row>
    <row r="77" spans="1:11">
      <c r="A77" s="31" t="s">
        <v>184</v>
      </c>
      <c r="B77" s="34" t="s">
        <v>176</v>
      </c>
      <c r="C77" s="34" t="s">
        <v>176</v>
      </c>
      <c r="D77" s="34" t="s">
        <v>176</v>
      </c>
      <c r="E77" s="34" t="s">
        <v>176</v>
      </c>
      <c r="F77" s="34" t="s">
        <v>176</v>
      </c>
      <c r="G77" s="34" t="s">
        <v>176</v>
      </c>
      <c r="H77" s="34" t="s">
        <v>176</v>
      </c>
      <c r="I77" s="32" t="s">
        <v>69</v>
      </c>
      <c r="J77" s="7"/>
      <c r="K77" s="6"/>
    </row>
    <row r="78" spans="1:11">
      <c r="A78" s="31" t="s">
        <v>185</v>
      </c>
      <c r="B78" s="34" t="s">
        <v>176</v>
      </c>
      <c r="C78" s="34" t="s">
        <v>176</v>
      </c>
      <c r="D78" s="34">
        <v>143</v>
      </c>
      <c r="E78" s="34" t="s">
        <v>176</v>
      </c>
      <c r="F78" s="34">
        <v>53052</v>
      </c>
      <c r="G78" s="34">
        <v>11211</v>
      </c>
      <c r="H78" s="79">
        <v>42473</v>
      </c>
      <c r="I78" s="32" t="s">
        <v>70</v>
      </c>
      <c r="J78" s="7"/>
      <c r="K78" s="6"/>
    </row>
    <row r="79" spans="1:11">
      <c r="A79" s="31" t="s">
        <v>186</v>
      </c>
      <c r="B79" s="34" t="s">
        <v>176</v>
      </c>
      <c r="C79" s="34" t="s">
        <v>176</v>
      </c>
      <c r="D79" s="34">
        <v>692</v>
      </c>
      <c r="E79" s="34" t="s">
        <v>176</v>
      </c>
      <c r="F79" s="34">
        <v>41457</v>
      </c>
      <c r="G79" s="34">
        <v>28862</v>
      </c>
      <c r="H79" s="79">
        <v>4815</v>
      </c>
      <c r="I79" s="32" t="s">
        <v>71</v>
      </c>
      <c r="J79" s="7"/>
      <c r="K79" s="6"/>
    </row>
    <row r="80" spans="1:11">
      <c r="A80" s="31" t="s">
        <v>187</v>
      </c>
      <c r="B80" s="34" t="s">
        <v>176</v>
      </c>
      <c r="C80" s="34" t="s">
        <v>176</v>
      </c>
      <c r="D80" s="40" t="s">
        <v>176</v>
      </c>
      <c r="E80" s="34" t="s">
        <v>176</v>
      </c>
      <c r="F80" s="34">
        <v>180</v>
      </c>
      <c r="G80" s="34" t="s">
        <v>176</v>
      </c>
      <c r="H80" s="79" t="s">
        <v>176</v>
      </c>
      <c r="I80" s="32" t="s">
        <v>72</v>
      </c>
      <c r="J80" s="7"/>
      <c r="K80" s="6"/>
    </row>
    <row r="81" spans="1:11">
      <c r="A81" s="31" t="s">
        <v>188</v>
      </c>
      <c r="B81" s="35">
        <v>20</v>
      </c>
      <c r="C81" s="39">
        <v>10</v>
      </c>
      <c r="D81" s="34">
        <v>191</v>
      </c>
      <c r="E81" s="34" t="s">
        <v>176</v>
      </c>
      <c r="F81" s="34">
        <v>9141</v>
      </c>
      <c r="G81" s="34">
        <v>12524</v>
      </c>
      <c r="H81" s="79">
        <v>1356</v>
      </c>
      <c r="I81" s="32" t="s">
        <v>73</v>
      </c>
      <c r="J81" s="7"/>
      <c r="K81" s="6"/>
    </row>
    <row r="82" spans="1:11">
      <c r="A82" s="54" t="s">
        <v>74</v>
      </c>
      <c r="B82" s="69">
        <f>SUM(B84:B88)</f>
        <v>114</v>
      </c>
      <c r="C82" s="69">
        <f t="shared" ref="C82:H82" si="11">SUM(C84:C88)</f>
        <v>94</v>
      </c>
      <c r="D82" s="69">
        <f t="shared" si="11"/>
        <v>2911</v>
      </c>
      <c r="E82" s="69">
        <f t="shared" si="11"/>
        <v>0</v>
      </c>
      <c r="F82" s="69">
        <f t="shared" si="11"/>
        <v>457460</v>
      </c>
      <c r="G82" s="69">
        <f t="shared" si="11"/>
        <v>130327</v>
      </c>
      <c r="H82" s="69">
        <f t="shared" si="11"/>
        <v>17074</v>
      </c>
      <c r="I82" s="68" t="s">
        <v>75</v>
      </c>
      <c r="J82" s="68"/>
      <c r="K82" s="6"/>
    </row>
    <row r="83" spans="1:11">
      <c r="A83" s="54"/>
      <c r="B83" s="69"/>
      <c r="C83" s="69"/>
      <c r="D83" s="69"/>
      <c r="E83" s="69"/>
      <c r="F83" s="69"/>
      <c r="G83" s="69"/>
      <c r="H83" s="69"/>
      <c r="I83" s="68"/>
      <c r="J83" s="68"/>
      <c r="K83" s="6"/>
    </row>
    <row r="84" spans="1:11">
      <c r="A84" s="29" t="s">
        <v>146</v>
      </c>
      <c r="B84" s="35">
        <v>112</v>
      </c>
      <c r="C84" s="34">
        <v>94</v>
      </c>
      <c r="D84" s="34">
        <v>2337</v>
      </c>
      <c r="E84" s="34" t="s">
        <v>176</v>
      </c>
      <c r="F84" s="34">
        <v>387753</v>
      </c>
      <c r="G84" s="34">
        <v>39226</v>
      </c>
      <c r="H84" s="79">
        <v>11478</v>
      </c>
      <c r="I84" s="32" t="s">
        <v>76</v>
      </c>
      <c r="J84" s="7"/>
      <c r="K84" s="6"/>
    </row>
    <row r="85" spans="1:11">
      <c r="A85" s="29" t="s">
        <v>147</v>
      </c>
      <c r="B85" s="34" t="s">
        <v>176</v>
      </c>
      <c r="C85" s="34" t="s">
        <v>176</v>
      </c>
      <c r="D85" s="34">
        <v>23</v>
      </c>
      <c r="E85" s="34" t="s">
        <v>176</v>
      </c>
      <c r="F85" s="34">
        <v>4300</v>
      </c>
      <c r="G85" s="34">
        <v>19295</v>
      </c>
      <c r="H85" s="79">
        <v>2088</v>
      </c>
      <c r="I85" s="32" t="s">
        <v>77</v>
      </c>
      <c r="J85" s="7"/>
      <c r="K85" s="6"/>
    </row>
    <row r="86" spans="1:11">
      <c r="A86" s="29" t="s">
        <v>148</v>
      </c>
      <c r="B86" s="34" t="s">
        <v>176</v>
      </c>
      <c r="C86" s="34" t="s">
        <v>176</v>
      </c>
      <c r="D86" s="34">
        <v>38</v>
      </c>
      <c r="E86" s="34" t="s">
        <v>176</v>
      </c>
      <c r="F86" s="34">
        <v>50955</v>
      </c>
      <c r="G86" s="34">
        <v>13725</v>
      </c>
      <c r="H86" s="79">
        <v>202</v>
      </c>
      <c r="I86" s="32" t="s">
        <v>78</v>
      </c>
      <c r="J86" s="7"/>
      <c r="K86" s="6"/>
    </row>
    <row r="87" spans="1:11">
      <c r="A87" s="29" t="s">
        <v>149</v>
      </c>
      <c r="B87" s="35">
        <v>2</v>
      </c>
      <c r="C87" s="34" t="s">
        <v>176</v>
      </c>
      <c r="D87" s="34">
        <v>116</v>
      </c>
      <c r="E87" s="34" t="s">
        <v>176</v>
      </c>
      <c r="F87" s="34">
        <v>1830</v>
      </c>
      <c r="G87" s="34">
        <v>7044</v>
      </c>
      <c r="H87" s="79">
        <v>717</v>
      </c>
      <c r="I87" s="32" t="s">
        <v>79</v>
      </c>
      <c r="J87" s="7"/>
      <c r="K87" s="6"/>
    </row>
    <row r="88" spans="1:11">
      <c r="A88" s="29" t="s">
        <v>150</v>
      </c>
      <c r="B88" s="34" t="s">
        <v>176</v>
      </c>
      <c r="C88" s="34" t="s">
        <v>176</v>
      </c>
      <c r="D88" s="34">
        <v>397</v>
      </c>
      <c r="E88" s="34" t="s">
        <v>176</v>
      </c>
      <c r="F88" s="34">
        <v>12622</v>
      </c>
      <c r="G88" s="34">
        <v>51037</v>
      </c>
      <c r="H88" s="79">
        <v>2589</v>
      </c>
      <c r="I88" s="32" t="s">
        <v>80</v>
      </c>
      <c r="J88" s="7"/>
      <c r="K88" s="6"/>
    </row>
    <row r="89" spans="1:11">
      <c r="A89" s="54" t="s">
        <v>81</v>
      </c>
      <c r="B89" s="69">
        <f>SUM(B91:B103)</f>
        <v>22</v>
      </c>
      <c r="C89" s="69">
        <f t="shared" ref="C89:H89" si="12">SUM(C91:C103)</f>
        <v>497</v>
      </c>
      <c r="D89" s="69">
        <f t="shared" si="12"/>
        <v>5660</v>
      </c>
      <c r="E89" s="69">
        <f t="shared" si="12"/>
        <v>0</v>
      </c>
      <c r="F89" s="69">
        <f t="shared" si="12"/>
        <v>213147</v>
      </c>
      <c r="G89" s="69">
        <f t="shared" si="12"/>
        <v>234636</v>
      </c>
      <c r="H89" s="69">
        <f t="shared" si="12"/>
        <v>40144</v>
      </c>
      <c r="I89" s="68" t="s">
        <v>82</v>
      </c>
      <c r="J89" s="68"/>
      <c r="K89" s="6"/>
    </row>
    <row r="90" spans="1:11">
      <c r="A90" s="54"/>
      <c r="B90" s="69"/>
      <c r="C90" s="69"/>
      <c r="D90" s="69"/>
      <c r="E90" s="69"/>
      <c r="F90" s="69"/>
      <c r="G90" s="69"/>
      <c r="H90" s="69"/>
      <c r="I90" s="68"/>
      <c r="J90" s="68"/>
      <c r="K90" s="6"/>
    </row>
    <row r="91" spans="1:11">
      <c r="A91" s="29" t="s">
        <v>151</v>
      </c>
      <c r="B91" s="35">
        <v>3</v>
      </c>
      <c r="C91" s="39">
        <v>1</v>
      </c>
      <c r="D91" s="34">
        <v>219</v>
      </c>
      <c r="E91" s="34" t="s">
        <v>176</v>
      </c>
      <c r="F91" s="34">
        <v>3543</v>
      </c>
      <c r="G91" s="34">
        <v>2820</v>
      </c>
      <c r="H91" s="79">
        <v>991</v>
      </c>
      <c r="I91" s="32" t="s">
        <v>83</v>
      </c>
      <c r="J91" s="7"/>
      <c r="K91" s="6"/>
    </row>
    <row r="92" spans="1:11">
      <c r="A92" s="29" t="s">
        <v>152</v>
      </c>
      <c r="B92" s="35">
        <v>1</v>
      </c>
      <c r="C92" s="39">
        <v>17</v>
      </c>
      <c r="D92" s="34">
        <v>13</v>
      </c>
      <c r="E92" s="34" t="s">
        <v>176</v>
      </c>
      <c r="F92" s="34">
        <v>27463</v>
      </c>
      <c r="G92" s="34">
        <v>20831</v>
      </c>
      <c r="H92" s="79">
        <v>1064</v>
      </c>
      <c r="I92" s="32" t="s">
        <v>84</v>
      </c>
      <c r="J92" s="7"/>
      <c r="K92" s="6"/>
    </row>
    <row r="93" spans="1:11">
      <c r="A93" s="29" t="s">
        <v>153</v>
      </c>
      <c r="B93" s="35">
        <v>11</v>
      </c>
      <c r="C93" s="39">
        <v>118</v>
      </c>
      <c r="D93" s="34">
        <v>82</v>
      </c>
      <c r="E93" s="34" t="s">
        <v>176</v>
      </c>
      <c r="F93" s="34">
        <v>1804</v>
      </c>
      <c r="G93" s="34">
        <v>8947</v>
      </c>
      <c r="H93" s="79">
        <v>1102</v>
      </c>
      <c r="I93" s="32" t="s">
        <v>85</v>
      </c>
      <c r="J93" s="7"/>
      <c r="K93" s="6"/>
    </row>
    <row r="94" spans="1:11">
      <c r="A94" s="29" t="s">
        <v>154</v>
      </c>
      <c r="B94" s="35">
        <v>2</v>
      </c>
      <c r="C94" s="39">
        <v>6</v>
      </c>
      <c r="D94" s="34">
        <v>125</v>
      </c>
      <c r="E94" s="34" t="s">
        <v>176</v>
      </c>
      <c r="F94" s="34">
        <v>6190</v>
      </c>
      <c r="G94" s="34">
        <v>18600</v>
      </c>
      <c r="H94" s="79">
        <v>914</v>
      </c>
      <c r="I94" s="32" t="s">
        <v>86</v>
      </c>
      <c r="J94" s="7"/>
      <c r="K94" s="6"/>
    </row>
    <row r="95" spans="1:11">
      <c r="A95" s="29" t="s">
        <v>155</v>
      </c>
      <c r="B95" s="34" t="s">
        <v>176</v>
      </c>
      <c r="C95" s="34" t="s">
        <v>176</v>
      </c>
      <c r="D95" s="40" t="s">
        <v>176</v>
      </c>
      <c r="E95" s="34" t="s">
        <v>176</v>
      </c>
      <c r="F95" s="34">
        <v>5267</v>
      </c>
      <c r="G95" s="34">
        <v>6691</v>
      </c>
      <c r="H95" s="79">
        <v>2157</v>
      </c>
      <c r="I95" s="32" t="s">
        <v>87</v>
      </c>
      <c r="J95" s="7"/>
      <c r="K95" s="6"/>
    </row>
    <row r="96" spans="1:11">
      <c r="A96" s="29" t="s">
        <v>156</v>
      </c>
      <c r="B96" s="34" t="s">
        <v>176</v>
      </c>
      <c r="C96" s="39">
        <v>237</v>
      </c>
      <c r="D96" s="34">
        <v>100</v>
      </c>
      <c r="E96" s="34" t="s">
        <v>176</v>
      </c>
      <c r="F96" s="34">
        <v>12065</v>
      </c>
      <c r="G96" s="34">
        <v>12735</v>
      </c>
      <c r="H96" s="79">
        <v>521</v>
      </c>
      <c r="I96" s="32" t="s">
        <v>88</v>
      </c>
      <c r="J96" s="7"/>
      <c r="K96" s="6"/>
    </row>
    <row r="97" spans="1:11">
      <c r="A97" s="29" t="s">
        <v>157</v>
      </c>
      <c r="B97" s="35">
        <v>2</v>
      </c>
      <c r="C97" s="39">
        <v>15</v>
      </c>
      <c r="D97" s="34">
        <v>968</v>
      </c>
      <c r="E97" s="34" t="s">
        <v>176</v>
      </c>
      <c r="F97" s="34">
        <v>13085</v>
      </c>
      <c r="G97" s="34">
        <v>15535</v>
      </c>
      <c r="H97" s="79">
        <v>5071</v>
      </c>
      <c r="I97" s="32" t="s">
        <v>89</v>
      </c>
      <c r="J97" s="7"/>
      <c r="K97" s="6"/>
    </row>
    <row r="98" spans="1:11">
      <c r="A98" s="29" t="s">
        <v>158</v>
      </c>
      <c r="B98" s="35">
        <v>1</v>
      </c>
      <c r="C98" s="34" t="s">
        <v>176</v>
      </c>
      <c r="D98" s="34">
        <v>33</v>
      </c>
      <c r="E98" s="34" t="s">
        <v>176</v>
      </c>
      <c r="F98" s="34">
        <v>8712</v>
      </c>
      <c r="G98" s="34">
        <v>13600</v>
      </c>
      <c r="H98" s="79">
        <v>724</v>
      </c>
      <c r="I98" s="32" t="s">
        <v>90</v>
      </c>
      <c r="J98" s="7"/>
      <c r="K98" s="6"/>
    </row>
    <row r="99" spans="1:11">
      <c r="A99" s="29" t="s">
        <v>159</v>
      </c>
      <c r="B99" s="34" t="s">
        <v>176</v>
      </c>
      <c r="C99" s="34">
        <v>82</v>
      </c>
      <c r="D99" s="34">
        <v>167</v>
      </c>
      <c r="E99" s="34" t="s">
        <v>176</v>
      </c>
      <c r="F99" s="34">
        <v>5558</v>
      </c>
      <c r="G99" s="34">
        <v>1492</v>
      </c>
      <c r="H99" s="79">
        <v>215</v>
      </c>
      <c r="I99" s="32" t="s">
        <v>91</v>
      </c>
      <c r="J99" s="7"/>
      <c r="K99" s="6"/>
    </row>
    <row r="100" spans="1:11">
      <c r="A100" s="29" t="s">
        <v>160</v>
      </c>
      <c r="B100" s="34">
        <v>2</v>
      </c>
      <c r="C100" s="34">
        <v>5</v>
      </c>
      <c r="D100" s="34">
        <v>2878</v>
      </c>
      <c r="E100" s="34" t="s">
        <v>176</v>
      </c>
      <c r="F100" s="34">
        <v>101377</v>
      </c>
      <c r="G100" s="34">
        <v>98461</v>
      </c>
      <c r="H100" s="79">
        <v>10591</v>
      </c>
      <c r="I100" s="32" t="s">
        <v>92</v>
      </c>
      <c r="J100" s="7"/>
      <c r="K100" s="6"/>
    </row>
    <row r="101" spans="1:11">
      <c r="A101" s="29" t="s">
        <v>161</v>
      </c>
      <c r="B101" s="34" t="s">
        <v>176</v>
      </c>
      <c r="C101" s="34" t="s">
        <v>176</v>
      </c>
      <c r="D101" s="34">
        <v>573</v>
      </c>
      <c r="E101" s="34" t="s">
        <v>176</v>
      </c>
      <c r="F101" s="34">
        <v>4450</v>
      </c>
      <c r="G101" s="34">
        <v>4821</v>
      </c>
      <c r="H101" s="79">
        <v>103</v>
      </c>
      <c r="I101" s="32" t="s">
        <v>93</v>
      </c>
      <c r="J101" s="7"/>
      <c r="K101" s="6"/>
    </row>
    <row r="102" spans="1:11">
      <c r="A102" s="29" t="s">
        <v>162</v>
      </c>
      <c r="B102" s="34" t="s">
        <v>176</v>
      </c>
      <c r="C102" s="34">
        <v>16</v>
      </c>
      <c r="D102" s="34">
        <v>360</v>
      </c>
      <c r="E102" s="34" t="s">
        <v>176</v>
      </c>
      <c r="F102" s="34">
        <v>14133</v>
      </c>
      <c r="G102" s="34">
        <v>23108</v>
      </c>
      <c r="H102" s="79">
        <v>15963</v>
      </c>
      <c r="I102" s="32" t="s">
        <v>94</v>
      </c>
      <c r="J102" s="7"/>
      <c r="K102" s="6"/>
    </row>
    <row r="103" spans="1:11">
      <c r="A103" s="29" t="s">
        <v>163</v>
      </c>
      <c r="B103" s="34" t="s">
        <v>176</v>
      </c>
      <c r="C103" s="34" t="s">
        <v>176</v>
      </c>
      <c r="D103" s="34">
        <v>142</v>
      </c>
      <c r="E103" s="34" t="s">
        <v>176</v>
      </c>
      <c r="F103" s="34">
        <v>9500</v>
      </c>
      <c r="G103" s="34">
        <v>6995</v>
      </c>
      <c r="H103" s="79">
        <v>728</v>
      </c>
      <c r="I103" s="32" t="s">
        <v>95</v>
      </c>
      <c r="J103" s="7"/>
      <c r="K103" s="6"/>
    </row>
    <row r="104" spans="1:11">
      <c r="A104" s="54" t="s">
        <v>96</v>
      </c>
      <c r="B104" s="69">
        <f>SUM(B106:B109)</f>
        <v>21</v>
      </c>
      <c r="C104" s="69">
        <f t="shared" ref="C104:H104" si="13">SUM(C106:C109)</f>
        <v>26</v>
      </c>
      <c r="D104" s="69">
        <f t="shared" si="13"/>
        <v>127</v>
      </c>
      <c r="E104" s="69">
        <f t="shared" si="13"/>
        <v>0</v>
      </c>
      <c r="F104" s="69">
        <f t="shared" si="13"/>
        <v>1403972</v>
      </c>
      <c r="G104" s="69">
        <f t="shared" si="13"/>
        <v>510832</v>
      </c>
      <c r="H104" s="69">
        <f t="shared" si="13"/>
        <v>158432</v>
      </c>
      <c r="I104" s="68" t="s">
        <v>97</v>
      </c>
      <c r="J104" s="68"/>
      <c r="K104" s="6"/>
    </row>
    <row r="105" spans="1:11">
      <c r="A105" s="54"/>
      <c r="B105" s="69"/>
      <c r="C105" s="69"/>
      <c r="D105" s="69"/>
      <c r="E105" s="69"/>
      <c r="F105" s="69"/>
      <c r="G105" s="69"/>
      <c r="H105" s="69"/>
      <c r="I105" s="68"/>
      <c r="J105" s="68"/>
      <c r="K105" s="6"/>
    </row>
    <row r="106" spans="1:11">
      <c r="A106" s="29" t="s">
        <v>164</v>
      </c>
      <c r="B106" s="35">
        <v>16</v>
      </c>
      <c r="C106" s="34">
        <v>26</v>
      </c>
      <c r="D106" s="34">
        <v>27</v>
      </c>
      <c r="E106" s="34" t="s">
        <v>176</v>
      </c>
      <c r="F106" s="34">
        <v>345441</v>
      </c>
      <c r="G106" s="34">
        <v>127027</v>
      </c>
      <c r="H106" s="79">
        <v>35012</v>
      </c>
      <c r="I106" s="32" t="s">
        <v>98</v>
      </c>
      <c r="J106" s="7"/>
      <c r="K106" s="6"/>
    </row>
    <row r="107" spans="1:11">
      <c r="A107" s="29" t="s">
        <v>165</v>
      </c>
      <c r="B107" s="34" t="s">
        <v>176</v>
      </c>
      <c r="C107" s="34" t="s">
        <v>176</v>
      </c>
      <c r="D107" s="34">
        <v>2</v>
      </c>
      <c r="E107" s="34" t="s">
        <v>176</v>
      </c>
      <c r="F107" s="34">
        <v>145820</v>
      </c>
      <c r="G107" s="34">
        <v>77887</v>
      </c>
      <c r="H107" s="79">
        <v>17073</v>
      </c>
      <c r="I107" s="32" t="s">
        <v>99</v>
      </c>
      <c r="J107" s="7"/>
      <c r="K107" s="6"/>
    </row>
    <row r="108" spans="1:11">
      <c r="A108" s="29" t="s">
        <v>166</v>
      </c>
      <c r="B108" s="34" t="s">
        <v>176</v>
      </c>
      <c r="C108" s="34" t="s">
        <v>176</v>
      </c>
      <c r="D108" s="34">
        <v>68</v>
      </c>
      <c r="E108" s="34" t="s">
        <v>176</v>
      </c>
      <c r="F108" s="34">
        <v>638523</v>
      </c>
      <c r="G108" s="34">
        <v>165596</v>
      </c>
      <c r="H108" s="79">
        <v>99625</v>
      </c>
      <c r="I108" s="32" t="s">
        <v>100</v>
      </c>
      <c r="J108" s="7"/>
      <c r="K108" s="6"/>
    </row>
    <row r="109" spans="1:11" ht="11.3" thickBot="1">
      <c r="A109" s="30" t="s">
        <v>167</v>
      </c>
      <c r="B109" s="38">
        <v>5</v>
      </c>
      <c r="C109" s="38" t="s">
        <v>176</v>
      </c>
      <c r="D109" s="38">
        <v>30</v>
      </c>
      <c r="E109" s="38" t="s">
        <v>176</v>
      </c>
      <c r="F109" s="38">
        <v>274188</v>
      </c>
      <c r="G109" s="38">
        <v>140322</v>
      </c>
      <c r="H109" s="80">
        <v>6722</v>
      </c>
      <c r="I109" s="33" t="s">
        <v>101</v>
      </c>
      <c r="J109" s="8"/>
      <c r="K109" s="6"/>
    </row>
    <row r="110" spans="1:11">
      <c r="A110" s="9"/>
      <c r="H110" s="4"/>
      <c r="J110" s="25"/>
    </row>
    <row r="111" spans="1:11">
      <c r="A111" s="10"/>
      <c r="H111" s="11"/>
      <c r="I111" s="10"/>
      <c r="J111" s="10"/>
    </row>
    <row r="112" spans="1:11" ht="10.199999999999999" customHeight="1">
      <c r="A112" s="12"/>
      <c r="B112" s="13"/>
      <c r="C112" s="13"/>
      <c r="D112" s="13"/>
      <c r="I112" s="13"/>
      <c r="J112" s="13"/>
    </row>
    <row r="113" spans="1:10" ht="10.199999999999999" customHeight="1">
      <c r="A113" s="12"/>
      <c r="B113" s="13"/>
      <c r="C113" s="13"/>
      <c r="D113" s="13"/>
      <c r="I113" s="13"/>
      <c r="J113" s="13"/>
    </row>
    <row r="114" spans="1:10" ht="10.199999999999999" customHeight="1">
      <c r="A114" s="70"/>
      <c r="B114" s="70"/>
      <c r="C114" s="70"/>
      <c r="D114" s="70"/>
      <c r="I114" s="70"/>
      <c r="J114" s="70"/>
    </row>
    <row r="115" spans="1:10">
      <c r="A115" s="70"/>
      <c r="B115" s="70"/>
      <c r="C115" s="70"/>
      <c r="D115" s="70"/>
      <c r="I115" s="70"/>
      <c r="J115" s="70"/>
    </row>
    <row r="116" spans="1:10">
      <c r="A116" s="6"/>
    </row>
    <row r="117" spans="1:10">
      <c r="A117" s="6"/>
    </row>
    <row r="118" spans="1:10">
      <c r="A118" s="6"/>
    </row>
    <row r="119" spans="1:10">
      <c r="A119" s="6"/>
    </row>
    <row r="120" spans="1:10">
      <c r="A120" s="6"/>
    </row>
    <row r="121" spans="1:10">
      <c r="A121" s="6"/>
    </row>
    <row r="122" spans="1:10">
      <c r="A122" s="6"/>
    </row>
    <row r="123" spans="1:10">
      <c r="A123" s="6"/>
    </row>
    <row r="124" spans="1:10">
      <c r="A124" s="14"/>
    </row>
    <row r="125" spans="1:10" s="6" customFormat="1">
      <c r="A125" s="75"/>
      <c r="B125" s="75"/>
      <c r="C125" s="75"/>
      <c r="D125" s="75"/>
      <c r="E125" s="75"/>
      <c r="F125" s="76"/>
      <c r="G125" s="76"/>
      <c r="H125" s="76"/>
    </row>
    <row r="126" spans="1:10" s="6" customFormat="1">
      <c r="A126" s="75"/>
      <c r="B126" s="75"/>
      <c r="C126" s="75"/>
      <c r="D126" s="75"/>
      <c r="E126" s="75"/>
      <c r="F126" s="76"/>
      <c r="G126" s="76"/>
      <c r="H126" s="76"/>
    </row>
    <row r="127" spans="1:10" s="6" customFormat="1">
      <c r="A127" s="75"/>
      <c r="B127" s="75"/>
      <c r="C127" s="75"/>
      <c r="D127" s="75"/>
      <c r="E127" s="75"/>
      <c r="F127" s="76"/>
      <c r="G127" s="76"/>
      <c r="H127" s="76"/>
    </row>
    <row r="128" spans="1:10" s="6" customFormat="1">
      <c r="A128" s="15"/>
      <c r="E128" s="74"/>
      <c r="F128" s="74"/>
      <c r="G128" s="74"/>
      <c r="H128" s="74"/>
    </row>
    <row r="129" spans="1:8" s="6" customFormat="1">
      <c r="A129" s="72"/>
      <c r="B129" s="73"/>
      <c r="C129" s="73"/>
      <c r="D129" s="73"/>
      <c r="E129" s="73"/>
      <c r="F129" s="73"/>
      <c r="G129" s="73"/>
      <c r="H129" s="73"/>
    </row>
    <row r="130" spans="1:8" s="6" customFormat="1">
      <c r="A130" s="72"/>
      <c r="B130" s="73"/>
      <c r="C130" s="73"/>
      <c r="D130" s="73"/>
      <c r="E130" s="73"/>
      <c r="F130" s="73"/>
      <c r="G130" s="73"/>
      <c r="H130" s="73"/>
    </row>
    <row r="131" spans="1:8" s="6" customFormat="1">
      <c r="A131" s="72"/>
      <c r="B131" s="73"/>
      <c r="C131" s="73"/>
      <c r="D131" s="24"/>
      <c r="E131" s="73"/>
      <c r="F131" s="73"/>
      <c r="G131" s="73"/>
      <c r="H131" s="73"/>
    </row>
    <row r="132" spans="1:8" s="6" customFormat="1">
      <c r="A132" s="72"/>
      <c r="B132" s="16"/>
      <c r="C132" s="16"/>
      <c r="D132" s="16"/>
      <c r="E132" s="16"/>
      <c r="F132" s="16"/>
      <c r="G132" s="16"/>
      <c r="H132" s="16"/>
    </row>
    <row r="133" spans="1:8" s="6" customFormat="1">
      <c r="A133" s="17"/>
    </row>
    <row r="134" spans="1:8" s="6" customFormat="1">
      <c r="A134" s="18"/>
    </row>
    <row r="135" spans="1:8" s="6" customFormat="1">
      <c r="A135" s="78"/>
      <c r="B135" s="77"/>
      <c r="C135" s="77"/>
      <c r="D135" s="77"/>
      <c r="E135" s="77"/>
      <c r="F135" s="77"/>
      <c r="G135" s="77"/>
      <c r="H135" s="77"/>
    </row>
    <row r="136" spans="1:8" s="6" customFormat="1">
      <c r="A136" s="78"/>
      <c r="B136" s="77"/>
      <c r="C136" s="77"/>
      <c r="D136" s="77"/>
      <c r="E136" s="77"/>
      <c r="F136" s="77"/>
      <c r="G136" s="77"/>
      <c r="H136" s="77"/>
    </row>
    <row r="137" spans="1:8" s="6" customFormat="1">
      <c r="A137" s="78"/>
      <c r="B137" s="77"/>
      <c r="C137" s="77"/>
      <c r="D137" s="77"/>
      <c r="E137" s="77"/>
      <c r="F137" s="77"/>
      <c r="G137" s="77"/>
      <c r="H137" s="77"/>
    </row>
    <row r="138" spans="1:8" s="6" customFormat="1">
      <c r="A138" s="18"/>
      <c r="E138" s="19"/>
      <c r="F138" s="19"/>
    </row>
    <row r="139" spans="1:8" s="6" customFormat="1">
      <c r="A139" s="18"/>
      <c r="E139" s="19"/>
      <c r="F139" s="19"/>
    </row>
    <row r="140" spans="1:8" s="6" customFormat="1">
      <c r="A140" s="18"/>
      <c r="E140" s="19"/>
      <c r="F140" s="19"/>
    </row>
    <row r="141" spans="1:8" s="6" customFormat="1">
      <c r="A141" s="18"/>
      <c r="E141" s="19"/>
      <c r="F141" s="19"/>
    </row>
    <row r="142" spans="1:8" s="6" customFormat="1">
      <c r="A142" s="18"/>
      <c r="E142" s="19"/>
      <c r="F142" s="19"/>
    </row>
    <row r="143" spans="1:8" s="6" customFormat="1">
      <c r="A143" s="18"/>
      <c r="E143" s="19"/>
      <c r="F143" s="19"/>
    </row>
    <row r="144" spans="1:8" s="6" customFormat="1">
      <c r="A144" s="78"/>
    </row>
    <row r="145" spans="1:6" s="6" customFormat="1">
      <c r="A145" s="78"/>
    </row>
    <row r="146" spans="1:6" s="6" customFormat="1">
      <c r="A146" s="18"/>
      <c r="E146" s="19"/>
      <c r="F146" s="19"/>
    </row>
    <row r="147" spans="1:6" s="6" customFormat="1">
      <c r="A147" s="18"/>
      <c r="E147" s="19"/>
      <c r="F147" s="19"/>
    </row>
    <row r="148" spans="1:6" s="6" customFormat="1">
      <c r="A148" s="18"/>
      <c r="E148" s="19"/>
      <c r="F148" s="19"/>
    </row>
    <row r="149" spans="1:6" s="6" customFormat="1">
      <c r="A149" s="18"/>
      <c r="E149" s="19"/>
      <c r="F149" s="19"/>
    </row>
    <row r="150" spans="1:6" s="6" customFormat="1">
      <c r="A150" s="18"/>
      <c r="E150" s="19"/>
      <c r="F150" s="19"/>
    </row>
    <row r="151" spans="1:6" s="6" customFormat="1">
      <c r="A151" s="18"/>
      <c r="E151" s="19"/>
      <c r="F151" s="19"/>
    </row>
    <row r="152" spans="1:6" s="6" customFormat="1">
      <c r="A152" s="18"/>
      <c r="E152" s="19"/>
      <c r="F152" s="19"/>
    </row>
    <row r="153" spans="1:6" s="6" customFormat="1">
      <c r="A153" s="18"/>
      <c r="E153" s="19"/>
      <c r="F153" s="19"/>
    </row>
    <row r="154" spans="1:6" s="6" customFormat="1">
      <c r="A154" s="18"/>
      <c r="E154" s="19"/>
      <c r="F154" s="19"/>
    </row>
    <row r="155" spans="1:6" s="6" customFormat="1">
      <c r="A155" s="18"/>
      <c r="E155" s="19"/>
      <c r="F155" s="19"/>
    </row>
    <row r="156" spans="1:6" s="6" customFormat="1">
      <c r="A156" s="18"/>
      <c r="E156" s="19"/>
      <c r="F156" s="19"/>
    </row>
    <row r="157" spans="1:6" s="6" customFormat="1">
      <c r="A157" s="71"/>
    </row>
    <row r="158" spans="1:6" s="6" customFormat="1">
      <c r="A158" s="71"/>
    </row>
    <row r="159" spans="1:6" s="6" customFormat="1">
      <c r="A159" s="18"/>
      <c r="E159" s="19"/>
      <c r="F159" s="19"/>
    </row>
    <row r="160" spans="1:6" s="6" customFormat="1">
      <c r="A160" s="18"/>
      <c r="E160" s="19"/>
      <c r="F160" s="19"/>
    </row>
    <row r="161" spans="1:6" s="6" customFormat="1">
      <c r="A161" s="18"/>
      <c r="E161" s="19"/>
      <c r="F161" s="19"/>
    </row>
    <row r="162" spans="1:6" s="6" customFormat="1">
      <c r="A162" s="18"/>
      <c r="E162" s="19"/>
      <c r="F162" s="19"/>
    </row>
    <row r="163" spans="1:6" s="6" customFormat="1">
      <c r="A163" s="71"/>
    </row>
    <row r="164" spans="1:6" s="6" customFormat="1">
      <c r="A164" s="71"/>
    </row>
    <row r="165" spans="1:6" s="6" customFormat="1">
      <c r="A165" s="18"/>
      <c r="E165" s="19"/>
      <c r="F165" s="19"/>
    </row>
    <row r="166" spans="1:6" s="6" customFormat="1">
      <c r="A166" s="18"/>
      <c r="E166" s="19"/>
      <c r="F166" s="19"/>
    </row>
    <row r="167" spans="1:6" s="6" customFormat="1">
      <c r="A167" s="18"/>
      <c r="E167" s="19"/>
      <c r="F167" s="19"/>
    </row>
    <row r="168" spans="1:6" s="6" customFormat="1">
      <c r="A168" s="18"/>
      <c r="E168" s="19"/>
      <c r="F168" s="19"/>
    </row>
    <row r="169" spans="1:6" s="6" customFormat="1">
      <c r="A169" s="18"/>
      <c r="E169" s="19"/>
      <c r="F169" s="19"/>
    </row>
    <row r="170" spans="1:6" s="6" customFormat="1">
      <c r="A170" s="71"/>
    </row>
    <row r="171" spans="1:6" s="6" customFormat="1">
      <c r="A171" s="71"/>
    </row>
    <row r="172" spans="1:6" s="6" customFormat="1">
      <c r="A172" s="18"/>
      <c r="E172" s="19"/>
      <c r="F172" s="19"/>
    </row>
    <row r="173" spans="1:6" s="6" customFormat="1">
      <c r="A173" s="18"/>
      <c r="E173" s="19"/>
      <c r="F173" s="19"/>
    </row>
    <row r="174" spans="1:6" s="6" customFormat="1">
      <c r="A174" s="18"/>
      <c r="E174" s="19"/>
      <c r="F174" s="19"/>
    </row>
    <row r="175" spans="1:6" s="6" customFormat="1">
      <c r="A175" s="18"/>
      <c r="E175" s="19"/>
      <c r="F175" s="19"/>
    </row>
    <row r="176" spans="1:6" s="6" customFormat="1">
      <c r="A176" s="18"/>
      <c r="E176" s="19"/>
      <c r="F176" s="19"/>
    </row>
    <row r="177" spans="1:6" s="6" customFormat="1">
      <c r="A177" s="71"/>
    </row>
    <row r="178" spans="1:6" s="6" customFormat="1">
      <c r="A178" s="71"/>
    </row>
    <row r="179" spans="1:6" s="6" customFormat="1">
      <c r="A179" s="18"/>
      <c r="E179" s="19"/>
      <c r="F179" s="19"/>
    </row>
    <row r="180" spans="1:6" s="6" customFormat="1">
      <c r="A180" s="18"/>
      <c r="E180" s="19"/>
      <c r="F180" s="19"/>
    </row>
    <row r="181" spans="1:6" s="6" customFormat="1">
      <c r="A181" s="18"/>
      <c r="E181" s="19"/>
      <c r="F181" s="19"/>
    </row>
    <row r="182" spans="1:6" s="6" customFormat="1">
      <c r="A182" s="18"/>
      <c r="E182" s="19"/>
      <c r="F182" s="19"/>
    </row>
    <row r="183" spans="1:6" s="6" customFormat="1">
      <c r="A183" s="18"/>
      <c r="E183" s="19"/>
      <c r="F183" s="19"/>
    </row>
    <row r="184" spans="1:6" s="6" customFormat="1">
      <c r="A184" s="71"/>
    </row>
    <row r="185" spans="1:6" s="6" customFormat="1">
      <c r="A185" s="71"/>
    </row>
    <row r="186" spans="1:6" s="6" customFormat="1">
      <c r="A186" s="18"/>
      <c r="E186" s="19"/>
      <c r="F186" s="19"/>
    </row>
    <row r="187" spans="1:6" s="6" customFormat="1">
      <c r="A187" s="18"/>
      <c r="E187" s="19"/>
      <c r="F187" s="19"/>
    </row>
    <row r="188" spans="1:6" s="6" customFormat="1">
      <c r="A188" s="18"/>
      <c r="E188" s="19"/>
      <c r="F188" s="19"/>
    </row>
    <row r="189" spans="1:6" s="6" customFormat="1">
      <c r="A189" s="71"/>
    </row>
    <row r="190" spans="1:6" s="6" customFormat="1">
      <c r="A190" s="71"/>
    </row>
    <row r="191" spans="1:6" s="6" customFormat="1">
      <c r="A191" s="18"/>
      <c r="E191" s="19"/>
      <c r="F191" s="19"/>
    </row>
    <row r="192" spans="1:6" s="6" customFormat="1">
      <c r="A192" s="18"/>
      <c r="E192" s="19"/>
      <c r="F192" s="19"/>
    </row>
    <row r="193" spans="1:6" s="6" customFormat="1">
      <c r="A193" s="18"/>
      <c r="E193" s="19"/>
      <c r="F193" s="19"/>
    </row>
    <row r="194" spans="1:6" s="6" customFormat="1">
      <c r="A194" s="18"/>
      <c r="E194" s="19"/>
      <c r="F194" s="19"/>
    </row>
    <row r="195" spans="1:6" s="6" customFormat="1">
      <c r="A195" s="18"/>
      <c r="E195" s="19"/>
      <c r="F195" s="19"/>
    </row>
    <row r="196" spans="1:6" s="6" customFormat="1">
      <c r="A196" s="71"/>
    </row>
    <row r="197" spans="1:6" s="6" customFormat="1">
      <c r="A197" s="71"/>
    </row>
    <row r="198" spans="1:6" s="6" customFormat="1">
      <c r="A198" s="18"/>
      <c r="E198" s="19"/>
      <c r="F198" s="19"/>
    </row>
    <row r="199" spans="1:6" s="6" customFormat="1">
      <c r="A199" s="18"/>
      <c r="E199" s="19"/>
      <c r="F199" s="19"/>
    </row>
    <row r="200" spans="1:6" s="6" customFormat="1">
      <c r="A200" s="18"/>
      <c r="E200" s="19"/>
      <c r="F200" s="19"/>
    </row>
    <row r="201" spans="1:6" s="6" customFormat="1">
      <c r="A201" s="18"/>
      <c r="E201" s="19"/>
      <c r="F201" s="19"/>
    </row>
    <row r="202" spans="1:6" s="6" customFormat="1">
      <c r="A202" s="18"/>
      <c r="E202" s="19"/>
      <c r="F202" s="19"/>
    </row>
    <row r="203" spans="1:6" s="6" customFormat="1">
      <c r="A203" s="18"/>
      <c r="E203" s="19"/>
      <c r="F203" s="19"/>
    </row>
    <row r="204" spans="1:6" s="6" customFormat="1">
      <c r="A204" s="18"/>
      <c r="E204" s="19"/>
      <c r="F204" s="19"/>
    </row>
    <row r="205" spans="1:6" s="6" customFormat="1">
      <c r="A205" s="18"/>
      <c r="E205" s="19"/>
      <c r="F205" s="19"/>
    </row>
    <row r="206" spans="1:6" s="6" customFormat="1">
      <c r="A206" s="71"/>
    </row>
    <row r="207" spans="1:6" s="6" customFormat="1">
      <c r="A207" s="71"/>
    </row>
    <row r="208" spans="1:6" s="6" customFormat="1">
      <c r="A208" s="18"/>
      <c r="E208" s="19"/>
      <c r="F208" s="19"/>
    </row>
    <row r="209" spans="1:6" s="6" customFormat="1">
      <c r="A209" s="18"/>
      <c r="E209" s="19"/>
      <c r="F209" s="19"/>
    </row>
    <row r="210" spans="1:6" s="6" customFormat="1">
      <c r="A210" s="18"/>
      <c r="E210" s="19"/>
      <c r="F210" s="19"/>
    </row>
    <row r="211" spans="1:6" s="6" customFormat="1">
      <c r="A211" s="18"/>
      <c r="E211" s="19"/>
      <c r="F211" s="19"/>
    </row>
    <row r="212" spans="1:6" s="6" customFormat="1">
      <c r="A212" s="18"/>
      <c r="E212" s="19"/>
      <c r="F212" s="19"/>
    </row>
    <row r="213" spans="1:6" s="6" customFormat="1">
      <c r="A213" s="71"/>
    </row>
    <row r="214" spans="1:6" s="6" customFormat="1">
      <c r="A214" s="71"/>
    </row>
    <row r="215" spans="1:6" s="6" customFormat="1">
      <c r="A215" s="18"/>
      <c r="E215" s="19"/>
      <c r="F215" s="19"/>
    </row>
    <row r="216" spans="1:6" s="6" customFormat="1">
      <c r="A216" s="18"/>
      <c r="E216" s="19"/>
      <c r="F216" s="19"/>
    </row>
    <row r="217" spans="1:6" s="6" customFormat="1">
      <c r="A217" s="18"/>
      <c r="E217" s="19"/>
      <c r="F217" s="19"/>
    </row>
    <row r="218" spans="1:6" s="6" customFormat="1">
      <c r="A218" s="18"/>
      <c r="E218" s="19"/>
      <c r="F218" s="19"/>
    </row>
    <row r="219" spans="1:6" s="6" customFormat="1">
      <c r="A219" s="18"/>
      <c r="E219" s="19"/>
      <c r="F219" s="19"/>
    </row>
    <row r="220" spans="1:6" s="6" customFormat="1">
      <c r="A220" s="18"/>
      <c r="E220" s="19"/>
      <c r="F220" s="19"/>
    </row>
    <row r="221" spans="1:6" s="6" customFormat="1">
      <c r="A221" s="18"/>
      <c r="E221" s="19"/>
      <c r="F221" s="19"/>
    </row>
    <row r="222" spans="1:6" s="6" customFormat="1">
      <c r="A222" s="18"/>
      <c r="E222" s="19"/>
      <c r="F222" s="19"/>
    </row>
    <row r="223" spans="1:6" s="6" customFormat="1">
      <c r="A223" s="18"/>
      <c r="E223" s="19"/>
      <c r="F223" s="19"/>
    </row>
    <row r="224" spans="1:6" s="6" customFormat="1">
      <c r="A224" s="18"/>
      <c r="E224" s="19"/>
      <c r="F224" s="19"/>
    </row>
    <row r="225" spans="1:6" s="6" customFormat="1">
      <c r="A225" s="18"/>
      <c r="E225" s="19"/>
      <c r="F225" s="19"/>
    </row>
    <row r="226" spans="1:6" s="6" customFormat="1">
      <c r="A226" s="18"/>
      <c r="E226" s="19"/>
      <c r="F226" s="19"/>
    </row>
    <row r="227" spans="1:6" s="6" customFormat="1">
      <c r="A227" s="18"/>
      <c r="E227" s="19"/>
      <c r="F227" s="19"/>
    </row>
    <row r="228" spans="1:6" s="6" customFormat="1">
      <c r="A228" s="71"/>
    </row>
    <row r="229" spans="1:6" s="6" customFormat="1">
      <c r="A229" s="71"/>
    </row>
    <row r="230" spans="1:6" s="6" customFormat="1">
      <c r="A230" s="18"/>
      <c r="E230" s="19"/>
      <c r="F230" s="19"/>
    </row>
    <row r="231" spans="1:6" s="6" customFormat="1">
      <c r="A231" s="18"/>
      <c r="E231" s="19"/>
      <c r="F231" s="19"/>
    </row>
    <row r="232" spans="1:6" s="6" customFormat="1">
      <c r="A232" s="18"/>
      <c r="E232" s="19"/>
      <c r="F232" s="19"/>
    </row>
    <row r="233" spans="1:6" s="6" customFormat="1">
      <c r="A233" s="18"/>
      <c r="E233" s="19"/>
      <c r="F233" s="19"/>
    </row>
    <row r="234" spans="1:6" s="6" customFormat="1">
      <c r="A234" s="18"/>
    </row>
    <row r="235" spans="1:6">
      <c r="A235" s="20"/>
    </row>
  </sheetData>
  <mergeCells count="164">
    <mergeCell ref="H135:H137"/>
    <mergeCell ref="A144:A145"/>
    <mergeCell ref="A135:A137"/>
    <mergeCell ref="B135:B137"/>
    <mergeCell ref="C135:C137"/>
    <mergeCell ref="D135:D137"/>
    <mergeCell ref="E135:E137"/>
    <mergeCell ref="F135:F137"/>
    <mergeCell ref="G135:G137"/>
    <mergeCell ref="B72:B73"/>
    <mergeCell ref="C72:C73"/>
    <mergeCell ref="D72:D73"/>
    <mergeCell ref="A53:A54"/>
    <mergeCell ref="B53:B54"/>
    <mergeCell ref="C53:C54"/>
    <mergeCell ref="D53:D54"/>
    <mergeCell ref="E128:H128"/>
    <mergeCell ref="G129:G131"/>
    <mergeCell ref="H129:H131"/>
    <mergeCell ref="A115:D115"/>
    <mergeCell ref="A125:E127"/>
    <mergeCell ref="F125:H127"/>
    <mergeCell ref="G89:G90"/>
    <mergeCell ref="A206:A207"/>
    <mergeCell ref="A213:A214"/>
    <mergeCell ref="A228:A229"/>
    <mergeCell ref="A184:A185"/>
    <mergeCell ref="A189:A190"/>
    <mergeCell ref="A196:A197"/>
    <mergeCell ref="A129:A132"/>
    <mergeCell ref="B129:D130"/>
    <mergeCell ref="E129:F131"/>
    <mergeCell ref="B131:C131"/>
    <mergeCell ref="A157:A158"/>
    <mergeCell ref="A163:A164"/>
    <mergeCell ref="A177:A178"/>
    <mergeCell ref="A170:A171"/>
    <mergeCell ref="I89:J90"/>
    <mergeCell ref="D104:D105"/>
    <mergeCell ref="H82:H83"/>
    <mergeCell ref="I82:J83"/>
    <mergeCell ref="A89:A90"/>
    <mergeCell ref="B89:B90"/>
    <mergeCell ref="C89:C90"/>
    <mergeCell ref="D89:D90"/>
    <mergeCell ref="E89:E90"/>
    <mergeCell ref="F89:F90"/>
    <mergeCell ref="A82:A83"/>
    <mergeCell ref="B82:B83"/>
    <mergeCell ref="C82:C83"/>
    <mergeCell ref="D82:D83"/>
    <mergeCell ref="G82:G83"/>
    <mergeCell ref="E82:E83"/>
    <mergeCell ref="F82:F83"/>
    <mergeCell ref="H89:H90"/>
    <mergeCell ref="I115:J115"/>
    <mergeCell ref="E104:E105"/>
    <mergeCell ref="F104:F105"/>
    <mergeCell ref="G104:G105"/>
    <mergeCell ref="H104:H105"/>
    <mergeCell ref="A104:A105"/>
    <mergeCell ref="B104:B105"/>
    <mergeCell ref="C104:C105"/>
    <mergeCell ref="I104:J105"/>
    <mergeCell ref="A114:D114"/>
    <mergeCell ref="I114:J114"/>
    <mergeCell ref="I72:J73"/>
    <mergeCell ref="H72:H73"/>
    <mergeCell ref="E72:E73"/>
    <mergeCell ref="F72:F73"/>
    <mergeCell ref="G72:G73"/>
    <mergeCell ref="I60:J61"/>
    <mergeCell ref="A65:A66"/>
    <mergeCell ref="B65:B66"/>
    <mergeCell ref="C65:C66"/>
    <mergeCell ref="D65:D66"/>
    <mergeCell ref="E65:E66"/>
    <mergeCell ref="F65:F66"/>
    <mergeCell ref="G65:G66"/>
    <mergeCell ref="A60:A61"/>
    <mergeCell ref="B60:B61"/>
    <mergeCell ref="C60:C61"/>
    <mergeCell ref="I65:J66"/>
    <mergeCell ref="H65:H66"/>
    <mergeCell ref="D60:D61"/>
    <mergeCell ref="E60:E61"/>
    <mergeCell ref="F60:F61"/>
    <mergeCell ref="G60:G61"/>
    <mergeCell ref="H60:H61"/>
    <mergeCell ref="A72:A73"/>
    <mergeCell ref="I53:J54"/>
    <mergeCell ref="E53:E54"/>
    <mergeCell ref="F53:F54"/>
    <mergeCell ref="G53:G54"/>
    <mergeCell ref="H53:H54"/>
    <mergeCell ref="I39:J40"/>
    <mergeCell ref="A46:A47"/>
    <mergeCell ref="B46:B47"/>
    <mergeCell ref="C46:C47"/>
    <mergeCell ref="D46:D47"/>
    <mergeCell ref="E46:E47"/>
    <mergeCell ref="F46:F47"/>
    <mergeCell ref="A39:A40"/>
    <mergeCell ref="B39:B40"/>
    <mergeCell ref="C39:C40"/>
    <mergeCell ref="D39:D40"/>
    <mergeCell ref="I46:J47"/>
    <mergeCell ref="H46:H47"/>
    <mergeCell ref="H39:H40"/>
    <mergeCell ref="G46:G47"/>
    <mergeCell ref="E39:E40"/>
    <mergeCell ref="F39:F40"/>
    <mergeCell ref="G39:G40"/>
    <mergeCell ref="A33:A34"/>
    <mergeCell ref="B33:B34"/>
    <mergeCell ref="C33:C34"/>
    <mergeCell ref="D33:D34"/>
    <mergeCell ref="I33:J34"/>
    <mergeCell ref="E33:E34"/>
    <mergeCell ref="F33:F34"/>
    <mergeCell ref="G33:G34"/>
    <mergeCell ref="H33:H34"/>
    <mergeCell ref="A11:A12"/>
    <mergeCell ref="A19:A20"/>
    <mergeCell ref="B19:B20"/>
    <mergeCell ref="C19:C20"/>
    <mergeCell ref="B11:B12"/>
    <mergeCell ref="C11:C12"/>
    <mergeCell ref="D11:D12"/>
    <mergeCell ref="A2:J2"/>
    <mergeCell ref="A3:J3"/>
    <mergeCell ref="A9:A10"/>
    <mergeCell ref="B9:B10"/>
    <mergeCell ref="C9:C10"/>
    <mergeCell ref="D9:D10"/>
    <mergeCell ref="F5:H5"/>
    <mergeCell ref="A6:A8"/>
    <mergeCell ref="I6:J8"/>
    <mergeCell ref="I9:J10"/>
    <mergeCell ref="E9:E10"/>
    <mergeCell ref="F9:F10"/>
    <mergeCell ref="G9:G10"/>
    <mergeCell ref="H9:H10"/>
    <mergeCell ref="I5:J5"/>
    <mergeCell ref="H6:H8"/>
    <mergeCell ref="A5:B5"/>
    <mergeCell ref="C7:C8"/>
    <mergeCell ref="G6:G8"/>
    <mergeCell ref="F6:F8"/>
    <mergeCell ref="E6:E8"/>
    <mergeCell ref="B7:B8"/>
    <mergeCell ref="B6:C6"/>
    <mergeCell ref="D6:D8"/>
    <mergeCell ref="G11:G12"/>
    <mergeCell ref="I19:J20"/>
    <mergeCell ref="H11:H12"/>
    <mergeCell ref="I11:J12"/>
    <mergeCell ref="H19:H20"/>
    <mergeCell ref="G19:G20"/>
    <mergeCell ref="D19:D20"/>
    <mergeCell ref="E19:E20"/>
    <mergeCell ref="F19:F20"/>
    <mergeCell ref="E11:E12"/>
    <mergeCell ref="F11:F12"/>
  </mergeCells>
  <phoneticPr fontId="0" type="noConversion"/>
  <conditionalFormatting sqref="B13:H18">
    <cfRule type="cellIs" dxfId="13" priority="14" operator="equal">
      <formula>0</formula>
    </cfRule>
  </conditionalFormatting>
  <conditionalFormatting sqref="B21:H27">
    <cfRule type="cellIs" dxfId="12" priority="13" operator="equal">
      <formula>0</formula>
    </cfRule>
  </conditionalFormatting>
  <conditionalFormatting sqref="B29:H32">
    <cfRule type="cellIs" dxfId="11" priority="12" operator="equal">
      <formula>0</formula>
    </cfRule>
  </conditionalFormatting>
  <conditionalFormatting sqref="B35:H38">
    <cfRule type="cellIs" dxfId="10" priority="11" operator="equal">
      <formula>0</formula>
    </cfRule>
  </conditionalFormatting>
  <conditionalFormatting sqref="B41:H45">
    <cfRule type="cellIs" dxfId="9" priority="10" operator="equal">
      <formula>0</formula>
    </cfRule>
  </conditionalFormatting>
  <conditionalFormatting sqref="B48:H52">
    <cfRule type="cellIs" dxfId="8" priority="9" operator="equal">
      <formula>0</formula>
    </cfRule>
  </conditionalFormatting>
  <conditionalFormatting sqref="B55:H59">
    <cfRule type="cellIs" dxfId="7" priority="8" operator="equal">
      <formula>0</formula>
    </cfRule>
  </conditionalFormatting>
  <conditionalFormatting sqref="B62:H64">
    <cfRule type="cellIs" dxfId="6" priority="7" operator="equal">
      <formula>0</formula>
    </cfRule>
  </conditionalFormatting>
  <conditionalFormatting sqref="B67:H71">
    <cfRule type="cellIs" dxfId="5" priority="6" operator="equal">
      <formula>0</formula>
    </cfRule>
  </conditionalFormatting>
  <conditionalFormatting sqref="B44">
    <cfRule type="cellIs" dxfId="4" priority="5" operator="equal">
      <formula>0</formula>
    </cfRule>
  </conditionalFormatting>
  <conditionalFormatting sqref="B62">
    <cfRule type="cellIs" dxfId="3" priority="4" operator="equal">
      <formula>0</formula>
    </cfRule>
  </conditionalFormatting>
  <conditionalFormatting sqref="B64">
    <cfRule type="cellIs" dxfId="2" priority="3" operator="equal">
      <formula>0</formula>
    </cfRule>
  </conditionalFormatting>
  <conditionalFormatting sqref="B67:B71">
    <cfRule type="cellIs" dxfId="1" priority="2" operator="equal">
      <formula>0</formula>
    </cfRule>
  </conditionalFormatting>
  <conditionalFormatting sqref="B67:B71">
    <cfRule type="cellIs" dxfId="0" priority="1" operator="equal">
      <formula>0</formula>
    </cfRule>
  </conditionalFormatting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moniakix</cp:lastModifiedBy>
  <dcterms:created xsi:type="dcterms:W3CDTF">2015-05-15T07:43:01Z</dcterms:created>
  <dcterms:modified xsi:type="dcterms:W3CDTF">2019-02-04T07:08:28Z</dcterms:modified>
</cp:coreProperties>
</file>