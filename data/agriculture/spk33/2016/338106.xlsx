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8" yWindow="250" windowWidth="14851" windowHeight="57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106" i="1"/>
  <c r="D106"/>
  <c r="E106"/>
  <c r="F106"/>
  <c r="G106"/>
  <c r="B106"/>
  <c r="C91"/>
  <c r="D91"/>
  <c r="E91"/>
  <c r="F91"/>
  <c r="G91"/>
  <c r="B91"/>
  <c r="C84"/>
  <c r="D84"/>
  <c r="E84"/>
  <c r="F84"/>
  <c r="G84"/>
  <c r="B84"/>
  <c r="C74"/>
  <c r="D74"/>
  <c r="E74"/>
  <c r="F74"/>
  <c r="G74"/>
  <c r="B74"/>
  <c r="C67"/>
  <c r="D67"/>
  <c r="E67"/>
  <c r="F67"/>
  <c r="G67"/>
  <c r="B67"/>
  <c r="C62"/>
  <c r="D62"/>
  <c r="E62"/>
  <c r="F62"/>
  <c r="G62"/>
  <c r="B62"/>
  <c r="C55"/>
  <c r="D55"/>
  <c r="E55"/>
  <c r="F55"/>
  <c r="G55"/>
  <c r="B55"/>
  <c r="C48"/>
  <c r="D48"/>
  <c r="E48"/>
  <c r="F48"/>
  <c r="G48"/>
  <c r="B48"/>
  <c r="C41"/>
  <c r="D41"/>
  <c r="E41"/>
  <c r="F41"/>
  <c r="G41"/>
  <c r="B41"/>
  <c r="C35"/>
  <c r="D35"/>
  <c r="E35"/>
  <c r="F35"/>
  <c r="G35"/>
  <c r="B35"/>
  <c r="C30"/>
  <c r="D30"/>
  <c r="E30"/>
  <c r="F30"/>
  <c r="G30"/>
  <c r="B30"/>
  <c r="C21"/>
  <c r="D21"/>
  <c r="E21"/>
  <c r="F21"/>
  <c r="G21"/>
  <c r="B21"/>
  <c r="C13"/>
  <c r="C11" s="1"/>
  <c r="D13"/>
  <c r="E13"/>
  <c r="E11" s="1"/>
  <c r="F13"/>
  <c r="G13"/>
  <c r="G11" s="1"/>
  <c r="B13"/>
  <c r="B11" l="1"/>
  <c r="D11"/>
  <c r="F11"/>
</calcChain>
</file>

<file path=xl/sharedStrings.xml><?xml version="1.0" encoding="utf-8"?>
<sst xmlns="http://schemas.openxmlformats.org/spreadsheetml/2006/main" count="344" uniqueCount="192">
  <si>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</si>
  <si>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</si>
  <si>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</si>
  <si>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</si>
  <si>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</si>
  <si>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</si>
  <si>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</si>
  <si>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</si>
  <si>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</si>
  <si>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</si>
  <si>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</si>
  <si>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</si>
  <si>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</si>
  <si>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</si>
  <si>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</si>
  <si>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</si>
  <si>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</si>
  <si>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</si>
  <si>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</si>
  <si>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</si>
  <si>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</si>
  <si>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</si>
  <si>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</si>
  <si>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</si>
  <si>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</si>
  <si>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</si>
  <si>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</si>
  <si>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</si>
  <si>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</si>
  <si>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</si>
  <si>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</si>
  <si>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</si>
  <si>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</si>
  <si>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</si>
  <si>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</si>
  <si>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</si>
  <si>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</si>
  <si>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</si>
  <si>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</si>
  <si>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</si>
  <si>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</si>
  <si>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</si>
  <si>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</si>
  <si>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</si>
  <si>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</si>
  <si>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</si>
  <si>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</si>
  <si>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</si>
  <si>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</si>
  <si>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</si>
  <si>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</si>
  <si>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</si>
  <si>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</si>
  <si>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</si>
  <si>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</si>
  <si>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</si>
  <si>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</si>
  <si>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</si>
  <si>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</si>
  <si>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</si>
  <si>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</si>
  <si>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</si>
  <si>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</si>
  <si>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</si>
  <si>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</si>
  <si>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</si>
  <si>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</si>
  <si>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</si>
  <si>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</si>
  <si>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</si>
  <si>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</si>
  <si>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</si>
  <si>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</si>
  <si>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</si>
  <si>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</si>
  <si>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</si>
  <si>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</si>
  <si>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</si>
  <si>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</si>
  <si>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</si>
  <si>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</si>
  <si>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</si>
  <si>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</si>
  <si>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</si>
  <si>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</si>
  <si>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</si>
  <si>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</si>
  <si>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</si>
  <si>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</si>
  <si>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</si>
  <si>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</si>
  <si>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</si>
  <si>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</si>
  <si>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</si>
  <si>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</si>
  <si>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</si>
  <si>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</si>
  <si>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</si>
  <si>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</si>
  <si>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</si>
  <si>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</si>
  <si>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</si>
  <si>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</si>
  <si>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</si>
  <si>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</si>
  <si>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</si>
  <si>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</si>
  <si>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</si>
  <si>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</si>
  <si>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</si>
  <si>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</si>
  <si>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</si>
  <si>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</si>
  <si>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</si>
  <si>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</si>
  <si>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</si>
  <si>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</si>
  <si>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</si>
  <si>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</si>
  <si>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</si>
  <si>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</si>
  <si>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</si>
  <si>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</si>
  <si>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</si>
  <si>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</si>
  <si>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</si>
  <si>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</si>
  <si>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</si>
  <si>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</si>
  <si>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</si>
  <si>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</si>
  <si>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</si>
  <si>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</si>
  <si>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</si>
  <si>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</si>
  <si>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</si>
  <si>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</si>
  <si>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</si>
  <si>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</si>
  <si>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</si>
  <si>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</si>
  <si>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</si>
  <si>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</si>
  <si>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</si>
  <si>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</si>
  <si>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</si>
  <si>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</si>
  <si>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</si>
  <si>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</si>
  <si>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</si>
  <si>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</si>
  <si>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</si>
  <si>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</si>
  <si>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</si>
  <si>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</si>
  <si>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</si>
  <si>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</si>
  <si>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</si>
  <si>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</si>
  <si>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</si>
  <si>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</si>
  <si>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</si>
  <si>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</si>
  <si>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</si>
  <si>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</si>
  <si>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</si>
  <si>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</si>
  <si>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</si>
  <si>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</si>
  <si>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</si>
  <si>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</si>
  <si>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</si>
  <si>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</si>
  <si>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</si>
  <si>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</si>
  <si>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</si>
  <si>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</si>
  <si>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</si>
  <si>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</si>
  <si>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Περιφέρεια Δυτικής Μακεδονίας</t>
  </si>
  <si>
    <t>Region of Western Macedonia</t>
  </si>
  <si>
    <t>μαλακό
soft</t>
  </si>
  <si>
    <t>σκληρό
hard</t>
  </si>
  <si>
    <t>Τυρί
Cheese</t>
  </si>
  <si>
    <t>Βούτυρο
Butter</t>
  </si>
  <si>
    <t>Κρέμα
Crème</t>
  </si>
  <si>
    <t>νωπό
fresh</t>
  </si>
  <si>
    <t>λιωμένο
melted</t>
  </si>
  <si>
    <t>Μυζήθρα
Myzithra</t>
  </si>
  <si>
    <t>Πίνακας 8. Παραγωγή μερικών δευτερογενών προϊόντων, κατά Περιφέρεια και Περιφερειακή Ενότητα, 2016</t>
  </si>
  <si>
    <t>Table 8. Production of selected livestock by-products, by Region and Regional Unity, 2016</t>
  </si>
  <si>
    <t>―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</si>
</sst>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Font="1"/>
    <xf numFmtId="0" fontId="1" fillId="0" borderId="0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2" xfId="0" applyNumberFormat="1" applyFont="1" applyFill="1" applyBorder="1" applyAlignment="1" applyProtection="1">
      <alignment horizontal="righ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3" fontId="1" fillId="0" borderId="21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vertical="center"/>
    </xf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7" fillId="0" borderId="2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14" xfId="0" applyNumberFormat="1" applyFont="1" applyBorder="1" applyAlignment="1">
      <alignment horizontal="right" vertical="top"/>
    </xf>
    <xf numFmtId="3" fontId="7" fillId="0" borderId="21" xfId="0" applyNumberFormat="1" applyFont="1" applyBorder="1" applyAlignment="1">
      <alignment horizontal="right" vertical="top"/>
    </xf>
    <xf numFmtId="3" fontId="7" fillId="0" borderId="24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5" xfId="0" applyNumberFormat="1" applyFont="1" applyBorder="1" applyAlignment="1">
      <alignment horizontal="right" vertical="top"/>
    </xf>
    <xf numFmtId="3" fontId="4" fillId="0" borderId="21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1" fillId="0" borderId="26" xfId="0" applyNumberFormat="1" applyFont="1" applyFill="1" applyBorder="1" applyAlignment="1" applyProtection="1">
      <alignment horizontal="center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23" xfId="0" applyNumberFormat="1" applyFont="1" applyBorder="1" applyAlignment="1">
      <alignment horizontal="right" vertical="center"/>
    </xf>
    <xf numFmtId="49" fontId="1" fillId="0" borderId="12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9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20" xfId="0" applyNumberFormat="1" applyFont="1" applyFill="1" applyBorder="1" applyAlignment="1" applyProtection="1">
      <alignment horizontal="center" vertical="center" wrapText="1"/>
    </xf>
    <xf numFmtId="0" fontId="3" fillId="0" borderId="21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111"/>
  <sheetViews>
    <sheetView showGridLines="0" tabSelected="1" zoomScaleNormal="100" workbookViewId="0">
      <selection activeCell="B81" sqref="B81"/>
    </sheetView>
  </sheetViews>
  <sheetFormatPr defaultRowHeight="15.05"/>
  <cols>
    <col min="1" max="1" width="44.109375" style="2" customWidth="1"/>
    <col min="2" max="7" width="10.44140625" style="2" customWidth="1"/>
    <col min="8" max="8" width="11.5546875" style="2" customWidth="1"/>
    <col min="9" max="9" width="13.88671875" style="2" customWidth="1"/>
    <col min="10" max="10" width="13.33203125" style="2" customWidth="1"/>
    <col min="11" max="16384" width="8.88671875" style="2"/>
  </cols>
  <sheetData>
    <row r="2" spans="1:13" ht="18.2">
      <c r="A2" s="36" t="s">
        <v>176</v>
      </c>
      <c r="B2" s="36"/>
      <c r="C2" s="36"/>
      <c r="D2" s="36"/>
      <c r="E2" s="36"/>
      <c r="F2" s="36"/>
      <c r="G2" s="36"/>
      <c r="H2" s="36"/>
      <c r="I2" s="36"/>
      <c r="J2" s="36"/>
      <c r="K2" s="1"/>
      <c r="L2" s="1"/>
      <c r="M2" s="1"/>
    </row>
    <row r="3" spans="1:13" ht="18.2">
      <c r="A3" s="37" t="s">
        <v>189</v>
      </c>
      <c r="B3" s="37"/>
      <c r="C3" s="37"/>
      <c r="D3" s="37"/>
      <c r="E3" s="37"/>
      <c r="F3" s="37"/>
      <c r="G3" s="37"/>
      <c r="H3" s="37"/>
      <c r="I3" s="37"/>
      <c r="J3" s="37"/>
      <c r="K3" s="3"/>
      <c r="L3" s="3"/>
      <c r="M3" s="3"/>
    </row>
    <row r="4" spans="1:13" ht="18.2">
      <c r="A4" s="37" t="s">
        <v>190</v>
      </c>
      <c r="B4" s="37"/>
      <c r="C4" s="37"/>
      <c r="D4" s="37"/>
      <c r="E4" s="37"/>
      <c r="F4" s="37"/>
      <c r="G4" s="37"/>
      <c r="H4" s="37"/>
      <c r="I4" s="37"/>
      <c r="J4" s="37"/>
      <c r="K4" s="3"/>
      <c r="L4" s="3"/>
      <c r="M4" s="3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3"/>
      <c r="L5" s="3"/>
      <c r="M5" s="3"/>
    </row>
    <row r="6" spans="1:13" ht="15.65" thickBot="1">
      <c r="A6" s="23" t="s">
        <v>178</v>
      </c>
      <c r="B6" s="5"/>
      <c r="C6" s="5"/>
      <c r="D6" s="5"/>
      <c r="E6" s="5"/>
      <c r="F6" s="5"/>
      <c r="G6" s="5"/>
      <c r="H6" s="6"/>
      <c r="I6" s="38" t="s">
        <v>177</v>
      </c>
      <c r="J6" s="38"/>
      <c r="K6" s="7"/>
      <c r="L6" s="7"/>
      <c r="M6" s="7"/>
    </row>
    <row r="7" spans="1:13" ht="14.4" customHeight="1">
      <c r="A7" s="39" t="s">
        <v>0</v>
      </c>
      <c r="B7" s="49" t="s">
        <v>183</v>
      </c>
      <c r="C7" s="50"/>
      <c r="D7" s="53" t="s">
        <v>184</v>
      </c>
      <c r="E7" s="54"/>
      <c r="F7" s="59" t="s">
        <v>188</v>
      </c>
      <c r="G7" s="57" t="s">
        <v>185</v>
      </c>
      <c r="H7" s="61" t="s">
        <v>1</v>
      </c>
      <c r="I7" s="62"/>
      <c r="J7" s="62"/>
    </row>
    <row r="8" spans="1:13">
      <c r="A8" s="40"/>
      <c r="B8" s="51"/>
      <c r="C8" s="52"/>
      <c r="D8" s="55"/>
      <c r="E8" s="56"/>
      <c r="F8" s="60"/>
      <c r="G8" s="58"/>
      <c r="H8" s="63"/>
      <c r="I8" s="64"/>
      <c r="J8" s="64"/>
    </row>
    <row r="9" spans="1:13">
      <c r="A9" s="40"/>
      <c r="B9" s="47" t="s">
        <v>181</v>
      </c>
      <c r="C9" s="67" t="s">
        <v>182</v>
      </c>
      <c r="D9" s="67" t="s">
        <v>186</v>
      </c>
      <c r="E9" s="68" t="s">
        <v>187</v>
      </c>
      <c r="F9" s="60"/>
      <c r="G9" s="58"/>
      <c r="H9" s="63"/>
      <c r="I9" s="64"/>
      <c r="J9" s="64"/>
    </row>
    <row r="10" spans="1:13">
      <c r="A10" s="41"/>
      <c r="B10" s="48"/>
      <c r="C10" s="60"/>
      <c r="D10" s="60"/>
      <c r="E10" s="69"/>
      <c r="F10" s="60"/>
      <c r="G10" s="58"/>
      <c r="H10" s="65"/>
      <c r="I10" s="66"/>
      <c r="J10" s="66"/>
    </row>
    <row r="11" spans="1:13">
      <c r="A11" s="45" t="s">
        <v>2</v>
      </c>
      <c r="B11" s="71">
        <f>SUM(B13,B21,B30,B35,B41,B48,B55,B62,B67,B74,B84,B91,B106)</f>
        <v>95965.987000000008</v>
      </c>
      <c r="C11" s="35">
        <f>SUM(C13,C21,C30,C35,C41,C48,C55,C62,C67,C74,C84,C91,C106)</f>
        <v>35493.607999999993</v>
      </c>
      <c r="D11" s="35">
        <f t="shared" ref="D11:G11" si="0">SUM(D13,D21,D30,D35,D41,D48,D55,D62,D67,D74,D84,D91,D106)</f>
        <v>750.37200000000007</v>
      </c>
      <c r="E11" s="35">
        <f>SUM(E13,E21,E30,E35,E41,E48,E55,E62,E67,E74,E84,E91,E106)</f>
        <v>367.34900000000005</v>
      </c>
      <c r="F11" s="35">
        <f t="shared" si="0"/>
        <v>13009.894</v>
      </c>
      <c r="G11" s="44">
        <f t="shared" si="0"/>
        <v>4019.3450000000003</v>
      </c>
      <c r="H11" s="42" t="s">
        <v>3</v>
      </c>
      <c r="I11" s="42"/>
      <c r="J11" s="42"/>
      <c r="K11" s="8"/>
    </row>
    <row r="12" spans="1:13">
      <c r="A12" s="46"/>
      <c r="B12" s="70"/>
      <c r="C12" s="34"/>
      <c r="D12" s="34"/>
      <c r="E12" s="34"/>
      <c r="F12" s="34"/>
      <c r="G12" s="32"/>
      <c r="H12" s="33"/>
      <c r="I12" s="33"/>
      <c r="J12" s="33"/>
      <c r="K12" s="8"/>
    </row>
    <row r="13" spans="1:13">
      <c r="A13" s="43" t="s">
        <v>4</v>
      </c>
      <c r="B13" s="70">
        <f>SUM(B15:B20)</f>
        <v>4654.6450000000004</v>
      </c>
      <c r="C13" s="34">
        <f t="shared" ref="C13:G13" si="1">SUM(C15:C20)</f>
        <v>248.80500000000001</v>
      </c>
      <c r="D13" s="34">
        <f t="shared" si="1"/>
        <v>96.513000000000005</v>
      </c>
      <c r="E13" s="34">
        <f t="shared" si="1"/>
        <v>1.3560000000000001</v>
      </c>
      <c r="F13" s="34">
        <f t="shared" si="1"/>
        <v>309.363</v>
      </c>
      <c r="G13" s="32">
        <f t="shared" si="1"/>
        <v>350.04599999999999</v>
      </c>
      <c r="H13" s="33" t="s">
        <v>5</v>
      </c>
      <c r="I13" s="33"/>
      <c r="J13" s="33"/>
      <c r="K13" s="8"/>
    </row>
    <row r="14" spans="1:13">
      <c r="A14" s="43"/>
      <c r="B14" s="70"/>
      <c r="C14" s="34"/>
      <c r="D14" s="34"/>
      <c r="E14" s="34"/>
      <c r="F14" s="34"/>
      <c r="G14" s="32"/>
      <c r="H14" s="33"/>
      <c r="I14" s="33"/>
      <c r="J14" s="33"/>
      <c r="K14" s="8"/>
    </row>
    <row r="15" spans="1:13">
      <c r="A15" s="9" t="s">
        <v>6</v>
      </c>
      <c r="B15" s="26">
        <v>427.553</v>
      </c>
      <c r="C15" s="25">
        <v>142.62100000000001</v>
      </c>
      <c r="D15" s="24">
        <v>4.41</v>
      </c>
      <c r="E15" s="25" t="s">
        <v>191</v>
      </c>
      <c r="F15" s="24">
        <v>28.271000000000001</v>
      </c>
      <c r="G15" s="27">
        <v>0.17</v>
      </c>
      <c r="H15" s="10" t="s">
        <v>7</v>
      </c>
      <c r="I15" s="11"/>
      <c r="J15" s="11"/>
      <c r="K15" s="8"/>
    </row>
    <row r="16" spans="1:13">
      <c r="A16" s="9" t="s">
        <v>8</v>
      </c>
      <c r="B16" s="26">
        <v>405.30099999999999</v>
      </c>
      <c r="C16" s="25">
        <v>37.115000000000002</v>
      </c>
      <c r="D16" s="24">
        <v>31.337</v>
      </c>
      <c r="E16" s="25" t="s">
        <v>191</v>
      </c>
      <c r="F16" s="24">
        <v>71.128</v>
      </c>
      <c r="G16" s="27">
        <v>259.87599999999998</v>
      </c>
      <c r="H16" s="10" t="s">
        <v>9</v>
      </c>
      <c r="I16" s="11"/>
      <c r="J16" s="11"/>
      <c r="K16" s="8"/>
    </row>
    <row r="17" spans="1:11">
      <c r="A17" s="9" t="s">
        <v>10</v>
      </c>
      <c r="B17" s="26">
        <v>2137.2550000000001</v>
      </c>
      <c r="C17" s="25" t="s">
        <v>191</v>
      </c>
      <c r="D17" s="24">
        <v>25.164999999999999</v>
      </c>
      <c r="E17" s="25">
        <v>1.3</v>
      </c>
      <c r="F17" s="24">
        <v>127.973</v>
      </c>
      <c r="G17" s="27" t="s">
        <v>191</v>
      </c>
      <c r="H17" s="10" t="s">
        <v>11</v>
      </c>
      <c r="I17" s="11"/>
      <c r="J17" s="11"/>
      <c r="K17" s="8"/>
    </row>
    <row r="18" spans="1:11">
      <c r="A18" s="9" t="s">
        <v>12</v>
      </c>
      <c r="B18" s="26">
        <v>344</v>
      </c>
      <c r="C18" s="25" t="s">
        <v>191</v>
      </c>
      <c r="D18" s="24" t="s">
        <v>191</v>
      </c>
      <c r="E18" s="25" t="s">
        <v>191</v>
      </c>
      <c r="F18" s="24" t="s">
        <v>191</v>
      </c>
      <c r="G18" s="27" t="s">
        <v>191</v>
      </c>
      <c r="H18" s="10" t="s">
        <v>13</v>
      </c>
      <c r="I18" s="11"/>
      <c r="J18" s="11"/>
      <c r="K18" s="8"/>
    </row>
    <row r="19" spans="1:11">
      <c r="A19" s="9" t="s">
        <v>14</v>
      </c>
      <c r="B19" s="26">
        <v>1203.44</v>
      </c>
      <c r="C19" s="25">
        <v>8.0690000000000008</v>
      </c>
      <c r="D19" s="24" t="s">
        <v>191</v>
      </c>
      <c r="E19" s="25" t="s">
        <v>191</v>
      </c>
      <c r="F19" s="24">
        <v>65.692999999999998</v>
      </c>
      <c r="G19" s="27">
        <v>30</v>
      </c>
      <c r="H19" s="10" t="s">
        <v>15</v>
      </c>
      <c r="I19" s="11"/>
      <c r="J19" s="11"/>
      <c r="K19" s="8"/>
    </row>
    <row r="20" spans="1:11">
      <c r="A20" s="9" t="s">
        <v>16</v>
      </c>
      <c r="B20" s="26">
        <v>137.096</v>
      </c>
      <c r="C20" s="25">
        <v>61</v>
      </c>
      <c r="D20" s="24">
        <v>35.600999999999999</v>
      </c>
      <c r="E20" s="25">
        <v>5.6000000000000001E-2</v>
      </c>
      <c r="F20" s="24">
        <v>16.297999999999998</v>
      </c>
      <c r="G20" s="27">
        <v>60</v>
      </c>
      <c r="H20" s="10" t="s">
        <v>17</v>
      </c>
      <c r="I20" s="11"/>
      <c r="J20" s="11"/>
      <c r="K20" s="8"/>
    </row>
    <row r="21" spans="1:11">
      <c r="A21" s="43" t="s">
        <v>18</v>
      </c>
      <c r="B21" s="70">
        <f>SUM(B23:B29)</f>
        <v>10305.002999999999</v>
      </c>
      <c r="C21" s="72">
        <f t="shared" ref="C21:G21" si="2">SUM(C23:C29)</f>
        <v>1253.9799999999998</v>
      </c>
      <c r="D21" s="73">
        <f t="shared" si="2"/>
        <v>12.263999999999999</v>
      </c>
      <c r="E21" s="34">
        <f t="shared" si="2"/>
        <v>0.28599999999999998</v>
      </c>
      <c r="F21" s="34">
        <f t="shared" si="2"/>
        <v>686.08899999999994</v>
      </c>
      <c r="G21" s="32">
        <f t="shared" si="2"/>
        <v>1751.8270000000002</v>
      </c>
      <c r="H21" s="74" t="s">
        <v>19</v>
      </c>
      <c r="I21" s="74"/>
      <c r="J21" s="74"/>
      <c r="K21" s="8"/>
    </row>
    <row r="22" spans="1:11">
      <c r="A22" s="43"/>
      <c r="B22" s="70"/>
      <c r="C22" s="72"/>
      <c r="D22" s="73"/>
      <c r="E22" s="34"/>
      <c r="F22" s="34"/>
      <c r="G22" s="32"/>
      <c r="H22" s="74"/>
      <c r="I22" s="74"/>
      <c r="J22" s="74"/>
      <c r="K22" s="8"/>
    </row>
    <row r="23" spans="1:11">
      <c r="A23" s="9" t="s">
        <v>20</v>
      </c>
      <c r="B23" s="26">
        <v>4635.915</v>
      </c>
      <c r="C23" s="25">
        <v>495.95400000000001</v>
      </c>
      <c r="D23" s="24">
        <v>10.301</v>
      </c>
      <c r="E23" s="25" t="s">
        <v>191</v>
      </c>
      <c r="F23" s="24">
        <v>525.26800000000003</v>
      </c>
      <c r="G23" s="27">
        <v>1716.6880000000001</v>
      </c>
      <c r="H23" s="10" t="s">
        <v>21</v>
      </c>
      <c r="I23" s="11"/>
      <c r="J23" s="11"/>
      <c r="K23" s="8"/>
    </row>
    <row r="24" spans="1:11">
      <c r="A24" s="9" t="s">
        <v>22</v>
      </c>
      <c r="B24" s="26">
        <v>32.222999999999999</v>
      </c>
      <c r="C24" s="25">
        <v>43.585000000000001</v>
      </c>
      <c r="D24" s="24">
        <v>0.55800000000000005</v>
      </c>
      <c r="E24" s="25">
        <v>0.28599999999999998</v>
      </c>
      <c r="F24" s="24">
        <v>0.70799999999999996</v>
      </c>
      <c r="G24" s="27">
        <v>5.0000000000000001E-3</v>
      </c>
      <c r="H24" s="10" t="s">
        <v>23</v>
      </c>
      <c r="I24" s="11"/>
      <c r="J24" s="11"/>
      <c r="K24" s="8"/>
    </row>
    <row r="25" spans="1:11">
      <c r="A25" s="9" t="s">
        <v>24</v>
      </c>
      <c r="B25" s="26" t="s">
        <v>191</v>
      </c>
      <c r="C25" s="25" t="s">
        <v>191</v>
      </c>
      <c r="D25" s="24" t="s">
        <v>191</v>
      </c>
      <c r="E25" s="25" t="s">
        <v>191</v>
      </c>
      <c r="F25" s="24" t="s">
        <v>191</v>
      </c>
      <c r="G25" s="27" t="s">
        <v>191</v>
      </c>
      <c r="H25" s="10" t="s">
        <v>25</v>
      </c>
      <c r="I25" s="11"/>
      <c r="J25" s="11"/>
      <c r="K25" s="8"/>
    </row>
    <row r="26" spans="1:11">
      <c r="A26" s="9" t="s">
        <v>26</v>
      </c>
      <c r="B26" s="26">
        <v>1182.4970000000001</v>
      </c>
      <c r="C26" s="25">
        <v>44.23</v>
      </c>
      <c r="D26" s="24">
        <v>0.748</v>
      </c>
      <c r="E26" s="25" t="s">
        <v>191</v>
      </c>
      <c r="F26" s="24">
        <v>111.742</v>
      </c>
      <c r="G26" s="27">
        <v>35.134</v>
      </c>
      <c r="H26" s="10" t="s">
        <v>27</v>
      </c>
      <c r="I26" s="11"/>
      <c r="J26" s="11"/>
      <c r="K26" s="8"/>
    </row>
    <row r="27" spans="1:11">
      <c r="A27" s="9" t="s">
        <v>28</v>
      </c>
      <c r="B27" s="26">
        <v>3734.2020000000002</v>
      </c>
      <c r="C27" s="25">
        <v>656.03599999999994</v>
      </c>
      <c r="D27" s="24">
        <v>0.65700000000000003</v>
      </c>
      <c r="E27" s="25" t="s">
        <v>191</v>
      </c>
      <c r="F27" s="24">
        <v>44.015999999999998</v>
      </c>
      <c r="G27" s="27" t="s">
        <v>191</v>
      </c>
      <c r="H27" s="10" t="s">
        <v>29</v>
      </c>
      <c r="I27" s="11"/>
      <c r="J27" s="11"/>
      <c r="K27" s="8"/>
    </row>
    <row r="28" spans="1:11">
      <c r="A28" s="9" t="s">
        <v>30</v>
      </c>
      <c r="B28" s="26">
        <v>129.642</v>
      </c>
      <c r="C28" s="25">
        <v>8.5</v>
      </c>
      <c r="D28" s="24" t="s">
        <v>191</v>
      </c>
      <c r="E28" s="25" t="s">
        <v>191</v>
      </c>
      <c r="F28" s="24" t="s">
        <v>191</v>
      </c>
      <c r="G28" s="27" t="s">
        <v>191</v>
      </c>
      <c r="H28" s="10" t="s">
        <v>31</v>
      </c>
      <c r="I28" s="11"/>
      <c r="J28" s="11"/>
      <c r="K28" s="8"/>
    </row>
    <row r="29" spans="1:11">
      <c r="A29" s="9" t="s">
        <v>32</v>
      </c>
      <c r="B29" s="26">
        <v>590.524</v>
      </c>
      <c r="C29" s="25">
        <v>5.6749999999999998</v>
      </c>
      <c r="D29" s="24" t="s">
        <v>191</v>
      </c>
      <c r="E29" s="25" t="s">
        <v>191</v>
      </c>
      <c r="F29" s="24">
        <v>4.3550000000000004</v>
      </c>
      <c r="G29" s="27" t="s">
        <v>191</v>
      </c>
      <c r="H29" s="10" t="s">
        <v>33</v>
      </c>
      <c r="I29" s="11"/>
      <c r="J29" s="11"/>
      <c r="K29" s="8"/>
    </row>
    <row r="30" spans="1:11" ht="13.15" customHeight="1">
      <c r="A30" s="12" t="s">
        <v>179</v>
      </c>
      <c r="B30" s="13">
        <f>SUM(B31:B34)</f>
        <v>2085.616</v>
      </c>
      <c r="C30" s="14">
        <f t="shared" ref="C30:G30" si="3">SUM(C31:C34)</f>
        <v>250.59199999999998</v>
      </c>
      <c r="D30" s="15">
        <f t="shared" si="3"/>
        <v>1.0349999999999999</v>
      </c>
      <c r="E30" s="16">
        <f t="shared" si="3"/>
        <v>0</v>
      </c>
      <c r="F30" s="16">
        <f t="shared" si="3"/>
        <v>167.99700000000001</v>
      </c>
      <c r="G30" s="17">
        <f t="shared" si="3"/>
        <v>6.7709999999999999</v>
      </c>
      <c r="H30" s="18" t="s">
        <v>180</v>
      </c>
      <c r="I30" s="11"/>
      <c r="J30" s="11"/>
      <c r="K30" s="8"/>
    </row>
    <row r="31" spans="1:11">
      <c r="A31" s="9" t="s">
        <v>34</v>
      </c>
      <c r="B31" s="26">
        <v>789.52</v>
      </c>
      <c r="C31" s="25">
        <v>94.122</v>
      </c>
      <c r="D31" s="24">
        <v>0.96499999999999997</v>
      </c>
      <c r="E31" s="25" t="s">
        <v>191</v>
      </c>
      <c r="F31" s="24">
        <v>75.822000000000003</v>
      </c>
      <c r="G31" s="27">
        <v>6.7709999999999999</v>
      </c>
      <c r="H31" s="10" t="s">
        <v>35</v>
      </c>
      <c r="I31" s="11"/>
      <c r="J31" s="11"/>
      <c r="K31" s="8"/>
    </row>
    <row r="32" spans="1:11">
      <c r="A32" s="9" t="s">
        <v>36</v>
      </c>
      <c r="B32" s="26">
        <v>1081.0999999999999</v>
      </c>
      <c r="C32" s="25">
        <v>152.65</v>
      </c>
      <c r="D32" s="24" t="s">
        <v>191</v>
      </c>
      <c r="E32" s="25" t="s">
        <v>191</v>
      </c>
      <c r="F32" s="24">
        <v>92</v>
      </c>
      <c r="G32" s="27" t="s">
        <v>191</v>
      </c>
      <c r="H32" s="10" t="s">
        <v>37</v>
      </c>
      <c r="I32" s="11"/>
      <c r="J32" s="11"/>
      <c r="K32" s="8"/>
    </row>
    <row r="33" spans="1:11">
      <c r="A33" s="9" t="s">
        <v>38</v>
      </c>
      <c r="B33" s="26">
        <v>119.58</v>
      </c>
      <c r="C33" s="25">
        <v>3.82</v>
      </c>
      <c r="D33" s="24">
        <v>7.0000000000000007E-2</v>
      </c>
      <c r="E33" s="25" t="s">
        <v>191</v>
      </c>
      <c r="F33" s="24">
        <v>0.17499999999999999</v>
      </c>
      <c r="G33" s="27" t="s">
        <v>191</v>
      </c>
      <c r="H33" s="10" t="s">
        <v>39</v>
      </c>
      <c r="I33" s="11"/>
      <c r="J33" s="11"/>
      <c r="K33" s="8"/>
    </row>
    <row r="34" spans="1:11">
      <c r="A34" s="9" t="s">
        <v>40</v>
      </c>
      <c r="B34" s="26">
        <v>95.415999999999997</v>
      </c>
      <c r="C34" s="25" t="s">
        <v>191</v>
      </c>
      <c r="D34" s="24" t="s">
        <v>191</v>
      </c>
      <c r="E34" s="25" t="s">
        <v>191</v>
      </c>
      <c r="F34" s="24" t="s">
        <v>191</v>
      </c>
      <c r="G34" s="27" t="s">
        <v>191</v>
      </c>
      <c r="H34" s="10" t="s">
        <v>41</v>
      </c>
      <c r="I34" s="11"/>
      <c r="J34" s="11"/>
      <c r="K34" s="8"/>
    </row>
    <row r="35" spans="1:11">
      <c r="A35" s="43" t="s">
        <v>42</v>
      </c>
      <c r="B35" s="70">
        <f>SUM(B37:B40)</f>
        <v>18346.976000000002</v>
      </c>
      <c r="C35" s="72">
        <f t="shared" ref="C35:G35" si="4">SUM(C37:C40)</f>
        <v>4666.5540000000001</v>
      </c>
      <c r="D35" s="73">
        <f t="shared" si="4"/>
        <v>289.88600000000002</v>
      </c>
      <c r="E35" s="34">
        <f t="shared" si="4"/>
        <v>134.72800000000001</v>
      </c>
      <c r="F35" s="34">
        <f t="shared" si="4"/>
        <v>1138.915</v>
      </c>
      <c r="G35" s="32">
        <f t="shared" si="4"/>
        <v>870.03600000000006</v>
      </c>
      <c r="H35" s="75" t="s">
        <v>43</v>
      </c>
      <c r="I35" s="75"/>
      <c r="J35" s="75"/>
      <c r="K35" s="8"/>
    </row>
    <row r="36" spans="1:11">
      <c r="A36" s="43"/>
      <c r="B36" s="70"/>
      <c r="C36" s="72"/>
      <c r="D36" s="73"/>
      <c r="E36" s="34"/>
      <c r="F36" s="34"/>
      <c r="G36" s="32"/>
      <c r="H36" s="75"/>
      <c r="I36" s="75"/>
      <c r="J36" s="75"/>
      <c r="K36" s="8"/>
    </row>
    <row r="37" spans="1:11">
      <c r="A37" s="9" t="s">
        <v>44</v>
      </c>
      <c r="B37" s="26">
        <v>11944.03</v>
      </c>
      <c r="C37" s="25">
        <v>938.29600000000005</v>
      </c>
      <c r="D37" s="24">
        <v>172.744</v>
      </c>
      <c r="E37" s="25">
        <v>111.28400000000001</v>
      </c>
      <c r="F37" s="24">
        <v>321.53500000000003</v>
      </c>
      <c r="G37" s="27">
        <v>638.41600000000005</v>
      </c>
      <c r="H37" s="10" t="s">
        <v>45</v>
      </c>
      <c r="I37" s="11"/>
      <c r="J37" s="11"/>
      <c r="K37" s="8"/>
    </row>
    <row r="38" spans="1:11">
      <c r="A38" s="9" t="s">
        <v>46</v>
      </c>
      <c r="B38" s="26">
        <v>5925.3509999999997</v>
      </c>
      <c r="C38" s="25">
        <v>3563.7579999999998</v>
      </c>
      <c r="D38" s="24">
        <v>112.842</v>
      </c>
      <c r="E38" s="25">
        <v>23.443999999999999</v>
      </c>
      <c r="F38" s="24">
        <v>500.82</v>
      </c>
      <c r="G38" s="27">
        <v>217.42</v>
      </c>
      <c r="H38" s="10" t="s">
        <v>47</v>
      </c>
      <c r="I38" s="11"/>
      <c r="J38" s="11"/>
      <c r="K38" s="8"/>
    </row>
    <row r="39" spans="1:11">
      <c r="A39" s="9" t="s">
        <v>48</v>
      </c>
      <c r="B39" s="26">
        <v>423.02499999999998</v>
      </c>
      <c r="C39" s="25">
        <v>139</v>
      </c>
      <c r="D39" s="24">
        <v>3.2</v>
      </c>
      <c r="E39" s="25" t="s">
        <v>191</v>
      </c>
      <c r="F39" s="24">
        <v>309.56</v>
      </c>
      <c r="G39" s="27">
        <v>14.2</v>
      </c>
      <c r="H39" s="10" t="s">
        <v>49</v>
      </c>
      <c r="I39" s="11"/>
      <c r="J39" s="11"/>
      <c r="K39" s="8"/>
    </row>
    <row r="40" spans="1:11">
      <c r="A40" s="9" t="s">
        <v>50</v>
      </c>
      <c r="B40" s="26">
        <v>54.57</v>
      </c>
      <c r="C40" s="25">
        <v>25.5</v>
      </c>
      <c r="D40" s="24">
        <v>1.1000000000000001</v>
      </c>
      <c r="E40" s="25" t="s">
        <v>191</v>
      </c>
      <c r="F40" s="24">
        <v>7</v>
      </c>
      <c r="G40" s="27" t="s">
        <v>191</v>
      </c>
      <c r="H40" s="10" t="s">
        <v>51</v>
      </c>
      <c r="I40" s="11"/>
      <c r="J40" s="11"/>
      <c r="K40" s="8"/>
    </row>
    <row r="41" spans="1:11">
      <c r="A41" s="43" t="s">
        <v>52</v>
      </c>
      <c r="B41" s="70">
        <f>SUM(B43:B47)</f>
        <v>28518.894</v>
      </c>
      <c r="C41" s="72">
        <f t="shared" ref="C41:G41" si="5">SUM(C43:C47)</f>
        <v>10704.253000000001</v>
      </c>
      <c r="D41" s="73">
        <f t="shared" si="5"/>
        <v>27.753</v>
      </c>
      <c r="E41" s="34">
        <f t="shared" si="5"/>
        <v>123.274</v>
      </c>
      <c r="F41" s="34">
        <f t="shared" si="5"/>
        <v>4262.0560000000005</v>
      </c>
      <c r="G41" s="32">
        <f t="shared" si="5"/>
        <v>751.23700000000008</v>
      </c>
      <c r="H41" s="75" t="s">
        <v>53</v>
      </c>
      <c r="I41" s="75"/>
      <c r="J41" s="75"/>
      <c r="K41" s="8"/>
    </row>
    <row r="42" spans="1:11">
      <c r="A42" s="43"/>
      <c r="B42" s="70"/>
      <c r="C42" s="72"/>
      <c r="D42" s="73"/>
      <c r="E42" s="34"/>
      <c r="F42" s="34"/>
      <c r="G42" s="32"/>
      <c r="H42" s="75"/>
      <c r="I42" s="75"/>
      <c r="J42" s="75"/>
      <c r="K42" s="8"/>
    </row>
    <row r="43" spans="1:11">
      <c r="A43" s="9" t="s">
        <v>54</v>
      </c>
      <c r="B43" s="26">
        <v>4822.7150000000001</v>
      </c>
      <c r="C43" s="25">
        <v>1177.3</v>
      </c>
      <c r="D43" s="24">
        <v>4.8600000000000003</v>
      </c>
      <c r="E43" s="25">
        <v>0.04</v>
      </c>
      <c r="F43" s="24">
        <v>286.20999999999998</v>
      </c>
      <c r="G43" s="27">
        <v>9.1999999999999993</v>
      </c>
      <c r="H43" s="10" t="s">
        <v>55</v>
      </c>
      <c r="I43" s="11"/>
      <c r="J43" s="11"/>
      <c r="K43" s="8"/>
    </row>
    <row r="44" spans="1:11">
      <c r="A44" s="9" t="s">
        <v>56</v>
      </c>
      <c r="B44" s="26">
        <v>567.54999999999995</v>
      </c>
      <c r="C44" s="25">
        <v>13.33</v>
      </c>
      <c r="D44" s="24">
        <v>2.61</v>
      </c>
      <c r="E44" s="25">
        <v>0.02</v>
      </c>
      <c r="F44" s="24">
        <v>20.149999999999999</v>
      </c>
      <c r="G44" s="27">
        <v>5.5</v>
      </c>
      <c r="H44" s="10" t="s">
        <v>57</v>
      </c>
      <c r="I44" s="11"/>
      <c r="J44" s="11"/>
      <c r="K44" s="8"/>
    </row>
    <row r="45" spans="1:11">
      <c r="A45" s="9" t="s">
        <v>58</v>
      </c>
      <c r="B45" s="26">
        <v>995.77200000000005</v>
      </c>
      <c r="C45" s="25">
        <v>23.04</v>
      </c>
      <c r="D45" s="24">
        <v>12.201000000000001</v>
      </c>
      <c r="E45" s="25">
        <v>0.41499999999999998</v>
      </c>
      <c r="F45" s="24">
        <v>38.052999999999997</v>
      </c>
      <c r="G45" s="27">
        <v>347.73</v>
      </c>
      <c r="H45" s="10" t="s">
        <v>59</v>
      </c>
      <c r="I45" s="11"/>
      <c r="J45" s="11"/>
      <c r="K45" s="8"/>
    </row>
    <row r="46" spans="1:11">
      <c r="A46" s="9" t="s">
        <v>60</v>
      </c>
      <c r="B46" s="26">
        <v>33.299999999999997</v>
      </c>
      <c r="C46" s="25" t="s">
        <v>191</v>
      </c>
      <c r="D46" s="24" t="s">
        <v>191</v>
      </c>
      <c r="E46" s="25" t="s">
        <v>191</v>
      </c>
      <c r="F46" s="24">
        <v>3.35</v>
      </c>
      <c r="G46" s="27" t="s">
        <v>191</v>
      </c>
      <c r="H46" s="10" t="s">
        <v>61</v>
      </c>
      <c r="I46" s="11"/>
      <c r="J46" s="11"/>
      <c r="K46" s="8"/>
    </row>
    <row r="47" spans="1:11">
      <c r="A47" s="9" t="s">
        <v>62</v>
      </c>
      <c r="B47" s="26">
        <v>22099.557000000001</v>
      </c>
      <c r="C47" s="25">
        <v>9490.5830000000005</v>
      </c>
      <c r="D47" s="24">
        <v>8.0820000000000007</v>
      </c>
      <c r="E47" s="25">
        <v>122.79900000000001</v>
      </c>
      <c r="F47" s="24">
        <v>3914.2930000000001</v>
      </c>
      <c r="G47" s="27">
        <v>388.80700000000002</v>
      </c>
      <c r="H47" s="10" t="s">
        <v>63</v>
      </c>
      <c r="I47" s="11"/>
      <c r="J47" s="11"/>
      <c r="K47" s="8"/>
    </row>
    <row r="48" spans="1:11">
      <c r="A48" s="43" t="s">
        <v>64</v>
      </c>
      <c r="B48" s="70">
        <f>SUM(B50:B54)</f>
        <v>5062.0779999999995</v>
      </c>
      <c r="C48" s="72">
        <f t="shared" ref="C48:G48" si="6">SUM(C50:C54)</f>
        <v>734.62899999999991</v>
      </c>
      <c r="D48" s="73">
        <f t="shared" si="6"/>
        <v>24.169999999999998</v>
      </c>
      <c r="E48" s="34">
        <f t="shared" si="6"/>
        <v>5.69</v>
      </c>
      <c r="F48" s="34">
        <f t="shared" si="6"/>
        <v>365.77499999999998</v>
      </c>
      <c r="G48" s="32">
        <f t="shared" si="6"/>
        <v>37.81</v>
      </c>
      <c r="H48" s="75" t="s">
        <v>65</v>
      </c>
      <c r="I48" s="75"/>
      <c r="J48" s="75"/>
      <c r="K48" s="8"/>
    </row>
    <row r="49" spans="1:11">
      <c r="A49" s="43"/>
      <c r="B49" s="70"/>
      <c r="C49" s="72"/>
      <c r="D49" s="73"/>
      <c r="E49" s="34"/>
      <c r="F49" s="34"/>
      <c r="G49" s="32"/>
      <c r="H49" s="75"/>
      <c r="I49" s="75"/>
      <c r="J49" s="75"/>
      <c r="K49" s="8"/>
    </row>
    <row r="50" spans="1:11">
      <c r="A50" s="9" t="s">
        <v>66</v>
      </c>
      <c r="B50" s="26">
        <v>883.11</v>
      </c>
      <c r="C50" s="25">
        <v>211.51</v>
      </c>
      <c r="D50" s="24">
        <v>13.395</v>
      </c>
      <c r="E50" s="25">
        <v>3.27</v>
      </c>
      <c r="F50" s="24">
        <v>55.332000000000001</v>
      </c>
      <c r="G50" s="27">
        <v>29.02</v>
      </c>
      <c r="H50" s="10" t="s">
        <v>67</v>
      </c>
      <c r="I50" s="11"/>
      <c r="J50" s="11"/>
      <c r="K50" s="8"/>
    </row>
    <row r="51" spans="1:11">
      <c r="A51" s="9" t="s">
        <v>68</v>
      </c>
      <c r="B51" s="26">
        <v>897.97500000000002</v>
      </c>
      <c r="C51" s="25">
        <v>423.59899999999999</v>
      </c>
      <c r="D51" s="24" t="s">
        <v>191</v>
      </c>
      <c r="E51" s="25" t="s">
        <v>191</v>
      </c>
      <c r="F51" s="24">
        <v>83.462999999999994</v>
      </c>
      <c r="G51" s="27" t="s">
        <v>191</v>
      </c>
      <c r="H51" s="10" t="s">
        <v>69</v>
      </c>
      <c r="I51" s="11"/>
      <c r="J51" s="11"/>
      <c r="K51" s="8"/>
    </row>
    <row r="52" spans="1:11">
      <c r="A52" s="9" t="s">
        <v>70</v>
      </c>
      <c r="B52" s="26">
        <v>2360.02</v>
      </c>
      <c r="C52" s="25">
        <v>69</v>
      </c>
      <c r="D52" s="24">
        <v>2.65</v>
      </c>
      <c r="E52" s="25">
        <v>0.5</v>
      </c>
      <c r="F52" s="24">
        <v>172.67</v>
      </c>
      <c r="G52" s="27">
        <v>3.63</v>
      </c>
      <c r="H52" s="10" t="s">
        <v>71</v>
      </c>
      <c r="I52" s="11"/>
      <c r="J52" s="11"/>
      <c r="K52" s="8"/>
    </row>
    <row r="53" spans="1:11">
      <c r="A53" s="9" t="s">
        <v>72</v>
      </c>
      <c r="B53" s="26">
        <v>144.06</v>
      </c>
      <c r="C53" s="25">
        <v>0.3</v>
      </c>
      <c r="D53" s="24">
        <v>7.8849999999999998</v>
      </c>
      <c r="E53" s="25">
        <v>0.59</v>
      </c>
      <c r="F53" s="24">
        <v>16.329999999999998</v>
      </c>
      <c r="G53" s="27" t="s">
        <v>191</v>
      </c>
      <c r="H53" s="10" t="s">
        <v>73</v>
      </c>
      <c r="I53" s="11"/>
      <c r="J53" s="11"/>
      <c r="K53" s="8"/>
    </row>
    <row r="54" spans="1:11">
      <c r="A54" s="9" t="s">
        <v>74</v>
      </c>
      <c r="B54" s="26">
        <v>776.91300000000001</v>
      </c>
      <c r="C54" s="25">
        <v>30.22</v>
      </c>
      <c r="D54" s="24">
        <v>0.24</v>
      </c>
      <c r="E54" s="25">
        <v>1.33</v>
      </c>
      <c r="F54" s="24">
        <v>37.979999999999997</v>
      </c>
      <c r="G54" s="27">
        <v>5.16</v>
      </c>
      <c r="H54" s="10" t="s">
        <v>75</v>
      </c>
      <c r="I54" s="11"/>
      <c r="J54" s="11"/>
      <c r="K54" s="8"/>
    </row>
    <row r="55" spans="1:11">
      <c r="A55" s="43" t="s">
        <v>76</v>
      </c>
      <c r="B55" s="70">
        <f>SUM(B57:B61)</f>
        <v>1338.4089999999999</v>
      </c>
      <c r="C55" s="72">
        <f t="shared" ref="C55:G55" si="7">SUM(C57:C61)</f>
        <v>275.24299999999999</v>
      </c>
      <c r="D55" s="73">
        <f t="shared" si="7"/>
        <v>0.81200000000000006</v>
      </c>
      <c r="E55" s="34">
        <f t="shared" si="7"/>
        <v>0</v>
      </c>
      <c r="F55" s="34">
        <f t="shared" si="7"/>
        <v>155.29299999999998</v>
      </c>
      <c r="G55" s="32">
        <f t="shared" si="7"/>
        <v>6.3529999999999998</v>
      </c>
      <c r="H55" s="75" t="s">
        <v>77</v>
      </c>
      <c r="I55" s="75"/>
      <c r="J55" s="75"/>
      <c r="K55" s="8"/>
    </row>
    <row r="56" spans="1:11">
      <c r="A56" s="43"/>
      <c r="B56" s="70"/>
      <c r="C56" s="72"/>
      <c r="D56" s="73"/>
      <c r="E56" s="34"/>
      <c r="F56" s="34"/>
      <c r="G56" s="32"/>
      <c r="H56" s="75"/>
      <c r="I56" s="75"/>
      <c r="J56" s="75"/>
      <c r="K56" s="8"/>
    </row>
    <row r="57" spans="1:11">
      <c r="A57" s="9" t="s">
        <v>78</v>
      </c>
      <c r="B57" s="26">
        <v>94.745999999999995</v>
      </c>
      <c r="C57" s="25" t="s">
        <v>191</v>
      </c>
      <c r="D57" s="24">
        <v>0.18</v>
      </c>
      <c r="E57" s="25" t="s">
        <v>191</v>
      </c>
      <c r="F57" s="24" t="s">
        <v>191</v>
      </c>
      <c r="G57" s="27" t="s">
        <v>191</v>
      </c>
      <c r="H57" s="10" t="s">
        <v>79</v>
      </c>
      <c r="I57" s="11"/>
      <c r="J57" s="11"/>
      <c r="K57" s="8"/>
    </row>
    <row r="58" spans="1:11">
      <c r="A58" s="9" t="s">
        <v>80</v>
      </c>
      <c r="B58" s="26">
        <v>25.15</v>
      </c>
      <c r="C58" s="25">
        <v>53.18</v>
      </c>
      <c r="D58" s="24">
        <v>0.3</v>
      </c>
      <c r="E58" s="25" t="s">
        <v>191</v>
      </c>
      <c r="F58" s="24">
        <v>20.54</v>
      </c>
      <c r="G58" s="27" t="s">
        <v>191</v>
      </c>
      <c r="H58" s="10" t="s">
        <v>81</v>
      </c>
      <c r="I58" s="11"/>
      <c r="J58" s="11"/>
      <c r="K58" s="8"/>
    </row>
    <row r="59" spans="1:11">
      <c r="A59" s="9" t="s">
        <v>82</v>
      </c>
      <c r="B59" s="26">
        <v>4.05</v>
      </c>
      <c r="C59" s="25" t="s">
        <v>191</v>
      </c>
      <c r="D59" s="24" t="s">
        <v>191</v>
      </c>
      <c r="E59" s="25" t="s">
        <v>191</v>
      </c>
      <c r="F59" s="24" t="s">
        <v>191</v>
      </c>
      <c r="G59" s="27" t="s">
        <v>191</v>
      </c>
      <c r="H59" s="10" t="s">
        <v>83</v>
      </c>
      <c r="I59" s="11"/>
      <c r="J59" s="11"/>
      <c r="K59" s="8"/>
    </row>
    <row r="60" spans="1:11">
      <c r="A60" s="9" t="s">
        <v>84</v>
      </c>
      <c r="B60" s="26">
        <v>1166.0129999999999</v>
      </c>
      <c r="C60" s="25">
        <v>222.06299999999999</v>
      </c>
      <c r="D60" s="24">
        <v>0.33200000000000002</v>
      </c>
      <c r="E60" s="25" t="s">
        <v>191</v>
      </c>
      <c r="F60" s="24">
        <v>134.75299999999999</v>
      </c>
      <c r="G60" s="27">
        <v>6.3529999999999998</v>
      </c>
      <c r="H60" s="10" t="s">
        <v>85</v>
      </c>
      <c r="I60" s="11"/>
      <c r="J60" s="11"/>
      <c r="K60" s="8"/>
    </row>
    <row r="61" spans="1:11">
      <c r="A61" s="9" t="s">
        <v>86</v>
      </c>
      <c r="B61" s="26">
        <v>48.45</v>
      </c>
      <c r="C61" s="25" t="s">
        <v>191</v>
      </c>
      <c r="D61" s="24" t="s">
        <v>191</v>
      </c>
      <c r="E61" s="25" t="s">
        <v>191</v>
      </c>
      <c r="F61" s="24" t="s">
        <v>191</v>
      </c>
      <c r="G61" s="27" t="s">
        <v>191</v>
      </c>
      <c r="H61" s="10" t="s">
        <v>87</v>
      </c>
      <c r="I61" s="11"/>
      <c r="J61" s="11"/>
      <c r="K61" s="8"/>
    </row>
    <row r="62" spans="1:11">
      <c r="A62" s="43" t="s">
        <v>88</v>
      </c>
      <c r="B62" s="70">
        <f>SUM(B64:B66)</f>
        <v>9192.7829999999994</v>
      </c>
      <c r="C62" s="72">
        <f t="shared" ref="C62:G62" si="8">SUM(C64:C66)</f>
        <v>4066.665</v>
      </c>
      <c r="D62" s="73">
        <f t="shared" si="8"/>
        <v>63.531999999999996</v>
      </c>
      <c r="E62" s="34">
        <f t="shared" si="8"/>
        <v>11.562000000000001</v>
      </c>
      <c r="F62" s="34">
        <f t="shared" si="8"/>
        <v>625.61399999999992</v>
      </c>
      <c r="G62" s="32">
        <f t="shared" si="8"/>
        <v>67.23</v>
      </c>
      <c r="H62" s="74" t="s">
        <v>89</v>
      </c>
      <c r="I62" s="74"/>
      <c r="J62" s="74"/>
      <c r="K62" s="8"/>
    </row>
    <row r="63" spans="1:11">
      <c r="A63" s="43"/>
      <c r="B63" s="70"/>
      <c r="C63" s="72"/>
      <c r="D63" s="73"/>
      <c r="E63" s="34"/>
      <c r="F63" s="34"/>
      <c r="G63" s="32"/>
      <c r="H63" s="74"/>
      <c r="I63" s="74"/>
      <c r="J63" s="74"/>
      <c r="K63" s="8"/>
    </row>
    <row r="64" spans="1:11">
      <c r="A64" s="9" t="s">
        <v>90</v>
      </c>
      <c r="B64" s="26">
        <v>3001.5039999999999</v>
      </c>
      <c r="C64" s="25">
        <v>975.745</v>
      </c>
      <c r="D64" s="24">
        <v>20.477</v>
      </c>
      <c r="E64" s="25">
        <v>10.582000000000001</v>
      </c>
      <c r="F64" s="24">
        <v>129.9</v>
      </c>
      <c r="G64" s="27">
        <v>4.38</v>
      </c>
      <c r="H64" s="10" t="s">
        <v>91</v>
      </c>
      <c r="I64" s="11"/>
      <c r="J64" s="11"/>
      <c r="K64" s="8"/>
    </row>
    <row r="65" spans="1:11">
      <c r="A65" s="9" t="s">
        <v>92</v>
      </c>
      <c r="B65" s="26">
        <v>5516.3890000000001</v>
      </c>
      <c r="C65" s="25">
        <v>3050.76</v>
      </c>
      <c r="D65" s="24">
        <v>42.865000000000002</v>
      </c>
      <c r="E65" s="25">
        <v>0.93</v>
      </c>
      <c r="F65" s="24">
        <v>412.41899999999998</v>
      </c>
      <c r="G65" s="27">
        <v>62.85</v>
      </c>
      <c r="H65" s="10" t="s">
        <v>93</v>
      </c>
      <c r="I65" s="11"/>
      <c r="J65" s="11"/>
      <c r="K65" s="8"/>
    </row>
    <row r="66" spans="1:11">
      <c r="A66" s="9" t="s">
        <v>94</v>
      </c>
      <c r="B66" s="26">
        <v>674.89</v>
      </c>
      <c r="C66" s="25">
        <v>40.159999999999997</v>
      </c>
      <c r="D66" s="24">
        <v>0.19</v>
      </c>
      <c r="E66" s="25">
        <v>0.05</v>
      </c>
      <c r="F66" s="24">
        <v>83.295000000000002</v>
      </c>
      <c r="G66" s="27" t="s">
        <v>191</v>
      </c>
      <c r="H66" s="10" t="s">
        <v>95</v>
      </c>
      <c r="I66" s="11"/>
      <c r="J66" s="11"/>
      <c r="K66" s="8"/>
    </row>
    <row r="67" spans="1:11">
      <c r="A67" s="43" t="s">
        <v>96</v>
      </c>
      <c r="B67" s="70">
        <f>SUM(B69:B73)</f>
        <v>8267.1859999999997</v>
      </c>
      <c r="C67" s="72">
        <f t="shared" ref="C67:G67" si="9">SUM(C69:C73)</f>
        <v>2561.748</v>
      </c>
      <c r="D67" s="73">
        <f t="shared" si="9"/>
        <v>68.134999999999991</v>
      </c>
      <c r="E67" s="34">
        <f t="shared" si="9"/>
        <v>49.315999999999995</v>
      </c>
      <c r="F67" s="34">
        <f t="shared" si="9"/>
        <v>972.90499999999997</v>
      </c>
      <c r="G67" s="32">
        <f t="shared" si="9"/>
        <v>22.588000000000001</v>
      </c>
      <c r="H67" s="75" t="s">
        <v>97</v>
      </c>
      <c r="I67" s="75"/>
      <c r="J67" s="75"/>
      <c r="K67" s="8"/>
    </row>
    <row r="68" spans="1:11">
      <c r="A68" s="43"/>
      <c r="B68" s="70"/>
      <c r="C68" s="72"/>
      <c r="D68" s="73"/>
      <c r="E68" s="34"/>
      <c r="F68" s="34"/>
      <c r="G68" s="32"/>
      <c r="H68" s="75"/>
      <c r="I68" s="75"/>
      <c r="J68" s="75"/>
      <c r="K68" s="8"/>
    </row>
    <row r="69" spans="1:11">
      <c r="A69" s="9" t="s">
        <v>98</v>
      </c>
      <c r="B69" s="26">
        <v>4328.3230000000003</v>
      </c>
      <c r="C69" s="25">
        <v>1563.3920000000001</v>
      </c>
      <c r="D69" s="24">
        <v>42.53</v>
      </c>
      <c r="E69" s="25">
        <v>31.2</v>
      </c>
      <c r="F69" s="24">
        <v>513.01300000000003</v>
      </c>
      <c r="G69" s="27">
        <v>21.25</v>
      </c>
      <c r="H69" s="10" t="s">
        <v>99</v>
      </c>
      <c r="I69" s="11"/>
      <c r="J69" s="11"/>
      <c r="K69" s="8"/>
    </row>
    <row r="70" spans="1:11">
      <c r="A70" s="9" t="s">
        <v>100</v>
      </c>
      <c r="B70" s="26">
        <v>877.87</v>
      </c>
      <c r="C70" s="25">
        <v>617.88499999999999</v>
      </c>
      <c r="D70" s="24">
        <v>12.605</v>
      </c>
      <c r="E70" s="25">
        <v>8.4600000000000009</v>
      </c>
      <c r="F70" s="24">
        <v>116.078</v>
      </c>
      <c r="G70" s="27" t="s">
        <v>191</v>
      </c>
      <c r="H70" s="10" t="s">
        <v>101</v>
      </c>
      <c r="I70" s="11"/>
      <c r="J70" s="11"/>
      <c r="K70" s="8"/>
    </row>
    <row r="71" spans="1:11">
      <c r="A71" s="9" t="s">
        <v>102</v>
      </c>
      <c r="B71" s="26">
        <v>627.71</v>
      </c>
      <c r="C71" s="25">
        <v>148.57</v>
      </c>
      <c r="D71" s="24">
        <v>11.68</v>
      </c>
      <c r="E71" s="25">
        <v>8.1790000000000003</v>
      </c>
      <c r="F71" s="24">
        <v>50.87</v>
      </c>
      <c r="G71" s="27">
        <v>1.3</v>
      </c>
      <c r="H71" s="10" t="s">
        <v>103</v>
      </c>
      <c r="I71" s="11"/>
      <c r="J71" s="11"/>
      <c r="K71" s="8"/>
    </row>
    <row r="72" spans="1:11">
      <c r="A72" s="9" t="s">
        <v>104</v>
      </c>
      <c r="B72" s="26">
        <v>1265.867</v>
      </c>
      <c r="C72" s="25">
        <v>120.901</v>
      </c>
      <c r="D72" s="24">
        <v>1.32</v>
      </c>
      <c r="E72" s="25">
        <v>1.4770000000000001</v>
      </c>
      <c r="F72" s="24">
        <v>178.43899999999999</v>
      </c>
      <c r="G72" s="27">
        <v>3.7999999999999999E-2</v>
      </c>
      <c r="H72" s="10" t="s">
        <v>105</v>
      </c>
      <c r="I72" s="11"/>
      <c r="J72" s="11"/>
      <c r="K72" s="8"/>
    </row>
    <row r="73" spans="1:11">
      <c r="A73" s="9" t="s">
        <v>106</v>
      </c>
      <c r="B73" s="26">
        <v>1167.4159999999999</v>
      </c>
      <c r="C73" s="25">
        <v>111</v>
      </c>
      <c r="D73" s="24" t="s">
        <v>191</v>
      </c>
      <c r="E73" s="25" t="s">
        <v>191</v>
      </c>
      <c r="F73" s="24">
        <v>114.505</v>
      </c>
      <c r="G73" s="27" t="s">
        <v>191</v>
      </c>
      <c r="H73" s="10" t="s">
        <v>107</v>
      </c>
      <c r="I73" s="11"/>
      <c r="J73" s="11"/>
      <c r="K73" s="8"/>
    </row>
    <row r="74" spans="1:11">
      <c r="A74" s="43" t="s">
        <v>108</v>
      </c>
      <c r="B74" s="70">
        <f>SUM(B76:B83)</f>
        <v>946.72</v>
      </c>
      <c r="C74" s="72">
        <f t="shared" ref="C74:G74" si="10">SUM(C76:C83)</f>
        <v>0</v>
      </c>
      <c r="D74" s="73">
        <f t="shared" si="10"/>
        <v>3.1459999999999999</v>
      </c>
      <c r="E74" s="34">
        <f t="shared" si="10"/>
        <v>0</v>
      </c>
      <c r="F74" s="34">
        <f t="shared" si="10"/>
        <v>21.479999999999997</v>
      </c>
      <c r="G74" s="32">
        <f t="shared" si="10"/>
        <v>0.89</v>
      </c>
      <c r="H74" s="75" t="s">
        <v>109</v>
      </c>
      <c r="I74" s="75"/>
      <c r="J74" s="75"/>
      <c r="K74" s="8"/>
    </row>
    <row r="75" spans="1:11">
      <c r="A75" s="43"/>
      <c r="B75" s="70"/>
      <c r="C75" s="72"/>
      <c r="D75" s="73"/>
      <c r="E75" s="34"/>
      <c r="F75" s="34"/>
      <c r="G75" s="32"/>
      <c r="H75" s="75"/>
      <c r="I75" s="75"/>
      <c r="J75" s="75"/>
      <c r="K75" s="8"/>
    </row>
    <row r="76" spans="1:11">
      <c r="A76" s="19" t="s">
        <v>110</v>
      </c>
      <c r="B76" s="26" t="s">
        <v>191</v>
      </c>
      <c r="C76" s="25" t="s">
        <v>191</v>
      </c>
      <c r="D76" s="24" t="s">
        <v>191</v>
      </c>
      <c r="E76" s="25" t="s">
        <v>191</v>
      </c>
      <c r="F76" s="24" t="s">
        <v>191</v>
      </c>
      <c r="G76" s="27" t="s">
        <v>191</v>
      </c>
      <c r="H76" s="10" t="s">
        <v>111</v>
      </c>
      <c r="I76" s="11"/>
      <c r="J76" s="11"/>
      <c r="K76" s="8"/>
    </row>
    <row r="77" spans="1:11">
      <c r="A77" s="19" t="s">
        <v>112</v>
      </c>
      <c r="B77" s="26" t="s">
        <v>191</v>
      </c>
      <c r="C77" s="25" t="s">
        <v>191</v>
      </c>
      <c r="D77" s="24" t="s">
        <v>191</v>
      </c>
      <c r="E77" s="25" t="s">
        <v>191</v>
      </c>
      <c r="F77" s="24" t="s">
        <v>191</v>
      </c>
      <c r="G77" s="27" t="s">
        <v>191</v>
      </c>
      <c r="H77" s="10" t="s">
        <v>113</v>
      </c>
      <c r="I77" s="11"/>
      <c r="J77" s="11"/>
      <c r="K77" s="8"/>
    </row>
    <row r="78" spans="1:11">
      <c r="A78" s="19" t="s">
        <v>114</v>
      </c>
      <c r="B78" s="26" t="s">
        <v>191</v>
      </c>
      <c r="C78" s="25" t="s">
        <v>191</v>
      </c>
      <c r="D78" s="24" t="s">
        <v>191</v>
      </c>
      <c r="E78" s="25" t="s">
        <v>191</v>
      </c>
      <c r="F78" s="24" t="s">
        <v>191</v>
      </c>
      <c r="G78" s="27" t="s">
        <v>191</v>
      </c>
      <c r="H78" s="10" t="s">
        <v>115</v>
      </c>
      <c r="I78" s="11"/>
      <c r="J78" s="11"/>
      <c r="K78" s="8"/>
    </row>
    <row r="79" spans="1:11">
      <c r="A79" s="19" t="s">
        <v>116</v>
      </c>
      <c r="B79" s="26" t="s">
        <v>191</v>
      </c>
      <c r="C79" s="25" t="s">
        <v>191</v>
      </c>
      <c r="D79" s="24" t="s">
        <v>191</v>
      </c>
      <c r="E79" s="25" t="s">
        <v>191</v>
      </c>
      <c r="F79" s="24" t="s">
        <v>191</v>
      </c>
      <c r="G79" s="27" t="s">
        <v>191</v>
      </c>
      <c r="H79" s="10" t="s">
        <v>117</v>
      </c>
      <c r="I79" s="11"/>
      <c r="J79" s="11"/>
      <c r="K79" s="8"/>
    </row>
    <row r="80" spans="1:11">
      <c r="A80" s="19" t="s">
        <v>118</v>
      </c>
      <c r="B80" s="26">
        <v>405.54700000000003</v>
      </c>
      <c r="C80" s="25" t="s">
        <v>191</v>
      </c>
      <c r="D80" s="24" t="s">
        <v>191</v>
      </c>
      <c r="E80" s="25" t="s">
        <v>191</v>
      </c>
      <c r="F80" s="24">
        <v>4.2140000000000004</v>
      </c>
      <c r="G80" s="27" t="s">
        <v>191</v>
      </c>
      <c r="H80" s="10" t="s">
        <v>119</v>
      </c>
      <c r="I80" s="11"/>
      <c r="J80" s="11"/>
      <c r="K80" s="8"/>
    </row>
    <row r="81" spans="1:11">
      <c r="A81" s="19" t="s">
        <v>120</v>
      </c>
      <c r="B81" s="26">
        <v>541.173</v>
      </c>
      <c r="C81" s="25" t="s">
        <v>191</v>
      </c>
      <c r="D81" s="24">
        <v>3.1459999999999999</v>
      </c>
      <c r="E81" s="25" t="s">
        <v>191</v>
      </c>
      <c r="F81" s="24">
        <v>17.265999999999998</v>
      </c>
      <c r="G81" s="27">
        <v>0.89</v>
      </c>
      <c r="H81" s="10" t="s">
        <v>121</v>
      </c>
      <c r="I81" s="11"/>
      <c r="J81" s="11"/>
      <c r="K81" s="8"/>
    </row>
    <row r="82" spans="1:11">
      <c r="A82" s="19" t="s">
        <v>122</v>
      </c>
      <c r="B82" s="26" t="s">
        <v>191</v>
      </c>
      <c r="C82" s="25" t="s">
        <v>191</v>
      </c>
      <c r="D82" s="24" t="s">
        <v>191</v>
      </c>
      <c r="E82" s="25" t="s">
        <v>191</v>
      </c>
      <c r="F82" s="24" t="s">
        <v>191</v>
      </c>
      <c r="G82" s="27" t="s">
        <v>191</v>
      </c>
      <c r="H82" s="10" t="s">
        <v>123</v>
      </c>
      <c r="I82" s="11"/>
      <c r="J82" s="11"/>
      <c r="K82" s="8"/>
    </row>
    <row r="83" spans="1:11">
      <c r="A83" s="19" t="s">
        <v>124</v>
      </c>
      <c r="B83" s="26" t="s">
        <v>191</v>
      </c>
      <c r="C83" s="25" t="s">
        <v>191</v>
      </c>
      <c r="D83" s="24" t="s">
        <v>191</v>
      </c>
      <c r="E83" s="25" t="s">
        <v>191</v>
      </c>
      <c r="F83" s="24" t="s">
        <v>191</v>
      </c>
      <c r="G83" s="27" t="s">
        <v>191</v>
      </c>
      <c r="H83" s="10" t="s">
        <v>125</v>
      </c>
      <c r="I83" s="11"/>
      <c r="J83" s="11"/>
      <c r="K83" s="8"/>
    </row>
    <row r="84" spans="1:11">
      <c r="A84" s="43" t="s">
        <v>126</v>
      </c>
      <c r="B84" s="70">
        <f>SUM(B86:B90)</f>
        <v>5110.4090000000006</v>
      </c>
      <c r="C84" s="72">
        <f t="shared" ref="C84:G84" si="11">SUM(C86:C90)</f>
        <v>1862.867</v>
      </c>
      <c r="D84" s="73">
        <f t="shared" si="11"/>
        <v>53.76</v>
      </c>
      <c r="E84" s="34">
        <f t="shared" si="11"/>
        <v>0.36</v>
      </c>
      <c r="F84" s="34">
        <f t="shared" si="11"/>
        <v>323.24399999999997</v>
      </c>
      <c r="G84" s="32">
        <f t="shared" si="11"/>
        <v>24.837</v>
      </c>
      <c r="H84" s="75" t="s">
        <v>127</v>
      </c>
      <c r="I84" s="75"/>
      <c r="J84" s="75"/>
      <c r="K84" s="8"/>
    </row>
    <row r="85" spans="1:11">
      <c r="A85" s="43"/>
      <c r="B85" s="70"/>
      <c r="C85" s="72"/>
      <c r="D85" s="73"/>
      <c r="E85" s="34"/>
      <c r="F85" s="34"/>
      <c r="G85" s="32"/>
      <c r="H85" s="75"/>
      <c r="I85" s="75"/>
      <c r="J85" s="75"/>
      <c r="K85" s="8"/>
    </row>
    <row r="86" spans="1:11">
      <c r="A86" s="9" t="s">
        <v>128</v>
      </c>
      <c r="B86" s="26">
        <v>4609.76</v>
      </c>
      <c r="C86" s="25">
        <v>1610.905</v>
      </c>
      <c r="D86" s="24">
        <v>53.76</v>
      </c>
      <c r="E86" s="25">
        <v>0.36</v>
      </c>
      <c r="F86" s="24">
        <v>235.81</v>
      </c>
      <c r="G86" s="27">
        <v>23.236999999999998</v>
      </c>
      <c r="H86" s="10" t="s">
        <v>129</v>
      </c>
      <c r="I86" s="11"/>
      <c r="J86" s="11"/>
      <c r="K86" s="8"/>
    </row>
    <row r="87" spans="1:11">
      <c r="A87" s="9" t="s">
        <v>130</v>
      </c>
      <c r="B87" s="26">
        <v>74.53</v>
      </c>
      <c r="C87" s="25">
        <v>0.7</v>
      </c>
      <c r="D87" s="24" t="s">
        <v>191</v>
      </c>
      <c r="E87" s="25" t="s">
        <v>191</v>
      </c>
      <c r="F87" s="24">
        <v>2.8559999999999999</v>
      </c>
      <c r="G87" s="27" t="s">
        <v>191</v>
      </c>
      <c r="H87" s="10" t="s">
        <v>131</v>
      </c>
      <c r="I87" s="11"/>
      <c r="J87" s="11"/>
      <c r="K87" s="8"/>
    </row>
    <row r="88" spans="1:11">
      <c r="A88" s="9" t="s">
        <v>132</v>
      </c>
      <c r="B88" s="26">
        <v>192.21100000000001</v>
      </c>
      <c r="C88" s="25">
        <v>72.23</v>
      </c>
      <c r="D88" s="24" t="s">
        <v>191</v>
      </c>
      <c r="E88" s="25" t="s">
        <v>191</v>
      </c>
      <c r="F88" s="24">
        <v>28.821999999999999</v>
      </c>
      <c r="G88" s="27" t="s">
        <v>191</v>
      </c>
      <c r="H88" s="10" t="s">
        <v>133</v>
      </c>
      <c r="I88" s="11"/>
      <c r="J88" s="11"/>
      <c r="K88" s="8"/>
    </row>
    <row r="89" spans="1:11">
      <c r="A89" s="9" t="s">
        <v>134</v>
      </c>
      <c r="B89" s="26">
        <v>84.93</v>
      </c>
      <c r="C89" s="25">
        <v>41.09</v>
      </c>
      <c r="D89" s="24" t="s">
        <v>191</v>
      </c>
      <c r="E89" s="25" t="s">
        <v>191</v>
      </c>
      <c r="F89" s="24">
        <v>10.904999999999999</v>
      </c>
      <c r="G89" s="27" t="s">
        <v>191</v>
      </c>
      <c r="H89" s="10" t="s">
        <v>135</v>
      </c>
      <c r="I89" s="11"/>
      <c r="J89" s="11"/>
      <c r="K89" s="8"/>
    </row>
    <row r="90" spans="1:11">
      <c r="A90" s="9" t="s">
        <v>136</v>
      </c>
      <c r="B90" s="26">
        <v>148.97800000000001</v>
      </c>
      <c r="C90" s="25">
        <v>137.94200000000001</v>
      </c>
      <c r="D90" s="24" t="s">
        <v>191</v>
      </c>
      <c r="E90" s="25" t="s">
        <v>191</v>
      </c>
      <c r="F90" s="24">
        <v>44.850999999999999</v>
      </c>
      <c r="G90" s="27">
        <v>1.6</v>
      </c>
      <c r="H90" s="10" t="s">
        <v>137</v>
      </c>
      <c r="I90" s="11"/>
      <c r="J90" s="11"/>
      <c r="K90" s="8"/>
    </row>
    <row r="91" spans="1:11">
      <c r="A91" s="43" t="s">
        <v>138</v>
      </c>
      <c r="B91" s="70">
        <f>SUM(B93:B105)</f>
        <v>876.6</v>
      </c>
      <c r="C91" s="72">
        <f t="shared" ref="C91:G91" si="12">SUM(C93:C105)</f>
        <v>2543.6879999999996</v>
      </c>
      <c r="D91" s="73">
        <f t="shared" si="12"/>
        <v>22.373000000000001</v>
      </c>
      <c r="E91" s="34">
        <f t="shared" si="12"/>
        <v>0.97499999999999998</v>
      </c>
      <c r="F91" s="34">
        <f t="shared" si="12"/>
        <v>931.35800000000017</v>
      </c>
      <c r="G91" s="32">
        <f t="shared" si="12"/>
        <v>113.705</v>
      </c>
      <c r="H91" s="75" t="s">
        <v>139</v>
      </c>
      <c r="I91" s="75"/>
      <c r="J91" s="75"/>
      <c r="K91" s="8"/>
    </row>
    <row r="92" spans="1:11">
      <c r="A92" s="43"/>
      <c r="B92" s="70"/>
      <c r="C92" s="72"/>
      <c r="D92" s="73"/>
      <c r="E92" s="34"/>
      <c r="F92" s="34"/>
      <c r="G92" s="32"/>
      <c r="H92" s="75"/>
      <c r="I92" s="75"/>
      <c r="J92" s="75"/>
      <c r="K92" s="8"/>
    </row>
    <row r="93" spans="1:11">
      <c r="A93" s="9" t="s">
        <v>140</v>
      </c>
      <c r="B93" s="26">
        <v>14.141999999999999</v>
      </c>
      <c r="C93" s="25">
        <v>24.818999999999999</v>
      </c>
      <c r="D93" s="24" t="s">
        <v>191</v>
      </c>
      <c r="E93" s="25" t="s">
        <v>191</v>
      </c>
      <c r="F93" s="24">
        <v>0.9</v>
      </c>
      <c r="G93" s="27">
        <v>2.11</v>
      </c>
      <c r="H93" s="10" t="s">
        <v>141</v>
      </c>
      <c r="I93" s="11"/>
      <c r="J93" s="11"/>
      <c r="K93" s="8"/>
    </row>
    <row r="94" spans="1:11">
      <c r="A94" s="9" t="s">
        <v>142</v>
      </c>
      <c r="B94" s="26">
        <v>38.948</v>
      </c>
      <c r="C94" s="25">
        <v>11.541</v>
      </c>
      <c r="D94" s="24" t="s">
        <v>191</v>
      </c>
      <c r="E94" s="25">
        <v>0.12</v>
      </c>
      <c r="F94" s="24">
        <v>4.2</v>
      </c>
      <c r="G94" s="27" t="s">
        <v>191</v>
      </c>
      <c r="H94" s="10" t="s">
        <v>143</v>
      </c>
      <c r="I94" s="11"/>
      <c r="J94" s="11"/>
      <c r="K94" s="8"/>
    </row>
    <row r="95" spans="1:11">
      <c r="A95" s="9" t="s">
        <v>144</v>
      </c>
      <c r="B95" s="26">
        <v>24.4</v>
      </c>
      <c r="C95" s="25">
        <v>95.16</v>
      </c>
      <c r="D95" s="24" t="s">
        <v>191</v>
      </c>
      <c r="E95" s="25" t="s">
        <v>191</v>
      </c>
      <c r="F95" s="24">
        <v>20.329999999999998</v>
      </c>
      <c r="G95" s="27" t="s">
        <v>191</v>
      </c>
      <c r="H95" s="10" t="s">
        <v>145</v>
      </c>
      <c r="I95" s="11"/>
      <c r="J95" s="11"/>
      <c r="K95" s="8"/>
    </row>
    <row r="96" spans="1:11">
      <c r="A96" s="9" t="s">
        <v>146</v>
      </c>
      <c r="B96" s="26">
        <v>179.7</v>
      </c>
      <c r="C96" s="25">
        <v>129.21</v>
      </c>
      <c r="D96" s="24" t="s">
        <v>191</v>
      </c>
      <c r="E96" s="25" t="s">
        <v>191</v>
      </c>
      <c r="F96" s="24">
        <v>89.91</v>
      </c>
      <c r="G96" s="27" t="s">
        <v>191</v>
      </c>
      <c r="H96" s="10" t="s">
        <v>147</v>
      </c>
      <c r="I96" s="11"/>
      <c r="J96" s="11"/>
      <c r="K96" s="8"/>
    </row>
    <row r="97" spans="1:11">
      <c r="A97" s="9" t="s">
        <v>148</v>
      </c>
      <c r="B97" s="26">
        <v>14.25</v>
      </c>
      <c r="C97" s="25">
        <v>5.55</v>
      </c>
      <c r="D97" s="24">
        <v>1.43</v>
      </c>
      <c r="E97" s="25">
        <v>0.85499999999999998</v>
      </c>
      <c r="F97" s="24">
        <v>2.59</v>
      </c>
      <c r="G97" s="27">
        <v>2.5920000000000001</v>
      </c>
      <c r="H97" s="10" t="s">
        <v>149</v>
      </c>
      <c r="I97" s="11"/>
      <c r="J97" s="11"/>
      <c r="K97" s="8"/>
    </row>
    <row r="98" spans="1:11">
      <c r="A98" s="9" t="s">
        <v>150</v>
      </c>
      <c r="B98" s="26">
        <v>57.5</v>
      </c>
      <c r="C98" s="25">
        <v>24.5</v>
      </c>
      <c r="D98" s="24">
        <v>1.7</v>
      </c>
      <c r="E98" s="25" t="s">
        <v>191</v>
      </c>
      <c r="F98" s="24" t="s">
        <v>191</v>
      </c>
      <c r="G98" s="27">
        <v>2.5</v>
      </c>
      <c r="H98" s="10" t="s">
        <v>151</v>
      </c>
      <c r="I98" s="11"/>
      <c r="J98" s="11"/>
      <c r="K98" s="8"/>
    </row>
    <row r="99" spans="1:11">
      <c r="A99" s="9" t="s">
        <v>152</v>
      </c>
      <c r="B99" s="26">
        <v>256.82499999999999</v>
      </c>
      <c r="C99" s="25">
        <v>66.73</v>
      </c>
      <c r="D99" s="24">
        <v>14.065</v>
      </c>
      <c r="E99" s="25" t="s">
        <v>191</v>
      </c>
      <c r="F99" s="24">
        <v>47.17</v>
      </c>
      <c r="G99" s="27" t="s">
        <v>191</v>
      </c>
      <c r="H99" s="10" t="s">
        <v>153</v>
      </c>
      <c r="I99" s="11"/>
      <c r="J99" s="11"/>
      <c r="K99" s="8"/>
    </row>
    <row r="100" spans="1:11">
      <c r="A100" s="9" t="s">
        <v>154</v>
      </c>
      <c r="B100" s="26">
        <v>37.979999999999997</v>
      </c>
      <c r="C100" s="25">
        <v>60.38</v>
      </c>
      <c r="D100" s="24" t="s">
        <v>191</v>
      </c>
      <c r="E100" s="25" t="s">
        <v>191</v>
      </c>
      <c r="F100" s="24">
        <v>34.630000000000003</v>
      </c>
      <c r="G100" s="27" t="s">
        <v>191</v>
      </c>
      <c r="H100" s="10" t="s">
        <v>155</v>
      </c>
      <c r="I100" s="11"/>
      <c r="J100" s="11"/>
      <c r="K100" s="8"/>
    </row>
    <row r="101" spans="1:11">
      <c r="A101" s="9" t="s">
        <v>156</v>
      </c>
      <c r="B101" s="26">
        <v>90</v>
      </c>
      <c r="C101" s="25">
        <v>44</v>
      </c>
      <c r="D101" s="24" t="s">
        <v>191</v>
      </c>
      <c r="E101" s="25" t="s">
        <v>191</v>
      </c>
      <c r="F101" s="24">
        <v>5.3</v>
      </c>
      <c r="G101" s="27" t="s">
        <v>191</v>
      </c>
      <c r="H101" s="10" t="s">
        <v>157</v>
      </c>
      <c r="I101" s="11"/>
      <c r="J101" s="11"/>
      <c r="K101" s="8"/>
    </row>
    <row r="102" spans="1:11">
      <c r="A102" s="9" t="s">
        <v>158</v>
      </c>
      <c r="B102" s="26">
        <v>116.67</v>
      </c>
      <c r="C102" s="25">
        <v>1923.7249999999999</v>
      </c>
      <c r="D102" s="24">
        <v>4.12</v>
      </c>
      <c r="E102" s="25" t="s">
        <v>191</v>
      </c>
      <c r="F102" s="24">
        <v>698.94</v>
      </c>
      <c r="G102" s="27">
        <v>100</v>
      </c>
      <c r="H102" s="10" t="s">
        <v>159</v>
      </c>
      <c r="I102" s="11"/>
      <c r="J102" s="11"/>
      <c r="K102" s="8"/>
    </row>
    <row r="103" spans="1:11">
      <c r="A103" s="9" t="s">
        <v>160</v>
      </c>
      <c r="B103" s="26">
        <v>5.1710000000000003</v>
      </c>
      <c r="C103" s="25">
        <v>75.138000000000005</v>
      </c>
      <c r="D103" s="24">
        <v>1.0580000000000001</v>
      </c>
      <c r="E103" s="25" t="s">
        <v>191</v>
      </c>
      <c r="F103" s="24">
        <v>4.9880000000000004</v>
      </c>
      <c r="G103" s="27">
        <v>6.5030000000000001</v>
      </c>
      <c r="H103" s="10" t="s">
        <v>161</v>
      </c>
      <c r="I103" s="11"/>
      <c r="J103" s="11"/>
      <c r="K103" s="8"/>
    </row>
    <row r="104" spans="1:11">
      <c r="A104" s="9" t="s">
        <v>162</v>
      </c>
      <c r="B104" s="26">
        <v>35.764000000000003</v>
      </c>
      <c r="C104" s="25">
        <v>32.835000000000001</v>
      </c>
      <c r="D104" s="24" t="s">
        <v>191</v>
      </c>
      <c r="E104" s="25" t="s">
        <v>191</v>
      </c>
      <c r="F104" s="24">
        <v>19.2</v>
      </c>
      <c r="G104" s="27" t="s">
        <v>191</v>
      </c>
      <c r="H104" s="10" t="s">
        <v>163</v>
      </c>
      <c r="I104" s="11"/>
      <c r="J104" s="11"/>
      <c r="K104" s="8"/>
    </row>
    <row r="105" spans="1:11">
      <c r="A105" s="9" t="s">
        <v>164</v>
      </c>
      <c r="B105" s="26">
        <v>5.25</v>
      </c>
      <c r="C105" s="25">
        <v>50.1</v>
      </c>
      <c r="D105" s="24" t="s">
        <v>191</v>
      </c>
      <c r="E105" s="25" t="s">
        <v>191</v>
      </c>
      <c r="F105" s="24">
        <v>3.2</v>
      </c>
      <c r="G105" s="27" t="s">
        <v>191</v>
      </c>
      <c r="H105" s="10" t="s">
        <v>165</v>
      </c>
      <c r="I105" s="11"/>
      <c r="J105" s="11"/>
      <c r="K105" s="8"/>
    </row>
    <row r="106" spans="1:11">
      <c r="A106" s="43" t="s">
        <v>166</v>
      </c>
      <c r="B106" s="70">
        <f>SUM(B108:B111)</f>
        <v>1260.6680000000001</v>
      </c>
      <c r="C106" s="72">
        <f t="shared" ref="C106:G106" si="13">SUM(C108:C111)</f>
        <v>6324.5839999999989</v>
      </c>
      <c r="D106" s="73">
        <f t="shared" si="13"/>
        <v>86.992999999999995</v>
      </c>
      <c r="E106" s="34">
        <f t="shared" si="13"/>
        <v>39.802000000000007</v>
      </c>
      <c r="F106" s="34">
        <f t="shared" si="13"/>
        <v>3049.8050000000003</v>
      </c>
      <c r="G106" s="32">
        <f t="shared" si="13"/>
        <v>16.014999999999997</v>
      </c>
      <c r="H106" s="75" t="s">
        <v>167</v>
      </c>
      <c r="I106" s="75"/>
      <c r="J106" s="75"/>
      <c r="K106" s="8"/>
    </row>
    <row r="107" spans="1:11">
      <c r="A107" s="43"/>
      <c r="B107" s="70"/>
      <c r="C107" s="72"/>
      <c r="D107" s="73"/>
      <c r="E107" s="34"/>
      <c r="F107" s="34"/>
      <c r="G107" s="32"/>
      <c r="H107" s="75"/>
      <c r="I107" s="75"/>
      <c r="J107" s="75"/>
      <c r="K107" s="8"/>
    </row>
    <row r="108" spans="1:11">
      <c r="A108" s="9" t="s">
        <v>168</v>
      </c>
      <c r="B108" s="26">
        <v>214.02699999999999</v>
      </c>
      <c r="C108" s="25">
        <v>1639.2719999999999</v>
      </c>
      <c r="D108" s="24">
        <v>8.2319999999999993</v>
      </c>
      <c r="E108" s="25">
        <v>24.28</v>
      </c>
      <c r="F108" s="24">
        <v>777.952</v>
      </c>
      <c r="G108" s="27">
        <v>0.17</v>
      </c>
      <c r="H108" s="10" t="s">
        <v>169</v>
      </c>
      <c r="I108" s="11"/>
      <c r="J108" s="11"/>
      <c r="K108" s="8"/>
    </row>
    <row r="109" spans="1:11">
      <c r="A109" s="9" t="s">
        <v>170</v>
      </c>
      <c r="B109" s="26">
        <v>213.02</v>
      </c>
      <c r="C109" s="25">
        <v>498.93</v>
      </c>
      <c r="D109" s="24">
        <v>63.411000000000001</v>
      </c>
      <c r="E109" s="25">
        <v>11.997</v>
      </c>
      <c r="F109" s="24">
        <v>264.13</v>
      </c>
      <c r="G109" s="27">
        <v>9.69</v>
      </c>
      <c r="H109" s="10" t="s">
        <v>171</v>
      </c>
      <c r="I109" s="11"/>
      <c r="J109" s="11"/>
      <c r="K109" s="8"/>
    </row>
    <row r="110" spans="1:11">
      <c r="A110" s="9" t="s">
        <v>172</v>
      </c>
      <c r="B110" s="26">
        <v>401.73599999999999</v>
      </c>
      <c r="C110" s="25">
        <v>2638.0450000000001</v>
      </c>
      <c r="D110" s="24">
        <v>2.359</v>
      </c>
      <c r="E110" s="25">
        <v>0.02</v>
      </c>
      <c r="F110" s="24">
        <v>879.41800000000001</v>
      </c>
      <c r="G110" s="27">
        <v>5.7549999999999999</v>
      </c>
      <c r="H110" s="10" t="s">
        <v>173</v>
      </c>
      <c r="I110" s="11"/>
      <c r="J110" s="11"/>
      <c r="K110" s="8"/>
    </row>
    <row r="111" spans="1:11" ht="15.65" thickBot="1">
      <c r="A111" s="20" t="s">
        <v>174</v>
      </c>
      <c r="B111" s="28">
        <v>431.88499999999999</v>
      </c>
      <c r="C111" s="29">
        <v>1548.337</v>
      </c>
      <c r="D111" s="30">
        <v>12.991</v>
      </c>
      <c r="E111" s="29">
        <v>3.5049999999999999</v>
      </c>
      <c r="F111" s="30">
        <v>1128.3050000000001</v>
      </c>
      <c r="G111" s="31">
        <v>0.4</v>
      </c>
      <c r="H111" s="21" t="s">
        <v>175</v>
      </c>
      <c r="I111" s="22"/>
      <c r="J111" s="22"/>
      <c r="K111" s="8"/>
    </row>
  </sheetData>
  <mergeCells count="118">
    <mergeCell ref="H106:J107"/>
    <mergeCell ref="H91:J92"/>
    <mergeCell ref="F91:F92"/>
    <mergeCell ref="A91:A92"/>
    <mergeCell ref="B91:B92"/>
    <mergeCell ref="C91:C92"/>
    <mergeCell ref="D91:D92"/>
    <mergeCell ref="E91:E92"/>
    <mergeCell ref="G91:G92"/>
    <mergeCell ref="A106:A107"/>
    <mergeCell ref="B106:B107"/>
    <mergeCell ref="C106:C107"/>
    <mergeCell ref="D106:D107"/>
    <mergeCell ref="E106:E107"/>
    <mergeCell ref="G106:G107"/>
    <mergeCell ref="F106:F107"/>
    <mergeCell ref="F74:F75"/>
    <mergeCell ref="A67:A68"/>
    <mergeCell ref="B67:B68"/>
    <mergeCell ref="C67:C68"/>
    <mergeCell ref="D67:D68"/>
    <mergeCell ref="E67:E68"/>
    <mergeCell ref="G84:G85"/>
    <mergeCell ref="H67:J68"/>
    <mergeCell ref="A74:A75"/>
    <mergeCell ref="B74:B75"/>
    <mergeCell ref="C74:C75"/>
    <mergeCell ref="D74:D75"/>
    <mergeCell ref="E74:E75"/>
    <mergeCell ref="G74:G75"/>
    <mergeCell ref="H74:J75"/>
    <mergeCell ref="F67:F68"/>
    <mergeCell ref="F84:F85"/>
    <mergeCell ref="H84:J85"/>
    <mergeCell ref="A84:A85"/>
    <mergeCell ref="B84:B85"/>
    <mergeCell ref="C84:C85"/>
    <mergeCell ref="D84:D85"/>
    <mergeCell ref="E84:E85"/>
    <mergeCell ref="F62:F63"/>
    <mergeCell ref="A55:A56"/>
    <mergeCell ref="B55:B56"/>
    <mergeCell ref="C55:C56"/>
    <mergeCell ref="D55:D56"/>
    <mergeCell ref="E55:E56"/>
    <mergeCell ref="G67:G68"/>
    <mergeCell ref="H55:J56"/>
    <mergeCell ref="A62:A63"/>
    <mergeCell ref="B62:B63"/>
    <mergeCell ref="C62:C63"/>
    <mergeCell ref="D62:D63"/>
    <mergeCell ref="E62:E63"/>
    <mergeCell ref="G62:G63"/>
    <mergeCell ref="H62:J63"/>
    <mergeCell ref="F55:F56"/>
    <mergeCell ref="F48:F49"/>
    <mergeCell ref="A41:A42"/>
    <mergeCell ref="B41:B42"/>
    <mergeCell ref="C41:C42"/>
    <mergeCell ref="D41:D42"/>
    <mergeCell ref="E41:E42"/>
    <mergeCell ref="G55:G56"/>
    <mergeCell ref="H41:J42"/>
    <mergeCell ref="A48:A49"/>
    <mergeCell ref="B48:B49"/>
    <mergeCell ref="C48:C49"/>
    <mergeCell ref="D48:D49"/>
    <mergeCell ref="E48:E49"/>
    <mergeCell ref="G48:G49"/>
    <mergeCell ref="H48:J49"/>
    <mergeCell ref="F41:F42"/>
    <mergeCell ref="G41:G42"/>
    <mergeCell ref="H21:J22"/>
    <mergeCell ref="A35:A36"/>
    <mergeCell ref="B35:B36"/>
    <mergeCell ref="C35:C36"/>
    <mergeCell ref="D35:D36"/>
    <mergeCell ref="E35:E36"/>
    <mergeCell ref="G35:G36"/>
    <mergeCell ref="H35:J36"/>
    <mergeCell ref="F21:F22"/>
    <mergeCell ref="G21:G22"/>
    <mergeCell ref="D9:D10"/>
    <mergeCell ref="E9:E10"/>
    <mergeCell ref="B13:B14"/>
    <mergeCell ref="C13:C14"/>
    <mergeCell ref="B11:B12"/>
    <mergeCell ref="C11:C12"/>
    <mergeCell ref="F35:F36"/>
    <mergeCell ref="A21:A22"/>
    <mergeCell ref="B21:B22"/>
    <mergeCell ref="C21:C22"/>
    <mergeCell ref="D21:D22"/>
    <mergeCell ref="E21:E22"/>
    <mergeCell ref="G13:G14"/>
    <mergeCell ref="H13:J14"/>
    <mergeCell ref="D13:D14"/>
    <mergeCell ref="E13:E14"/>
    <mergeCell ref="D11:D12"/>
    <mergeCell ref="E11:E12"/>
    <mergeCell ref="A2:J2"/>
    <mergeCell ref="A3:J3"/>
    <mergeCell ref="A4:J4"/>
    <mergeCell ref="I6:J6"/>
    <mergeCell ref="A7:A10"/>
    <mergeCell ref="H11:J12"/>
    <mergeCell ref="A13:A14"/>
    <mergeCell ref="G11:G12"/>
    <mergeCell ref="A11:A12"/>
    <mergeCell ref="B9:B10"/>
    <mergeCell ref="B7:C8"/>
    <mergeCell ref="D7:E8"/>
    <mergeCell ref="G7:G10"/>
    <mergeCell ref="F7:F10"/>
    <mergeCell ref="F11:F12"/>
    <mergeCell ref="F13:F14"/>
    <mergeCell ref="H7:J10"/>
    <mergeCell ref="C9:C10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2018-10-12T11:46:59Z</dcterms:modified>
</cp:coreProperties>
</file>