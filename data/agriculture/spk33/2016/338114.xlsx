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864" yWindow="-100" windowWidth="14851" windowHeight="497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3" i="1"/>
  <c r="B13"/>
  <c r="C109"/>
  <c r="C108"/>
  <c r="C107"/>
  <c r="C106"/>
  <c r="C103"/>
  <c r="C102"/>
  <c r="C101"/>
  <c r="C100"/>
  <c r="C99"/>
  <c r="C98"/>
  <c r="C97"/>
  <c r="C96"/>
  <c r="C95"/>
  <c r="C94"/>
  <c r="C93"/>
  <c r="C92"/>
  <c r="C91"/>
  <c r="C88"/>
  <c r="C87"/>
  <c r="C86"/>
  <c r="C85"/>
  <c r="C84"/>
  <c r="C81"/>
  <c r="C80"/>
  <c r="C79"/>
  <c r="C78"/>
  <c r="C77"/>
  <c r="C76"/>
  <c r="C75"/>
  <c r="C74"/>
  <c r="C71"/>
  <c r="C70"/>
  <c r="C69"/>
  <c r="C68"/>
  <c r="C65" s="1"/>
  <c r="C67"/>
  <c r="C64"/>
  <c r="C63"/>
  <c r="C62"/>
  <c r="C59"/>
  <c r="C58"/>
  <c r="C57"/>
  <c r="C56"/>
  <c r="C55"/>
  <c r="C52"/>
  <c r="C51"/>
  <c r="C50"/>
  <c r="C49"/>
  <c r="C48"/>
  <c r="C45"/>
  <c r="C44"/>
  <c r="C43"/>
  <c r="C42"/>
  <c r="C41"/>
  <c r="C38"/>
  <c r="C37"/>
  <c r="C36"/>
  <c r="C35"/>
  <c r="C32"/>
  <c r="C31"/>
  <c r="C30"/>
  <c r="C29"/>
  <c r="C27"/>
  <c r="C26"/>
  <c r="C25"/>
  <c r="C24"/>
  <c r="C23"/>
  <c r="C22"/>
  <c r="C21"/>
  <c r="C15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27"/>
  <c r="B26"/>
  <c r="B25"/>
  <c r="B24"/>
  <c r="B23"/>
  <c r="B22"/>
  <c r="B21"/>
  <c r="C14"/>
  <c r="C16"/>
  <c r="C17"/>
  <c r="C18"/>
  <c r="C11"/>
  <c r="B14"/>
  <c r="B15"/>
  <c r="B16"/>
  <c r="B17"/>
  <c r="B18"/>
  <c r="D11"/>
  <c r="D19"/>
  <c r="D104"/>
  <c r="D89"/>
  <c r="D82"/>
  <c r="D72"/>
  <c r="D65"/>
  <c r="D60"/>
  <c r="D53"/>
  <c r="D46"/>
  <c r="D39"/>
  <c r="D33"/>
  <c r="D28"/>
  <c r="E11"/>
  <c r="E28"/>
  <c r="F28"/>
  <c r="G28"/>
  <c r="H28"/>
  <c r="I28"/>
  <c r="J28"/>
  <c r="K28"/>
  <c r="F19"/>
  <c r="E19"/>
  <c r="G19"/>
  <c r="H19"/>
  <c r="I19"/>
  <c r="J19"/>
  <c r="K19"/>
  <c r="K104"/>
  <c r="J104"/>
  <c r="I104"/>
  <c r="H104"/>
  <c r="G104"/>
  <c r="F104"/>
  <c r="E104"/>
  <c r="K89"/>
  <c r="J89"/>
  <c r="I89"/>
  <c r="H89"/>
  <c r="G89"/>
  <c r="F89"/>
  <c r="E89"/>
  <c r="K82"/>
  <c r="J82"/>
  <c r="I82"/>
  <c r="H82"/>
  <c r="G82"/>
  <c r="F82"/>
  <c r="E82"/>
  <c r="K72"/>
  <c r="J72"/>
  <c r="I72"/>
  <c r="H72"/>
  <c r="G72"/>
  <c r="F72"/>
  <c r="E72"/>
  <c r="K65"/>
  <c r="J65"/>
  <c r="I65"/>
  <c r="H65"/>
  <c r="G65"/>
  <c r="F65"/>
  <c r="E65"/>
  <c r="K60"/>
  <c r="J60"/>
  <c r="I60"/>
  <c r="H60"/>
  <c r="G60"/>
  <c r="F60"/>
  <c r="E60"/>
  <c r="K53"/>
  <c r="J53"/>
  <c r="I53"/>
  <c r="H53"/>
  <c r="G53"/>
  <c r="F53"/>
  <c r="E53"/>
  <c r="K46"/>
  <c r="J46"/>
  <c r="I46"/>
  <c r="H46"/>
  <c r="G46"/>
  <c r="F46"/>
  <c r="E46"/>
  <c r="K39"/>
  <c r="J39"/>
  <c r="I39"/>
  <c r="H39"/>
  <c r="G39"/>
  <c r="F39"/>
  <c r="E39"/>
  <c r="K33"/>
  <c r="J33"/>
  <c r="I33"/>
  <c r="H33"/>
  <c r="G33"/>
  <c r="F33"/>
  <c r="E33"/>
  <c r="K11"/>
  <c r="J11"/>
  <c r="I11"/>
  <c r="H11"/>
  <c r="G11"/>
  <c r="F11"/>
  <c r="C82" l="1"/>
  <c r="C39"/>
  <c r="C33"/>
  <c r="B11"/>
  <c r="C104"/>
  <c r="C53"/>
  <c r="D9"/>
  <c r="C46"/>
  <c r="C60"/>
  <c r="B72"/>
  <c r="C28"/>
  <c r="C89"/>
  <c r="B104"/>
  <c r="B89"/>
  <c r="B28"/>
  <c r="B19"/>
  <c r="C72"/>
  <c r="C19"/>
  <c r="B65"/>
  <c r="B53"/>
  <c r="B39"/>
  <c r="B33"/>
  <c r="B82"/>
  <c r="B60"/>
  <c r="B46"/>
  <c r="H9"/>
  <c r="K9"/>
  <c r="G9"/>
  <c r="I9"/>
  <c r="J9"/>
  <c r="F9"/>
  <c r="E9"/>
  <c r="C9" l="1"/>
  <c r="B9"/>
</calcChain>
</file>

<file path=xl/sharedStrings.xml><?xml version="1.0" encoding="utf-8"?>
<sst xmlns="http://schemas.openxmlformats.org/spreadsheetml/2006/main" count="403" uniqueCount="194">
  <si>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</si>
  <si>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</si>
  <si>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</si>
  <si>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</si>
  <si>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</si>
  <si>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</si>
  <si>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</si>
  <si>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</si>
  <si>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</si>
  <si>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</si>
  <si>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</si>
  <si>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</si>
  <si>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</si>
  <si>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</si>
  <si>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</si>
  <si>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</si>
  <si>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</si>
  <si>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</si>
  <si>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</si>
  <si>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</si>
  <si>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</si>
  <si>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</si>
  <si>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</si>
  <si>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</si>
  <si>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</si>
  <si>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</si>
  <si>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</si>
  <si>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</si>
  <si>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</si>
  <si>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</si>
  <si>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</si>
  <si>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</si>
  <si>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</si>
  <si>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</si>
  <si>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</si>
  <si>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</si>
  <si>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</si>
  <si>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</si>
  <si>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</si>
  <si>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</si>
  <si>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</si>
  <si>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</si>
  <si>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</si>
  <si>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</si>
  <si>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</si>
  <si>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</si>
  <si>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</si>
  <si>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</si>
  <si>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</si>
  <si>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</si>
  <si>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</si>
  <si>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</si>
  <si>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</si>
  <si>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</si>
  <si>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</si>
  <si>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</si>
  <si>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</si>
  <si>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</si>
  <si>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</si>
  <si>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</si>
  <si>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</si>
  <si>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</si>
  <si>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</si>
  <si>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</si>
  <si>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</si>
  <si>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</si>
  <si>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</si>
  <si>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</si>
  <si>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</si>
  <si>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</si>
  <si>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</si>
  <si>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</si>
  <si>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</si>
  <si>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</si>
  <si>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</si>
  <si>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</si>
  <si>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</si>
  <si>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</si>
  <si>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</si>
  <si>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</si>
  <si>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</si>
  <si>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</si>
  <si>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</si>
  <si>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</si>
  <si>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</si>
  <si>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</si>
  <si>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</si>
  <si>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</si>
  <si>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</si>
  <si>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</si>
  <si>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</si>
  <si>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</si>
  <si>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</si>
  <si>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</si>
  <si>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</si>
  <si>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</si>
  <si>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</si>
  <si>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</si>
  <si>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</si>
  <si>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</si>
  <si>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</si>
  <si>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</si>
  <si>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</si>
  <si>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</si>
  <si>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</si>
  <si>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</si>
  <si>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</si>
  <si>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</si>
  <si>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</si>
  <si>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</si>
  <si>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</si>
  <si>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</si>
  <si>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</si>
  <si>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</si>
  <si>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</si>
  <si>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</si>
  <si>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</si>
  <si>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</si>
  <si>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</si>
  <si>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</si>
  <si>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</si>
  <si>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</si>
  <si>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</si>
  <si>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</si>
  <si>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</si>
  <si>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</si>
  <si>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</si>
  <si>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</si>
  <si>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</si>
  <si>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</si>
  <si>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</si>
  <si>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</si>
  <si>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</si>
  <si>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</si>
  <si>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</si>
  <si>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</si>
  <si>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</si>
  <si>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</si>
  <si>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</si>
  <si>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</si>
  <si>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</si>
  <si>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</si>
  <si>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</si>
  <si>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</si>
  <si>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</si>
  <si>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</si>
  <si>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</si>
  <si>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</si>
  <si>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</si>
  <si>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</si>
  <si>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</si>
  <si>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</si>
  <si>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</si>
  <si>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</si>
  <si>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</si>
  <si>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</si>
  <si>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</si>
  <si>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</si>
  <si>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</si>
  <si>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</si>
  <si>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</si>
  <si>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</si>
  <si>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</si>
  <si>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</si>
  <si>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</si>
  <si>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</si>
  <si>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</si>
  <si>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</si>
  <si>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</si>
  <si>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</si>
  <si>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</si>
  <si>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</si>
  <si>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</si>
  <si>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</si>
  <si>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</si>
  <si>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</si>
  <si>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</si>
  <si>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</si>
  <si>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</si>
  <si>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</si>
  <si>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</si>
  <si>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</si>
  <si>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</si>
  <si>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</si>
  <si>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Βοοειδή ενός (1) μέχρι δύο (2) ετών
Bovine animals 
between one (1) and two (2) years old</t>
  </si>
  <si>
    <t>Βοοειδή δύο (2) ετών και άνω
Bovine animals of two (2) years of age or more</t>
  </si>
  <si>
    <t>Αγελάδες γαλακτοπαραγωγής
Cows for milk production</t>
  </si>
  <si>
    <t>Βοοειδή άρρενα
Bovine male</t>
  </si>
  <si>
    <t>Δαμάλια
Heifers</t>
  </si>
  <si>
    <t>Άλλες αγελάδες (για παραγωγή βοοειδών πάχυνσης)
Other cows (reproductive of meat production bovine)</t>
  </si>
  <si>
    <t>Βόδια, ταύροι, δαμάλια, αγελάδες και βουβάλια (όλων των ηλικιών) 
Oxen, bulls, heifers, cows and buffaloes (all ages)</t>
  </si>
  <si>
    <t>Πίνακας 2. Βόδια, ταύροι, δαμάλια, αγελάδες και βουβάλια (όλων των ηλικιών) στις 31.12.2016, κατά Περιφέρεια και Περιφερειακή Ενότητα</t>
  </si>
  <si>
    <t>Table 2. Oxen, bulls, heifers, cows and buffaloes (all ages) on 31st December 2016, by Region and Regional Unities</t>
  </si>
  <si>
    <t>―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</si>
</sst>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31" xfId="0" applyNumberFormat="1" applyFont="1" applyFill="1" applyBorder="1" applyAlignment="1" applyProtection="1">
      <alignment horizontal="center" vertical="center" wrapText="1"/>
    </xf>
    <xf numFmtId="0" fontId="3" fillId="0" borderId="3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22" xfId="0" quotePrefix="1" applyNumberFormat="1" applyFont="1" applyFill="1" applyBorder="1" applyAlignment="1" applyProtection="1">
      <alignment horizontal="right"/>
    </xf>
    <xf numFmtId="3" fontId="3" fillId="0" borderId="28" xfId="0" quotePrefix="1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22" xfId="0" quotePrefix="1" applyNumberFormat="1" applyFont="1" applyFill="1" applyBorder="1" applyAlignment="1" applyProtection="1">
      <alignment horizontal="right" vertical="center"/>
    </xf>
    <xf numFmtId="3" fontId="2" fillId="0" borderId="28" xfId="0" quotePrefix="1" applyNumberFormat="1" applyFont="1" applyFill="1" applyBorder="1" applyAlignment="1" applyProtection="1">
      <alignment horizontal="right" vertical="center"/>
    </xf>
    <xf numFmtId="3" fontId="2" fillId="0" borderId="5" xfId="0" quotePrefix="1" applyNumberFormat="1" applyFont="1" applyFill="1" applyBorder="1" applyAlignment="1" applyProtection="1">
      <alignment horizontal="right" vertical="center"/>
    </xf>
    <xf numFmtId="3" fontId="2" fillId="0" borderId="23" xfId="0" quotePrefix="1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25" xfId="0" quotePrefix="1" applyNumberFormat="1" applyFont="1" applyFill="1" applyBorder="1" applyAlignment="1" applyProtection="1">
      <alignment horizontal="right"/>
    </xf>
    <xf numFmtId="3" fontId="3" fillId="0" borderId="29" xfId="0" quotePrefix="1" applyNumberFormat="1" applyFont="1" applyFill="1" applyBorder="1" applyAlignment="1" applyProtection="1">
      <alignment horizontal="right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49" fontId="3" fillId="0" borderId="6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0" fontId="1" fillId="0" borderId="0" xfId="0" applyFont="1" applyBorder="1" applyAlignment="1">
      <alignment horizontal="right" vertical="center"/>
    </xf>
    <xf numFmtId="49" fontId="0" fillId="0" borderId="0" xfId="0" applyNumberFormat="1" applyFont="1"/>
    <xf numFmtId="0" fontId="6" fillId="0" borderId="1" xfId="0" applyNumberFormat="1" applyFont="1" applyFill="1" applyBorder="1" applyAlignment="1" applyProtection="1">
      <alignment horizontal="left"/>
    </xf>
    <xf numFmtId="3" fontId="7" fillId="0" borderId="5" xfId="0" applyNumberFormat="1" applyFont="1" applyBorder="1" applyAlignment="1">
      <alignment horizontal="right" vertical="top" wrapText="1"/>
    </xf>
    <xf numFmtId="3" fontId="7" fillId="0" borderId="0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0" xfId="0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3" fontId="7" fillId="0" borderId="24" xfId="0" applyNumberFormat="1" applyFont="1" applyBorder="1" applyAlignment="1">
      <alignment horizontal="right" vertical="top" wrapText="1"/>
    </xf>
    <xf numFmtId="3" fontId="7" fillId="0" borderId="8" xfId="0" applyNumberFormat="1" applyFont="1" applyBorder="1" applyAlignment="1">
      <alignment horizontal="right" vertical="top" wrapText="1"/>
    </xf>
    <xf numFmtId="3" fontId="7" fillId="0" borderId="1" xfId="0" applyNumberFormat="1" applyFont="1" applyBorder="1" applyAlignment="1">
      <alignment horizontal="right" vertical="top" wrapText="1"/>
    </xf>
    <xf numFmtId="0" fontId="7" fillId="0" borderId="8" xfId="0" applyFont="1" applyBorder="1" applyAlignment="1">
      <alignment horizontal="right" vertical="top" wrapText="1"/>
    </xf>
    <xf numFmtId="0" fontId="7" fillId="0" borderId="34" xfId="0" applyFont="1" applyBorder="1" applyAlignment="1">
      <alignment horizontal="right" vertical="top" wrapText="1"/>
    </xf>
    <xf numFmtId="3" fontId="0" fillId="0" borderId="0" xfId="0" applyNumberFormat="1" applyFont="1"/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0" xfId="0" applyNumberFormat="1" applyFont="1" applyFill="1" applyBorder="1" applyAlignment="1" applyProtection="1">
      <alignment horizontal="right" vertical="center" wrapText="1"/>
    </xf>
    <xf numFmtId="3" fontId="2" fillId="0" borderId="5" xfId="0" applyNumberFormat="1" applyFont="1" applyFill="1" applyBorder="1" applyAlignment="1" applyProtection="1">
      <alignment horizontal="right" vertical="center" wrapText="1"/>
    </xf>
    <xf numFmtId="3" fontId="2" fillId="0" borderId="5" xfId="0" applyNumberFormat="1" applyFont="1" applyBorder="1" applyAlignment="1">
      <alignment horizontal="right" vertical="center"/>
    </xf>
    <xf numFmtId="0" fontId="3" fillId="0" borderId="1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>
      <alignment horizontal="right"/>
    </xf>
    <xf numFmtId="0" fontId="2" fillId="0" borderId="19" xfId="0" applyNumberFormat="1" applyFont="1" applyFill="1" applyBorder="1" applyAlignment="1" applyProtection="1">
      <alignment horizontal="left" vertical="center" wrapText="1"/>
    </xf>
    <xf numFmtId="3" fontId="2" fillId="0" borderId="9" xfId="0" applyNumberFormat="1" applyFont="1" applyFill="1" applyBorder="1" applyAlignment="1" applyProtection="1">
      <alignment horizontal="right" vertical="center" wrapText="1"/>
    </xf>
    <xf numFmtId="3" fontId="2" fillId="0" borderId="23" xfId="0" applyNumberFormat="1" applyFont="1" applyFill="1" applyBorder="1" applyAlignment="1" applyProtection="1">
      <alignment horizontal="right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49" fontId="2" fillId="0" borderId="19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33" xfId="0" applyNumberFormat="1" applyFont="1" applyFill="1" applyBorder="1" applyAlignment="1" applyProtection="1">
      <alignment horizontal="right" vertical="center" wrapText="1"/>
    </xf>
    <xf numFmtId="3" fontId="2" fillId="0" borderId="27" xfId="0" applyNumberFormat="1" applyFont="1" applyFill="1" applyBorder="1" applyAlignment="1" applyProtection="1">
      <alignment horizontal="right" vertical="center" wrapText="1"/>
    </xf>
    <xf numFmtId="0" fontId="1" fillId="0" borderId="0" xfId="0" applyFont="1" applyBorder="1" applyAlignment="1">
      <alignment horizontal="left" vertical="center" wrapText="1"/>
    </xf>
    <xf numFmtId="3" fontId="2" fillId="0" borderId="23" xfId="0" applyNumberFormat="1" applyFont="1" applyBorder="1" applyAlignment="1">
      <alignment horizontal="right" vertical="center"/>
    </xf>
    <xf numFmtId="3" fontId="2" fillId="0" borderId="22" xfId="0" applyNumberFormat="1" applyFont="1" applyBorder="1" applyAlignment="1">
      <alignment horizontal="right" vertical="center"/>
    </xf>
    <xf numFmtId="3" fontId="2" fillId="0" borderId="28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3" fontId="2" fillId="0" borderId="5" xfId="0" applyNumberFormat="1" applyFont="1" applyFill="1" applyBorder="1" applyAlignment="1" applyProtection="1">
      <alignment horizontal="right" vertical="center"/>
    </xf>
    <xf numFmtId="3" fontId="2" fillId="0" borderId="23" xfId="0" applyNumberFormat="1" applyFont="1" applyFill="1" applyBorder="1" applyAlignment="1" applyProtection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left" wrapText="1" indent="1"/>
    </xf>
    <xf numFmtId="49" fontId="1" fillId="0" borderId="0" xfId="0" applyNumberFormat="1" applyFont="1" applyBorder="1" applyAlignment="1">
      <alignment horizontal="left" vertical="center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2" fillId="0" borderId="3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36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showGridLines="0" tabSelected="1" workbookViewId="0">
      <selection activeCell="F9" sqref="F9:F10"/>
    </sheetView>
  </sheetViews>
  <sheetFormatPr defaultRowHeight="15.05"/>
  <cols>
    <col min="1" max="1" width="43.109375" style="3" bestFit="1" customWidth="1"/>
    <col min="2" max="3" width="9.5546875" style="3" customWidth="1"/>
    <col min="4" max="4" width="9" style="3" customWidth="1"/>
    <col min="5" max="5" width="10" style="3" customWidth="1"/>
    <col min="6" max="6" width="17.33203125" style="3" customWidth="1"/>
    <col min="7" max="7" width="11.5546875" style="3" customWidth="1"/>
    <col min="8" max="8" width="8" style="3" bestFit="1" customWidth="1"/>
    <col min="9" max="9" width="16.33203125" style="3" customWidth="1"/>
    <col min="10" max="11" width="12.44140625" style="3" customWidth="1"/>
    <col min="12" max="12" width="11.5546875" style="3" customWidth="1"/>
    <col min="13" max="13" width="10.21875" style="3" customWidth="1"/>
    <col min="14" max="14" width="16.33203125" style="3" customWidth="1"/>
    <col min="15" max="15" width="10.109375" style="3" customWidth="1"/>
    <col min="16" max="16384" width="8.88671875" style="3"/>
  </cols>
  <sheetData>
    <row r="1" spans="1:15">
      <c r="M1" s="57"/>
    </row>
    <row r="2" spans="1:15" ht="18.2">
      <c r="A2" s="101" t="s">
        <v>191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"/>
      <c r="O2" s="2"/>
    </row>
    <row r="3" spans="1:15" ht="18.2">
      <c r="A3" s="101" t="s">
        <v>192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/>
      <c r="O3" s="2"/>
    </row>
    <row r="4" spans="1:15">
      <c r="B4" s="5"/>
      <c r="C4" s="5"/>
      <c r="D4" s="5"/>
      <c r="E4" s="5"/>
      <c r="F4" s="5"/>
      <c r="G4" s="5"/>
      <c r="H4" s="5"/>
      <c r="I4" s="105"/>
      <c r="J4" s="5"/>
      <c r="K4" s="5"/>
      <c r="L4" s="4"/>
      <c r="M4" s="4"/>
      <c r="N4" s="4"/>
      <c r="O4" s="2"/>
    </row>
    <row r="5" spans="1:15" ht="15.65" thickBot="1">
      <c r="A5" s="46" t="s">
        <v>102</v>
      </c>
      <c r="B5" s="6"/>
      <c r="C5" s="6"/>
      <c r="D5" s="6"/>
      <c r="E5" s="6"/>
      <c r="F5" s="6"/>
      <c r="G5" s="6"/>
      <c r="H5" s="62"/>
      <c r="I5" s="62"/>
      <c r="J5" s="62"/>
      <c r="K5" s="62"/>
      <c r="L5" s="7"/>
      <c r="M5" s="63" t="s">
        <v>103</v>
      </c>
      <c r="N5" s="63"/>
      <c r="O5" s="8"/>
    </row>
    <row r="6" spans="1:15" ht="29.45" customHeight="1">
      <c r="A6" s="106" t="s">
        <v>0</v>
      </c>
      <c r="B6" s="70" t="s">
        <v>190</v>
      </c>
      <c r="C6" s="71"/>
      <c r="D6" s="71"/>
      <c r="E6" s="71"/>
      <c r="F6" s="71"/>
      <c r="G6" s="71"/>
      <c r="H6" s="71"/>
      <c r="I6" s="72"/>
      <c r="J6" s="88" t="s">
        <v>109</v>
      </c>
      <c r="K6" s="89"/>
      <c r="L6" s="109" t="s">
        <v>1</v>
      </c>
      <c r="M6" s="110"/>
      <c r="N6" s="110"/>
      <c r="O6" s="9"/>
    </row>
    <row r="7" spans="1:15" ht="90.2" customHeight="1">
      <c r="A7" s="107"/>
      <c r="B7" s="103" t="s">
        <v>106</v>
      </c>
      <c r="C7" s="104"/>
      <c r="D7" s="67" t="s">
        <v>184</v>
      </c>
      <c r="E7" s="68"/>
      <c r="F7" s="67" t="s">
        <v>185</v>
      </c>
      <c r="G7" s="69"/>
      <c r="H7" s="69"/>
      <c r="I7" s="68"/>
      <c r="J7" s="97" t="s">
        <v>108</v>
      </c>
      <c r="K7" s="95" t="s">
        <v>107</v>
      </c>
      <c r="L7" s="111"/>
      <c r="M7" s="112"/>
      <c r="N7" s="112"/>
      <c r="O7" s="9"/>
    </row>
    <row r="8" spans="1:15" ht="79.55" customHeight="1">
      <c r="A8" s="108"/>
      <c r="B8" s="10" t="s">
        <v>108</v>
      </c>
      <c r="C8" s="11" t="s">
        <v>107</v>
      </c>
      <c r="D8" s="12" t="s">
        <v>108</v>
      </c>
      <c r="E8" s="13" t="s">
        <v>107</v>
      </c>
      <c r="F8" s="11" t="s">
        <v>186</v>
      </c>
      <c r="G8" s="14" t="s">
        <v>187</v>
      </c>
      <c r="H8" s="14" t="s">
        <v>188</v>
      </c>
      <c r="I8" s="15" t="s">
        <v>189</v>
      </c>
      <c r="J8" s="98"/>
      <c r="K8" s="96"/>
      <c r="L8" s="113"/>
      <c r="M8" s="114"/>
      <c r="N8" s="114"/>
      <c r="O8" s="9"/>
    </row>
    <row r="9" spans="1:15">
      <c r="A9" s="73" t="s">
        <v>2</v>
      </c>
      <c r="B9" s="75">
        <f>SUM(B11,B19,B28,B33,B39,B46,B53,B60,B65,B72,B82,B89,B104)</f>
        <v>492136</v>
      </c>
      <c r="C9" s="59">
        <f>SUM(C11,C19,C28,C33,C39,C46,C53,C60,C65,C72,C82,C89,C104)</f>
        <v>121254</v>
      </c>
      <c r="D9" s="59">
        <f>SUM(D11,D19,D28,D33,D39,D46,D53,D60,D65,D72,D82,D89,D104)</f>
        <v>92539</v>
      </c>
      <c r="E9" s="59">
        <f t="shared" ref="E9:K9" si="0">SUM(E11,E19,E28,E33,E39,E46,E53,E60,E65,E72,E82,E89,E104)</f>
        <v>84403</v>
      </c>
      <c r="F9" s="59">
        <f t="shared" si="0"/>
        <v>136886</v>
      </c>
      <c r="G9" s="59">
        <f t="shared" si="0"/>
        <v>35637</v>
      </c>
      <c r="H9" s="59">
        <f t="shared" si="0"/>
        <v>23428</v>
      </c>
      <c r="I9" s="59">
        <f t="shared" si="0"/>
        <v>235964</v>
      </c>
      <c r="J9" s="59">
        <f t="shared" si="0"/>
        <v>3319</v>
      </c>
      <c r="K9" s="65">
        <f t="shared" si="0"/>
        <v>1214</v>
      </c>
      <c r="L9" s="64" t="s">
        <v>3</v>
      </c>
      <c r="M9" s="64"/>
      <c r="N9" s="64"/>
      <c r="O9" s="9"/>
    </row>
    <row r="10" spans="1:15">
      <c r="A10" s="74"/>
      <c r="B10" s="76"/>
      <c r="C10" s="60"/>
      <c r="D10" s="60"/>
      <c r="E10" s="60"/>
      <c r="F10" s="60"/>
      <c r="G10" s="60"/>
      <c r="H10" s="60"/>
      <c r="I10" s="60"/>
      <c r="J10" s="60"/>
      <c r="K10" s="66"/>
      <c r="L10" s="58"/>
      <c r="M10" s="58"/>
      <c r="N10" s="58"/>
      <c r="O10" s="9"/>
    </row>
    <row r="11" spans="1:15">
      <c r="A11" s="74" t="s">
        <v>4</v>
      </c>
      <c r="B11" s="79">
        <f>SUM(B13:B18)</f>
        <v>73485</v>
      </c>
      <c r="C11" s="80">
        <f>SUM(C13:C18)</f>
        <v>17491</v>
      </c>
      <c r="D11" s="61">
        <f>SUM(D13:D18)</f>
        <v>16603</v>
      </c>
      <c r="E11" s="61">
        <f>SUM(E13:E18)</f>
        <v>12359</v>
      </c>
      <c r="F11" s="61">
        <f t="shared" ref="F11:K11" si="1">SUM(F13:F18)</f>
        <v>23361</v>
      </c>
      <c r="G11" s="61">
        <f t="shared" si="1"/>
        <v>5126</v>
      </c>
      <c r="H11" s="61">
        <f t="shared" si="1"/>
        <v>5014</v>
      </c>
      <c r="I11" s="61">
        <f t="shared" si="1"/>
        <v>28497</v>
      </c>
      <c r="J11" s="61">
        <f t="shared" si="1"/>
        <v>10</v>
      </c>
      <c r="K11" s="78">
        <f t="shared" si="1"/>
        <v>6</v>
      </c>
      <c r="L11" s="58" t="s">
        <v>5</v>
      </c>
      <c r="M11" s="58"/>
      <c r="N11" s="58"/>
      <c r="O11" s="9"/>
    </row>
    <row r="12" spans="1:15">
      <c r="A12" s="74"/>
      <c r="B12" s="79"/>
      <c r="C12" s="80"/>
      <c r="D12" s="61"/>
      <c r="E12" s="61"/>
      <c r="F12" s="61"/>
      <c r="G12" s="61"/>
      <c r="H12" s="61"/>
      <c r="I12" s="61"/>
      <c r="J12" s="61"/>
      <c r="K12" s="78"/>
      <c r="L12" s="58"/>
      <c r="M12" s="58"/>
      <c r="N12" s="58"/>
      <c r="O12" s="9"/>
    </row>
    <row r="13" spans="1:15">
      <c r="A13" s="16" t="s">
        <v>118</v>
      </c>
      <c r="B13" s="17">
        <f>SUM(D13,F13,H13,I13,J13)</f>
        <v>17675</v>
      </c>
      <c r="C13" s="18">
        <f>SUM(E13,G13,K13)</f>
        <v>4443</v>
      </c>
      <c r="D13" s="47">
        <v>3840</v>
      </c>
      <c r="E13" s="48">
        <v>3095</v>
      </c>
      <c r="F13" s="47">
        <v>3546</v>
      </c>
      <c r="G13" s="48">
        <v>1348</v>
      </c>
      <c r="H13" s="47">
        <v>2210</v>
      </c>
      <c r="I13" s="48">
        <v>8079</v>
      </c>
      <c r="J13" s="49" t="s">
        <v>193</v>
      </c>
      <c r="K13" s="51" t="s">
        <v>193</v>
      </c>
      <c r="L13" s="19" t="s">
        <v>6</v>
      </c>
      <c r="M13" s="20"/>
      <c r="N13" s="20"/>
      <c r="O13" s="9"/>
    </row>
    <row r="14" spans="1:15">
      <c r="A14" s="16" t="s">
        <v>119</v>
      </c>
      <c r="B14" s="17">
        <f t="shared" ref="B14:B18" si="2">SUM(D14,F14,H14,I14,J14)</f>
        <v>18661</v>
      </c>
      <c r="C14" s="18">
        <f t="shared" ref="C14:C18" si="3">SUM(E14,G14,K14)</f>
        <v>4116</v>
      </c>
      <c r="D14" s="47">
        <v>3628</v>
      </c>
      <c r="E14" s="48">
        <v>2691</v>
      </c>
      <c r="F14" s="47">
        <v>2860</v>
      </c>
      <c r="G14" s="48">
        <v>1425</v>
      </c>
      <c r="H14" s="47">
        <v>1810</v>
      </c>
      <c r="I14" s="48">
        <v>10363</v>
      </c>
      <c r="J14" s="49" t="s">
        <v>193</v>
      </c>
      <c r="K14" s="51" t="s">
        <v>193</v>
      </c>
      <c r="L14" s="19" t="s">
        <v>7</v>
      </c>
      <c r="M14" s="20"/>
      <c r="N14" s="20"/>
      <c r="O14" s="9"/>
    </row>
    <row r="15" spans="1:15">
      <c r="A15" s="16" t="s">
        <v>120</v>
      </c>
      <c r="B15" s="17">
        <f t="shared" si="2"/>
        <v>11990</v>
      </c>
      <c r="C15" s="18">
        <f>SUM(E15,G15,K15)</f>
        <v>1486</v>
      </c>
      <c r="D15" s="47">
        <v>2048</v>
      </c>
      <c r="E15" s="48">
        <v>1020</v>
      </c>
      <c r="F15" s="47">
        <v>3889</v>
      </c>
      <c r="G15" s="48">
        <v>460</v>
      </c>
      <c r="H15" s="47">
        <v>37</v>
      </c>
      <c r="I15" s="48">
        <v>6006</v>
      </c>
      <c r="J15" s="47">
        <v>10</v>
      </c>
      <c r="K15" s="52">
        <v>6</v>
      </c>
      <c r="L15" s="19" t="s">
        <v>8</v>
      </c>
      <c r="M15" s="20"/>
      <c r="N15" s="20"/>
      <c r="O15" s="9"/>
    </row>
    <row r="16" spans="1:15">
      <c r="A16" s="16" t="s">
        <v>121</v>
      </c>
      <c r="B16" s="17">
        <f t="shared" si="2"/>
        <v>12</v>
      </c>
      <c r="C16" s="18">
        <f t="shared" si="3"/>
        <v>2</v>
      </c>
      <c r="D16" s="49" t="s">
        <v>193</v>
      </c>
      <c r="E16" s="50" t="s">
        <v>193</v>
      </c>
      <c r="F16" s="47">
        <v>12</v>
      </c>
      <c r="G16" s="48">
        <v>2</v>
      </c>
      <c r="H16" s="49" t="s">
        <v>193</v>
      </c>
      <c r="I16" s="50" t="s">
        <v>193</v>
      </c>
      <c r="J16" s="49" t="s">
        <v>193</v>
      </c>
      <c r="K16" s="51" t="s">
        <v>193</v>
      </c>
      <c r="L16" s="19" t="s">
        <v>9</v>
      </c>
      <c r="M16" s="20"/>
      <c r="N16" s="20"/>
      <c r="O16" s="9"/>
    </row>
    <row r="17" spans="1:15">
      <c r="A17" s="16" t="s">
        <v>122</v>
      </c>
      <c r="B17" s="17">
        <f t="shared" si="2"/>
        <v>7326</v>
      </c>
      <c r="C17" s="18">
        <f t="shared" si="3"/>
        <v>1071</v>
      </c>
      <c r="D17" s="47">
        <v>993</v>
      </c>
      <c r="E17" s="48">
        <v>347</v>
      </c>
      <c r="F17" s="47">
        <v>2644</v>
      </c>
      <c r="G17" s="48">
        <v>724</v>
      </c>
      <c r="H17" s="47">
        <v>37</v>
      </c>
      <c r="I17" s="48">
        <v>3652</v>
      </c>
      <c r="J17" s="49" t="s">
        <v>193</v>
      </c>
      <c r="K17" s="51" t="s">
        <v>193</v>
      </c>
      <c r="L17" s="19" t="s">
        <v>10</v>
      </c>
      <c r="M17" s="20"/>
      <c r="N17" s="20"/>
      <c r="O17" s="9"/>
    </row>
    <row r="18" spans="1:15">
      <c r="A18" s="16" t="s">
        <v>123</v>
      </c>
      <c r="B18" s="17">
        <f t="shared" si="2"/>
        <v>17821</v>
      </c>
      <c r="C18" s="18">
        <f t="shared" si="3"/>
        <v>6373</v>
      </c>
      <c r="D18" s="47">
        <v>6094</v>
      </c>
      <c r="E18" s="48">
        <v>5206</v>
      </c>
      <c r="F18" s="47">
        <v>10410</v>
      </c>
      <c r="G18" s="48">
        <v>1167</v>
      </c>
      <c r="H18" s="47">
        <v>920</v>
      </c>
      <c r="I18" s="48">
        <v>397</v>
      </c>
      <c r="J18" s="49" t="s">
        <v>193</v>
      </c>
      <c r="K18" s="51" t="s">
        <v>193</v>
      </c>
      <c r="L18" s="19" t="s">
        <v>11</v>
      </c>
      <c r="M18" s="20"/>
      <c r="N18" s="20"/>
      <c r="O18" s="9"/>
    </row>
    <row r="19" spans="1:15">
      <c r="A19" s="84" t="s">
        <v>12</v>
      </c>
      <c r="B19" s="79">
        <f>SUM(B21:B27)</f>
        <v>117996</v>
      </c>
      <c r="C19" s="80">
        <f>SUM(C21:C27)</f>
        <v>33766</v>
      </c>
      <c r="D19" s="61">
        <f>SUM(D21:D27)</f>
        <v>21608</v>
      </c>
      <c r="E19" s="61">
        <f t="shared" ref="E19:K19" si="4">SUM(E21:E27)</f>
        <v>26229</v>
      </c>
      <c r="F19" s="61">
        <f>SUM(F21:F27)</f>
        <v>55045</v>
      </c>
      <c r="G19" s="61">
        <f t="shared" si="4"/>
        <v>6401</v>
      </c>
      <c r="H19" s="61">
        <f t="shared" si="4"/>
        <v>5228</v>
      </c>
      <c r="I19" s="61">
        <f t="shared" si="4"/>
        <v>32928</v>
      </c>
      <c r="J19" s="61">
        <f t="shared" si="4"/>
        <v>3187</v>
      </c>
      <c r="K19" s="78">
        <f t="shared" si="4"/>
        <v>1136</v>
      </c>
      <c r="L19" s="77" t="s">
        <v>13</v>
      </c>
      <c r="M19" s="77"/>
      <c r="N19" s="77"/>
      <c r="O19" s="9"/>
    </row>
    <row r="20" spans="1:15">
      <c r="A20" s="84"/>
      <c r="B20" s="79"/>
      <c r="C20" s="80"/>
      <c r="D20" s="61"/>
      <c r="E20" s="61"/>
      <c r="F20" s="61"/>
      <c r="G20" s="61"/>
      <c r="H20" s="61"/>
      <c r="I20" s="61"/>
      <c r="J20" s="61"/>
      <c r="K20" s="78"/>
      <c r="L20" s="77"/>
      <c r="M20" s="77"/>
      <c r="N20" s="77"/>
      <c r="O20" s="9"/>
    </row>
    <row r="21" spans="1:15">
      <c r="A21" s="16" t="s">
        <v>124</v>
      </c>
      <c r="B21" s="17">
        <f t="shared" ref="B21:B27" si="5">SUM(D21,F21,H21,I21,J21)</f>
        <v>35086</v>
      </c>
      <c r="C21" s="18">
        <f t="shared" ref="C21:C27" si="6">SUM(E21,G21,K21)</f>
        <v>2646</v>
      </c>
      <c r="D21" s="47">
        <v>3312</v>
      </c>
      <c r="E21" s="48">
        <v>2275</v>
      </c>
      <c r="F21" s="47">
        <v>25690</v>
      </c>
      <c r="G21" s="48">
        <v>337</v>
      </c>
      <c r="H21" s="49" t="s">
        <v>193</v>
      </c>
      <c r="I21" s="48">
        <v>5821</v>
      </c>
      <c r="J21" s="47">
        <v>263</v>
      </c>
      <c r="K21" s="52">
        <v>34</v>
      </c>
      <c r="L21" s="19" t="s">
        <v>14</v>
      </c>
      <c r="M21" s="20"/>
      <c r="N21" s="20"/>
      <c r="O21" s="9"/>
    </row>
    <row r="22" spans="1:15">
      <c r="A22" s="16" t="s">
        <v>125</v>
      </c>
      <c r="B22" s="17">
        <f t="shared" si="5"/>
        <v>5459</v>
      </c>
      <c r="C22" s="18">
        <f t="shared" si="6"/>
        <v>8727</v>
      </c>
      <c r="D22" s="47">
        <v>1740</v>
      </c>
      <c r="E22" s="48">
        <v>7355</v>
      </c>
      <c r="F22" s="47">
        <v>2428</v>
      </c>
      <c r="G22" s="48">
        <v>1372</v>
      </c>
      <c r="H22" s="47">
        <v>17</v>
      </c>
      <c r="I22" s="48">
        <v>1274</v>
      </c>
      <c r="J22" s="49" t="s">
        <v>193</v>
      </c>
      <c r="K22" s="51" t="s">
        <v>193</v>
      </c>
      <c r="L22" s="19" t="s">
        <v>15</v>
      </c>
      <c r="M22" s="20"/>
      <c r="N22" s="20"/>
      <c r="O22" s="9"/>
    </row>
    <row r="23" spans="1:15">
      <c r="A23" s="16" t="s">
        <v>126</v>
      </c>
      <c r="B23" s="17">
        <f t="shared" si="5"/>
        <v>15635</v>
      </c>
      <c r="C23" s="18">
        <f t="shared" si="6"/>
        <v>4852</v>
      </c>
      <c r="D23" s="47">
        <v>4045</v>
      </c>
      <c r="E23" s="48">
        <v>3892</v>
      </c>
      <c r="F23" s="47">
        <v>10633</v>
      </c>
      <c r="G23" s="48">
        <v>960</v>
      </c>
      <c r="H23" s="47">
        <v>10</v>
      </c>
      <c r="I23" s="48">
        <v>947</v>
      </c>
      <c r="J23" s="49" t="s">
        <v>193</v>
      </c>
      <c r="K23" s="51" t="s">
        <v>193</v>
      </c>
      <c r="L23" s="19" t="s">
        <v>16</v>
      </c>
      <c r="M23" s="20"/>
      <c r="N23" s="20"/>
      <c r="O23" s="9"/>
    </row>
    <row r="24" spans="1:15">
      <c r="A24" s="16" t="s">
        <v>127</v>
      </c>
      <c r="B24" s="17">
        <f t="shared" si="5"/>
        <v>14662</v>
      </c>
      <c r="C24" s="18">
        <f t="shared" si="6"/>
        <v>4160</v>
      </c>
      <c r="D24" s="47">
        <v>3562</v>
      </c>
      <c r="E24" s="48">
        <v>3319</v>
      </c>
      <c r="F24" s="47">
        <v>2616</v>
      </c>
      <c r="G24" s="48">
        <v>841</v>
      </c>
      <c r="H24" s="47">
        <v>597</v>
      </c>
      <c r="I24" s="48">
        <v>7887</v>
      </c>
      <c r="J24" s="49" t="s">
        <v>193</v>
      </c>
      <c r="K24" s="51" t="s">
        <v>193</v>
      </c>
      <c r="L24" s="19" t="s">
        <v>17</v>
      </c>
      <c r="M24" s="20"/>
      <c r="N24" s="20"/>
      <c r="O24" s="9"/>
    </row>
    <row r="25" spans="1:15">
      <c r="A25" s="16" t="s">
        <v>128</v>
      </c>
      <c r="B25" s="17">
        <f t="shared" si="5"/>
        <v>3164</v>
      </c>
      <c r="C25" s="18">
        <f t="shared" si="6"/>
        <v>918</v>
      </c>
      <c r="D25" s="47">
        <v>571</v>
      </c>
      <c r="E25" s="48">
        <v>780</v>
      </c>
      <c r="F25" s="47">
        <v>1982</v>
      </c>
      <c r="G25" s="48">
        <v>138</v>
      </c>
      <c r="H25" s="49" t="s">
        <v>193</v>
      </c>
      <c r="I25" s="48">
        <v>611</v>
      </c>
      <c r="J25" s="49" t="s">
        <v>193</v>
      </c>
      <c r="K25" s="51" t="s">
        <v>193</v>
      </c>
      <c r="L25" s="19" t="s">
        <v>18</v>
      </c>
      <c r="M25" s="20"/>
      <c r="N25" s="20"/>
      <c r="O25" s="9"/>
    </row>
    <row r="26" spans="1:15">
      <c r="A26" s="16" t="s">
        <v>129</v>
      </c>
      <c r="B26" s="17">
        <f t="shared" si="5"/>
        <v>40704</v>
      </c>
      <c r="C26" s="18">
        <f t="shared" si="6"/>
        <v>11127</v>
      </c>
      <c r="D26" s="47">
        <v>7619</v>
      </c>
      <c r="E26" s="48">
        <v>7633</v>
      </c>
      <c r="F26" s="47">
        <v>11162</v>
      </c>
      <c r="G26" s="48">
        <v>2392</v>
      </c>
      <c r="H26" s="47">
        <v>4600</v>
      </c>
      <c r="I26" s="48">
        <v>14399</v>
      </c>
      <c r="J26" s="47">
        <v>2924</v>
      </c>
      <c r="K26" s="52">
        <v>1102</v>
      </c>
      <c r="L26" s="19" t="s">
        <v>19</v>
      </c>
      <c r="M26" s="20"/>
      <c r="N26" s="20"/>
      <c r="O26" s="9"/>
    </row>
    <row r="27" spans="1:15">
      <c r="A27" s="16" t="s">
        <v>130</v>
      </c>
      <c r="B27" s="17">
        <f t="shared" si="5"/>
        <v>3286</v>
      </c>
      <c r="C27" s="18">
        <f t="shared" si="6"/>
        <v>1336</v>
      </c>
      <c r="D27" s="47">
        <v>759</v>
      </c>
      <c r="E27" s="48">
        <v>975</v>
      </c>
      <c r="F27" s="47">
        <v>534</v>
      </c>
      <c r="G27" s="48">
        <v>361</v>
      </c>
      <c r="H27" s="47">
        <v>4</v>
      </c>
      <c r="I27" s="48">
        <v>1989</v>
      </c>
      <c r="J27" s="49" t="s">
        <v>193</v>
      </c>
      <c r="K27" s="51" t="s">
        <v>193</v>
      </c>
      <c r="L27" s="19" t="s">
        <v>20</v>
      </c>
      <c r="M27" s="20"/>
      <c r="N27" s="20"/>
      <c r="O27" s="9"/>
    </row>
    <row r="28" spans="1:15" ht="28.8" customHeight="1">
      <c r="A28" s="21" t="s">
        <v>105</v>
      </c>
      <c r="B28" s="22">
        <f>SUM(B29:B32)</f>
        <v>29679</v>
      </c>
      <c r="C28" s="23">
        <f>SUM(C29:C32)</f>
        <v>8064</v>
      </c>
      <c r="D28" s="24">
        <f t="shared" ref="D28:K28" si="7">SUM(D29:D32)</f>
        <v>7250</v>
      </c>
      <c r="E28" s="24">
        <f t="shared" si="7"/>
        <v>6163</v>
      </c>
      <c r="F28" s="24">
        <f t="shared" si="7"/>
        <v>10853</v>
      </c>
      <c r="G28" s="24">
        <f t="shared" si="7"/>
        <v>1901</v>
      </c>
      <c r="H28" s="24">
        <f t="shared" si="7"/>
        <v>851</v>
      </c>
      <c r="I28" s="24">
        <f t="shared" si="7"/>
        <v>10725</v>
      </c>
      <c r="J28" s="24">
        <f t="shared" si="7"/>
        <v>0</v>
      </c>
      <c r="K28" s="25">
        <f t="shared" si="7"/>
        <v>0</v>
      </c>
      <c r="L28" s="26" t="s">
        <v>104</v>
      </c>
      <c r="M28" s="20"/>
      <c r="N28" s="20"/>
      <c r="O28" s="9"/>
    </row>
    <row r="29" spans="1:15">
      <c r="A29" s="16" t="s">
        <v>131</v>
      </c>
      <c r="B29" s="17">
        <f t="shared" ref="B29:B32" si="8">SUM(D29,F29,H29,I29,J29)</f>
        <v>12954</v>
      </c>
      <c r="C29" s="18">
        <f t="shared" ref="C29:C32" si="9">SUM(E29,G29,K29)</f>
        <v>4010</v>
      </c>
      <c r="D29" s="47">
        <v>3750</v>
      </c>
      <c r="E29" s="48">
        <v>2842</v>
      </c>
      <c r="F29" s="47">
        <v>4939</v>
      </c>
      <c r="G29" s="48">
        <v>1168</v>
      </c>
      <c r="H29" s="47">
        <v>646</v>
      </c>
      <c r="I29" s="48">
        <v>3619</v>
      </c>
      <c r="J29" s="49" t="s">
        <v>193</v>
      </c>
      <c r="K29" s="51" t="s">
        <v>193</v>
      </c>
      <c r="L29" s="19" t="s">
        <v>21</v>
      </c>
      <c r="M29" s="20"/>
      <c r="N29" s="20"/>
      <c r="O29" s="9"/>
    </row>
    <row r="30" spans="1:15">
      <c r="A30" s="16" t="s">
        <v>132</v>
      </c>
      <c r="B30" s="17">
        <f t="shared" si="8"/>
        <v>5077</v>
      </c>
      <c r="C30" s="18">
        <f t="shared" si="9"/>
        <v>1900</v>
      </c>
      <c r="D30" s="47">
        <v>1245</v>
      </c>
      <c r="E30" s="48">
        <v>1612</v>
      </c>
      <c r="F30" s="47">
        <v>834</v>
      </c>
      <c r="G30" s="48">
        <v>288</v>
      </c>
      <c r="H30" s="47">
        <v>116</v>
      </c>
      <c r="I30" s="48">
        <v>2882</v>
      </c>
      <c r="J30" s="49" t="s">
        <v>193</v>
      </c>
      <c r="K30" s="51" t="s">
        <v>193</v>
      </c>
      <c r="L30" s="19" t="s">
        <v>22</v>
      </c>
      <c r="M30" s="20"/>
      <c r="N30" s="20"/>
      <c r="O30" s="9"/>
    </row>
    <row r="31" spans="1:15">
      <c r="A31" s="16" t="s">
        <v>133</v>
      </c>
      <c r="B31" s="17">
        <f t="shared" si="8"/>
        <v>2640</v>
      </c>
      <c r="C31" s="18">
        <f t="shared" si="9"/>
        <v>507</v>
      </c>
      <c r="D31" s="47">
        <v>711</v>
      </c>
      <c r="E31" s="48">
        <v>347</v>
      </c>
      <c r="F31" s="47">
        <v>140</v>
      </c>
      <c r="G31" s="48">
        <v>160</v>
      </c>
      <c r="H31" s="47">
        <v>44</v>
      </c>
      <c r="I31" s="48">
        <v>1745</v>
      </c>
      <c r="J31" s="49" t="s">
        <v>193</v>
      </c>
      <c r="K31" s="51" t="s">
        <v>193</v>
      </c>
      <c r="L31" s="19" t="s">
        <v>23</v>
      </c>
      <c r="M31" s="20"/>
      <c r="N31" s="20"/>
      <c r="O31" s="9"/>
    </row>
    <row r="32" spans="1:15">
      <c r="A32" s="16" t="s">
        <v>134</v>
      </c>
      <c r="B32" s="17">
        <f t="shared" si="8"/>
        <v>9008</v>
      </c>
      <c r="C32" s="18">
        <f t="shared" si="9"/>
        <v>1647</v>
      </c>
      <c r="D32" s="47">
        <v>1544</v>
      </c>
      <c r="E32" s="48">
        <v>1362</v>
      </c>
      <c r="F32" s="47">
        <v>4940</v>
      </c>
      <c r="G32" s="48">
        <v>285</v>
      </c>
      <c r="H32" s="47">
        <v>45</v>
      </c>
      <c r="I32" s="48">
        <v>2479</v>
      </c>
      <c r="J32" s="49" t="s">
        <v>193</v>
      </c>
      <c r="K32" s="51" t="s">
        <v>193</v>
      </c>
      <c r="L32" s="19" t="s">
        <v>24</v>
      </c>
      <c r="M32" s="20"/>
      <c r="N32" s="20"/>
      <c r="O32" s="9"/>
    </row>
    <row r="33" spans="1:15">
      <c r="A33" s="84" t="s">
        <v>25</v>
      </c>
      <c r="B33" s="79">
        <f>SUM(B35:B38)</f>
        <v>48941</v>
      </c>
      <c r="C33" s="80">
        <f>SUM(C35:C38)</f>
        <v>7859</v>
      </c>
      <c r="D33" s="82">
        <f>SUM(D35:D38)</f>
        <v>7886</v>
      </c>
      <c r="E33" s="82">
        <f>SUM(E35:E38)</f>
        <v>4526</v>
      </c>
      <c r="F33" s="82">
        <f t="shared" ref="F33:K33" si="10">SUM(F35:F38)</f>
        <v>5622</v>
      </c>
      <c r="G33" s="82">
        <f t="shared" si="10"/>
        <v>3333</v>
      </c>
      <c r="H33" s="82">
        <f t="shared" si="10"/>
        <v>1443</v>
      </c>
      <c r="I33" s="82">
        <f t="shared" si="10"/>
        <v>33990</v>
      </c>
      <c r="J33" s="82">
        <f t="shared" si="10"/>
        <v>0</v>
      </c>
      <c r="K33" s="83">
        <f t="shared" si="10"/>
        <v>0</v>
      </c>
      <c r="L33" s="81" t="s">
        <v>26</v>
      </c>
      <c r="M33" s="81"/>
      <c r="N33" s="81"/>
      <c r="O33" s="9"/>
    </row>
    <row r="34" spans="1:15">
      <c r="A34" s="84"/>
      <c r="B34" s="79"/>
      <c r="C34" s="80"/>
      <c r="D34" s="82"/>
      <c r="E34" s="82"/>
      <c r="F34" s="82"/>
      <c r="G34" s="82"/>
      <c r="H34" s="82"/>
      <c r="I34" s="82"/>
      <c r="J34" s="82"/>
      <c r="K34" s="83"/>
      <c r="L34" s="81"/>
      <c r="M34" s="81"/>
      <c r="N34" s="81"/>
      <c r="O34" s="9"/>
    </row>
    <row r="35" spans="1:15">
      <c r="A35" s="16" t="s">
        <v>135</v>
      </c>
      <c r="B35" s="17">
        <f t="shared" ref="B35:B38" si="11">SUM(D35,F35,H35,I35,J35)</f>
        <v>14889</v>
      </c>
      <c r="C35" s="18">
        <f t="shared" ref="C35:C38" si="12">SUM(E35,G35,K35)</f>
        <v>2604</v>
      </c>
      <c r="D35" s="47">
        <v>2802</v>
      </c>
      <c r="E35" s="48">
        <v>1312</v>
      </c>
      <c r="F35" s="47">
        <v>2402</v>
      </c>
      <c r="G35" s="48">
        <v>1292</v>
      </c>
      <c r="H35" s="47">
        <v>701</v>
      </c>
      <c r="I35" s="48">
        <v>8984</v>
      </c>
      <c r="J35" s="49" t="s">
        <v>193</v>
      </c>
      <c r="K35" s="51" t="s">
        <v>193</v>
      </c>
      <c r="L35" s="19" t="s">
        <v>27</v>
      </c>
      <c r="M35" s="20"/>
      <c r="N35" s="20"/>
      <c r="O35" s="9"/>
    </row>
    <row r="36" spans="1:15">
      <c r="A36" s="16" t="s">
        <v>136</v>
      </c>
      <c r="B36" s="17">
        <f t="shared" si="11"/>
        <v>3373</v>
      </c>
      <c r="C36" s="18">
        <f t="shared" si="12"/>
        <v>886</v>
      </c>
      <c r="D36" s="47">
        <v>634</v>
      </c>
      <c r="E36" s="48">
        <v>563</v>
      </c>
      <c r="F36" s="47">
        <v>656</v>
      </c>
      <c r="G36" s="48">
        <v>323</v>
      </c>
      <c r="H36" s="49" t="s">
        <v>193</v>
      </c>
      <c r="I36" s="48">
        <v>2083</v>
      </c>
      <c r="J36" s="49" t="s">
        <v>193</v>
      </c>
      <c r="K36" s="51" t="s">
        <v>193</v>
      </c>
      <c r="L36" s="19" t="s">
        <v>28</v>
      </c>
      <c r="M36" s="20"/>
      <c r="N36" s="20"/>
      <c r="O36" s="9"/>
    </row>
    <row r="37" spans="1:15">
      <c r="A37" s="16" t="s">
        <v>137</v>
      </c>
      <c r="B37" s="17">
        <f t="shared" si="11"/>
        <v>18843</v>
      </c>
      <c r="C37" s="18">
        <f t="shared" si="12"/>
        <v>2005</v>
      </c>
      <c r="D37" s="47">
        <v>2531</v>
      </c>
      <c r="E37" s="48">
        <v>1282</v>
      </c>
      <c r="F37" s="47">
        <v>195</v>
      </c>
      <c r="G37" s="48">
        <v>723</v>
      </c>
      <c r="H37" s="47">
        <v>490</v>
      </c>
      <c r="I37" s="48">
        <v>15627</v>
      </c>
      <c r="J37" s="49" t="s">
        <v>193</v>
      </c>
      <c r="K37" s="51" t="s">
        <v>193</v>
      </c>
      <c r="L37" s="19" t="s">
        <v>29</v>
      </c>
      <c r="M37" s="20"/>
      <c r="N37" s="20"/>
      <c r="O37" s="9"/>
    </row>
    <row r="38" spans="1:15">
      <c r="A38" s="16" t="s">
        <v>138</v>
      </c>
      <c r="B38" s="17">
        <f t="shared" si="11"/>
        <v>11836</v>
      </c>
      <c r="C38" s="18">
        <f t="shared" si="12"/>
        <v>2364</v>
      </c>
      <c r="D38" s="47">
        <v>1919</v>
      </c>
      <c r="E38" s="48">
        <v>1369</v>
      </c>
      <c r="F38" s="47">
        <v>2369</v>
      </c>
      <c r="G38" s="48">
        <v>995</v>
      </c>
      <c r="H38" s="47">
        <v>252</v>
      </c>
      <c r="I38" s="48">
        <v>7296</v>
      </c>
      <c r="J38" s="49" t="s">
        <v>193</v>
      </c>
      <c r="K38" s="51" t="s">
        <v>193</v>
      </c>
      <c r="L38" s="19" t="s">
        <v>30</v>
      </c>
      <c r="M38" s="20"/>
      <c r="N38" s="20"/>
      <c r="O38" s="9"/>
    </row>
    <row r="39" spans="1:15">
      <c r="A39" s="84" t="s">
        <v>31</v>
      </c>
      <c r="B39" s="79">
        <f>SUM(B41:B45)</f>
        <v>124865</v>
      </c>
      <c r="C39" s="80">
        <f>SUM(C41:C45)</f>
        <v>23501</v>
      </c>
      <c r="D39" s="82">
        <f t="shared" ref="D39" si="13">SUM(D41:D45)</f>
        <v>21994</v>
      </c>
      <c r="E39" s="82">
        <f t="shared" ref="E39:K39" si="14">SUM(E41:E45)</f>
        <v>18607</v>
      </c>
      <c r="F39" s="82">
        <f t="shared" si="14"/>
        <v>21462</v>
      </c>
      <c r="G39" s="82">
        <f t="shared" si="14"/>
        <v>4864</v>
      </c>
      <c r="H39" s="82">
        <f t="shared" si="14"/>
        <v>3042</v>
      </c>
      <c r="I39" s="82">
        <f t="shared" si="14"/>
        <v>78307</v>
      </c>
      <c r="J39" s="82">
        <f t="shared" si="14"/>
        <v>60</v>
      </c>
      <c r="K39" s="83">
        <f t="shared" si="14"/>
        <v>30</v>
      </c>
      <c r="L39" s="81" t="s">
        <v>32</v>
      </c>
      <c r="M39" s="81"/>
      <c r="N39" s="81"/>
      <c r="O39" s="9"/>
    </row>
    <row r="40" spans="1:15">
      <c r="A40" s="84"/>
      <c r="B40" s="79"/>
      <c r="C40" s="80"/>
      <c r="D40" s="82"/>
      <c r="E40" s="82"/>
      <c r="F40" s="82"/>
      <c r="G40" s="82"/>
      <c r="H40" s="82"/>
      <c r="I40" s="82"/>
      <c r="J40" s="82"/>
      <c r="K40" s="83"/>
      <c r="L40" s="81"/>
      <c r="M40" s="81"/>
      <c r="N40" s="81"/>
      <c r="O40" s="9"/>
    </row>
    <row r="41" spans="1:15">
      <c r="A41" s="16" t="s">
        <v>139</v>
      </c>
      <c r="B41" s="17">
        <f t="shared" ref="B41:B45" si="15">SUM(D41,F41,H41,I41,J41)</f>
        <v>66202</v>
      </c>
      <c r="C41" s="18">
        <f t="shared" ref="C41:C45" si="16">SUM(E41,G41,K41)</f>
        <v>11146</v>
      </c>
      <c r="D41" s="47">
        <v>11183</v>
      </c>
      <c r="E41" s="48">
        <v>8935</v>
      </c>
      <c r="F41" s="47">
        <v>16358</v>
      </c>
      <c r="G41" s="48">
        <v>2211</v>
      </c>
      <c r="H41" s="47">
        <v>402</v>
      </c>
      <c r="I41" s="48">
        <v>38259</v>
      </c>
      <c r="J41" s="49" t="s">
        <v>193</v>
      </c>
      <c r="K41" s="51" t="s">
        <v>193</v>
      </c>
      <c r="L41" s="19" t="s">
        <v>33</v>
      </c>
      <c r="M41" s="20"/>
      <c r="N41" s="20"/>
      <c r="O41" s="9"/>
    </row>
    <row r="42" spans="1:15">
      <c r="A42" s="16" t="s">
        <v>140</v>
      </c>
      <c r="B42" s="17">
        <f t="shared" si="15"/>
        <v>6331</v>
      </c>
      <c r="C42" s="18">
        <f t="shared" si="16"/>
        <v>2614</v>
      </c>
      <c r="D42" s="47">
        <v>1953</v>
      </c>
      <c r="E42" s="48">
        <v>2120</v>
      </c>
      <c r="F42" s="47">
        <v>1148</v>
      </c>
      <c r="G42" s="48">
        <v>494</v>
      </c>
      <c r="H42" s="47">
        <v>28</v>
      </c>
      <c r="I42" s="48">
        <v>3202</v>
      </c>
      <c r="J42" s="49" t="s">
        <v>193</v>
      </c>
      <c r="K42" s="51" t="s">
        <v>193</v>
      </c>
      <c r="L42" s="19" t="s">
        <v>34</v>
      </c>
      <c r="M42" s="20"/>
      <c r="N42" s="20"/>
      <c r="O42" s="9"/>
    </row>
    <row r="43" spans="1:15">
      <c r="A43" s="16" t="s">
        <v>141</v>
      </c>
      <c r="B43" s="17">
        <f t="shared" si="15"/>
        <v>18387</v>
      </c>
      <c r="C43" s="18">
        <f t="shared" si="16"/>
        <v>3121</v>
      </c>
      <c r="D43" s="47">
        <v>3456</v>
      </c>
      <c r="E43" s="48">
        <v>2429</v>
      </c>
      <c r="F43" s="47">
        <v>1047</v>
      </c>
      <c r="G43" s="48">
        <v>692</v>
      </c>
      <c r="H43" s="47">
        <v>658</v>
      </c>
      <c r="I43" s="48">
        <v>13226</v>
      </c>
      <c r="J43" s="49" t="s">
        <v>193</v>
      </c>
      <c r="K43" s="51" t="s">
        <v>193</v>
      </c>
      <c r="L43" s="19" t="s">
        <v>35</v>
      </c>
      <c r="M43" s="20"/>
      <c r="N43" s="20"/>
      <c r="O43" s="9"/>
    </row>
    <row r="44" spans="1:15">
      <c r="A44" s="16" t="s">
        <v>142</v>
      </c>
      <c r="B44" s="17">
        <f t="shared" si="15"/>
        <v>0</v>
      </c>
      <c r="C44" s="18">
        <f t="shared" si="16"/>
        <v>0</v>
      </c>
      <c r="D44" s="47" t="s">
        <v>193</v>
      </c>
      <c r="E44" s="48" t="s">
        <v>193</v>
      </c>
      <c r="F44" s="47" t="s">
        <v>193</v>
      </c>
      <c r="G44" s="48" t="s">
        <v>193</v>
      </c>
      <c r="H44" s="47" t="s">
        <v>193</v>
      </c>
      <c r="I44" s="48" t="s">
        <v>193</v>
      </c>
      <c r="J44" s="49" t="s">
        <v>193</v>
      </c>
      <c r="K44" s="51" t="s">
        <v>193</v>
      </c>
      <c r="L44" s="19" t="s">
        <v>36</v>
      </c>
      <c r="M44" s="20"/>
      <c r="N44" s="20"/>
      <c r="O44" s="9"/>
    </row>
    <row r="45" spans="1:15">
      <c r="A45" s="16" t="s">
        <v>143</v>
      </c>
      <c r="B45" s="17">
        <f t="shared" si="15"/>
        <v>33945</v>
      </c>
      <c r="C45" s="18">
        <f t="shared" si="16"/>
        <v>6620</v>
      </c>
      <c r="D45" s="47">
        <v>5402</v>
      </c>
      <c r="E45" s="48">
        <v>5123</v>
      </c>
      <c r="F45" s="47">
        <v>2909</v>
      </c>
      <c r="G45" s="48">
        <v>1467</v>
      </c>
      <c r="H45" s="47">
        <v>1954</v>
      </c>
      <c r="I45" s="48">
        <v>23620</v>
      </c>
      <c r="J45" s="47">
        <v>60</v>
      </c>
      <c r="K45" s="52">
        <v>30</v>
      </c>
      <c r="L45" s="19" t="s">
        <v>37</v>
      </c>
      <c r="M45" s="20"/>
      <c r="N45" s="20"/>
      <c r="O45" s="9"/>
    </row>
    <row r="46" spans="1:15">
      <c r="A46" s="84" t="s">
        <v>38</v>
      </c>
      <c r="B46" s="79">
        <f>SUM(B48:B52)</f>
        <v>25030</v>
      </c>
      <c r="C46" s="80">
        <f>SUM(C48:C52)</f>
        <v>5598</v>
      </c>
      <c r="D46" s="82">
        <f t="shared" ref="D46" si="17">SUM(D48:D52)</f>
        <v>3669</v>
      </c>
      <c r="E46" s="82">
        <f t="shared" ref="E46:K46" si="18">SUM(E48:E52)</f>
        <v>3441</v>
      </c>
      <c r="F46" s="82">
        <f t="shared" si="18"/>
        <v>3939</v>
      </c>
      <c r="G46" s="82">
        <f t="shared" si="18"/>
        <v>2115</v>
      </c>
      <c r="H46" s="82">
        <f t="shared" si="18"/>
        <v>3732</v>
      </c>
      <c r="I46" s="82">
        <f t="shared" si="18"/>
        <v>13630</v>
      </c>
      <c r="J46" s="82">
        <f t="shared" si="18"/>
        <v>60</v>
      </c>
      <c r="K46" s="83">
        <f t="shared" si="18"/>
        <v>42</v>
      </c>
      <c r="L46" s="81" t="s">
        <v>39</v>
      </c>
      <c r="M46" s="81"/>
      <c r="N46" s="81"/>
      <c r="O46" s="9"/>
    </row>
    <row r="47" spans="1:15">
      <c r="A47" s="84"/>
      <c r="B47" s="79"/>
      <c r="C47" s="80"/>
      <c r="D47" s="82"/>
      <c r="E47" s="82"/>
      <c r="F47" s="82"/>
      <c r="G47" s="82"/>
      <c r="H47" s="82"/>
      <c r="I47" s="82"/>
      <c r="J47" s="82"/>
      <c r="K47" s="83"/>
      <c r="L47" s="81"/>
      <c r="M47" s="81"/>
      <c r="N47" s="81"/>
      <c r="O47" s="9"/>
    </row>
    <row r="48" spans="1:15">
      <c r="A48" s="16" t="s">
        <v>144</v>
      </c>
      <c r="B48" s="17">
        <f t="shared" ref="B48:B52" si="19">SUM(D48,F48,H48,I48,J48)</f>
        <v>7411</v>
      </c>
      <c r="C48" s="18">
        <f t="shared" ref="C48:C52" si="20">SUM(E48,G48,K48)</f>
        <v>1971</v>
      </c>
      <c r="D48" s="47">
        <v>1025</v>
      </c>
      <c r="E48" s="48">
        <v>896</v>
      </c>
      <c r="F48" s="47">
        <v>1088</v>
      </c>
      <c r="G48" s="48">
        <v>1033</v>
      </c>
      <c r="H48" s="47">
        <v>1194</v>
      </c>
      <c r="I48" s="48">
        <v>4044</v>
      </c>
      <c r="J48" s="47">
        <v>60</v>
      </c>
      <c r="K48" s="52">
        <v>42</v>
      </c>
      <c r="L48" s="19" t="s">
        <v>40</v>
      </c>
      <c r="M48" s="20"/>
      <c r="N48" s="20"/>
      <c r="O48" s="9"/>
    </row>
    <row r="49" spans="1:15">
      <c r="A49" s="16" t="s">
        <v>145</v>
      </c>
      <c r="B49" s="17">
        <f t="shared" si="19"/>
        <v>6366</v>
      </c>
      <c r="C49" s="18">
        <f t="shared" si="20"/>
        <v>649</v>
      </c>
      <c r="D49" s="47">
        <v>985</v>
      </c>
      <c r="E49" s="48">
        <v>427</v>
      </c>
      <c r="F49" s="47">
        <v>2551</v>
      </c>
      <c r="G49" s="48">
        <v>222</v>
      </c>
      <c r="H49" s="47">
        <v>706</v>
      </c>
      <c r="I49" s="48">
        <v>2124</v>
      </c>
      <c r="J49" s="49" t="s">
        <v>193</v>
      </c>
      <c r="K49" s="51" t="s">
        <v>193</v>
      </c>
      <c r="L49" s="19" t="s">
        <v>41</v>
      </c>
      <c r="M49" s="20"/>
      <c r="N49" s="20"/>
      <c r="O49" s="9"/>
    </row>
    <row r="50" spans="1:15">
      <c r="A50" s="16" t="s">
        <v>146</v>
      </c>
      <c r="B50" s="17">
        <f t="shared" si="19"/>
        <v>1005</v>
      </c>
      <c r="C50" s="18">
        <f t="shared" si="20"/>
        <v>1224</v>
      </c>
      <c r="D50" s="47">
        <v>220</v>
      </c>
      <c r="E50" s="48">
        <v>958</v>
      </c>
      <c r="F50" s="47">
        <v>206</v>
      </c>
      <c r="G50" s="48">
        <v>266</v>
      </c>
      <c r="H50" s="47">
        <v>5</v>
      </c>
      <c r="I50" s="48">
        <v>574</v>
      </c>
      <c r="J50" s="49" t="s">
        <v>193</v>
      </c>
      <c r="K50" s="51" t="s">
        <v>193</v>
      </c>
      <c r="L50" s="19" t="s">
        <v>42</v>
      </c>
      <c r="M50" s="20"/>
      <c r="N50" s="20"/>
      <c r="O50" s="9"/>
    </row>
    <row r="51" spans="1:15">
      <c r="A51" s="16" t="s">
        <v>147</v>
      </c>
      <c r="B51" s="17">
        <f t="shared" si="19"/>
        <v>2950</v>
      </c>
      <c r="C51" s="18">
        <f t="shared" si="20"/>
        <v>837</v>
      </c>
      <c r="D51" s="47">
        <v>370</v>
      </c>
      <c r="E51" s="48">
        <v>600</v>
      </c>
      <c r="F51" s="47">
        <v>8</v>
      </c>
      <c r="G51" s="48">
        <v>237</v>
      </c>
      <c r="H51" s="47">
        <v>58</v>
      </c>
      <c r="I51" s="48">
        <v>2514</v>
      </c>
      <c r="J51" s="49" t="s">
        <v>193</v>
      </c>
      <c r="K51" s="51" t="s">
        <v>193</v>
      </c>
      <c r="L51" s="19" t="s">
        <v>43</v>
      </c>
      <c r="M51" s="20"/>
      <c r="N51" s="20"/>
      <c r="O51" s="9"/>
    </row>
    <row r="52" spans="1:15">
      <c r="A52" s="16" t="s">
        <v>148</v>
      </c>
      <c r="B52" s="17">
        <f t="shared" si="19"/>
        <v>7298</v>
      </c>
      <c r="C52" s="18">
        <f t="shared" si="20"/>
        <v>917</v>
      </c>
      <c r="D52" s="47">
        <v>1069</v>
      </c>
      <c r="E52" s="48">
        <v>560</v>
      </c>
      <c r="F52" s="47">
        <v>86</v>
      </c>
      <c r="G52" s="48">
        <v>357</v>
      </c>
      <c r="H52" s="47">
        <v>1769</v>
      </c>
      <c r="I52" s="48">
        <v>4374</v>
      </c>
      <c r="J52" s="49" t="s">
        <v>193</v>
      </c>
      <c r="K52" s="51" t="s">
        <v>193</v>
      </c>
      <c r="L52" s="19" t="s">
        <v>44</v>
      </c>
      <c r="M52" s="20"/>
      <c r="N52" s="20"/>
      <c r="O52" s="9"/>
    </row>
    <row r="53" spans="1:15">
      <c r="A53" s="84" t="s">
        <v>45</v>
      </c>
      <c r="B53" s="79">
        <f>SUM(B55:B59)</f>
        <v>3366</v>
      </c>
      <c r="C53" s="80">
        <f>SUM(C55:C59)</f>
        <v>1581</v>
      </c>
      <c r="D53" s="82">
        <f t="shared" ref="D53" si="21">SUM(D55:D59)</f>
        <v>331</v>
      </c>
      <c r="E53" s="82">
        <f t="shared" ref="E53:K53" si="22">SUM(E55:E59)</f>
        <v>579</v>
      </c>
      <c r="F53" s="82">
        <f t="shared" si="22"/>
        <v>287</v>
      </c>
      <c r="G53" s="82">
        <f t="shared" si="22"/>
        <v>1002</v>
      </c>
      <c r="H53" s="82">
        <f t="shared" si="22"/>
        <v>284</v>
      </c>
      <c r="I53" s="82">
        <f t="shared" si="22"/>
        <v>2464</v>
      </c>
      <c r="J53" s="82">
        <f t="shared" si="22"/>
        <v>0</v>
      </c>
      <c r="K53" s="83">
        <f t="shared" si="22"/>
        <v>0</v>
      </c>
      <c r="L53" s="81" t="s">
        <v>46</v>
      </c>
      <c r="M53" s="81"/>
      <c r="N53" s="81"/>
      <c r="O53" s="9"/>
    </row>
    <row r="54" spans="1:15">
      <c r="A54" s="84"/>
      <c r="B54" s="79"/>
      <c r="C54" s="80"/>
      <c r="D54" s="82"/>
      <c r="E54" s="82"/>
      <c r="F54" s="82"/>
      <c r="G54" s="82"/>
      <c r="H54" s="82"/>
      <c r="I54" s="82"/>
      <c r="J54" s="82"/>
      <c r="K54" s="83"/>
      <c r="L54" s="81"/>
      <c r="M54" s="81"/>
      <c r="N54" s="81"/>
      <c r="O54" s="9"/>
    </row>
    <row r="55" spans="1:15">
      <c r="A55" s="16" t="s">
        <v>149</v>
      </c>
      <c r="B55" s="17">
        <f t="shared" ref="B55:B59" si="23">SUM(D55,F55,H55,I55,J55)</f>
        <v>345</v>
      </c>
      <c r="C55" s="18">
        <f t="shared" ref="C55:C59" si="24">SUM(E55,G55,K55)</f>
        <v>49</v>
      </c>
      <c r="D55" s="47">
        <v>30</v>
      </c>
      <c r="E55" s="48">
        <v>19</v>
      </c>
      <c r="F55" s="47">
        <v>147</v>
      </c>
      <c r="G55" s="48">
        <v>30</v>
      </c>
      <c r="H55" s="47">
        <v>10</v>
      </c>
      <c r="I55" s="48">
        <v>158</v>
      </c>
      <c r="J55" s="49" t="s">
        <v>193</v>
      </c>
      <c r="K55" s="51" t="s">
        <v>193</v>
      </c>
      <c r="L55" s="19" t="s">
        <v>47</v>
      </c>
      <c r="M55" s="20"/>
      <c r="N55" s="20"/>
      <c r="O55" s="9"/>
    </row>
    <row r="56" spans="1:15">
      <c r="A56" s="16" t="s">
        <v>150</v>
      </c>
      <c r="B56" s="17">
        <f t="shared" si="23"/>
        <v>428</v>
      </c>
      <c r="C56" s="18">
        <f t="shared" si="24"/>
        <v>632</v>
      </c>
      <c r="D56" s="47">
        <v>99</v>
      </c>
      <c r="E56" s="48">
        <v>426</v>
      </c>
      <c r="F56" s="47">
        <v>101</v>
      </c>
      <c r="G56" s="48">
        <v>206</v>
      </c>
      <c r="H56" s="47">
        <v>2</v>
      </c>
      <c r="I56" s="48">
        <v>226</v>
      </c>
      <c r="J56" s="49" t="s">
        <v>193</v>
      </c>
      <c r="K56" s="51" t="s">
        <v>193</v>
      </c>
      <c r="L56" s="19" t="s">
        <v>48</v>
      </c>
      <c r="M56" s="20"/>
      <c r="N56" s="20"/>
      <c r="O56" s="9"/>
    </row>
    <row r="57" spans="1:15">
      <c r="A57" s="16" t="s">
        <v>151</v>
      </c>
      <c r="B57" s="17">
        <f t="shared" si="23"/>
        <v>63</v>
      </c>
      <c r="C57" s="18">
        <f t="shared" si="24"/>
        <v>24</v>
      </c>
      <c r="D57" s="47">
        <v>5</v>
      </c>
      <c r="E57" s="50" t="s">
        <v>193</v>
      </c>
      <c r="F57" s="49" t="s">
        <v>193</v>
      </c>
      <c r="G57" s="48">
        <v>24</v>
      </c>
      <c r="H57" s="47">
        <v>58</v>
      </c>
      <c r="I57" s="50" t="s">
        <v>193</v>
      </c>
      <c r="J57" s="49" t="s">
        <v>193</v>
      </c>
      <c r="K57" s="51" t="s">
        <v>193</v>
      </c>
      <c r="L57" s="19" t="s">
        <v>49</v>
      </c>
      <c r="M57" s="20"/>
      <c r="N57" s="20"/>
      <c r="O57" s="9"/>
    </row>
    <row r="58" spans="1:15">
      <c r="A58" s="16" t="s">
        <v>152</v>
      </c>
      <c r="B58" s="17">
        <f t="shared" si="23"/>
        <v>2126</v>
      </c>
      <c r="C58" s="18">
        <f t="shared" si="24"/>
        <v>753</v>
      </c>
      <c r="D58" s="47">
        <v>150</v>
      </c>
      <c r="E58" s="48">
        <v>105</v>
      </c>
      <c r="F58" s="47">
        <v>39</v>
      </c>
      <c r="G58" s="48">
        <v>648</v>
      </c>
      <c r="H58" s="47">
        <v>214</v>
      </c>
      <c r="I58" s="48">
        <v>1723</v>
      </c>
      <c r="J58" s="49" t="s">
        <v>193</v>
      </c>
      <c r="K58" s="51" t="s">
        <v>193</v>
      </c>
      <c r="L58" s="19" t="s">
        <v>50</v>
      </c>
      <c r="M58" s="20"/>
      <c r="N58" s="20"/>
      <c r="O58" s="9"/>
    </row>
    <row r="59" spans="1:15">
      <c r="A59" s="16" t="s">
        <v>153</v>
      </c>
      <c r="B59" s="17">
        <f t="shared" si="23"/>
        <v>404</v>
      </c>
      <c r="C59" s="18">
        <f t="shared" si="24"/>
        <v>123</v>
      </c>
      <c r="D59" s="47">
        <v>47</v>
      </c>
      <c r="E59" s="48">
        <v>29</v>
      </c>
      <c r="F59" s="49" t="s">
        <v>193</v>
      </c>
      <c r="G59" s="48">
        <v>94</v>
      </c>
      <c r="H59" s="49" t="s">
        <v>193</v>
      </c>
      <c r="I59" s="48">
        <v>357</v>
      </c>
      <c r="J59" s="49" t="s">
        <v>193</v>
      </c>
      <c r="K59" s="51" t="s">
        <v>193</v>
      </c>
      <c r="L59" s="19" t="s">
        <v>51</v>
      </c>
      <c r="M59" s="20"/>
      <c r="N59" s="20"/>
      <c r="O59" s="9"/>
    </row>
    <row r="60" spans="1:15">
      <c r="A60" s="84" t="s">
        <v>52</v>
      </c>
      <c r="B60" s="79">
        <f>SUM(B62:B64)</f>
        <v>27227</v>
      </c>
      <c r="C60" s="80">
        <f>SUM(C62:C64)</f>
        <v>9627</v>
      </c>
      <c r="D60" s="82">
        <f t="shared" ref="D60" si="25">SUM(D62:D64)</f>
        <v>5250</v>
      </c>
      <c r="E60" s="82">
        <f t="shared" ref="E60:K60" si="26">SUM(E62:E64)</f>
        <v>4858</v>
      </c>
      <c r="F60" s="82">
        <f t="shared" si="26"/>
        <v>5116</v>
      </c>
      <c r="G60" s="82">
        <f t="shared" si="26"/>
        <v>4769</v>
      </c>
      <c r="H60" s="82">
        <f t="shared" si="26"/>
        <v>1654</v>
      </c>
      <c r="I60" s="82">
        <f t="shared" si="26"/>
        <v>15207</v>
      </c>
      <c r="J60" s="82">
        <f t="shared" si="26"/>
        <v>0</v>
      </c>
      <c r="K60" s="83">
        <f t="shared" si="26"/>
        <v>0</v>
      </c>
      <c r="L60" s="81" t="s">
        <v>53</v>
      </c>
      <c r="M60" s="81"/>
      <c r="N60" s="81"/>
      <c r="O60" s="9"/>
    </row>
    <row r="61" spans="1:15">
      <c r="A61" s="84"/>
      <c r="B61" s="79"/>
      <c r="C61" s="80"/>
      <c r="D61" s="82"/>
      <c r="E61" s="82"/>
      <c r="F61" s="82"/>
      <c r="G61" s="82"/>
      <c r="H61" s="82"/>
      <c r="I61" s="82"/>
      <c r="J61" s="82"/>
      <c r="K61" s="83"/>
      <c r="L61" s="81"/>
      <c r="M61" s="81"/>
      <c r="N61" s="81"/>
      <c r="O61" s="9"/>
    </row>
    <row r="62" spans="1:15">
      <c r="A62" s="16" t="s">
        <v>154</v>
      </c>
      <c r="B62" s="17">
        <f t="shared" ref="B62:B64" si="27">SUM(D62,F62,H62,I62,J62)</f>
        <v>4675</v>
      </c>
      <c r="C62" s="18">
        <f t="shared" ref="C62:C64" si="28">SUM(E62,G62,K62)</f>
        <v>708</v>
      </c>
      <c r="D62" s="47">
        <v>539</v>
      </c>
      <c r="E62" s="48">
        <v>244</v>
      </c>
      <c r="F62" s="47">
        <v>2314</v>
      </c>
      <c r="G62" s="48">
        <v>464</v>
      </c>
      <c r="H62" s="47">
        <v>5</v>
      </c>
      <c r="I62" s="48">
        <v>1817</v>
      </c>
      <c r="J62" s="49" t="s">
        <v>193</v>
      </c>
      <c r="K62" s="51" t="s">
        <v>193</v>
      </c>
      <c r="L62" s="19" t="s">
        <v>54</v>
      </c>
      <c r="M62" s="20"/>
      <c r="N62" s="20"/>
      <c r="O62" s="9"/>
    </row>
    <row r="63" spans="1:15">
      <c r="A63" s="16" t="s">
        <v>155</v>
      </c>
      <c r="B63" s="17">
        <f t="shared" si="27"/>
        <v>17725</v>
      </c>
      <c r="C63" s="18">
        <f t="shared" si="28"/>
        <v>5561</v>
      </c>
      <c r="D63" s="47">
        <v>3711</v>
      </c>
      <c r="E63" s="48">
        <v>2566</v>
      </c>
      <c r="F63" s="47">
        <v>288</v>
      </c>
      <c r="G63" s="48">
        <v>2995</v>
      </c>
      <c r="H63" s="47">
        <v>1496</v>
      </c>
      <c r="I63" s="48">
        <v>12230</v>
      </c>
      <c r="J63" s="49" t="s">
        <v>193</v>
      </c>
      <c r="K63" s="51" t="s">
        <v>193</v>
      </c>
      <c r="L63" s="19" t="s">
        <v>55</v>
      </c>
      <c r="M63" s="20"/>
      <c r="N63" s="20"/>
      <c r="O63" s="9"/>
    </row>
    <row r="64" spans="1:15">
      <c r="A64" s="16" t="s">
        <v>156</v>
      </c>
      <c r="B64" s="17">
        <f t="shared" si="27"/>
        <v>4827</v>
      </c>
      <c r="C64" s="18">
        <f t="shared" si="28"/>
        <v>3358</v>
      </c>
      <c r="D64" s="47">
        <v>1000</v>
      </c>
      <c r="E64" s="48">
        <v>2048</v>
      </c>
      <c r="F64" s="47">
        <v>2514</v>
      </c>
      <c r="G64" s="48">
        <v>1310</v>
      </c>
      <c r="H64" s="47">
        <v>153</v>
      </c>
      <c r="I64" s="48">
        <v>1160</v>
      </c>
      <c r="J64" s="49" t="s">
        <v>193</v>
      </c>
      <c r="K64" s="51" t="s">
        <v>193</v>
      </c>
      <c r="L64" s="19" t="s">
        <v>56</v>
      </c>
      <c r="M64" s="20"/>
      <c r="N64" s="20"/>
      <c r="O64" s="9"/>
    </row>
    <row r="65" spans="1:15">
      <c r="A65" s="84" t="s">
        <v>57</v>
      </c>
      <c r="B65" s="79">
        <f>SUM(B67:B71)</f>
        <v>11741</v>
      </c>
      <c r="C65" s="80">
        <f>SUM(C67:C71)</f>
        <v>3705</v>
      </c>
      <c r="D65" s="82">
        <f t="shared" ref="D65" si="29">SUM(D67:D71)</f>
        <v>2150</v>
      </c>
      <c r="E65" s="82">
        <f t="shared" ref="E65:K65" si="30">SUM(E67:E71)</f>
        <v>2421</v>
      </c>
      <c r="F65" s="82">
        <f t="shared" si="30"/>
        <v>1176</v>
      </c>
      <c r="G65" s="82">
        <f t="shared" si="30"/>
        <v>1284</v>
      </c>
      <c r="H65" s="82">
        <f t="shared" si="30"/>
        <v>865</v>
      </c>
      <c r="I65" s="82">
        <f t="shared" si="30"/>
        <v>7548</v>
      </c>
      <c r="J65" s="82">
        <f t="shared" si="30"/>
        <v>2</v>
      </c>
      <c r="K65" s="83">
        <f t="shared" si="30"/>
        <v>0</v>
      </c>
      <c r="L65" s="81" t="s">
        <v>58</v>
      </c>
      <c r="M65" s="81"/>
      <c r="N65" s="81"/>
      <c r="O65" s="9"/>
    </row>
    <row r="66" spans="1:15">
      <c r="A66" s="84"/>
      <c r="B66" s="79"/>
      <c r="C66" s="80"/>
      <c r="D66" s="82"/>
      <c r="E66" s="82"/>
      <c r="F66" s="82"/>
      <c r="G66" s="82"/>
      <c r="H66" s="82"/>
      <c r="I66" s="82"/>
      <c r="J66" s="82"/>
      <c r="K66" s="83"/>
      <c r="L66" s="81"/>
      <c r="M66" s="81"/>
      <c r="N66" s="81"/>
      <c r="O66" s="9"/>
    </row>
    <row r="67" spans="1:15">
      <c r="A67" s="16" t="s">
        <v>157</v>
      </c>
      <c r="B67" s="17">
        <f t="shared" ref="B67:B71" si="31">SUM(D67,F67,H67,I67,J67)</f>
        <v>1794</v>
      </c>
      <c r="C67" s="18">
        <f t="shared" ref="C67:C71" si="32">SUM(E67,G67,K67)</f>
        <v>515</v>
      </c>
      <c r="D67" s="47">
        <v>539</v>
      </c>
      <c r="E67" s="48">
        <v>430</v>
      </c>
      <c r="F67" s="47">
        <v>13</v>
      </c>
      <c r="G67" s="48">
        <v>85</v>
      </c>
      <c r="H67" s="47">
        <v>362</v>
      </c>
      <c r="I67" s="48">
        <v>880</v>
      </c>
      <c r="J67" s="49" t="s">
        <v>193</v>
      </c>
      <c r="K67" s="51" t="s">
        <v>193</v>
      </c>
      <c r="L67" s="19" t="s">
        <v>59</v>
      </c>
      <c r="M67" s="20"/>
      <c r="N67" s="20"/>
      <c r="O67" s="9"/>
    </row>
    <row r="68" spans="1:15">
      <c r="A68" s="16" t="s">
        <v>158</v>
      </c>
      <c r="B68" s="17">
        <f t="shared" si="31"/>
        <v>756</v>
      </c>
      <c r="C68" s="18">
        <f t="shared" si="32"/>
        <v>63</v>
      </c>
      <c r="D68" s="47">
        <v>58</v>
      </c>
      <c r="E68" s="48">
        <v>32</v>
      </c>
      <c r="F68" s="47">
        <v>476</v>
      </c>
      <c r="G68" s="48">
        <v>31</v>
      </c>
      <c r="H68" s="47">
        <v>17</v>
      </c>
      <c r="I68" s="48">
        <v>205</v>
      </c>
      <c r="J68" s="49" t="s">
        <v>193</v>
      </c>
      <c r="K68" s="51" t="s">
        <v>193</v>
      </c>
      <c r="L68" s="19" t="s">
        <v>60</v>
      </c>
      <c r="M68" s="20"/>
      <c r="N68" s="20"/>
      <c r="O68" s="9"/>
    </row>
    <row r="69" spans="1:15">
      <c r="A69" s="16" t="s">
        <v>159</v>
      </c>
      <c r="B69" s="17">
        <f t="shared" si="31"/>
        <v>520</v>
      </c>
      <c r="C69" s="18">
        <f t="shared" si="32"/>
        <v>244</v>
      </c>
      <c r="D69" s="47">
        <v>96</v>
      </c>
      <c r="E69" s="48">
        <v>149</v>
      </c>
      <c r="F69" s="47">
        <v>55</v>
      </c>
      <c r="G69" s="48">
        <v>95</v>
      </c>
      <c r="H69" s="47">
        <v>2</v>
      </c>
      <c r="I69" s="48">
        <v>367</v>
      </c>
      <c r="J69" s="49" t="s">
        <v>193</v>
      </c>
      <c r="K69" s="51" t="s">
        <v>193</v>
      </c>
      <c r="L69" s="19" t="s">
        <v>61</v>
      </c>
      <c r="M69" s="20"/>
      <c r="N69" s="20"/>
      <c r="O69" s="9"/>
    </row>
    <row r="70" spans="1:15">
      <c r="A70" s="16" t="s">
        <v>160</v>
      </c>
      <c r="B70" s="17">
        <f t="shared" si="31"/>
        <v>5320</v>
      </c>
      <c r="C70" s="18">
        <f t="shared" si="32"/>
        <v>1804</v>
      </c>
      <c r="D70" s="47">
        <v>916</v>
      </c>
      <c r="E70" s="48">
        <v>1048</v>
      </c>
      <c r="F70" s="47">
        <v>405</v>
      </c>
      <c r="G70" s="48">
        <v>756</v>
      </c>
      <c r="H70" s="47">
        <v>473</v>
      </c>
      <c r="I70" s="48">
        <v>3526</v>
      </c>
      <c r="J70" s="49" t="s">
        <v>193</v>
      </c>
      <c r="K70" s="51" t="s">
        <v>193</v>
      </c>
      <c r="L70" s="19" t="s">
        <v>62</v>
      </c>
      <c r="M70" s="20"/>
      <c r="N70" s="20"/>
      <c r="O70" s="9"/>
    </row>
    <row r="71" spans="1:15">
      <c r="A71" s="16" t="s">
        <v>161</v>
      </c>
      <c r="B71" s="17">
        <f t="shared" si="31"/>
        <v>3351</v>
      </c>
      <c r="C71" s="18">
        <f t="shared" si="32"/>
        <v>1079</v>
      </c>
      <c r="D71" s="47">
        <v>541</v>
      </c>
      <c r="E71" s="48">
        <v>762</v>
      </c>
      <c r="F71" s="47">
        <v>227</v>
      </c>
      <c r="G71" s="48">
        <v>317</v>
      </c>
      <c r="H71" s="47">
        <v>11</v>
      </c>
      <c r="I71" s="48">
        <v>2570</v>
      </c>
      <c r="J71" s="47">
        <v>2</v>
      </c>
      <c r="K71" s="51" t="s">
        <v>193</v>
      </c>
      <c r="L71" s="19" t="s">
        <v>63</v>
      </c>
      <c r="M71" s="20"/>
      <c r="N71" s="20"/>
      <c r="O71" s="9"/>
    </row>
    <row r="72" spans="1:15">
      <c r="A72" s="84" t="s">
        <v>64</v>
      </c>
      <c r="B72" s="79">
        <f>SUM(B74:B81)</f>
        <v>3779</v>
      </c>
      <c r="C72" s="80">
        <f>SUM(C74:C81)</f>
        <v>545</v>
      </c>
      <c r="D72" s="82">
        <f t="shared" ref="D72" si="33">SUM(D74:D81)</f>
        <v>894</v>
      </c>
      <c r="E72" s="82">
        <f t="shared" ref="E72:K72" si="34">SUM(E74:E81)</f>
        <v>363</v>
      </c>
      <c r="F72" s="82">
        <f t="shared" si="34"/>
        <v>2198</v>
      </c>
      <c r="G72" s="82">
        <f t="shared" si="34"/>
        <v>182</v>
      </c>
      <c r="H72" s="82">
        <f t="shared" si="34"/>
        <v>419</v>
      </c>
      <c r="I72" s="82">
        <f t="shared" si="34"/>
        <v>268</v>
      </c>
      <c r="J72" s="82">
        <f t="shared" si="34"/>
        <v>0</v>
      </c>
      <c r="K72" s="83">
        <f t="shared" si="34"/>
        <v>0</v>
      </c>
      <c r="L72" s="81" t="s">
        <v>65</v>
      </c>
      <c r="M72" s="81"/>
      <c r="N72" s="81"/>
      <c r="O72" s="9"/>
    </row>
    <row r="73" spans="1:15">
      <c r="A73" s="84"/>
      <c r="B73" s="79"/>
      <c r="C73" s="80"/>
      <c r="D73" s="82"/>
      <c r="E73" s="82"/>
      <c r="F73" s="82"/>
      <c r="G73" s="82"/>
      <c r="H73" s="82"/>
      <c r="I73" s="82"/>
      <c r="J73" s="82"/>
      <c r="K73" s="83"/>
      <c r="L73" s="81"/>
      <c r="M73" s="81"/>
      <c r="N73" s="81"/>
      <c r="O73" s="9"/>
    </row>
    <row r="74" spans="1:15">
      <c r="A74" s="27" t="s">
        <v>110</v>
      </c>
      <c r="B74" s="17">
        <f t="shared" ref="B74:B81" si="35">SUM(D74,F74,H74,I74,J74)</f>
        <v>0</v>
      </c>
      <c r="C74" s="18">
        <f t="shared" ref="C74:C81" si="36">SUM(E74,G74,K74)</f>
        <v>0</v>
      </c>
      <c r="D74" s="47" t="s">
        <v>193</v>
      </c>
      <c r="E74" s="48" t="s">
        <v>193</v>
      </c>
      <c r="F74" s="47" t="s">
        <v>193</v>
      </c>
      <c r="G74" s="48" t="s">
        <v>193</v>
      </c>
      <c r="H74" s="47" t="s">
        <v>193</v>
      </c>
      <c r="I74" s="48" t="s">
        <v>193</v>
      </c>
      <c r="J74" s="47" t="s">
        <v>193</v>
      </c>
      <c r="K74" s="51" t="s">
        <v>193</v>
      </c>
      <c r="L74" s="19" t="s">
        <v>66</v>
      </c>
      <c r="M74" s="20"/>
      <c r="N74" s="20"/>
      <c r="O74" s="9"/>
    </row>
    <row r="75" spans="1:15">
      <c r="A75" s="27" t="s">
        <v>111</v>
      </c>
      <c r="B75" s="17">
        <f t="shared" si="35"/>
        <v>0</v>
      </c>
      <c r="C75" s="18">
        <f t="shared" si="36"/>
        <v>0</v>
      </c>
      <c r="D75" s="47" t="s">
        <v>193</v>
      </c>
      <c r="E75" s="48" t="s">
        <v>193</v>
      </c>
      <c r="F75" s="47" t="s">
        <v>193</v>
      </c>
      <c r="G75" s="48" t="s">
        <v>193</v>
      </c>
      <c r="H75" s="47" t="s">
        <v>193</v>
      </c>
      <c r="I75" s="48" t="s">
        <v>193</v>
      </c>
      <c r="J75" s="47" t="s">
        <v>193</v>
      </c>
      <c r="K75" s="51" t="s">
        <v>193</v>
      </c>
      <c r="L75" s="19" t="s">
        <v>67</v>
      </c>
      <c r="M75" s="20"/>
      <c r="N75" s="20"/>
      <c r="O75" s="9"/>
    </row>
    <row r="76" spans="1:15">
      <c r="A76" s="27" t="s">
        <v>112</v>
      </c>
      <c r="B76" s="17">
        <f t="shared" si="35"/>
        <v>0</v>
      </c>
      <c r="C76" s="18">
        <f t="shared" si="36"/>
        <v>0</v>
      </c>
      <c r="D76" s="47" t="s">
        <v>193</v>
      </c>
      <c r="E76" s="48" t="s">
        <v>193</v>
      </c>
      <c r="F76" s="47" t="s">
        <v>193</v>
      </c>
      <c r="G76" s="48" t="s">
        <v>193</v>
      </c>
      <c r="H76" s="47" t="s">
        <v>193</v>
      </c>
      <c r="I76" s="48" t="s">
        <v>193</v>
      </c>
      <c r="J76" s="47" t="s">
        <v>193</v>
      </c>
      <c r="K76" s="51" t="s">
        <v>193</v>
      </c>
      <c r="L76" s="19" t="s">
        <v>68</v>
      </c>
      <c r="M76" s="20"/>
      <c r="N76" s="20"/>
      <c r="O76" s="9"/>
    </row>
    <row r="77" spans="1:15">
      <c r="A77" s="27" t="s">
        <v>113</v>
      </c>
      <c r="B77" s="17">
        <f t="shared" si="35"/>
        <v>0</v>
      </c>
      <c r="C77" s="18">
        <f t="shared" si="36"/>
        <v>0</v>
      </c>
      <c r="D77" s="47" t="s">
        <v>193</v>
      </c>
      <c r="E77" s="48" t="s">
        <v>193</v>
      </c>
      <c r="F77" s="47" t="s">
        <v>193</v>
      </c>
      <c r="G77" s="48" t="s">
        <v>193</v>
      </c>
      <c r="H77" s="47" t="s">
        <v>193</v>
      </c>
      <c r="I77" s="48" t="s">
        <v>193</v>
      </c>
      <c r="J77" s="47" t="s">
        <v>193</v>
      </c>
      <c r="K77" s="51" t="s">
        <v>193</v>
      </c>
      <c r="L77" s="19" t="s">
        <v>69</v>
      </c>
      <c r="M77" s="20"/>
      <c r="N77" s="20"/>
      <c r="O77" s="9"/>
    </row>
    <row r="78" spans="1:15">
      <c r="A78" s="27" t="s">
        <v>114</v>
      </c>
      <c r="B78" s="17">
        <f t="shared" si="35"/>
        <v>263</v>
      </c>
      <c r="C78" s="18">
        <f t="shared" si="36"/>
        <v>62</v>
      </c>
      <c r="D78" s="47">
        <v>73</v>
      </c>
      <c r="E78" s="48">
        <v>56</v>
      </c>
      <c r="F78" s="47">
        <v>190</v>
      </c>
      <c r="G78" s="48">
        <v>6</v>
      </c>
      <c r="H78" s="49" t="s">
        <v>193</v>
      </c>
      <c r="I78" s="50" t="s">
        <v>193</v>
      </c>
      <c r="J78" s="49" t="s">
        <v>193</v>
      </c>
      <c r="K78" s="51" t="s">
        <v>193</v>
      </c>
      <c r="L78" s="19" t="s">
        <v>70</v>
      </c>
      <c r="M78" s="20"/>
      <c r="N78" s="20"/>
      <c r="O78" s="9"/>
    </row>
    <row r="79" spans="1:15">
      <c r="A79" s="27" t="s">
        <v>115</v>
      </c>
      <c r="B79" s="17">
        <f t="shared" si="35"/>
        <v>2812</v>
      </c>
      <c r="C79" s="18">
        <f t="shared" si="36"/>
        <v>324</v>
      </c>
      <c r="D79" s="47">
        <v>721</v>
      </c>
      <c r="E79" s="48">
        <v>264</v>
      </c>
      <c r="F79" s="47">
        <v>1602</v>
      </c>
      <c r="G79" s="48">
        <v>60</v>
      </c>
      <c r="H79" s="47">
        <v>411</v>
      </c>
      <c r="I79" s="48">
        <v>78</v>
      </c>
      <c r="J79" s="49" t="s">
        <v>193</v>
      </c>
      <c r="K79" s="51" t="s">
        <v>193</v>
      </c>
      <c r="L79" s="19" t="s">
        <v>71</v>
      </c>
      <c r="M79" s="20"/>
      <c r="N79" s="20"/>
      <c r="O79" s="9"/>
    </row>
    <row r="80" spans="1:15">
      <c r="A80" s="27" t="s">
        <v>116</v>
      </c>
      <c r="B80" s="17">
        <f t="shared" si="35"/>
        <v>0</v>
      </c>
      <c r="C80" s="18">
        <f t="shared" si="36"/>
        <v>0</v>
      </c>
      <c r="D80" s="47" t="s">
        <v>193</v>
      </c>
      <c r="E80" s="48" t="s">
        <v>193</v>
      </c>
      <c r="F80" s="47" t="s">
        <v>193</v>
      </c>
      <c r="G80" s="48" t="s">
        <v>193</v>
      </c>
      <c r="H80" s="47" t="s">
        <v>193</v>
      </c>
      <c r="I80" s="48" t="s">
        <v>193</v>
      </c>
      <c r="J80" s="49" t="s">
        <v>193</v>
      </c>
      <c r="K80" s="51" t="s">
        <v>193</v>
      </c>
      <c r="L80" s="19" t="s">
        <v>72</v>
      </c>
      <c r="M80" s="20"/>
      <c r="N80" s="20"/>
      <c r="O80" s="9"/>
    </row>
    <row r="81" spans="1:15">
      <c r="A81" s="27" t="s">
        <v>117</v>
      </c>
      <c r="B81" s="17">
        <f t="shared" si="35"/>
        <v>704</v>
      </c>
      <c r="C81" s="18">
        <f t="shared" si="36"/>
        <v>159</v>
      </c>
      <c r="D81" s="47">
        <v>100</v>
      </c>
      <c r="E81" s="48">
        <v>43</v>
      </c>
      <c r="F81" s="47">
        <v>406</v>
      </c>
      <c r="G81" s="48">
        <v>116</v>
      </c>
      <c r="H81" s="47">
        <v>8</v>
      </c>
      <c r="I81" s="48">
        <v>190</v>
      </c>
      <c r="J81" s="49" t="s">
        <v>193</v>
      </c>
      <c r="K81" s="51" t="s">
        <v>193</v>
      </c>
      <c r="L81" s="19" t="s">
        <v>73</v>
      </c>
      <c r="M81" s="20"/>
      <c r="N81" s="20"/>
      <c r="O81" s="9"/>
    </row>
    <row r="82" spans="1:15">
      <c r="A82" s="84" t="s">
        <v>74</v>
      </c>
      <c r="B82" s="79">
        <f>SUM(B84:B88)</f>
        <v>9769</v>
      </c>
      <c r="C82" s="80">
        <f>SUM(C84:C88)</f>
        <v>2834</v>
      </c>
      <c r="D82" s="82">
        <f t="shared" ref="D82" si="37">SUM(D84:D88)</f>
        <v>1350</v>
      </c>
      <c r="E82" s="82">
        <f t="shared" ref="E82:K82" si="38">SUM(E84:E88)</f>
        <v>1385</v>
      </c>
      <c r="F82" s="82">
        <f t="shared" si="38"/>
        <v>551</v>
      </c>
      <c r="G82" s="82">
        <f t="shared" si="38"/>
        <v>1449</v>
      </c>
      <c r="H82" s="82">
        <f t="shared" si="38"/>
        <v>363</v>
      </c>
      <c r="I82" s="82">
        <f t="shared" si="38"/>
        <v>7505</v>
      </c>
      <c r="J82" s="82">
        <f t="shared" si="38"/>
        <v>0</v>
      </c>
      <c r="K82" s="83">
        <f t="shared" si="38"/>
        <v>0</v>
      </c>
      <c r="L82" s="81" t="s">
        <v>75</v>
      </c>
      <c r="M82" s="81"/>
      <c r="N82" s="81"/>
      <c r="O82" s="9"/>
    </row>
    <row r="83" spans="1:15">
      <c r="A83" s="84"/>
      <c r="B83" s="79"/>
      <c r="C83" s="80"/>
      <c r="D83" s="82"/>
      <c r="E83" s="82"/>
      <c r="F83" s="82"/>
      <c r="G83" s="82"/>
      <c r="H83" s="82"/>
      <c r="I83" s="82"/>
      <c r="J83" s="82"/>
      <c r="K83" s="83"/>
      <c r="L83" s="81"/>
      <c r="M83" s="81"/>
      <c r="N83" s="81"/>
      <c r="O83" s="9"/>
    </row>
    <row r="84" spans="1:15">
      <c r="A84" s="16" t="s">
        <v>162</v>
      </c>
      <c r="B84" s="17">
        <f t="shared" ref="B84:B88" si="39">SUM(D84,F84,H84,I84,J84)</f>
        <v>7389</v>
      </c>
      <c r="C84" s="18">
        <f t="shared" ref="C84:C88" si="40">SUM(E84,G84,K84)</f>
        <v>2041</v>
      </c>
      <c r="D84" s="47">
        <v>811</v>
      </c>
      <c r="E84" s="48">
        <v>963</v>
      </c>
      <c r="F84" s="47">
        <v>56</v>
      </c>
      <c r="G84" s="48">
        <v>1078</v>
      </c>
      <c r="H84" s="47">
        <v>32</v>
      </c>
      <c r="I84" s="48">
        <v>6490</v>
      </c>
      <c r="J84" s="49" t="s">
        <v>193</v>
      </c>
      <c r="K84" s="51" t="s">
        <v>193</v>
      </c>
      <c r="L84" s="19" t="s">
        <v>76</v>
      </c>
      <c r="M84" s="20"/>
      <c r="N84" s="20"/>
      <c r="O84" s="9"/>
    </row>
    <row r="85" spans="1:15">
      <c r="A85" s="16" t="s">
        <v>163</v>
      </c>
      <c r="B85" s="17">
        <f t="shared" si="39"/>
        <v>310</v>
      </c>
      <c r="C85" s="18">
        <f t="shared" si="40"/>
        <v>93</v>
      </c>
      <c r="D85" s="47">
        <v>192</v>
      </c>
      <c r="E85" s="48">
        <v>92</v>
      </c>
      <c r="F85" s="47">
        <v>1</v>
      </c>
      <c r="G85" s="48">
        <v>1</v>
      </c>
      <c r="H85" s="49" t="s">
        <v>193</v>
      </c>
      <c r="I85" s="48">
        <v>117</v>
      </c>
      <c r="J85" s="49" t="s">
        <v>193</v>
      </c>
      <c r="K85" s="51" t="s">
        <v>193</v>
      </c>
      <c r="L85" s="19" t="s">
        <v>77</v>
      </c>
      <c r="M85" s="20"/>
      <c r="N85" s="20"/>
      <c r="O85" s="9"/>
    </row>
    <row r="86" spans="1:15">
      <c r="A86" s="16" t="s">
        <v>164</v>
      </c>
      <c r="B86" s="17">
        <f t="shared" si="39"/>
        <v>923</v>
      </c>
      <c r="C86" s="18">
        <f t="shared" si="40"/>
        <v>184</v>
      </c>
      <c r="D86" s="47">
        <v>148</v>
      </c>
      <c r="E86" s="48">
        <v>146</v>
      </c>
      <c r="F86" s="47">
        <v>11</v>
      </c>
      <c r="G86" s="48">
        <v>38</v>
      </c>
      <c r="H86" s="49" t="s">
        <v>193</v>
      </c>
      <c r="I86" s="48">
        <v>764</v>
      </c>
      <c r="J86" s="49" t="s">
        <v>193</v>
      </c>
      <c r="K86" s="51" t="s">
        <v>193</v>
      </c>
      <c r="L86" s="19" t="s">
        <v>78</v>
      </c>
      <c r="M86" s="20"/>
      <c r="N86" s="20"/>
      <c r="O86" s="9"/>
    </row>
    <row r="87" spans="1:15">
      <c r="A87" s="16" t="s">
        <v>165</v>
      </c>
      <c r="B87" s="17">
        <f t="shared" si="39"/>
        <v>128</v>
      </c>
      <c r="C87" s="18">
        <f t="shared" si="40"/>
        <v>29</v>
      </c>
      <c r="D87" s="47">
        <v>42</v>
      </c>
      <c r="E87" s="48">
        <v>13</v>
      </c>
      <c r="F87" s="47">
        <v>41</v>
      </c>
      <c r="G87" s="48">
        <v>16</v>
      </c>
      <c r="H87" s="49" t="s">
        <v>193</v>
      </c>
      <c r="I87" s="48">
        <v>45</v>
      </c>
      <c r="J87" s="49" t="s">
        <v>193</v>
      </c>
      <c r="K87" s="51" t="s">
        <v>193</v>
      </c>
      <c r="L87" s="19" t="s">
        <v>79</v>
      </c>
      <c r="M87" s="20"/>
      <c r="N87" s="20"/>
      <c r="O87" s="9"/>
    </row>
    <row r="88" spans="1:15">
      <c r="A88" s="16" t="s">
        <v>166</v>
      </c>
      <c r="B88" s="17">
        <f t="shared" si="39"/>
        <v>1019</v>
      </c>
      <c r="C88" s="18">
        <f t="shared" si="40"/>
        <v>487</v>
      </c>
      <c r="D88" s="47">
        <v>157</v>
      </c>
      <c r="E88" s="48">
        <v>171</v>
      </c>
      <c r="F88" s="47">
        <v>442</v>
      </c>
      <c r="G88" s="48">
        <v>316</v>
      </c>
      <c r="H88" s="47">
        <v>331</v>
      </c>
      <c r="I88" s="48">
        <v>89</v>
      </c>
      <c r="J88" s="49" t="s">
        <v>193</v>
      </c>
      <c r="K88" s="51" t="s">
        <v>193</v>
      </c>
      <c r="L88" s="19" t="s">
        <v>80</v>
      </c>
      <c r="M88" s="20"/>
      <c r="N88" s="20"/>
      <c r="O88" s="9"/>
    </row>
    <row r="89" spans="1:15">
      <c r="A89" s="84" t="s">
        <v>81</v>
      </c>
      <c r="B89" s="79">
        <f>SUM(B91:B103)</f>
        <v>15144</v>
      </c>
      <c r="C89" s="80">
        <f>SUM(C91:C103)</f>
        <v>6178</v>
      </c>
      <c r="D89" s="82">
        <f t="shared" ref="D89" si="41">SUM(D91:D103)</f>
        <v>2982</v>
      </c>
      <c r="E89" s="82">
        <f t="shared" ref="E89:K89" si="42">SUM(E91:E103)</f>
        <v>3096</v>
      </c>
      <c r="F89" s="82">
        <f t="shared" si="42"/>
        <v>7131</v>
      </c>
      <c r="G89" s="82">
        <f t="shared" si="42"/>
        <v>3082</v>
      </c>
      <c r="H89" s="82">
        <f t="shared" si="42"/>
        <v>505</v>
      </c>
      <c r="I89" s="82">
        <f t="shared" si="42"/>
        <v>4526</v>
      </c>
      <c r="J89" s="82">
        <f t="shared" si="42"/>
        <v>0</v>
      </c>
      <c r="K89" s="83">
        <f t="shared" si="42"/>
        <v>0</v>
      </c>
      <c r="L89" s="81" t="s">
        <v>82</v>
      </c>
      <c r="M89" s="81"/>
      <c r="N89" s="81"/>
      <c r="O89" s="9"/>
    </row>
    <row r="90" spans="1:15">
      <c r="A90" s="84"/>
      <c r="B90" s="79"/>
      <c r="C90" s="80"/>
      <c r="D90" s="82"/>
      <c r="E90" s="82"/>
      <c r="F90" s="82"/>
      <c r="G90" s="82"/>
      <c r="H90" s="82"/>
      <c r="I90" s="82"/>
      <c r="J90" s="82"/>
      <c r="K90" s="83"/>
      <c r="L90" s="81"/>
      <c r="M90" s="81"/>
      <c r="N90" s="81"/>
      <c r="O90" s="9"/>
    </row>
    <row r="91" spans="1:15">
      <c r="A91" s="16" t="s">
        <v>167</v>
      </c>
      <c r="B91" s="17">
        <f t="shared" ref="B91:B103" si="43">SUM(D91,F91,H91,I91,J91)</f>
        <v>232</v>
      </c>
      <c r="C91" s="18">
        <f t="shared" ref="C91:C103" si="44">SUM(E91,G91,K91)</f>
        <v>65</v>
      </c>
      <c r="D91" s="49" t="s">
        <v>193</v>
      </c>
      <c r="E91" s="48">
        <v>20</v>
      </c>
      <c r="F91" s="47">
        <v>214</v>
      </c>
      <c r="G91" s="48">
        <v>45</v>
      </c>
      <c r="H91" s="49" t="s">
        <v>193</v>
      </c>
      <c r="I91" s="48">
        <v>18</v>
      </c>
      <c r="J91" s="49" t="s">
        <v>193</v>
      </c>
      <c r="K91" s="51" t="s">
        <v>193</v>
      </c>
      <c r="L91" s="19" t="s">
        <v>83</v>
      </c>
      <c r="M91" s="20"/>
      <c r="N91" s="20"/>
      <c r="O91" s="9"/>
    </row>
    <row r="92" spans="1:15">
      <c r="A92" s="16" t="s">
        <v>168</v>
      </c>
      <c r="B92" s="17">
        <f t="shared" si="43"/>
        <v>532</v>
      </c>
      <c r="C92" s="18">
        <f t="shared" si="44"/>
        <v>144</v>
      </c>
      <c r="D92" s="47">
        <v>106</v>
      </c>
      <c r="E92" s="48">
        <v>139</v>
      </c>
      <c r="F92" s="47">
        <v>17</v>
      </c>
      <c r="G92" s="48">
        <v>5</v>
      </c>
      <c r="H92" s="47">
        <v>36</v>
      </c>
      <c r="I92" s="48">
        <v>373</v>
      </c>
      <c r="J92" s="49" t="s">
        <v>193</v>
      </c>
      <c r="K92" s="51" t="s">
        <v>193</v>
      </c>
      <c r="L92" s="19" t="s">
        <v>84</v>
      </c>
      <c r="M92" s="20"/>
      <c r="N92" s="20"/>
      <c r="O92" s="9"/>
    </row>
    <row r="93" spans="1:15">
      <c r="A93" s="16" t="s">
        <v>169</v>
      </c>
      <c r="B93" s="17">
        <f t="shared" si="43"/>
        <v>224</v>
      </c>
      <c r="C93" s="18">
        <f t="shared" si="44"/>
        <v>81</v>
      </c>
      <c r="D93" s="47">
        <v>75</v>
      </c>
      <c r="E93" s="48">
        <v>48</v>
      </c>
      <c r="F93" s="47">
        <v>102</v>
      </c>
      <c r="G93" s="48">
        <v>33</v>
      </c>
      <c r="H93" s="47">
        <v>10</v>
      </c>
      <c r="I93" s="48">
        <v>37</v>
      </c>
      <c r="J93" s="49" t="s">
        <v>193</v>
      </c>
      <c r="K93" s="51" t="s">
        <v>193</v>
      </c>
      <c r="L93" s="19" t="s">
        <v>85</v>
      </c>
      <c r="M93" s="20"/>
      <c r="N93" s="20"/>
      <c r="O93" s="9"/>
    </row>
    <row r="94" spans="1:15">
      <c r="A94" s="16" t="s">
        <v>170</v>
      </c>
      <c r="B94" s="17">
        <f t="shared" si="43"/>
        <v>503</v>
      </c>
      <c r="C94" s="18">
        <f t="shared" si="44"/>
        <v>423</v>
      </c>
      <c r="D94" s="47">
        <v>39</v>
      </c>
      <c r="E94" s="48">
        <v>81</v>
      </c>
      <c r="F94" s="47">
        <v>379</v>
      </c>
      <c r="G94" s="48">
        <v>342</v>
      </c>
      <c r="H94" s="49" t="s">
        <v>193</v>
      </c>
      <c r="I94" s="48">
        <v>85</v>
      </c>
      <c r="J94" s="49" t="s">
        <v>193</v>
      </c>
      <c r="K94" s="51" t="s">
        <v>193</v>
      </c>
      <c r="L94" s="19" t="s">
        <v>86</v>
      </c>
      <c r="M94" s="20"/>
      <c r="N94" s="20"/>
      <c r="O94" s="9"/>
    </row>
    <row r="95" spans="1:15">
      <c r="A95" s="16" t="s">
        <v>171</v>
      </c>
      <c r="B95" s="17">
        <f t="shared" si="43"/>
        <v>0</v>
      </c>
      <c r="C95" s="18">
        <f t="shared" si="44"/>
        <v>0</v>
      </c>
      <c r="D95" s="47" t="s">
        <v>193</v>
      </c>
      <c r="E95" s="48" t="s">
        <v>193</v>
      </c>
      <c r="F95" s="47" t="s">
        <v>193</v>
      </c>
      <c r="G95" s="48" t="s">
        <v>193</v>
      </c>
      <c r="H95" s="49" t="s">
        <v>193</v>
      </c>
      <c r="I95" s="48" t="s">
        <v>193</v>
      </c>
      <c r="J95" s="49" t="s">
        <v>193</v>
      </c>
      <c r="K95" s="51" t="s">
        <v>193</v>
      </c>
      <c r="L95" s="19" t="s">
        <v>87</v>
      </c>
      <c r="M95" s="20"/>
      <c r="N95" s="20"/>
      <c r="O95" s="9"/>
    </row>
    <row r="96" spans="1:15">
      <c r="A96" s="16" t="s">
        <v>172</v>
      </c>
      <c r="B96" s="17">
        <f t="shared" si="43"/>
        <v>977</v>
      </c>
      <c r="C96" s="18">
        <f t="shared" si="44"/>
        <v>248</v>
      </c>
      <c r="D96" s="47">
        <v>185</v>
      </c>
      <c r="E96" s="48">
        <v>186</v>
      </c>
      <c r="F96" s="47">
        <v>102</v>
      </c>
      <c r="G96" s="48">
        <v>62</v>
      </c>
      <c r="H96" s="47">
        <v>369</v>
      </c>
      <c r="I96" s="48">
        <v>321</v>
      </c>
      <c r="J96" s="49" t="s">
        <v>193</v>
      </c>
      <c r="K96" s="51" t="s">
        <v>193</v>
      </c>
      <c r="L96" s="19" t="s">
        <v>88</v>
      </c>
      <c r="M96" s="20"/>
      <c r="N96" s="20"/>
      <c r="O96" s="9"/>
    </row>
    <row r="97" spans="1:15">
      <c r="A97" s="16" t="s">
        <v>173</v>
      </c>
      <c r="B97" s="17">
        <f t="shared" si="43"/>
        <v>2531</v>
      </c>
      <c r="C97" s="18">
        <f t="shared" si="44"/>
        <v>865</v>
      </c>
      <c r="D97" s="47">
        <v>577</v>
      </c>
      <c r="E97" s="48">
        <v>769</v>
      </c>
      <c r="F97" s="47">
        <v>436</v>
      </c>
      <c r="G97" s="48">
        <v>96</v>
      </c>
      <c r="H97" s="49" t="s">
        <v>193</v>
      </c>
      <c r="I97" s="48">
        <v>1518</v>
      </c>
      <c r="J97" s="49" t="s">
        <v>193</v>
      </c>
      <c r="K97" s="51" t="s">
        <v>193</v>
      </c>
      <c r="L97" s="19" t="s">
        <v>89</v>
      </c>
      <c r="M97" s="20"/>
      <c r="N97" s="20"/>
      <c r="O97" s="9"/>
    </row>
    <row r="98" spans="1:15">
      <c r="A98" s="16" t="s">
        <v>174</v>
      </c>
      <c r="B98" s="17">
        <f t="shared" si="43"/>
        <v>95</v>
      </c>
      <c r="C98" s="18">
        <f t="shared" si="44"/>
        <v>24</v>
      </c>
      <c r="D98" s="47">
        <v>2</v>
      </c>
      <c r="E98" s="48">
        <v>9</v>
      </c>
      <c r="F98" s="47">
        <v>23</v>
      </c>
      <c r="G98" s="48">
        <v>15</v>
      </c>
      <c r="H98" s="47">
        <v>3</v>
      </c>
      <c r="I98" s="48">
        <v>67</v>
      </c>
      <c r="J98" s="49" t="s">
        <v>193</v>
      </c>
      <c r="K98" s="51" t="s">
        <v>193</v>
      </c>
      <c r="L98" s="19" t="s">
        <v>90</v>
      </c>
      <c r="M98" s="20"/>
      <c r="N98" s="20"/>
      <c r="O98" s="9"/>
    </row>
    <row r="99" spans="1:15">
      <c r="A99" s="16" t="s">
        <v>175</v>
      </c>
      <c r="B99" s="17">
        <f t="shared" si="43"/>
        <v>553</v>
      </c>
      <c r="C99" s="18">
        <f t="shared" si="44"/>
        <v>235</v>
      </c>
      <c r="D99" s="47">
        <v>32</v>
      </c>
      <c r="E99" s="48">
        <v>16</v>
      </c>
      <c r="F99" s="47">
        <v>236</v>
      </c>
      <c r="G99" s="48">
        <v>219</v>
      </c>
      <c r="H99" s="47">
        <v>20</v>
      </c>
      <c r="I99" s="48">
        <v>265</v>
      </c>
      <c r="J99" s="49" t="s">
        <v>193</v>
      </c>
      <c r="K99" s="51" t="s">
        <v>193</v>
      </c>
      <c r="L99" s="19" t="s">
        <v>91</v>
      </c>
      <c r="M99" s="20"/>
      <c r="N99" s="20"/>
      <c r="O99" s="9"/>
    </row>
    <row r="100" spans="1:15">
      <c r="A100" s="16" t="s">
        <v>176</v>
      </c>
      <c r="B100" s="17">
        <f t="shared" si="43"/>
        <v>7117</v>
      </c>
      <c r="C100" s="18">
        <f t="shared" si="44"/>
        <v>2222</v>
      </c>
      <c r="D100" s="47">
        <v>1227</v>
      </c>
      <c r="E100" s="48">
        <v>1017</v>
      </c>
      <c r="F100" s="47">
        <v>4503</v>
      </c>
      <c r="G100" s="48">
        <v>1205</v>
      </c>
      <c r="H100" s="49" t="s">
        <v>193</v>
      </c>
      <c r="I100" s="48">
        <v>1387</v>
      </c>
      <c r="J100" s="49" t="s">
        <v>193</v>
      </c>
      <c r="K100" s="51" t="s">
        <v>193</v>
      </c>
      <c r="L100" s="19" t="s">
        <v>92</v>
      </c>
      <c r="M100" s="20"/>
      <c r="N100" s="20"/>
      <c r="O100" s="9"/>
    </row>
    <row r="101" spans="1:15">
      <c r="A101" s="16" t="s">
        <v>177</v>
      </c>
      <c r="B101" s="17">
        <f t="shared" si="43"/>
        <v>774</v>
      </c>
      <c r="C101" s="18">
        <f t="shared" si="44"/>
        <v>223</v>
      </c>
      <c r="D101" s="47">
        <v>164</v>
      </c>
      <c r="E101" s="48">
        <v>165</v>
      </c>
      <c r="F101" s="47">
        <v>610</v>
      </c>
      <c r="G101" s="48">
        <v>58</v>
      </c>
      <c r="H101" s="49" t="s">
        <v>193</v>
      </c>
      <c r="I101" s="50" t="s">
        <v>193</v>
      </c>
      <c r="J101" s="49" t="s">
        <v>193</v>
      </c>
      <c r="K101" s="51" t="s">
        <v>193</v>
      </c>
      <c r="L101" s="19" t="s">
        <v>93</v>
      </c>
      <c r="M101" s="20"/>
      <c r="N101" s="20"/>
      <c r="O101" s="9"/>
    </row>
    <row r="102" spans="1:15">
      <c r="A102" s="16" t="s">
        <v>178</v>
      </c>
      <c r="B102" s="17">
        <f t="shared" si="43"/>
        <v>1049</v>
      </c>
      <c r="C102" s="18">
        <f t="shared" si="44"/>
        <v>1458</v>
      </c>
      <c r="D102" s="47">
        <v>412</v>
      </c>
      <c r="E102" s="48">
        <v>482</v>
      </c>
      <c r="F102" s="47">
        <v>501</v>
      </c>
      <c r="G102" s="48">
        <v>976</v>
      </c>
      <c r="H102" s="47">
        <v>67</v>
      </c>
      <c r="I102" s="48">
        <v>69</v>
      </c>
      <c r="J102" s="49" t="s">
        <v>193</v>
      </c>
      <c r="K102" s="51" t="s">
        <v>193</v>
      </c>
      <c r="L102" s="19" t="s">
        <v>94</v>
      </c>
      <c r="M102" s="20"/>
      <c r="N102" s="20"/>
      <c r="O102" s="9"/>
    </row>
    <row r="103" spans="1:15">
      <c r="A103" s="16" t="s">
        <v>179</v>
      </c>
      <c r="B103" s="17">
        <f t="shared" si="43"/>
        <v>557</v>
      </c>
      <c r="C103" s="18">
        <f t="shared" si="44"/>
        <v>190</v>
      </c>
      <c r="D103" s="47">
        <v>163</v>
      </c>
      <c r="E103" s="48">
        <v>164</v>
      </c>
      <c r="F103" s="47">
        <v>8</v>
      </c>
      <c r="G103" s="48">
        <v>26</v>
      </c>
      <c r="H103" s="49" t="s">
        <v>193</v>
      </c>
      <c r="I103" s="48">
        <v>386</v>
      </c>
      <c r="J103" s="49" t="s">
        <v>193</v>
      </c>
      <c r="K103" s="51" t="s">
        <v>193</v>
      </c>
      <c r="L103" s="19" t="s">
        <v>95</v>
      </c>
      <c r="M103" s="20"/>
      <c r="N103" s="20"/>
      <c r="O103" s="9"/>
    </row>
    <row r="104" spans="1:15">
      <c r="A104" s="84" t="s">
        <v>96</v>
      </c>
      <c r="B104" s="79">
        <f>SUM(B106:B109)</f>
        <v>1114</v>
      </c>
      <c r="C104" s="80">
        <f>SUM(C106:C109)</f>
        <v>505</v>
      </c>
      <c r="D104" s="82">
        <f t="shared" ref="D104" si="45">SUM(D106:D109)</f>
        <v>572</v>
      </c>
      <c r="E104" s="82">
        <f t="shared" ref="E104:K104" si="46">SUM(E106:E109)</f>
        <v>376</v>
      </c>
      <c r="F104" s="82">
        <f t="shared" si="46"/>
        <v>145</v>
      </c>
      <c r="G104" s="82">
        <f t="shared" si="46"/>
        <v>129</v>
      </c>
      <c r="H104" s="82">
        <f t="shared" si="46"/>
        <v>28</v>
      </c>
      <c r="I104" s="82">
        <f t="shared" si="46"/>
        <v>369</v>
      </c>
      <c r="J104" s="82">
        <f t="shared" si="46"/>
        <v>0</v>
      </c>
      <c r="K104" s="83">
        <f t="shared" si="46"/>
        <v>0</v>
      </c>
      <c r="L104" s="81" t="s">
        <v>97</v>
      </c>
      <c r="M104" s="81"/>
      <c r="N104" s="81"/>
      <c r="O104" s="9"/>
    </row>
    <row r="105" spans="1:15">
      <c r="A105" s="84"/>
      <c r="B105" s="79"/>
      <c r="C105" s="80"/>
      <c r="D105" s="82"/>
      <c r="E105" s="82"/>
      <c r="F105" s="82"/>
      <c r="G105" s="82"/>
      <c r="H105" s="82"/>
      <c r="I105" s="82"/>
      <c r="J105" s="82"/>
      <c r="K105" s="83"/>
      <c r="L105" s="81"/>
      <c r="M105" s="81"/>
      <c r="N105" s="81"/>
      <c r="O105" s="9"/>
    </row>
    <row r="106" spans="1:15">
      <c r="A106" s="16" t="s">
        <v>180</v>
      </c>
      <c r="B106" s="17">
        <f t="shared" ref="B106:B109" si="47">SUM(D106,F106,H106,I106,J106)</f>
        <v>331</v>
      </c>
      <c r="C106" s="18">
        <f t="shared" ref="C106:C109" si="48">SUM(E106,G106,K106)</f>
        <v>262</v>
      </c>
      <c r="D106" s="47">
        <v>197</v>
      </c>
      <c r="E106" s="48">
        <v>227</v>
      </c>
      <c r="F106" s="47">
        <v>17</v>
      </c>
      <c r="G106" s="48">
        <v>35</v>
      </c>
      <c r="H106" s="47">
        <v>9</v>
      </c>
      <c r="I106" s="48">
        <v>108</v>
      </c>
      <c r="J106" s="49" t="s">
        <v>193</v>
      </c>
      <c r="K106" s="51" t="s">
        <v>193</v>
      </c>
      <c r="L106" s="19" t="s">
        <v>98</v>
      </c>
      <c r="M106" s="20"/>
      <c r="N106" s="20"/>
      <c r="O106" s="9"/>
    </row>
    <row r="107" spans="1:15">
      <c r="A107" s="16" t="s">
        <v>181</v>
      </c>
      <c r="B107" s="17">
        <f t="shared" si="47"/>
        <v>134</v>
      </c>
      <c r="C107" s="18">
        <f t="shared" si="48"/>
        <v>90</v>
      </c>
      <c r="D107" s="47">
        <v>2</v>
      </c>
      <c r="E107" s="48">
        <v>51</v>
      </c>
      <c r="F107" s="47">
        <v>2</v>
      </c>
      <c r="G107" s="48">
        <v>39</v>
      </c>
      <c r="H107" s="49" t="s">
        <v>193</v>
      </c>
      <c r="I107" s="48">
        <v>130</v>
      </c>
      <c r="J107" s="49" t="s">
        <v>193</v>
      </c>
      <c r="K107" s="51" t="s">
        <v>193</v>
      </c>
      <c r="L107" s="19" t="s">
        <v>99</v>
      </c>
      <c r="M107" s="20"/>
      <c r="N107" s="20"/>
      <c r="O107" s="9"/>
    </row>
    <row r="108" spans="1:15">
      <c r="A108" s="16" t="s">
        <v>182</v>
      </c>
      <c r="B108" s="17">
        <f t="shared" si="47"/>
        <v>448</v>
      </c>
      <c r="C108" s="18">
        <f t="shared" si="48"/>
        <v>108</v>
      </c>
      <c r="D108" s="47">
        <v>316</v>
      </c>
      <c r="E108" s="48">
        <v>75</v>
      </c>
      <c r="F108" s="47">
        <v>94</v>
      </c>
      <c r="G108" s="48">
        <v>33</v>
      </c>
      <c r="H108" s="49" t="s">
        <v>193</v>
      </c>
      <c r="I108" s="48">
        <v>38</v>
      </c>
      <c r="J108" s="49" t="s">
        <v>193</v>
      </c>
      <c r="K108" s="51" t="s">
        <v>193</v>
      </c>
      <c r="L108" s="19" t="s">
        <v>100</v>
      </c>
      <c r="M108" s="20"/>
      <c r="N108" s="20"/>
      <c r="O108" s="9"/>
    </row>
    <row r="109" spans="1:15" ht="15.65" thickBot="1">
      <c r="A109" s="28" t="s">
        <v>183</v>
      </c>
      <c r="B109" s="29">
        <f t="shared" si="47"/>
        <v>201</v>
      </c>
      <c r="C109" s="30">
        <f t="shared" si="48"/>
        <v>45</v>
      </c>
      <c r="D109" s="53">
        <v>57</v>
      </c>
      <c r="E109" s="54">
        <v>23</v>
      </c>
      <c r="F109" s="53">
        <v>32</v>
      </c>
      <c r="G109" s="54">
        <v>22</v>
      </c>
      <c r="H109" s="53">
        <v>19</v>
      </c>
      <c r="I109" s="54">
        <v>93</v>
      </c>
      <c r="J109" s="55" t="s">
        <v>193</v>
      </c>
      <c r="K109" s="56" t="s">
        <v>193</v>
      </c>
      <c r="L109" s="31" t="s">
        <v>101</v>
      </c>
      <c r="M109" s="32"/>
      <c r="N109" s="32"/>
      <c r="O109" s="9"/>
    </row>
    <row r="110" spans="1:15">
      <c r="A110" s="33"/>
      <c r="K110" s="2"/>
      <c r="M110" s="85"/>
      <c r="N110" s="85"/>
    </row>
    <row r="111" spans="1:15">
      <c r="A111" s="34"/>
      <c r="K111" s="35"/>
      <c r="L111" s="34"/>
      <c r="M111" s="34"/>
      <c r="N111" s="34"/>
    </row>
    <row r="112" spans="1:15" ht="10.199999999999999" customHeight="1">
      <c r="A112" s="36"/>
      <c r="B112" s="37"/>
      <c r="C112" s="37"/>
      <c r="D112" s="37"/>
      <c r="E112" s="37"/>
      <c r="F112" s="37"/>
      <c r="L112" s="37"/>
      <c r="M112" s="37"/>
      <c r="N112" s="37"/>
    </row>
    <row r="113" spans="1:14" ht="10.199999999999999" customHeight="1">
      <c r="A113" s="36"/>
      <c r="B113" s="37"/>
      <c r="C113" s="37"/>
      <c r="D113" s="37"/>
      <c r="E113" s="37"/>
      <c r="F113" s="37"/>
      <c r="L113" s="37"/>
      <c r="M113" s="37"/>
      <c r="N113" s="37"/>
    </row>
    <row r="114" spans="1:14" ht="10.199999999999999" customHeight="1">
      <c r="A114" s="86"/>
      <c r="B114" s="86"/>
      <c r="C114" s="86"/>
      <c r="D114" s="86"/>
      <c r="E114" s="86"/>
      <c r="F114" s="86"/>
      <c r="L114" s="86"/>
      <c r="M114" s="86"/>
      <c r="N114" s="86"/>
    </row>
    <row r="115" spans="1:14">
      <c r="A115" s="86"/>
      <c r="B115" s="86"/>
      <c r="C115" s="86"/>
      <c r="D115" s="86"/>
      <c r="E115" s="86"/>
      <c r="F115" s="86"/>
      <c r="L115" s="86"/>
      <c r="M115" s="86"/>
      <c r="N115" s="86"/>
    </row>
    <row r="116" spans="1:14">
      <c r="A116" s="9"/>
    </row>
    <row r="117" spans="1:14">
      <c r="A117" s="9"/>
    </row>
    <row r="118" spans="1:14">
      <c r="A118" s="9"/>
    </row>
    <row r="119" spans="1:14">
      <c r="A119" s="9"/>
    </row>
    <row r="120" spans="1:14">
      <c r="A120" s="9"/>
    </row>
    <row r="121" spans="1:14">
      <c r="A121" s="9"/>
    </row>
    <row r="122" spans="1:14">
      <c r="A122" s="9"/>
    </row>
    <row r="123" spans="1:14">
      <c r="A123" s="9"/>
    </row>
    <row r="124" spans="1:14">
      <c r="A124" s="38"/>
    </row>
    <row r="125" spans="1:14" s="9" customFormat="1">
      <c r="A125" s="99"/>
      <c r="B125" s="99"/>
      <c r="C125" s="99"/>
      <c r="D125" s="99"/>
      <c r="E125" s="99"/>
      <c r="F125" s="99"/>
      <c r="G125" s="99"/>
      <c r="H125" s="100"/>
      <c r="I125" s="100"/>
      <c r="J125" s="100"/>
      <c r="K125" s="100"/>
    </row>
    <row r="126" spans="1:14" s="9" customFormat="1">
      <c r="A126" s="99"/>
      <c r="B126" s="99"/>
      <c r="C126" s="99"/>
      <c r="D126" s="99"/>
      <c r="E126" s="99"/>
      <c r="F126" s="99"/>
      <c r="G126" s="99"/>
      <c r="H126" s="100"/>
      <c r="I126" s="100"/>
      <c r="J126" s="100"/>
      <c r="K126" s="100"/>
    </row>
    <row r="127" spans="1:14" s="9" customFormat="1">
      <c r="A127" s="99"/>
      <c r="B127" s="99"/>
      <c r="C127" s="99"/>
      <c r="D127" s="99"/>
      <c r="E127" s="99"/>
      <c r="F127" s="99"/>
      <c r="G127" s="99"/>
      <c r="H127" s="100"/>
      <c r="I127" s="100"/>
      <c r="J127" s="100"/>
      <c r="K127" s="100"/>
    </row>
    <row r="128" spans="1:14" s="9" customFormat="1">
      <c r="A128" s="39"/>
      <c r="G128" s="90"/>
      <c r="H128" s="90"/>
      <c r="I128" s="90"/>
      <c r="J128" s="90"/>
      <c r="K128" s="90"/>
    </row>
    <row r="129" spans="1:11" s="9" customFormat="1">
      <c r="A129" s="91"/>
      <c r="B129" s="92"/>
      <c r="C129" s="92"/>
      <c r="D129" s="92"/>
      <c r="E129" s="92"/>
      <c r="F129" s="92"/>
      <c r="G129" s="92"/>
      <c r="H129" s="92"/>
      <c r="I129" s="92"/>
      <c r="J129" s="92"/>
      <c r="K129" s="92"/>
    </row>
    <row r="130" spans="1:11" s="9" customFormat="1">
      <c r="A130" s="91"/>
      <c r="B130" s="92"/>
      <c r="C130" s="92"/>
      <c r="D130" s="92"/>
      <c r="E130" s="92"/>
      <c r="F130" s="92"/>
      <c r="G130" s="92"/>
      <c r="H130" s="92"/>
      <c r="I130" s="92"/>
      <c r="J130" s="92"/>
      <c r="K130" s="92"/>
    </row>
    <row r="131" spans="1:11" s="9" customFormat="1">
      <c r="A131" s="91"/>
      <c r="B131" s="92"/>
      <c r="C131" s="92"/>
      <c r="D131" s="40"/>
      <c r="E131" s="92"/>
      <c r="F131" s="92"/>
      <c r="G131" s="92"/>
      <c r="H131" s="92"/>
      <c r="I131" s="92"/>
      <c r="J131" s="92"/>
      <c r="K131" s="92"/>
    </row>
    <row r="132" spans="1:11" s="9" customFormat="1">
      <c r="A132" s="91"/>
      <c r="B132" s="41"/>
      <c r="C132" s="41"/>
      <c r="D132" s="41"/>
      <c r="E132" s="41"/>
      <c r="F132" s="41"/>
      <c r="G132" s="41"/>
      <c r="H132" s="41"/>
      <c r="I132" s="41"/>
      <c r="J132" s="41"/>
      <c r="K132" s="41"/>
    </row>
    <row r="133" spans="1:11" s="9" customFormat="1">
      <c r="A133" s="42"/>
    </row>
    <row r="134" spans="1:11" s="9" customFormat="1">
      <c r="A134" s="43"/>
    </row>
    <row r="135" spans="1:11" s="9" customFormat="1">
      <c r="A135" s="94"/>
      <c r="B135" s="93"/>
      <c r="C135" s="93"/>
      <c r="D135" s="44"/>
      <c r="E135" s="93"/>
      <c r="F135" s="93"/>
      <c r="G135" s="93"/>
      <c r="H135" s="93"/>
      <c r="I135" s="93"/>
      <c r="J135" s="93"/>
      <c r="K135" s="93"/>
    </row>
    <row r="136" spans="1:11" s="9" customFormat="1">
      <c r="A136" s="94"/>
      <c r="B136" s="93"/>
      <c r="C136" s="93"/>
      <c r="D136" s="44"/>
      <c r="E136" s="93"/>
      <c r="F136" s="93"/>
      <c r="G136" s="93"/>
      <c r="H136" s="93"/>
      <c r="I136" s="93"/>
      <c r="J136" s="93"/>
      <c r="K136" s="93"/>
    </row>
    <row r="137" spans="1:11" s="9" customFormat="1">
      <c r="A137" s="94"/>
      <c r="B137" s="93"/>
      <c r="C137" s="93"/>
      <c r="D137" s="44"/>
      <c r="E137" s="93"/>
      <c r="F137" s="93"/>
      <c r="G137" s="93"/>
      <c r="H137" s="93"/>
      <c r="I137" s="93"/>
      <c r="J137" s="93"/>
      <c r="K137" s="93"/>
    </row>
    <row r="138" spans="1:11" s="9" customFormat="1">
      <c r="A138" s="43"/>
      <c r="G138" s="8"/>
      <c r="H138" s="8"/>
    </row>
    <row r="139" spans="1:11" s="9" customFormat="1">
      <c r="A139" s="43"/>
      <c r="G139" s="8"/>
      <c r="H139" s="8"/>
    </row>
    <row r="140" spans="1:11" s="9" customFormat="1">
      <c r="A140" s="43"/>
      <c r="G140" s="8"/>
      <c r="H140" s="8"/>
    </row>
    <row r="141" spans="1:11" s="9" customFormat="1">
      <c r="A141" s="43"/>
      <c r="G141" s="8"/>
      <c r="H141" s="8"/>
    </row>
    <row r="142" spans="1:11" s="9" customFormat="1">
      <c r="A142" s="43"/>
      <c r="G142" s="8"/>
      <c r="H142" s="8"/>
    </row>
    <row r="143" spans="1:11" s="9" customFormat="1">
      <c r="A143" s="43"/>
      <c r="G143" s="8"/>
      <c r="H143" s="8"/>
    </row>
    <row r="144" spans="1:11" s="9" customFormat="1">
      <c r="A144" s="94"/>
    </row>
    <row r="145" spans="1:8" s="9" customFormat="1">
      <c r="A145" s="94"/>
    </row>
    <row r="146" spans="1:8" s="9" customFormat="1">
      <c r="A146" s="43"/>
      <c r="G146" s="8"/>
      <c r="H146" s="8"/>
    </row>
    <row r="147" spans="1:8" s="9" customFormat="1">
      <c r="A147" s="43"/>
      <c r="G147" s="8"/>
      <c r="H147" s="8"/>
    </row>
    <row r="148" spans="1:8" s="9" customFormat="1">
      <c r="A148" s="43"/>
      <c r="G148" s="8"/>
      <c r="H148" s="8"/>
    </row>
    <row r="149" spans="1:8" s="9" customFormat="1">
      <c r="A149" s="43"/>
      <c r="G149" s="8"/>
      <c r="H149" s="8"/>
    </row>
    <row r="150" spans="1:8" s="9" customFormat="1">
      <c r="A150" s="43"/>
      <c r="G150" s="8"/>
      <c r="H150" s="8"/>
    </row>
    <row r="151" spans="1:8" s="9" customFormat="1">
      <c r="A151" s="43"/>
      <c r="G151" s="8"/>
      <c r="H151" s="8"/>
    </row>
    <row r="152" spans="1:8" s="9" customFormat="1">
      <c r="A152" s="43"/>
      <c r="G152" s="8"/>
      <c r="H152" s="8"/>
    </row>
    <row r="153" spans="1:8" s="9" customFormat="1">
      <c r="A153" s="43"/>
      <c r="G153" s="8"/>
      <c r="H153" s="8"/>
    </row>
    <row r="154" spans="1:8" s="9" customFormat="1">
      <c r="A154" s="43"/>
      <c r="G154" s="8"/>
      <c r="H154" s="8"/>
    </row>
    <row r="155" spans="1:8" s="9" customFormat="1">
      <c r="A155" s="43"/>
      <c r="G155" s="8"/>
      <c r="H155" s="8"/>
    </row>
    <row r="156" spans="1:8" s="9" customFormat="1">
      <c r="A156" s="43"/>
      <c r="G156" s="8"/>
      <c r="H156" s="8"/>
    </row>
    <row r="157" spans="1:8" s="9" customFormat="1">
      <c r="A157" s="87"/>
    </row>
    <row r="158" spans="1:8" s="9" customFormat="1">
      <c r="A158" s="87"/>
    </row>
    <row r="159" spans="1:8" s="9" customFormat="1">
      <c r="A159" s="43"/>
      <c r="G159" s="8"/>
      <c r="H159" s="8"/>
    </row>
    <row r="160" spans="1:8" s="9" customFormat="1">
      <c r="A160" s="43"/>
      <c r="G160" s="8"/>
      <c r="H160" s="8"/>
    </row>
    <row r="161" spans="1:8" s="9" customFormat="1">
      <c r="A161" s="43"/>
      <c r="G161" s="8"/>
      <c r="H161" s="8"/>
    </row>
    <row r="162" spans="1:8" s="9" customFormat="1">
      <c r="A162" s="43"/>
      <c r="G162" s="8"/>
      <c r="H162" s="8"/>
    </row>
    <row r="163" spans="1:8" s="9" customFormat="1">
      <c r="A163" s="87"/>
    </row>
    <row r="164" spans="1:8" s="9" customFormat="1">
      <c r="A164" s="87"/>
    </row>
    <row r="165" spans="1:8" s="9" customFormat="1">
      <c r="A165" s="43"/>
      <c r="G165" s="8"/>
      <c r="H165" s="8"/>
    </row>
    <row r="166" spans="1:8" s="9" customFormat="1">
      <c r="A166" s="43"/>
      <c r="G166" s="8"/>
      <c r="H166" s="8"/>
    </row>
    <row r="167" spans="1:8" s="9" customFormat="1">
      <c r="A167" s="43"/>
      <c r="G167" s="8"/>
      <c r="H167" s="8"/>
    </row>
    <row r="168" spans="1:8" s="9" customFormat="1">
      <c r="A168" s="43"/>
      <c r="G168" s="8"/>
      <c r="H168" s="8"/>
    </row>
    <row r="169" spans="1:8" s="9" customFormat="1">
      <c r="A169" s="43"/>
      <c r="G169" s="8"/>
      <c r="H169" s="8"/>
    </row>
    <row r="170" spans="1:8" s="9" customFormat="1">
      <c r="A170" s="87"/>
    </row>
    <row r="171" spans="1:8" s="9" customFormat="1">
      <c r="A171" s="87"/>
    </row>
    <row r="172" spans="1:8" s="9" customFormat="1">
      <c r="A172" s="43"/>
      <c r="G172" s="8"/>
      <c r="H172" s="8"/>
    </row>
    <row r="173" spans="1:8" s="9" customFormat="1">
      <c r="A173" s="43"/>
      <c r="G173" s="8"/>
      <c r="H173" s="8"/>
    </row>
    <row r="174" spans="1:8" s="9" customFormat="1">
      <c r="A174" s="43"/>
      <c r="G174" s="8"/>
      <c r="H174" s="8"/>
    </row>
    <row r="175" spans="1:8" s="9" customFormat="1">
      <c r="A175" s="43"/>
      <c r="G175" s="8"/>
      <c r="H175" s="8"/>
    </row>
    <row r="176" spans="1:8" s="9" customFormat="1">
      <c r="A176" s="43"/>
      <c r="G176" s="8"/>
      <c r="H176" s="8"/>
    </row>
    <row r="177" spans="1:8" s="9" customFormat="1">
      <c r="A177" s="87"/>
    </row>
    <row r="178" spans="1:8" s="9" customFormat="1">
      <c r="A178" s="87"/>
    </row>
    <row r="179" spans="1:8" s="9" customFormat="1">
      <c r="A179" s="43"/>
      <c r="G179" s="8"/>
      <c r="H179" s="8"/>
    </row>
    <row r="180" spans="1:8" s="9" customFormat="1">
      <c r="A180" s="43"/>
      <c r="G180" s="8"/>
      <c r="H180" s="8"/>
    </row>
    <row r="181" spans="1:8" s="9" customFormat="1">
      <c r="A181" s="43"/>
      <c r="G181" s="8"/>
      <c r="H181" s="8"/>
    </row>
    <row r="182" spans="1:8" s="9" customFormat="1">
      <c r="A182" s="43"/>
      <c r="G182" s="8"/>
      <c r="H182" s="8"/>
    </row>
    <row r="183" spans="1:8" s="9" customFormat="1">
      <c r="A183" s="43"/>
      <c r="G183" s="8"/>
      <c r="H183" s="8"/>
    </row>
    <row r="184" spans="1:8" s="9" customFormat="1">
      <c r="A184" s="87"/>
    </row>
    <row r="185" spans="1:8" s="9" customFormat="1">
      <c r="A185" s="87"/>
    </row>
    <row r="186" spans="1:8" s="9" customFormat="1">
      <c r="A186" s="43"/>
      <c r="G186" s="8"/>
      <c r="H186" s="8"/>
    </row>
    <row r="187" spans="1:8" s="9" customFormat="1">
      <c r="A187" s="43"/>
      <c r="G187" s="8"/>
      <c r="H187" s="8"/>
    </row>
    <row r="188" spans="1:8" s="9" customFormat="1">
      <c r="A188" s="43"/>
      <c r="G188" s="8"/>
      <c r="H188" s="8"/>
    </row>
    <row r="189" spans="1:8" s="9" customFormat="1">
      <c r="A189" s="87"/>
    </row>
    <row r="190" spans="1:8" s="9" customFormat="1">
      <c r="A190" s="87"/>
    </row>
    <row r="191" spans="1:8" s="9" customFormat="1">
      <c r="A191" s="43"/>
      <c r="G191" s="8"/>
      <c r="H191" s="8"/>
    </row>
    <row r="192" spans="1:8" s="9" customFormat="1">
      <c r="A192" s="43"/>
      <c r="G192" s="8"/>
      <c r="H192" s="8"/>
    </row>
    <row r="193" spans="1:8" s="9" customFormat="1">
      <c r="A193" s="43"/>
      <c r="G193" s="8"/>
      <c r="H193" s="8"/>
    </row>
    <row r="194" spans="1:8" s="9" customFormat="1">
      <c r="A194" s="43"/>
      <c r="G194" s="8"/>
      <c r="H194" s="8"/>
    </row>
    <row r="195" spans="1:8" s="9" customFormat="1">
      <c r="A195" s="43"/>
      <c r="G195" s="8"/>
      <c r="H195" s="8"/>
    </row>
    <row r="196" spans="1:8" s="9" customFormat="1">
      <c r="A196" s="87"/>
    </row>
    <row r="197" spans="1:8" s="9" customFormat="1">
      <c r="A197" s="87"/>
    </row>
    <row r="198" spans="1:8" s="9" customFormat="1">
      <c r="A198" s="43"/>
      <c r="G198" s="8"/>
      <c r="H198" s="8"/>
    </row>
    <row r="199" spans="1:8" s="9" customFormat="1">
      <c r="A199" s="43"/>
      <c r="G199" s="8"/>
      <c r="H199" s="8"/>
    </row>
    <row r="200" spans="1:8" s="9" customFormat="1">
      <c r="A200" s="43"/>
      <c r="G200" s="8"/>
      <c r="H200" s="8"/>
    </row>
    <row r="201" spans="1:8" s="9" customFormat="1">
      <c r="A201" s="43"/>
      <c r="G201" s="8"/>
      <c r="H201" s="8"/>
    </row>
    <row r="202" spans="1:8" s="9" customFormat="1">
      <c r="A202" s="43"/>
      <c r="G202" s="8"/>
      <c r="H202" s="8"/>
    </row>
    <row r="203" spans="1:8" s="9" customFormat="1">
      <c r="A203" s="43"/>
      <c r="G203" s="8"/>
      <c r="H203" s="8"/>
    </row>
    <row r="204" spans="1:8" s="9" customFormat="1">
      <c r="A204" s="43"/>
      <c r="G204" s="8"/>
      <c r="H204" s="8"/>
    </row>
    <row r="205" spans="1:8" s="9" customFormat="1">
      <c r="A205" s="43"/>
      <c r="G205" s="8"/>
      <c r="H205" s="8"/>
    </row>
    <row r="206" spans="1:8" s="9" customFormat="1">
      <c r="A206" s="87"/>
    </row>
    <row r="207" spans="1:8" s="9" customFormat="1">
      <c r="A207" s="87"/>
    </row>
    <row r="208" spans="1:8" s="9" customFormat="1">
      <c r="A208" s="43"/>
      <c r="G208" s="8"/>
      <c r="H208" s="8"/>
    </row>
    <row r="209" spans="1:8" s="9" customFormat="1">
      <c r="A209" s="43"/>
      <c r="G209" s="8"/>
      <c r="H209" s="8"/>
    </row>
    <row r="210" spans="1:8" s="9" customFormat="1">
      <c r="A210" s="43"/>
      <c r="G210" s="8"/>
      <c r="H210" s="8"/>
    </row>
    <row r="211" spans="1:8" s="9" customFormat="1">
      <c r="A211" s="43"/>
      <c r="G211" s="8"/>
      <c r="H211" s="8"/>
    </row>
    <row r="212" spans="1:8" s="9" customFormat="1">
      <c r="A212" s="43"/>
      <c r="G212" s="8"/>
      <c r="H212" s="8"/>
    </row>
    <row r="213" spans="1:8" s="9" customFormat="1">
      <c r="A213" s="87"/>
    </row>
    <row r="214" spans="1:8" s="9" customFormat="1">
      <c r="A214" s="87"/>
    </row>
    <row r="215" spans="1:8" s="9" customFormat="1">
      <c r="A215" s="43"/>
      <c r="G215" s="8"/>
      <c r="H215" s="8"/>
    </row>
    <row r="216" spans="1:8" s="9" customFormat="1">
      <c r="A216" s="43"/>
      <c r="G216" s="8"/>
      <c r="H216" s="8"/>
    </row>
    <row r="217" spans="1:8" s="9" customFormat="1">
      <c r="A217" s="43"/>
      <c r="G217" s="8"/>
      <c r="H217" s="8"/>
    </row>
    <row r="218" spans="1:8" s="9" customFormat="1">
      <c r="A218" s="43"/>
      <c r="G218" s="8"/>
      <c r="H218" s="8"/>
    </row>
    <row r="219" spans="1:8" s="9" customFormat="1">
      <c r="A219" s="43"/>
      <c r="G219" s="8"/>
      <c r="H219" s="8"/>
    </row>
    <row r="220" spans="1:8" s="9" customFormat="1">
      <c r="A220" s="43"/>
      <c r="G220" s="8"/>
      <c r="H220" s="8"/>
    </row>
    <row r="221" spans="1:8" s="9" customFormat="1">
      <c r="A221" s="43"/>
      <c r="G221" s="8"/>
      <c r="H221" s="8"/>
    </row>
    <row r="222" spans="1:8" s="9" customFormat="1">
      <c r="A222" s="43"/>
      <c r="G222" s="8"/>
      <c r="H222" s="8"/>
    </row>
    <row r="223" spans="1:8" s="9" customFormat="1">
      <c r="A223" s="43"/>
      <c r="G223" s="8"/>
      <c r="H223" s="8"/>
    </row>
    <row r="224" spans="1:8" s="9" customFormat="1">
      <c r="A224" s="43"/>
      <c r="G224" s="8"/>
      <c r="H224" s="8"/>
    </row>
    <row r="225" spans="1:8" s="9" customFormat="1">
      <c r="A225" s="43"/>
      <c r="G225" s="8"/>
      <c r="H225" s="8"/>
    </row>
    <row r="226" spans="1:8" s="9" customFormat="1">
      <c r="A226" s="43"/>
      <c r="G226" s="8"/>
      <c r="H226" s="8"/>
    </row>
    <row r="227" spans="1:8" s="9" customFormat="1">
      <c r="A227" s="43"/>
      <c r="G227" s="8"/>
      <c r="H227" s="8"/>
    </row>
    <row r="228" spans="1:8" s="9" customFormat="1">
      <c r="A228" s="87"/>
    </row>
    <row r="229" spans="1:8" s="9" customFormat="1">
      <c r="A229" s="87"/>
    </row>
    <row r="230" spans="1:8" s="9" customFormat="1">
      <c r="A230" s="43"/>
      <c r="G230" s="8"/>
      <c r="H230" s="8"/>
    </row>
    <row r="231" spans="1:8" s="9" customFormat="1">
      <c r="A231" s="43"/>
      <c r="G231" s="8"/>
      <c r="H231" s="8"/>
    </row>
    <row r="232" spans="1:8" s="9" customFormat="1">
      <c r="A232" s="43"/>
      <c r="G232" s="8"/>
      <c r="H232" s="8"/>
    </row>
    <row r="233" spans="1:8" s="9" customFormat="1">
      <c r="A233" s="43"/>
      <c r="G233" s="8"/>
      <c r="H233" s="8"/>
    </row>
    <row r="234" spans="1:8" s="9" customFormat="1">
      <c r="A234" s="43"/>
    </row>
    <row r="235" spans="1:8">
      <c r="A235" s="45"/>
    </row>
  </sheetData>
  <mergeCells count="205">
    <mergeCell ref="A144:A145"/>
    <mergeCell ref="A157:A158"/>
    <mergeCell ref="A163:A164"/>
    <mergeCell ref="H135:H137"/>
    <mergeCell ref="I135:I137"/>
    <mergeCell ref="A189:A190"/>
    <mergeCell ref="A53:A54"/>
    <mergeCell ref="B53:B54"/>
    <mergeCell ref="C53:C54"/>
    <mergeCell ref="E53:E54"/>
    <mergeCell ref="F53:F54"/>
    <mergeCell ref="G53:G54"/>
    <mergeCell ref="H125:K127"/>
    <mergeCell ref="A213:A214"/>
    <mergeCell ref="F104:F105"/>
    <mergeCell ref="G104:G105"/>
    <mergeCell ref="A115:F115"/>
    <mergeCell ref="A82:A83"/>
    <mergeCell ref="B82:B83"/>
    <mergeCell ref="C82:C83"/>
    <mergeCell ref="E82:E83"/>
    <mergeCell ref="F82:F83"/>
    <mergeCell ref="G82:G83"/>
    <mergeCell ref="C104:C105"/>
    <mergeCell ref="E104:E105"/>
    <mergeCell ref="A196:A197"/>
    <mergeCell ref="A206:A207"/>
    <mergeCell ref="A170:A171"/>
    <mergeCell ref="A177:A178"/>
    <mergeCell ref="A184:A185"/>
    <mergeCell ref="G135:G137"/>
    <mergeCell ref="A125:G127"/>
    <mergeCell ref="D104:D105"/>
    <mergeCell ref="A89:A90"/>
    <mergeCell ref="B89:B90"/>
    <mergeCell ref="C89:C90"/>
    <mergeCell ref="E89:E90"/>
    <mergeCell ref="A228:A229"/>
    <mergeCell ref="J6:K6"/>
    <mergeCell ref="G128:K128"/>
    <mergeCell ref="A129:A132"/>
    <mergeCell ref="B129:F130"/>
    <mergeCell ref="G129:H131"/>
    <mergeCell ref="I129:I131"/>
    <mergeCell ref="J129:K131"/>
    <mergeCell ref="B131:C131"/>
    <mergeCell ref="E131:F131"/>
    <mergeCell ref="K135:K137"/>
    <mergeCell ref="A135:A137"/>
    <mergeCell ref="B135:B137"/>
    <mergeCell ref="C135:C137"/>
    <mergeCell ref="E135:E137"/>
    <mergeCell ref="F135:F137"/>
    <mergeCell ref="J135:J137"/>
    <mergeCell ref="A104:A105"/>
    <mergeCell ref="B104:B105"/>
    <mergeCell ref="K7:K8"/>
    <mergeCell ref="J7:J8"/>
    <mergeCell ref="A65:A66"/>
    <mergeCell ref="B65:B66"/>
    <mergeCell ref="C65:C66"/>
    <mergeCell ref="M110:N110"/>
    <mergeCell ref="L114:N114"/>
    <mergeCell ref="L115:N115"/>
    <mergeCell ref="A114:F114"/>
    <mergeCell ref="L82:N83"/>
    <mergeCell ref="H82:H83"/>
    <mergeCell ref="I82:I83"/>
    <mergeCell ref="J82:J83"/>
    <mergeCell ref="K82:K83"/>
    <mergeCell ref="D82:D83"/>
    <mergeCell ref="F89:F90"/>
    <mergeCell ref="G89:G90"/>
    <mergeCell ref="L89:N90"/>
    <mergeCell ref="H89:H90"/>
    <mergeCell ref="I89:I90"/>
    <mergeCell ref="J89:J90"/>
    <mergeCell ref="K89:K90"/>
    <mergeCell ref="D89:D90"/>
    <mergeCell ref="L104:N105"/>
    <mergeCell ref="H104:H105"/>
    <mergeCell ref="I104:I105"/>
    <mergeCell ref="J104:J105"/>
    <mergeCell ref="K104:K105"/>
    <mergeCell ref="A72:A73"/>
    <mergeCell ref="B72:B73"/>
    <mergeCell ref="C72:C73"/>
    <mergeCell ref="E72:E73"/>
    <mergeCell ref="F72:F73"/>
    <mergeCell ref="G72:G73"/>
    <mergeCell ref="L72:N73"/>
    <mergeCell ref="H72:H73"/>
    <mergeCell ref="I72:I73"/>
    <mergeCell ref="J72:J73"/>
    <mergeCell ref="K72:K73"/>
    <mergeCell ref="D72:D73"/>
    <mergeCell ref="L65:N66"/>
    <mergeCell ref="H65:H66"/>
    <mergeCell ref="I65:I66"/>
    <mergeCell ref="J65:J66"/>
    <mergeCell ref="K65:K66"/>
    <mergeCell ref="D65:D66"/>
    <mergeCell ref="A60:A61"/>
    <mergeCell ref="B60:B61"/>
    <mergeCell ref="C60:C61"/>
    <mergeCell ref="E60:E61"/>
    <mergeCell ref="F60:F61"/>
    <mergeCell ref="G60:G61"/>
    <mergeCell ref="L60:N61"/>
    <mergeCell ref="H60:H61"/>
    <mergeCell ref="I60:I61"/>
    <mergeCell ref="J60:J61"/>
    <mergeCell ref="K60:K61"/>
    <mergeCell ref="D60:D61"/>
    <mergeCell ref="E65:E66"/>
    <mergeCell ref="F65:F66"/>
    <mergeCell ref="G65:G66"/>
    <mergeCell ref="L53:N54"/>
    <mergeCell ref="H53:H54"/>
    <mergeCell ref="I53:I54"/>
    <mergeCell ref="J53:J54"/>
    <mergeCell ref="K53:K54"/>
    <mergeCell ref="D53:D54"/>
    <mergeCell ref="A46:A47"/>
    <mergeCell ref="B46:B47"/>
    <mergeCell ref="C46:C47"/>
    <mergeCell ref="E46:E47"/>
    <mergeCell ref="F46:F47"/>
    <mergeCell ref="G46:G47"/>
    <mergeCell ref="L46:N47"/>
    <mergeCell ref="H46:H47"/>
    <mergeCell ref="I46:I47"/>
    <mergeCell ref="J46:J47"/>
    <mergeCell ref="K46:K47"/>
    <mergeCell ref="D46:D47"/>
    <mergeCell ref="L39:N40"/>
    <mergeCell ref="H39:H40"/>
    <mergeCell ref="I39:I40"/>
    <mergeCell ref="J39:J40"/>
    <mergeCell ref="K39:K40"/>
    <mergeCell ref="D39:D40"/>
    <mergeCell ref="A33:A34"/>
    <mergeCell ref="B33:B34"/>
    <mergeCell ref="C33:C34"/>
    <mergeCell ref="E33:E34"/>
    <mergeCell ref="F33:F34"/>
    <mergeCell ref="G33:G34"/>
    <mergeCell ref="L33:N34"/>
    <mergeCell ref="H33:H34"/>
    <mergeCell ref="I33:I34"/>
    <mergeCell ref="J33:J34"/>
    <mergeCell ref="K33:K34"/>
    <mergeCell ref="D33:D34"/>
    <mergeCell ref="A39:A40"/>
    <mergeCell ref="B39:B40"/>
    <mergeCell ref="C39:C40"/>
    <mergeCell ref="E39:E40"/>
    <mergeCell ref="F39:F40"/>
    <mergeCell ref="G39:G40"/>
    <mergeCell ref="L19:N20"/>
    <mergeCell ref="H19:H20"/>
    <mergeCell ref="I19:I20"/>
    <mergeCell ref="J19:J20"/>
    <mergeCell ref="K19:K20"/>
    <mergeCell ref="D19:D20"/>
    <mergeCell ref="A11:A12"/>
    <mergeCell ref="B11:B12"/>
    <mergeCell ref="C11:C12"/>
    <mergeCell ref="E11:E12"/>
    <mergeCell ref="F11:F12"/>
    <mergeCell ref="G11:G12"/>
    <mergeCell ref="L11:N12"/>
    <mergeCell ref="H11:H12"/>
    <mergeCell ref="I11:I12"/>
    <mergeCell ref="J11:J12"/>
    <mergeCell ref="K11:K12"/>
    <mergeCell ref="E19:E20"/>
    <mergeCell ref="F19:F20"/>
    <mergeCell ref="G19:G20"/>
    <mergeCell ref="A19:A20"/>
    <mergeCell ref="B19:B20"/>
    <mergeCell ref="C19:C20"/>
    <mergeCell ref="A2:M2"/>
    <mergeCell ref="A3:L3"/>
    <mergeCell ref="L6:N8"/>
    <mergeCell ref="D9:D10"/>
    <mergeCell ref="D11:D12"/>
    <mergeCell ref="H5:K5"/>
    <mergeCell ref="M5:N5"/>
    <mergeCell ref="A6:A8"/>
    <mergeCell ref="L9:N10"/>
    <mergeCell ref="H9:H10"/>
    <mergeCell ref="I9:I10"/>
    <mergeCell ref="J9:J10"/>
    <mergeCell ref="K9:K10"/>
    <mergeCell ref="D7:E7"/>
    <mergeCell ref="F7:I7"/>
    <mergeCell ref="B6:I6"/>
    <mergeCell ref="B7:C7"/>
    <mergeCell ref="A9:A10"/>
    <mergeCell ref="B9:B10"/>
    <mergeCell ref="C9:C10"/>
    <mergeCell ref="E9:E10"/>
    <mergeCell ref="F9:F10"/>
    <mergeCell ref="G9:G10"/>
  </mergeCells>
  <pageMargins left="0.7" right="0.7" top="0.75" bottom="0.75" header="0.3" footer="0.3"/>
  <pageSetup paperSize="9" orientation="portrait" horizontalDpi="200" verticalDpi="200" r:id="rId1"/>
  <ignoredErrors>
    <ignoredError sqref="E28:I28 J28:K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2015-05-15T06:35:45Z</cp:lastPrinted>
  <dcterms:created xsi:type="dcterms:W3CDTF">2015-05-15T06:27:06Z</dcterms:created>
  <dcterms:modified xsi:type="dcterms:W3CDTF">2018-10-12T10:55:16Z</dcterms:modified>
</cp:coreProperties>
</file>