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13" windowWidth="15139" windowHeight="5209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D80" i="1"/>
  <c r="D79"/>
  <c r="D78"/>
  <c r="D77"/>
  <c r="D76"/>
  <c r="D75"/>
  <c r="D74"/>
  <c r="D73"/>
  <c r="D13" l="1"/>
  <c r="H12"/>
  <c r="D12"/>
  <c r="B64"/>
  <c r="C64"/>
  <c r="H108" l="1"/>
  <c r="H107"/>
  <c r="H106"/>
  <c r="H105"/>
  <c r="H102"/>
  <c r="H101"/>
  <c r="H100"/>
  <c r="H99"/>
  <c r="H98"/>
  <c r="H97"/>
  <c r="H96"/>
  <c r="H95"/>
  <c r="H94"/>
  <c r="H93"/>
  <c r="H92"/>
  <c r="H91"/>
  <c r="H90"/>
  <c r="H87"/>
  <c r="H86"/>
  <c r="H85"/>
  <c r="H84"/>
  <c r="H83"/>
  <c r="H80"/>
  <c r="H79"/>
  <c r="H78"/>
  <c r="H77"/>
  <c r="H76"/>
  <c r="H75"/>
  <c r="H74"/>
  <c r="H73"/>
  <c r="H70"/>
  <c r="H69"/>
  <c r="H68"/>
  <c r="H67"/>
  <c r="H66"/>
  <c r="H63"/>
  <c r="H62"/>
  <c r="H61"/>
  <c r="H58"/>
  <c r="H57"/>
  <c r="H56"/>
  <c r="H55"/>
  <c r="H54"/>
  <c r="H51"/>
  <c r="H50"/>
  <c r="H49"/>
  <c r="H48"/>
  <c r="H47"/>
  <c r="H44"/>
  <c r="H43"/>
  <c r="H42"/>
  <c r="H41"/>
  <c r="H40"/>
  <c r="H37"/>
  <c r="H36"/>
  <c r="H35"/>
  <c r="H34"/>
  <c r="H31"/>
  <c r="H30"/>
  <c r="H29"/>
  <c r="H28"/>
  <c r="H26"/>
  <c r="H25"/>
  <c r="H24"/>
  <c r="H23"/>
  <c r="H22"/>
  <c r="H21"/>
  <c r="H20"/>
  <c r="H17"/>
  <c r="H16"/>
  <c r="H15"/>
  <c r="H14"/>
  <c r="H13"/>
  <c r="H10" l="1"/>
  <c r="H103"/>
  <c r="H88"/>
  <c r="H81"/>
  <c r="H71"/>
  <c r="H64"/>
  <c r="H59"/>
  <c r="H52"/>
  <c r="H45"/>
  <c r="H38"/>
  <c r="H32"/>
  <c r="H27"/>
  <c r="H18"/>
  <c r="B18"/>
  <c r="B10"/>
  <c r="K103"/>
  <c r="J103"/>
  <c r="I103"/>
  <c r="G103"/>
  <c r="F103"/>
  <c r="E103"/>
  <c r="K88"/>
  <c r="J88"/>
  <c r="I88"/>
  <c r="G88"/>
  <c r="F88"/>
  <c r="E88"/>
  <c r="K81"/>
  <c r="J81"/>
  <c r="I81"/>
  <c r="G81"/>
  <c r="F81"/>
  <c r="E81"/>
  <c r="K71"/>
  <c r="J71"/>
  <c r="I71"/>
  <c r="G71"/>
  <c r="F71"/>
  <c r="E71"/>
  <c r="K64"/>
  <c r="J64"/>
  <c r="I64"/>
  <c r="G64"/>
  <c r="F64"/>
  <c r="E64"/>
  <c r="K59"/>
  <c r="J59"/>
  <c r="I59"/>
  <c r="G59"/>
  <c r="F59"/>
  <c r="E59"/>
  <c r="K52"/>
  <c r="J52"/>
  <c r="I52"/>
  <c r="G52"/>
  <c r="F52"/>
  <c r="E52"/>
  <c r="K45"/>
  <c r="J45"/>
  <c r="I45"/>
  <c r="G45"/>
  <c r="F45"/>
  <c r="E45"/>
  <c r="K38"/>
  <c r="J38"/>
  <c r="I38"/>
  <c r="G38"/>
  <c r="F38"/>
  <c r="E38"/>
  <c r="K32"/>
  <c r="J32"/>
  <c r="I32"/>
  <c r="G32"/>
  <c r="F32"/>
  <c r="E32"/>
  <c r="K27"/>
  <c r="J27"/>
  <c r="I27"/>
  <c r="F27"/>
  <c r="G27"/>
  <c r="E27"/>
  <c r="K18"/>
  <c r="J18"/>
  <c r="I18"/>
  <c r="F18"/>
  <c r="G18"/>
  <c r="E18"/>
  <c r="K10"/>
  <c r="J10"/>
  <c r="I10"/>
  <c r="F10"/>
  <c r="G10"/>
  <c r="E10"/>
  <c r="E8" s="1"/>
  <c r="D108"/>
  <c r="D107"/>
  <c r="D106"/>
  <c r="D105"/>
  <c r="D102"/>
  <c r="D101"/>
  <c r="D100"/>
  <c r="D99"/>
  <c r="D98"/>
  <c r="D97"/>
  <c r="D96"/>
  <c r="D95"/>
  <c r="D94"/>
  <c r="D93"/>
  <c r="D92"/>
  <c r="D91"/>
  <c r="D90"/>
  <c r="D87"/>
  <c r="D86"/>
  <c r="D85"/>
  <c r="D84"/>
  <c r="D83"/>
  <c r="D70"/>
  <c r="D69"/>
  <c r="D68"/>
  <c r="D67"/>
  <c r="D66"/>
  <c r="D63"/>
  <c r="D62"/>
  <c r="D61"/>
  <c r="D58"/>
  <c r="D57"/>
  <c r="D56"/>
  <c r="D55"/>
  <c r="D54"/>
  <c r="D51"/>
  <c r="D50"/>
  <c r="D49"/>
  <c r="D48"/>
  <c r="D47"/>
  <c r="D44"/>
  <c r="D43"/>
  <c r="D42"/>
  <c r="D41"/>
  <c r="D40"/>
  <c r="D37"/>
  <c r="D36"/>
  <c r="D35"/>
  <c r="D34"/>
  <c r="D31"/>
  <c r="D30"/>
  <c r="D29"/>
  <c r="D28"/>
  <c r="D26"/>
  <c r="D25"/>
  <c r="D24"/>
  <c r="D23"/>
  <c r="D22"/>
  <c r="D21"/>
  <c r="D20"/>
  <c r="D17"/>
  <c r="D16"/>
  <c r="D15"/>
  <c r="D14"/>
  <c r="C103"/>
  <c r="B103"/>
  <c r="C88"/>
  <c r="B88"/>
  <c r="C81"/>
  <c r="B81"/>
  <c r="C71"/>
  <c r="B71"/>
  <c r="C59"/>
  <c r="B59"/>
  <c r="C52"/>
  <c r="B52"/>
  <c r="C38"/>
  <c r="C32"/>
  <c r="C45"/>
  <c r="B45"/>
  <c r="B38"/>
  <c r="B32"/>
  <c r="C27"/>
  <c r="B27"/>
  <c r="C18"/>
  <c r="C10"/>
  <c r="C8" l="1"/>
  <c r="B8"/>
  <c r="D27"/>
  <c r="D32"/>
  <c r="D38"/>
  <c r="D52"/>
  <c r="D64"/>
  <c r="D88"/>
  <c r="D10"/>
  <c r="D18"/>
  <c r="D45"/>
  <c r="D59"/>
  <c r="D71"/>
  <c r="D81"/>
  <c r="D103"/>
  <c r="H8"/>
  <c r="K8"/>
  <c r="F8"/>
  <c r="I8"/>
  <c r="J8"/>
  <c r="G8"/>
  <c r="D8" l="1"/>
</calcChain>
</file>

<file path=xl/sharedStrings.xml><?xml version="1.0" encoding="utf-8"?>
<sst xmlns="http://schemas.openxmlformats.org/spreadsheetml/2006/main" count="401" uniqueCount="194">
  <si>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</si>
  <si>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</si>
  <si>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</si>
  <si>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</si>
  <si>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</si>
  <si>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</si>
  <si>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</si>
  <si>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</si>
  <si>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</si>
  <si>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</si>
  <si>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</si>
  <si>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</si>
  <si>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</si>
  <si>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</si>
  <si>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</si>
  <si>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</si>
  <si>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</si>
  <si>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</si>
  <si>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</si>
  <si>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</si>
  <si>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</si>
  <si>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</si>
  <si>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</si>
  <si>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</si>
  <si>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</si>
  <si>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</si>
  <si>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</si>
  <si>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</si>
  <si>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</si>
  <si>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</si>
  <si>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</si>
  <si>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</si>
  <si>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</si>
  <si>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</si>
  <si>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</si>
  <si>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</si>
  <si>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</si>
  <si>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</si>
  <si>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</si>
  <si>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</si>
  <si>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</si>
  <si>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</si>
  <si>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</si>
  <si>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</si>
  <si>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</si>
  <si>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</si>
  <si>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</si>
  <si>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</si>
  <si>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</si>
  <si>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</si>
  <si>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</si>
  <si>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</si>
  <si>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</si>
  <si>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</si>
  <si>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</si>
  <si>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</si>
  <si>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</si>
  <si>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</si>
  <si>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</si>
  <si>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</si>
  <si>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</si>
  <si>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</si>
  <si>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</si>
  <si>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</si>
  <si>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</si>
  <si>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</si>
  <si>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</si>
  <si>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</si>
  <si>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</si>
  <si>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</si>
  <si>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</si>
  <si>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</si>
  <si>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</si>
  <si>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</si>
  <si>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</si>
  <si>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</si>
  <si>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</si>
  <si>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</si>
  <si>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</si>
  <si>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</si>
  <si>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</si>
  <si>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</si>
  <si>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</si>
  <si>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</si>
  <si>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</si>
  <si>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</si>
  <si>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</si>
  <si>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</si>
  <si>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</si>
  <si>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</si>
  <si>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</si>
  <si>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</si>
  <si>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</si>
  <si>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</si>
  <si>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</si>
  <si>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</si>
  <si>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</si>
  <si>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</si>
  <si>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</si>
  <si>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</si>
  <si>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</si>
  <si>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</si>
  <si>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</si>
  <si>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</si>
  <si>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</si>
  <si>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</si>
  <si>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</si>
  <si>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</si>
  <si>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</si>
  <si>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</si>
  <si>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</si>
  <si>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</si>
  <si>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</si>
  <si>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</si>
  <si>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</si>
  <si>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</si>
  <si>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</si>
  <si>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</si>
  <si>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</si>
  <si>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</si>
  <si>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</si>
  <si>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</si>
  <si>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</si>
  <si>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</si>
  <si>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</si>
  <si>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</si>
  <si>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</si>
  <si>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</si>
  <si>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</si>
  <si>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</si>
  <si>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</si>
  <si>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</si>
  <si>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</si>
  <si>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</si>
  <si>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</si>
  <si>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</si>
  <si>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</si>
  <si>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</si>
  <si>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</si>
  <si>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</si>
  <si>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</si>
  <si>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</si>
  <si>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</si>
  <si>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</si>
  <si>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</si>
  <si>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</si>
  <si>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</si>
  <si>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</si>
  <si>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</si>
  <si>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</si>
  <si>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</si>
  <si>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</si>
  <si>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</si>
  <si>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</si>
  <si>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</si>
  <si>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</si>
  <si>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</si>
  <si>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</si>
  <si>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</si>
  <si>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</si>
  <si>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</si>
  <si>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</si>
  <si>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</si>
  <si>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</si>
  <si>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</si>
  <si>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</si>
  <si>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</si>
  <si>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</si>
  <si>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</si>
  <si>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</si>
  <si>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</si>
  <si>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</si>
  <si>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</si>
  <si>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</si>
  <si>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</si>
  <si>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</si>
  <si>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</si>
  <si>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</si>
  <si>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</si>
  <si>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</si>
  <si>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</si>
  <si>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</si>
  <si>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</si>
  <si>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</si>
  <si>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</si>
  <si>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</si>
  <si>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</si>
  <si>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</si>
  <si>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</si>
  <si>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</si>
  <si>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</si>
  <si>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Πίνακας 6. Ζώα που αρμέχτηκαν όλο το έτος 2017, κατά Περιφέρεια και Περιφερειακή Ενότητα</t>
  </si>
  <si>
    <t>Table 6. Animals milked during 2017, by Region and Regional Unities</t>
  </si>
  <si>
    <t>―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</si>
</sst>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3" fontId="2" fillId="0" borderId="21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3" fontId="2" fillId="0" borderId="0" xfId="0" applyNumberFormat="1" applyFont="1" applyBorder="1" applyAlignment="1">
      <alignment horizontal="right" vertical="top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4" fillId="0" borderId="26" xfId="0" applyNumberFormat="1" applyFont="1" applyFill="1" applyBorder="1" applyAlignment="1" applyProtection="1">
      <alignment horizontal="center" vertical="center" wrapText="1"/>
    </xf>
    <xf numFmtId="0" fontId="4" fillId="0" borderId="23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/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4" fillId="0" borderId="21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left" vertical="center" wrapText="1"/>
    </xf>
    <xf numFmtId="0" fontId="4" fillId="0" borderId="25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49" fontId="3" fillId="0" borderId="9" xfId="0" applyNumberFormat="1" applyFont="1" applyFill="1" applyBorder="1" applyAlignment="1" applyProtection="1">
      <alignment vertical="center" wrapText="1"/>
    </xf>
    <xf numFmtId="3" fontId="3" fillId="0" borderId="24" xfId="0" applyNumberFormat="1" applyFont="1" applyFill="1" applyBorder="1" applyAlignment="1" applyProtection="1">
      <alignment horizontal="right" vertical="center" wrapText="1"/>
    </xf>
    <xf numFmtId="3" fontId="3" fillId="0" borderId="8" xfId="0" applyNumberFormat="1" applyFont="1" applyFill="1" applyBorder="1" applyAlignment="1" applyProtection="1">
      <alignment horizontal="right" vertical="center" wrapText="1"/>
    </xf>
    <xf numFmtId="3" fontId="3" fillId="0" borderId="9" xfId="0" applyNumberFormat="1" applyFont="1" applyFill="1" applyBorder="1" applyAlignment="1" applyProtection="1">
      <alignment horizontal="right" vertical="center" wrapText="1"/>
    </xf>
    <xf numFmtId="3" fontId="3" fillId="0" borderId="16" xfId="0" applyNumberFormat="1" applyFont="1" applyFill="1" applyBorder="1" applyAlignment="1" applyProtection="1">
      <alignment horizontal="right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21" xfId="0" applyNumberFormat="1" applyFont="1" applyFill="1" applyBorder="1" applyAlignment="1" applyProtection="1">
      <alignment horizontal="right" vertical="center" wrapText="1"/>
    </xf>
    <xf numFmtId="3" fontId="3" fillId="0" borderId="3" xfId="0" applyNumberFormat="1" applyFont="1" applyFill="1" applyBorder="1" applyAlignment="1" applyProtection="1">
      <alignment horizontal="right" vertical="center" wrapText="1"/>
    </xf>
    <xf numFmtId="3" fontId="3" fillId="0" borderId="0" xfId="0" applyNumberFormat="1" applyFont="1" applyFill="1" applyBorder="1" applyAlignment="1" applyProtection="1">
      <alignment horizontal="right" vertical="center" wrapText="1"/>
    </xf>
    <xf numFmtId="3" fontId="3" fillId="0" borderId="17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3" fontId="6" fillId="0" borderId="21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right" vertical="center"/>
    </xf>
    <xf numFmtId="49" fontId="4" fillId="0" borderId="0" xfId="0" applyNumberFormat="1" applyFont="1" applyFill="1" applyBorder="1" applyAlignment="1" applyProtection="1">
      <alignment horizontal="left" wrapText="1" indent="1"/>
    </xf>
    <xf numFmtId="3" fontId="1" fillId="0" borderId="21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3" fontId="4" fillId="0" borderId="3" xfId="0" quotePrefix="1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right" vertical="top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4" xfId="0" quotePrefix="1" applyNumberFormat="1" applyFont="1" applyFill="1" applyBorder="1" applyAlignment="1" applyProtection="1">
      <alignment horizontal="right"/>
    </xf>
    <xf numFmtId="3" fontId="4" fillId="0" borderId="4" xfId="0" applyNumberFormat="1" applyFont="1" applyFill="1" applyBorder="1" applyAlignment="1" applyProtection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2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5" fillId="0" borderId="0" xfId="0" applyFont="1" applyBorder="1" applyAlignment="1">
      <alignment horizontal="left" wrapText="1" inden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left" indent="2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5" fillId="0" borderId="0" xfId="0" applyNumberFormat="1" applyFont="1" applyBorder="1"/>
    <xf numFmtId="49" fontId="6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2" fillId="0" borderId="21" xfId="0" applyFont="1" applyBorder="1" applyAlignment="1">
      <alignment horizontal="right" vertical="top"/>
    </xf>
    <xf numFmtId="3" fontId="2" fillId="0" borderId="27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showGridLines="0" tabSelected="1" zoomScaleNormal="100" workbookViewId="0">
      <selection activeCell="J98" sqref="J98"/>
    </sheetView>
  </sheetViews>
  <sheetFormatPr defaultRowHeight="15.05"/>
  <cols>
    <col min="1" max="1" width="35.5546875" style="7" customWidth="1"/>
    <col min="2" max="2" width="14.5546875" style="7" customWidth="1"/>
    <col min="3" max="3" width="12.33203125" style="7" customWidth="1"/>
    <col min="4" max="9" width="11.77734375" style="7" customWidth="1"/>
    <col min="10" max="10" width="13.77734375" style="7" customWidth="1"/>
    <col min="11" max="11" width="11.77734375" style="7" customWidth="1"/>
    <col min="12" max="12" width="9.6640625" style="7" customWidth="1"/>
    <col min="13" max="13" width="9.33203125" style="7" customWidth="1"/>
    <col min="14" max="14" width="11" style="7" customWidth="1"/>
    <col min="15" max="15" width="8.44140625" style="7" customWidth="1"/>
    <col min="16" max="16384" width="8.88671875" style="7"/>
  </cols>
  <sheetData>
    <row r="1" spans="1: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6"/>
    </row>
    <row r="2" spans="1:15">
      <c r="B2" s="8" t="s">
        <v>191</v>
      </c>
      <c r="C2" s="8"/>
      <c r="D2" s="8"/>
      <c r="E2" s="8"/>
      <c r="F2" s="8"/>
      <c r="G2" s="8"/>
      <c r="H2" s="8"/>
      <c r="I2" s="8"/>
      <c r="J2" s="8"/>
      <c r="K2" s="9"/>
      <c r="L2" s="9"/>
      <c r="M2" s="9"/>
      <c r="N2" s="9"/>
      <c r="O2" s="6"/>
    </row>
    <row r="3" spans="1:15">
      <c r="A3" s="10"/>
      <c r="B3" s="8" t="s">
        <v>192</v>
      </c>
      <c r="C3" s="8"/>
      <c r="D3" s="8"/>
      <c r="E3" s="8"/>
      <c r="F3" s="8"/>
      <c r="G3" s="8"/>
      <c r="H3" s="8"/>
      <c r="I3" s="8"/>
      <c r="J3" s="8"/>
      <c r="K3" s="10"/>
      <c r="L3" s="10"/>
      <c r="M3" s="10"/>
      <c r="N3" s="10"/>
      <c r="O3" s="6"/>
    </row>
    <row r="4" spans="1:15" ht="15.65" thickBot="1">
      <c r="A4" s="11" t="s">
        <v>0</v>
      </c>
      <c r="B4" s="11"/>
      <c r="C4" s="11"/>
      <c r="D4" s="11"/>
      <c r="E4" s="11"/>
      <c r="F4" s="11"/>
      <c r="G4" s="11"/>
      <c r="H4" s="11"/>
      <c r="I4" s="12"/>
      <c r="J4" s="12"/>
      <c r="K4" s="12"/>
      <c r="L4" s="13"/>
      <c r="M4" s="12" t="s">
        <v>1</v>
      </c>
      <c r="N4" s="12"/>
      <c r="O4" s="14"/>
    </row>
    <row r="5" spans="1:15" ht="34.450000000000003" customHeight="1">
      <c r="A5" s="15" t="s">
        <v>2</v>
      </c>
      <c r="B5" s="16" t="s">
        <v>190</v>
      </c>
      <c r="C5" s="17" t="s">
        <v>180</v>
      </c>
      <c r="D5" s="18" t="s">
        <v>189</v>
      </c>
      <c r="E5" s="19"/>
      <c r="F5" s="19"/>
      <c r="G5" s="20"/>
      <c r="H5" s="19" t="s">
        <v>188</v>
      </c>
      <c r="I5" s="19"/>
      <c r="J5" s="19"/>
      <c r="K5" s="21"/>
      <c r="L5" s="15" t="s">
        <v>3</v>
      </c>
      <c r="M5" s="15"/>
      <c r="N5" s="15"/>
      <c r="O5" s="22"/>
    </row>
    <row r="6" spans="1:15">
      <c r="A6" s="23"/>
      <c r="B6" s="24"/>
      <c r="C6" s="25"/>
      <c r="D6" s="26" t="s">
        <v>181</v>
      </c>
      <c r="E6" s="27" t="s">
        <v>182</v>
      </c>
      <c r="F6" s="27" t="s">
        <v>183</v>
      </c>
      <c r="G6" s="27" t="s">
        <v>184</v>
      </c>
      <c r="H6" s="28" t="s">
        <v>181</v>
      </c>
      <c r="I6" s="27" t="s">
        <v>185</v>
      </c>
      <c r="J6" s="27" t="s">
        <v>186</v>
      </c>
      <c r="K6" s="29" t="s">
        <v>187</v>
      </c>
      <c r="L6" s="23"/>
      <c r="M6" s="23"/>
      <c r="N6" s="23"/>
      <c r="O6" s="22"/>
    </row>
    <row r="7" spans="1:15">
      <c r="A7" s="30"/>
      <c r="B7" s="31"/>
      <c r="C7" s="32"/>
      <c r="D7" s="33"/>
      <c r="E7" s="25"/>
      <c r="F7" s="25"/>
      <c r="G7" s="25"/>
      <c r="H7" s="34"/>
      <c r="I7" s="25"/>
      <c r="J7" s="25"/>
      <c r="K7" s="35"/>
      <c r="L7" s="30"/>
      <c r="M7" s="30"/>
      <c r="N7" s="30"/>
      <c r="O7" s="22"/>
    </row>
    <row r="8" spans="1:15">
      <c r="A8" s="36" t="s">
        <v>4</v>
      </c>
      <c r="B8" s="37">
        <f>SUM(B10,B18,B27,B32,B38,B45,B52,B59,B64,B71,B81,B88,B103)</f>
        <v>124003</v>
      </c>
      <c r="C8" s="38">
        <f>SUM(C10,C18,C27,C32,C38,C45,C52,C59,C64,C71,C81,C88,C103)</f>
        <v>2282</v>
      </c>
      <c r="D8" s="38">
        <f>SUM(D10,D18,D27,D32,D38,D45,D52,D59,D64,D71,D81,D88,D103)</f>
        <v>6323856</v>
      </c>
      <c r="E8" s="39">
        <f>SUM(E10,E18,E27,E32,E38,E45,E52,E59,E64,E71,E81,E88,E103)</f>
        <v>169875</v>
      </c>
      <c r="F8" s="38">
        <f t="shared" ref="F8:K8" si="0">SUM(F10,F18,F27,F32,F38,F45,F52,F59,F64,F71,F81,F88,F103)</f>
        <v>5895948</v>
      </c>
      <c r="G8" s="39">
        <f t="shared" si="0"/>
        <v>258033</v>
      </c>
      <c r="H8" s="38">
        <f>SUM(H10,H18,H27,H32,H38,H45,H52,H59,H64,H71,H81,H88,H103)</f>
        <v>2875793</v>
      </c>
      <c r="I8" s="39">
        <f t="shared" si="0"/>
        <v>146458</v>
      </c>
      <c r="J8" s="38">
        <f t="shared" si="0"/>
        <v>2620801</v>
      </c>
      <c r="K8" s="40">
        <f t="shared" si="0"/>
        <v>108534</v>
      </c>
      <c r="L8" s="41" t="s">
        <v>5</v>
      </c>
      <c r="M8" s="41"/>
      <c r="N8" s="41"/>
      <c r="O8" s="22"/>
    </row>
    <row r="9" spans="1:15">
      <c r="A9" s="42"/>
      <c r="B9" s="43"/>
      <c r="C9" s="44"/>
      <c r="D9" s="44"/>
      <c r="E9" s="45"/>
      <c r="F9" s="44"/>
      <c r="G9" s="45"/>
      <c r="H9" s="44"/>
      <c r="I9" s="45"/>
      <c r="J9" s="44"/>
      <c r="K9" s="46"/>
      <c r="L9" s="23"/>
      <c r="M9" s="23"/>
      <c r="N9" s="23"/>
      <c r="O9" s="22"/>
    </row>
    <row r="10" spans="1:15">
      <c r="A10" s="47" t="s">
        <v>6</v>
      </c>
      <c r="B10" s="48">
        <f>SUM(B12:B17)</f>
        <v>17712</v>
      </c>
      <c r="C10" s="49">
        <f t="shared" ref="C10" si="1">SUM(C12:C17)</f>
        <v>4</v>
      </c>
      <c r="D10" s="49">
        <f>SUM(D12:D17)</f>
        <v>375519</v>
      </c>
      <c r="E10" s="50">
        <f>SUM(E12:E17)</f>
        <v>7333</v>
      </c>
      <c r="F10" s="49">
        <f t="shared" ref="F10:G10" si="2">SUM(F12:F17)</f>
        <v>368186</v>
      </c>
      <c r="G10" s="50">
        <f t="shared" si="2"/>
        <v>0</v>
      </c>
      <c r="H10" s="49">
        <f>SUM(H12:H17)</f>
        <v>260997</v>
      </c>
      <c r="I10" s="50">
        <f t="shared" ref="I10:K10" si="3">SUM(I12:I17)</f>
        <v>1997</v>
      </c>
      <c r="J10" s="49">
        <f t="shared" si="3"/>
        <v>259000</v>
      </c>
      <c r="K10" s="51">
        <f t="shared" si="3"/>
        <v>0</v>
      </c>
      <c r="L10" s="23" t="s">
        <v>7</v>
      </c>
      <c r="M10" s="23"/>
      <c r="N10" s="23"/>
      <c r="O10" s="22"/>
    </row>
    <row r="11" spans="1:15">
      <c r="A11" s="47"/>
      <c r="B11" s="48"/>
      <c r="C11" s="49"/>
      <c r="D11" s="49"/>
      <c r="E11" s="50"/>
      <c r="F11" s="49"/>
      <c r="G11" s="50"/>
      <c r="H11" s="49"/>
      <c r="I11" s="50"/>
      <c r="J11" s="49"/>
      <c r="K11" s="51"/>
      <c r="L11" s="23"/>
      <c r="M11" s="23"/>
      <c r="N11" s="23"/>
      <c r="O11" s="22"/>
    </row>
    <row r="12" spans="1:15">
      <c r="A12" s="52" t="s">
        <v>112</v>
      </c>
      <c r="B12" s="53">
        <v>2325</v>
      </c>
      <c r="C12" s="54" t="s">
        <v>193</v>
      </c>
      <c r="D12" s="55">
        <f>SUM(E12:G12)</f>
        <v>90636</v>
      </c>
      <c r="E12" s="3">
        <v>2065</v>
      </c>
      <c r="F12" s="104">
        <v>88571</v>
      </c>
      <c r="G12" s="2" t="s">
        <v>193</v>
      </c>
      <c r="H12" s="56">
        <f>SUM(I12:K12)</f>
        <v>52784</v>
      </c>
      <c r="I12" s="104">
        <v>366</v>
      </c>
      <c r="J12" s="3">
        <v>52418</v>
      </c>
      <c r="K12" s="108" t="s">
        <v>193</v>
      </c>
      <c r="L12" s="57" t="s">
        <v>8</v>
      </c>
      <c r="M12" s="58"/>
      <c r="N12" s="58"/>
      <c r="O12" s="22"/>
    </row>
    <row r="13" spans="1:15">
      <c r="A13" s="52" t="s">
        <v>113</v>
      </c>
      <c r="B13" s="53">
        <v>1622</v>
      </c>
      <c r="C13" s="54" t="s">
        <v>193</v>
      </c>
      <c r="D13" s="55">
        <f>SUM(E13:G13)</f>
        <v>74431</v>
      </c>
      <c r="E13" s="3">
        <v>4462</v>
      </c>
      <c r="F13" s="104">
        <v>69969</v>
      </c>
      <c r="G13" s="2" t="s">
        <v>193</v>
      </c>
      <c r="H13" s="56">
        <f t="shared" ref="H13:H17" si="4">SUM(I13:K13)</f>
        <v>42520</v>
      </c>
      <c r="I13" s="104">
        <v>718</v>
      </c>
      <c r="J13" s="3">
        <v>41802</v>
      </c>
      <c r="K13" s="108" t="s">
        <v>193</v>
      </c>
      <c r="L13" s="57" t="s">
        <v>9</v>
      </c>
      <c r="M13" s="58"/>
      <c r="N13" s="58"/>
      <c r="O13" s="22"/>
    </row>
    <row r="14" spans="1:15">
      <c r="A14" s="52" t="s">
        <v>114</v>
      </c>
      <c r="B14" s="53">
        <v>2340</v>
      </c>
      <c r="C14" s="59">
        <v>4</v>
      </c>
      <c r="D14" s="55">
        <f t="shared" ref="D13:D17" si="5">SUM(E14:G14)</f>
        <v>64911</v>
      </c>
      <c r="E14" s="3">
        <v>321</v>
      </c>
      <c r="F14" s="104">
        <v>64590</v>
      </c>
      <c r="G14" s="2" t="s">
        <v>193</v>
      </c>
      <c r="H14" s="56">
        <f t="shared" si="4"/>
        <v>64601</v>
      </c>
      <c r="I14" s="104">
        <v>254</v>
      </c>
      <c r="J14" s="3">
        <v>64347</v>
      </c>
      <c r="K14" s="108" t="s">
        <v>193</v>
      </c>
      <c r="L14" s="57" t="s">
        <v>10</v>
      </c>
      <c r="M14" s="58"/>
      <c r="N14" s="58"/>
      <c r="O14" s="22"/>
    </row>
    <row r="15" spans="1:15">
      <c r="A15" s="52" t="s">
        <v>115</v>
      </c>
      <c r="B15" s="53">
        <v>12</v>
      </c>
      <c r="C15" s="54" t="s">
        <v>193</v>
      </c>
      <c r="D15" s="55">
        <f t="shared" si="5"/>
        <v>19800</v>
      </c>
      <c r="E15" s="3">
        <v>65</v>
      </c>
      <c r="F15" s="104">
        <v>19735</v>
      </c>
      <c r="G15" s="2" t="s">
        <v>193</v>
      </c>
      <c r="H15" s="56">
        <f t="shared" si="4"/>
        <v>13779</v>
      </c>
      <c r="I15" s="104">
        <v>54</v>
      </c>
      <c r="J15" s="3">
        <v>13725</v>
      </c>
      <c r="K15" s="108" t="s">
        <v>193</v>
      </c>
      <c r="L15" s="57" t="s">
        <v>11</v>
      </c>
      <c r="M15" s="58"/>
      <c r="N15" s="58"/>
      <c r="O15" s="22"/>
    </row>
    <row r="16" spans="1:15">
      <c r="A16" s="52" t="s">
        <v>116</v>
      </c>
      <c r="B16" s="53">
        <v>2855</v>
      </c>
      <c r="C16" s="54" t="s">
        <v>193</v>
      </c>
      <c r="D16" s="55">
        <f t="shared" si="5"/>
        <v>49229</v>
      </c>
      <c r="E16" s="3">
        <v>420</v>
      </c>
      <c r="F16" s="104">
        <v>48809</v>
      </c>
      <c r="G16" s="2" t="s">
        <v>193</v>
      </c>
      <c r="H16" s="56">
        <f t="shared" si="4"/>
        <v>42104</v>
      </c>
      <c r="I16" s="104">
        <v>605</v>
      </c>
      <c r="J16" s="3">
        <v>41499</v>
      </c>
      <c r="K16" s="108" t="s">
        <v>193</v>
      </c>
      <c r="L16" s="57" t="s">
        <v>12</v>
      </c>
      <c r="M16" s="58"/>
      <c r="N16" s="58"/>
      <c r="O16" s="22"/>
    </row>
    <row r="17" spans="1:15">
      <c r="A17" s="52" t="s">
        <v>117</v>
      </c>
      <c r="B17" s="53">
        <v>8558</v>
      </c>
      <c r="C17" s="54" t="s">
        <v>193</v>
      </c>
      <c r="D17" s="55">
        <f t="shared" si="5"/>
        <v>76512</v>
      </c>
      <c r="E17" s="2" t="s">
        <v>193</v>
      </c>
      <c r="F17" s="104">
        <v>76512</v>
      </c>
      <c r="G17" s="2" t="s">
        <v>193</v>
      </c>
      <c r="H17" s="56">
        <f t="shared" si="4"/>
        <v>45209</v>
      </c>
      <c r="I17" s="104" t="s">
        <v>193</v>
      </c>
      <c r="J17" s="3">
        <v>45209</v>
      </c>
      <c r="K17" s="108" t="s">
        <v>193</v>
      </c>
      <c r="L17" s="57" t="s">
        <v>13</v>
      </c>
      <c r="M17" s="58"/>
      <c r="N17" s="58"/>
      <c r="O17" s="22"/>
    </row>
    <row r="18" spans="1:15">
      <c r="A18" s="47" t="s">
        <v>14</v>
      </c>
      <c r="B18" s="60">
        <f>SUM(B20:B26)</f>
        <v>51840</v>
      </c>
      <c r="C18" s="61">
        <f t="shared" ref="C18" si="6">SUM(C20:C26)</f>
        <v>2240</v>
      </c>
      <c r="D18" s="61">
        <f>SUM(D20:D26)</f>
        <v>692841</v>
      </c>
      <c r="E18" s="62">
        <f>SUM(E20:E26)</f>
        <v>10966</v>
      </c>
      <c r="F18" s="61">
        <f t="shared" ref="F18:H18" si="7">SUM(F20:F26)</f>
        <v>678789</v>
      </c>
      <c r="G18" s="62">
        <f t="shared" si="7"/>
        <v>3086</v>
      </c>
      <c r="H18" s="61">
        <f t="shared" si="7"/>
        <v>393021</v>
      </c>
      <c r="I18" s="62">
        <f t="shared" ref="I18:K18" si="8">SUM(I20:I26)</f>
        <v>3727</v>
      </c>
      <c r="J18" s="61">
        <f t="shared" si="8"/>
        <v>384219</v>
      </c>
      <c r="K18" s="63">
        <f t="shared" si="8"/>
        <v>5075</v>
      </c>
      <c r="L18" s="64" t="s">
        <v>15</v>
      </c>
      <c r="M18" s="64"/>
      <c r="N18" s="64"/>
      <c r="O18" s="22"/>
    </row>
    <row r="19" spans="1:15">
      <c r="A19" s="47"/>
      <c r="B19" s="60"/>
      <c r="C19" s="61"/>
      <c r="D19" s="61"/>
      <c r="E19" s="62"/>
      <c r="F19" s="61"/>
      <c r="G19" s="62"/>
      <c r="H19" s="61"/>
      <c r="I19" s="62"/>
      <c r="J19" s="61"/>
      <c r="K19" s="63"/>
      <c r="L19" s="64"/>
      <c r="M19" s="64"/>
      <c r="N19" s="64"/>
      <c r="O19" s="22"/>
    </row>
    <row r="20" spans="1:15">
      <c r="A20" s="52" t="s">
        <v>118</v>
      </c>
      <c r="B20" s="53">
        <v>21908</v>
      </c>
      <c r="C20" s="59">
        <v>224</v>
      </c>
      <c r="D20" s="55">
        <f t="shared" ref="D20:D26" si="9">SUM(E20:G20)</f>
        <v>118813</v>
      </c>
      <c r="E20" s="3">
        <v>5</v>
      </c>
      <c r="F20" s="104">
        <v>118808</v>
      </c>
      <c r="G20" s="2" t="s">
        <v>193</v>
      </c>
      <c r="H20" s="56">
        <f t="shared" ref="H20:H26" si="10">SUM(I20:K20)</f>
        <v>94715</v>
      </c>
      <c r="I20" s="104">
        <v>66</v>
      </c>
      <c r="J20" s="3">
        <v>94249</v>
      </c>
      <c r="K20" s="108">
        <v>400</v>
      </c>
      <c r="L20" s="57" t="s">
        <v>16</v>
      </c>
      <c r="M20" s="58"/>
      <c r="N20" s="58"/>
      <c r="O20" s="22"/>
    </row>
    <row r="21" spans="1:15">
      <c r="A21" s="52" t="s">
        <v>119</v>
      </c>
      <c r="B21" s="53">
        <v>2182</v>
      </c>
      <c r="C21" s="54" t="s">
        <v>193</v>
      </c>
      <c r="D21" s="55">
        <f t="shared" si="9"/>
        <v>34714</v>
      </c>
      <c r="E21" s="3">
        <v>15</v>
      </c>
      <c r="F21" s="104">
        <v>33988</v>
      </c>
      <c r="G21" s="3">
        <v>711</v>
      </c>
      <c r="H21" s="56">
        <f t="shared" si="10"/>
        <v>14519</v>
      </c>
      <c r="I21" s="104">
        <v>3</v>
      </c>
      <c r="J21" s="3">
        <v>13416</v>
      </c>
      <c r="K21" s="108">
        <v>1100</v>
      </c>
      <c r="L21" s="57" t="s">
        <v>17</v>
      </c>
      <c r="M21" s="58"/>
      <c r="N21" s="58"/>
      <c r="O21" s="22"/>
    </row>
    <row r="22" spans="1:15">
      <c r="A22" s="52" t="s">
        <v>120</v>
      </c>
      <c r="B22" s="53">
        <v>10247</v>
      </c>
      <c r="C22" s="54" t="s">
        <v>193</v>
      </c>
      <c r="D22" s="55">
        <f t="shared" si="9"/>
        <v>114561</v>
      </c>
      <c r="E22" s="2" t="s">
        <v>193</v>
      </c>
      <c r="F22" s="104">
        <v>114561</v>
      </c>
      <c r="G22" s="2" t="s">
        <v>193</v>
      </c>
      <c r="H22" s="56">
        <f t="shared" si="10"/>
        <v>39047</v>
      </c>
      <c r="I22" s="104" t="s">
        <v>193</v>
      </c>
      <c r="J22" s="3">
        <v>39047</v>
      </c>
      <c r="K22" s="108" t="s">
        <v>193</v>
      </c>
      <c r="L22" s="57" t="s">
        <v>18</v>
      </c>
      <c r="M22" s="58"/>
      <c r="N22" s="58"/>
      <c r="O22" s="22"/>
    </row>
    <row r="23" spans="1:15">
      <c r="A23" s="52" t="s">
        <v>121</v>
      </c>
      <c r="B23" s="53">
        <v>2341</v>
      </c>
      <c r="C23" s="54" t="s">
        <v>193</v>
      </c>
      <c r="D23" s="55">
        <f t="shared" si="9"/>
        <v>109079</v>
      </c>
      <c r="E23" s="3">
        <v>485</v>
      </c>
      <c r="F23" s="104">
        <v>108594</v>
      </c>
      <c r="G23" s="2" t="s">
        <v>193</v>
      </c>
      <c r="H23" s="56">
        <f t="shared" si="10"/>
        <v>42871</v>
      </c>
      <c r="I23" s="104">
        <v>713</v>
      </c>
      <c r="J23" s="3">
        <v>42158</v>
      </c>
      <c r="K23" s="108" t="s">
        <v>193</v>
      </c>
      <c r="L23" s="57" t="s">
        <v>19</v>
      </c>
      <c r="M23" s="58"/>
      <c r="N23" s="58"/>
      <c r="O23" s="22"/>
    </row>
    <row r="24" spans="1:15">
      <c r="A24" s="52" t="s">
        <v>122</v>
      </c>
      <c r="B24" s="53">
        <v>1718</v>
      </c>
      <c r="C24" s="54" t="s">
        <v>193</v>
      </c>
      <c r="D24" s="55">
        <f t="shared" si="9"/>
        <v>81310</v>
      </c>
      <c r="E24" s="3">
        <v>213</v>
      </c>
      <c r="F24" s="104">
        <v>78722</v>
      </c>
      <c r="G24" s="3">
        <v>2375</v>
      </c>
      <c r="H24" s="56">
        <f t="shared" si="10"/>
        <v>37000</v>
      </c>
      <c r="I24" s="104">
        <v>403</v>
      </c>
      <c r="J24" s="3">
        <v>33022</v>
      </c>
      <c r="K24" s="108">
        <v>3575</v>
      </c>
      <c r="L24" s="57" t="s">
        <v>20</v>
      </c>
      <c r="M24" s="58"/>
      <c r="N24" s="58"/>
      <c r="O24" s="22"/>
    </row>
    <row r="25" spans="1:15">
      <c r="A25" s="52" t="s">
        <v>123</v>
      </c>
      <c r="B25" s="53">
        <v>12804</v>
      </c>
      <c r="C25" s="59">
        <v>2016</v>
      </c>
      <c r="D25" s="55">
        <f t="shared" si="9"/>
        <v>183885</v>
      </c>
      <c r="E25" s="3">
        <v>9858</v>
      </c>
      <c r="F25" s="104">
        <v>174027</v>
      </c>
      <c r="G25" s="2" t="s">
        <v>193</v>
      </c>
      <c r="H25" s="56">
        <f t="shared" si="10"/>
        <v>87593</v>
      </c>
      <c r="I25" s="104">
        <v>467</v>
      </c>
      <c r="J25" s="3">
        <v>87126</v>
      </c>
      <c r="K25" s="108" t="s">
        <v>193</v>
      </c>
      <c r="L25" s="57" t="s">
        <v>21</v>
      </c>
      <c r="M25" s="58"/>
      <c r="N25" s="58"/>
      <c r="O25" s="22"/>
    </row>
    <row r="26" spans="1:15">
      <c r="A26" s="52" t="s">
        <v>124</v>
      </c>
      <c r="B26" s="53">
        <v>640</v>
      </c>
      <c r="C26" s="54" t="s">
        <v>193</v>
      </c>
      <c r="D26" s="55">
        <f t="shared" si="9"/>
        <v>50479</v>
      </c>
      <c r="E26" s="3">
        <v>390</v>
      </c>
      <c r="F26" s="104">
        <v>50089</v>
      </c>
      <c r="G26" s="2" t="s">
        <v>193</v>
      </c>
      <c r="H26" s="56">
        <f t="shared" si="10"/>
        <v>77276</v>
      </c>
      <c r="I26" s="104">
        <v>2075</v>
      </c>
      <c r="J26" s="3">
        <v>75201</v>
      </c>
      <c r="K26" s="108" t="s">
        <v>193</v>
      </c>
      <c r="L26" s="57" t="s">
        <v>22</v>
      </c>
      <c r="M26" s="58"/>
      <c r="N26" s="58"/>
      <c r="O26" s="22"/>
    </row>
    <row r="27" spans="1:15" ht="29.45" customHeight="1">
      <c r="A27" s="65" t="s">
        <v>179</v>
      </c>
      <c r="B27" s="66">
        <f>SUM(B28:B31)</f>
        <v>12250</v>
      </c>
      <c r="C27" s="67">
        <f t="shared" ref="C27" si="11">SUM(C28:C31)</f>
        <v>0</v>
      </c>
      <c r="D27" s="67">
        <f>SUM(D28:D31)</f>
        <v>343278</v>
      </c>
      <c r="E27" s="68">
        <f>SUM(E28:E31)</f>
        <v>2160</v>
      </c>
      <c r="F27" s="67">
        <f t="shared" ref="F27:G27" si="12">SUM(F28:F31)</f>
        <v>341118</v>
      </c>
      <c r="G27" s="68">
        <f t="shared" si="12"/>
        <v>0</v>
      </c>
      <c r="H27" s="67">
        <f t="shared" ref="H27:I27" si="13">SUM(H28:H31)</f>
        <v>127820</v>
      </c>
      <c r="I27" s="68">
        <f t="shared" si="13"/>
        <v>965</v>
      </c>
      <c r="J27" s="67">
        <f t="shared" ref="J27" si="14">SUM(J28:J31)</f>
        <v>126175</v>
      </c>
      <c r="K27" s="69">
        <f t="shared" ref="K27" si="15">SUM(K28:K31)</f>
        <v>680</v>
      </c>
      <c r="L27" s="70" t="s">
        <v>178</v>
      </c>
      <c r="M27" s="58"/>
      <c r="N27" s="58"/>
      <c r="O27" s="22"/>
    </row>
    <row r="28" spans="1:15">
      <c r="A28" s="52" t="s">
        <v>125</v>
      </c>
      <c r="B28" s="1">
        <v>6468</v>
      </c>
      <c r="C28" s="2" t="s">
        <v>193</v>
      </c>
      <c r="D28" s="55">
        <f t="shared" ref="D28:D31" si="16">SUM(E28:G28)</f>
        <v>140760</v>
      </c>
      <c r="E28" s="3">
        <v>195</v>
      </c>
      <c r="F28" s="104">
        <v>140565</v>
      </c>
      <c r="G28" s="2" t="s">
        <v>193</v>
      </c>
      <c r="H28" s="56">
        <f t="shared" ref="H28:H31" si="17">SUM(I28:K28)</f>
        <v>59592</v>
      </c>
      <c r="I28" s="104">
        <v>151</v>
      </c>
      <c r="J28" s="3">
        <v>59241</v>
      </c>
      <c r="K28" s="108">
        <v>200</v>
      </c>
      <c r="L28" s="57" t="s">
        <v>23</v>
      </c>
      <c r="M28" s="58"/>
      <c r="N28" s="58"/>
      <c r="O28" s="22"/>
    </row>
    <row r="29" spans="1:15">
      <c r="A29" s="52" t="s">
        <v>126</v>
      </c>
      <c r="B29" s="1">
        <v>694</v>
      </c>
      <c r="C29" s="2" t="s">
        <v>193</v>
      </c>
      <c r="D29" s="55">
        <f t="shared" si="16"/>
        <v>56358</v>
      </c>
      <c r="E29" s="3">
        <v>271</v>
      </c>
      <c r="F29" s="104">
        <v>56087</v>
      </c>
      <c r="G29" s="2" t="s">
        <v>193</v>
      </c>
      <c r="H29" s="56">
        <f t="shared" si="17"/>
        <v>31400</v>
      </c>
      <c r="I29" s="104">
        <v>796</v>
      </c>
      <c r="J29" s="3">
        <v>30604</v>
      </c>
      <c r="K29" s="108" t="s">
        <v>193</v>
      </c>
      <c r="L29" s="57" t="s">
        <v>24</v>
      </c>
      <c r="M29" s="58"/>
      <c r="N29" s="58"/>
      <c r="O29" s="22"/>
    </row>
    <row r="30" spans="1:15">
      <c r="A30" s="52" t="s">
        <v>127</v>
      </c>
      <c r="B30" s="1">
        <v>396</v>
      </c>
      <c r="C30" s="2" t="s">
        <v>193</v>
      </c>
      <c r="D30" s="55">
        <f t="shared" si="16"/>
        <v>48664</v>
      </c>
      <c r="E30" s="3">
        <v>33</v>
      </c>
      <c r="F30" s="104">
        <v>48631</v>
      </c>
      <c r="G30" s="2" t="s">
        <v>193</v>
      </c>
      <c r="H30" s="56">
        <f t="shared" si="17"/>
        <v>10468</v>
      </c>
      <c r="I30" s="104">
        <v>18</v>
      </c>
      <c r="J30" s="3">
        <v>10450</v>
      </c>
      <c r="K30" s="108" t="s">
        <v>193</v>
      </c>
      <c r="L30" s="57" t="s">
        <v>25</v>
      </c>
      <c r="M30" s="58"/>
      <c r="N30" s="58"/>
      <c r="O30" s="22"/>
    </row>
    <row r="31" spans="1:15">
      <c r="A31" s="52" t="s">
        <v>128</v>
      </c>
      <c r="B31" s="1">
        <v>4692</v>
      </c>
      <c r="C31" s="2" t="s">
        <v>193</v>
      </c>
      <c r="D31" s="55">
        <f t="shared" si="16"/>
        <v>97496</v>
      </c>
      <c r="E31" s="3">
        <v>1661</v>
      </c>
      <c r="F31" s="104">
        <v>95835</v>
      </c>
      <c r="G31" s="2" t="s">
        <v>193</v>
      </c>
      <c r="H31" s="56">
        <f t="shared" si="17"/>
        <v>26360</v>
      </c>
      <c r="I31" s="104" t="s">
        <v>193</v>
      </c>
      <c r="J31" s="3">
        <v>25880</v>
      </c>
      <c r="K31" s="108">
        <v>480</v>
      </c>
      <c r="L31" s="57" t="s">
        <v>26</v>
      </c>
      <c r="M31" s="58"/>
      <c r="N31" s="58"/>
      <c r="O31" s="22"/>
    </row>
    <row r="32" spans="1:15">
      <c r="A32" s="47" t="s">
        <v>27</v>
      </c>
      <c r="B32" s="60">
        <f>SUM(B34:B37)</f>
        <v>5504</v>
      </c>
      <c r="C32" s="61">
        <f t="shared" ref="C32" si="18">SUM(C34:C37)</f>
        <v>0</v>
      </c>
      <c r="D32" s="61">
        <f>SUM(D34:D37)</f>
        <v>441716</v>
      </c>
      <c r="E32" s="62">
        <f>SUM(E34:E37)</f>
        <v>4549</v>
      </c>
      <c r="F32" s="61">
        <f t="shared" ref="F32:H32" si="19">SUM(F34:F37)</f>
        <v>424195</v>
      </c>
      <c r="G32" s="62">
        <f t="shared" si="19"/>
        <v>12972</v>
      </c>
      <c r="H32" s="61">
        <f t="shared" si="19"/>
        <v>125184</v>
      </c>
      <c r="I32" s="62">
        <f t="shared" ref="I32:K32" si="20">SUM(I34:I37)</f>
        <v>2494</v>
      </c>
      <c r="J32" s="61">
        <f t="shared" si="20"/>
        <v>118584</v>
      </c>
      <c r="K32" s="63">
        <f t="shared" si="20"/>
        <v>4106</v>
      </c>
      <c r="L32" s="71" t="s">
        <v>28</v>
      </c>
      <c r="M32" s="71"/>
      <c r="N32" s="71"/>
      <c r="O32" s="22"/>
    </row>
    <row r="33" spans="1:15">
      <c r="A33" s="47"/>
      <c r="B33" s="60"/>
      <c r="C33" s="61"/>
      <c r="D33" s="61"/>
      <c r="E33" s="62"/>
      <c r="F33" s="61"/>
      <c r="G33" s="62"/>
      <c r="H33" s="61"/>
      <c r="I33" s="62"/>
      <c r="J33" s="61"/>
      <c r="K33" s="63"/>
      <c r="L33" s="71"/>
      <c r="M33" s="71"/>
      <c r="N33" s="71"/>
      <c r="O33" s="22"/>
    </row>
    <row r="34" spans="1:15">
      <c r="A34" s="52" t="s">
        <v>129</v>
      </c>
      <c r="B34" s="1">
        <v>2309</v>
      </c>
      <c r="C34" s="2" t="s">
        <v>193</v>
      </c>
      <c r="D34" s="55">
        <f t="shared" ref="D34:D37" si="21">SUM(E34:G34)</f>
        <v>151472</v>
      </c>
      <c r="E34" s="3">
        <v>3209</v>
      </c>
      <c r="F34" s="104">
        <v>146163</v>
      </c>
      <c r="G34" s="3">
        <v>2100</v>
      </c>
      <c r="H34" s="56">
        <f t="shared" ref="H34:H37" si="22">SUM(I34:K34)</f>
        <v>38942</v>
      </c>
      <c r="I34" s="104">
        <v>2126</v>
      </c>
      <c r="J34" s="3">
        <v>36816</v>
      </c>
      <c r="K34" s="108" t="s">
        <v>193</v>
      </c>
      <c r="L34" s="57" t="s">
        <v>29</v>
      </c>
      <c r="M34" s="58"/>
      <c r="N34" s="58"/>
      <c r="O34" s="22"/>
    </row>
    <row r="35" spans="1:15">
      <c r="A35" s="52" t="s">
        <v>130</v>
      </c>
      <c r="B35" s="1">
        <v>600</v>
      </c>
      <c r="C35" s="2" t="s">
        <v>193</v>
      </c>
      <c r="D35" s="55">
        <f t="shared" si="21"/>
        <v>104692</v>
      </c>
      <c r="E35" s="2" t="s">
        <v>193</v>
      </c>
      <c r="F35" s="104">
        <v>100892</v>
      </c>
      <c r="G35" s="3">
        <v>3800</v>
      </c>
      <c r="H35" s="56">
        <f t="shared" si="22"/>
        <v>19802</v>
      </c>
      <c r="I35" s="104" t="s">
        <v>193</v>
      </c>
      <c r="J35" s="3">
        <v>19802</v>
      </c>
      <c r="K35" s="108" t="s">
        <v>193</v>
      </c>
      <c r="L35" s="57" t="s">
        <v>30</v>
      </c>
      <c r="M35" s="58"/>
      <c r="N35" s="58"/>
      <c r="O35" s="22"/>
    </row>
    <row r="36" spans="1:15">
      <c r="A36" s="52" t="s">
        <v>131</v>
      </c>
      <c r="B36" s="1">
        <v>191</v>
      </c>
      <c r="C36" s="2" t="s">
        <v>193</v>
      </c>
      <c r="D36" s="55">
        <f t="shared" si="21"/>
        <v>90981</v>
      </c>
      <c r="E36" s="3">
        <v>1315</v>
      </c>
      <c r="F36" s="104">
        <v>82594</v>
      </c>
      <c r="G36" s="3">
        <v>7072</v>
      </c>
      <c r="H36" s="56">
        <f t="shared" si="22"/>
        <v>41977</v>
      </c>
      <c r="I36" s="104">
        <v>325</v>
      </c>
      <c r="J36" s="3">
        <v>37546</v>
      </c>
      <c r="K36" s="108">
        <v>4106</v>
      </c>
      <c r="L36" s="57" t="s">
        <v>31</v>
      </c>
      <c r="M36" s="58"/>
      <c r="N36" s="58"/>
      <c r="O36" s="22"/>
    </row>
    <row r="37" spans="1:15">
      <c r="A37" s="52" t="s">
        <v>132</v>
      </c>
      <c r="B37" s="1">
        <v>2404</v>
      </c>
      <c r="C37" s="2" t="s">
        <v>193</v>
      </c>
      <c r="D37" s="55">
        <f t="shared" si="21"/>
        <v>94571</v>
      </c>
      <c r="E37" s="3">
        <v>25</v>
      </c>
      <c r="F37" s="104">
        <v>94546</v>
      </c>
      <c r="G37" s="2" t="s">
        <v>193</v>
      </c>
      <c r="H37" s="56">
        <f t="shared" si="22"/>
        <v>24463</v>
      </c>
      <c r="I37" s="104">
        <v>43</v>
      </c>
      <c r="J37" s="3">
        <v>24420</v>
      </c>
      <c r="K37" s="108" t="s">
        <v>193</v>
      </c>
      <c r="L37" s="57" t="s">
        <v>32</v>
      </c>
      <c r="M37" s="58"/>
      <c r="N37" s="58"/>
      <c r="O37" s="22"/>
    </row>
    <row r="38" spans="1:15">
      <c r="A38" s="47" t="s">
        <v>33</v>
      </c>
      <c r="B38" s="60">
        <f>SUM(B40:B44)</f>
        <v>14850</v>
      </c>
      <c r="C38" s="61">
        <f t="shared" ref="C38" si="23">SUM(C40:C44)</f>
        <v>38</v>
      </c>
      <c r="D38" s="61">
        <f>SUM(D40:D44)</f>
        <v>1043486</v>
      </c>
      <c r="E38" s="62">
        <f>SUM(E40:E44)</f>
        <v>4841</v>
      </c>
      <c r="F38" s="61">
        <f t="shared" ref="F38:H38" si="24">SUM(F40:F44)</f>
        <v>922994</v>
      </c>
      <c r="G38" s="62">
        <f t="shared" si="24"/>
        <v>115651</v>
      </c>
      <c r="H38" s="61">
        <f t="shared" si="24"/>
        <v>327851</v>
      </c>
      <c r="I38" s="62">
        <f t="shared" ref="I38:K38" si="25">SUM(I40:I44)</f>
        <v>4172</v>
      </c>
      <c r="J38" s="61">
        <f t="shared" si="25"/>
        <v>286851</v>
      </c>
      <c r="K38" s="63">
        <f t="shared" si="25"/>
        <v>36828</v>
      </c>
      <c r="L38" s="71" t="s">
        <v>34</v>
      </c>
      <c r="M38" s="71"/>
      <c r="N38" s="71"/>
      <c r="O38" s="22"/>
    </row>
    <row r="39" spans="1:15">
      <c r="A39" s="47"/>
      <c r="B39" s="60"/>
      <c r="C39" s="61"/>
      <c r="D39" s="61"/>
      <c r="E39" s="62"/>
      <c r="F39" s="61"/>
      <c r="G39" s="62"/>
      <c r="H39" s="61"/>
      <c r="I39" s="62"/>
      <c r="J39" s="61"/>
      <c r="K39" s="63"/>
      <c r="L39" s="71"/>
      <c r="M39" s="71"/>
      <c r="N39" s="71"/>
      <c r="O39" s="22"/>
    </row>
    <row r="40" spans="1:15">
      <c r="A40" s="52" t="s">
        <v>133</v>
      </c>
      <c r="B40" s="1">
        <v>9834</v>
      </c>
      <c r="C40" s="2" t="s">
        <v>193</v>
      </c>
      <c r="D40" s="55">
        <f t="shared" ref="D40:D44" si="26">SUM(E40:G40)</f>
        <v>602100</v>
      </c>
      <c r="E40" s="3">
        <v>1045</v>
      </c>
      <c r="F40" s="104">
        <v>519692</v>
      </c>
      <c r="G40" s="3">
        <v>81363</v>
      </c>
      <c r="H40" s="56">
        <f t="shared" ref="H40:H44" si="27">SUM(I40:K40)</f>
        <v>177402</v>
      </c>
      <c r="I40" s="104">
        <v>1226</v>
      </c>
      <c r="J40" s="3">
        <v>148261</v>
      </c>
      <c r="K40" s="108">
        <v>27915</v>
      </c>
      <c r="L40" s="57" t="s">
        <v>35</v>
      </c>
      <c r="M40" s="58"/>
      <c r="N40" s="58"/>
      <c r="O40" s="22"/>
    </row>
    <row r="41" spans="1:15">
      <c r="A41" s="52" t="s">
        <v>134</v>
      </c>
      <c r="B41" s="1">
        <v>1409</v>
      </c>
      <c r="C41" s="2" t="s">
        <v>193</v>
      </c>
      <c r="D41" s="55">
        <f t="shared" si="26"/>
        <v>149372</v>
      </c>
      <c r="E41" s="3">
        <v>1383</v>
      </c>
      <c r="F41" s="104">
        <v>130076</v>
      </c>
      <c r="G41" s="3">
        <v>17913</v>
      </c>
      <c r="H41" s="56">
        <f t="shared" si="27"/>
        <v>26955</v>
      </c>
      <c r="I41" s="104">
        <v>1179</v>
      </c>
      <c r="J41" s="3">
        <v>21200</v>
      </c>
      <c r="K41" s="108">
        <v>4576</v>
      </c>
      <c r="L41" s="57" t="s">
        <v>36</v>
      </c>
      <c r="M41" s="58"/>
      <c r="N41" s="58"/>
      <c r="O41" s="22"/>
    </row>
    <row r="42" spans="1:15">
      <c r="A42" s="52" t="s">
        <v>135</v>
      </c>
      <c r="B42" s="1">
        <v>652</v>
      </c>
      <c r="C42" s="2" t="s">
        <v>193</v>
      </c>
      <c r="D42" s="55">
        <f t="shared" si="26"/>
        <v>111716</v>
      </c>
      <c r="E42" s="3">
        <v>535</v>
      </c>
      <c r="F42" s="104">
        <v>111181</v>
      </c>
      <c r="G42" s="2" t="s">
        <v>193</v>
      </c>
      <c r="H42" s="56">
        <f t="shared" si="27"/>
        <v>56848</v>
      </c>
      <c r="I42" s="104">
        <v>379</v>
      </c>
      <c r="J42" s="3">
        <v>56469</v>
      </c>
      <c r="K42" s="108" t="s">
        <v>193</v>
      </c>
      <c r="L42" s="57" t="s">
        <v>37</v>
      </c>
      <c r="M42" s="58"/>
      <c r="N42" s="58"/>
      <c r="O42" s="22"/>
    </row>
    <row r="43" spans="1:15">
      <c r="A43" s="52" t="s">
        <v>136</v>
      </c>
      <c r="B43" s="101" t="s">
        <v>193</v>
      </c>
      <c r="C43" s="2" t="s">
        <v>193</v>
      </c>
      <c r="D43" s="55">
        <f t="shared" si="26"/>
        <v>298</v>
      </c>
      <c r="E43" s="3">
        <v>15</v>
      </c>
      <c r="F43" s="105">
        <v>283</v>
      </c>
      <c r="G43" s="2" t="s">
        <v>193</v>
      </c>
      <c r="H43" s="56">
        <f t="shared" si="27"/>
        <v>6135</v>
      </c>
      <c r="I43" s="105">
        <v>14</v>
      </c>
      <c r="J43" s="3">
        <v>6121</v>
      </c>
      <c r="K43" s="109" t="s">
        <v>193</v>
      </c>
      <c r="L43" s="57" t="s">
        <v>38</v>
      </c>
      <c r="M43" s="58"/>
      <c r="N43" s="58"/>
      <c r="O43" s="22"/>
    </row>
    <row r="44" spans="1:15">
      <c r="A44" s="52" t="s">
        <v>137</v>
      </c>
      <c r="B44" s="1">
        <v>2955</v>
      </c>
      <c r="C44" s="3">
        <v>38</v>
      </c>
      <c r="D44" s="55">
        <f t="shared" si="26"/>
        <v>180000</v>
      </c>
      <c r="E44" s="3">
        <v>1863</v>
      </c>
      <c r="F44" s="104">
        <v>161762</v>
      </c>
      <c r="G44" s="3">
        <v>16375</v>
      </c>
      <c r="H44" s="56">
        <f t="shared" si="27"/>
        <v>60511</v>
      </c>
      <c r="I44" s="104">
        <v>1374</v>
      </c>
      <c r="J44" s="3">
        <v>54800</v>
      </c>
      <c r="K44" s="108">
        <v>4337</v>
      </c>
      <c r="L44" s="57" t="s">
        <v>39</v>
      </c>
      <c r="M44" s="58"/>
      <c r="N44" s="58"/>
      <c r="O44" s="22"/>
    </row>
    <row r="45" spans="1:15">
      <c r="A45" s="47" t="s">
        <v>40</v>
      </c>
      <c r="B45" s="60">
        <f>SUM(B47:B51)</f>
        <v>5329</v>
      </c>
      <c r="C45" s="61">
        <f>SUM(C47:C51)</f>
        <v>0</v>
      </c>
      <c r="D45" s="61">
        <f>SUM(D47:D51)</f>
        <v>398111</v>
      </c>
      <c r="E45" s="62">
        <f>SUM(E47:E51)</f>
        <v>12201</v>
      </c>
      <c r="F45" s="61">
        <f t="shared" ref="F45:H45" si="28">SUM(F47:F51)</f>
        <v>347554</v>
      </c>
      <c r="G45" s="62">
        <f t="shared" si="28"/>
        <v>38356</v>
      </c>
      <c r="H45" s="61">
        <f t="shared" si="28"/>
        <v>250553</v>
      </c>
      <c r="I45" s="62">
        <f t="shared" ref="I45:K45" si="29">SUM(I47:I51)</f>
        <v>8952</v>
      </c>
      <c r="J45" s="61">
        <f t="shared" si="29"/>
        <v>224010</v>
      </c>
      <c r="K45" s="63">
        <f t="shared" si="29"/>
        <v>17591</v>
      </c>
      <c r="L45" s="71" t="s">
        <v>41</v>
      </c>
      <c r="M45" s="71"/>
      <c r="N45" s="71"/>
      <c r="O45" s="22"/>
    </row>
    <row r="46" spans="1:15">
      <c r="A46" s="47"/>
      <c r="B46" s="60"/>
      <c r="C46" s="61"/>
      <c r="D46" s="61"/>
      <c r="E46" s="62"/>
      <c r="F46" s="61"/>
      <c r="G46" s="62"/>
      <c r="H46" s="61"/>
      <c r="I46" s="62"/>
      <c r="J46" s="61"/>
      <c r="K46" s="63"/>
      <c r="L46" s="71"/>
      <c r="M46" s="71"/>
      <c r="N46" s="71"/>
      <c r="O46" s="22"/>
    </row>
    <row r="47" spans="1:15">
      <c r="A47" s="52" t="s">
        <v>138</v>
      </c>
      <c r="B47" s="1">
        <v>1765</v>
      </c>
      <c r="C47" s="2" t="s">
        <v>193</v>
      </c>
      <c r="D47" s="55">
        <f t="shared" ref="D47:D51" si="30">SUM(E47:G47)</f>
        <v>126853</v>
      </c>
      <c r="E47" s="3">
        <v>3141</v>
      </c>
      <c r="F47" s="104">
        <v>91693</v>
      </c>
      <c r="G47" s="3">
        <v>32019</v>
      </c>
      <c r="H47" s="56">
        <f t="shared" ref="H47:H51" si="31">SUM(I47:K47)</f>
        <v>51748</v>
      </c>
      <c r="I47" s="104">
        <v>1458</v>
      </c>
      <c r="J47" s="3">
        <v>33469</v>
      </c>
      <c r="K47" s="108">
        <v>16821</v>
      </c>
      <c r="L47" s="57" t="s">
        <v>42</v>
      </c>
      <c r="M47" s="58"/>
      <c r="N47" s="58"/>
      <c r="O47" s="22"/>
    </row>
    <row r="48" spans="1:15">
      <c r="A48" s="52" t="s">
        <v>139</v>
      </c>
      <c r="B48" s="1">
        <v>2877</v>
      </c>
      <c r="C48" s="2" t="s">
        <v>193</v>
      </c>
      <c r="D48" s="55">
        <f t="shared" si="30"/>
        <v>68861</v>
      </c>
      <c r="E48" s="3">
        <v>1152</v>
      </c>
      <c r="F48" s="104">
        <v>65297</v>
      </c>
      <c r="G48" s="3">
        <v>2412</v>
      </c>
      <c r="H48" s="56">
        <f t="shared" si="31"/>
        <v>43279</v>
      </c>
      <c r="I48" s="104">
        <v>730</v>
      </c>
      <c r="J48" s="3">
        <v>42549</v>
      </c>
      <c r="K48" s="108" t="s">
        <v>193</v>
      </c>
      <c r="L48" s="57" t="s">
        <v>43</v>
      </c>
      <c r="M48" s="58"/>
      <c r="N48" s="58"/>
      <c r="O48" s="22"/>
    </row>
    <row r="49" spans="1:15">
      <c r="A49" s="52" t="s">
        <v>140</v>
      </c>
      <c r="B49" s="1">
        <v>476</v>
      </c>
      <c r="C49" s="2" t="s">
        <v>193</v>
      </c>
      <c r="D49" s="55">
        <f t="shared" si="30"/>
        <v>135706</v>
      </c>
      <c r="E49" s="3">
        <v>5012</v>
      </c>
      <c r="F49" s="104">
        <v>126944</v>
      </c>
      <c r="G49" s="3">
        <v>3750</v>
      </c>
      <c r="H49" s="56">
        <f t="shared" si="31"/>
        <v>102380</v>
      </c>
      <c r="I49" s="104">
        <v>4429</v>
      </c>
      <c r="J49" s="3">
        <v>97181</v>
      </c>
      <c r="K49" s="108">
        <v>770</v>
      </c>
      <c r="L49" s="57" t="s">
        <v>44</v>
      </c>
      <c r="M49" s="58"/>
      <c r="N49" s="58"/>
      <c r="O49" s="22"/>
    </row>
    <row r="50" spans="1:15">
      <c r="A50" s="52" t="s">
        <v>141</v>
      </c>
      <c r="B50" s="1">
        <v>7</v>
      </c>
      <c r="C50" s="2" t="s">
        <v>193</v>
      </c>
      <c r="D50" s="55">
        <f t="shared" si="30"/>
        <v>27666</v>
      </c>
      <c r="E50" s="3">
        <v>1445</v>
      </c>
      <c r="F50" s="104">
        <v>26221</v>
      </c>
      <c r="G50" s="2" t="s">
        <v>193</v>
      </c>
      <c r="H50" s="56">
        <f t="shared" si="31"/>
        <v>23735</v>
      </c>
      <c r="I50" s="104">
        <v>1793</v>
      </c>
      <c r="J50" s="3">
        <v>21942</v>
      </c>
      <c r="K50" s="108" t="s">
        <v>193</v>
      </c>
      <c r="L50" s="57" t="s">
        <v>45</v>
      </c>
      <c r="M50" s="58"/>
      <c r="N50" s="58"/>
      <c r="O50" s="22"/>
    </row>
    <row r="51" spans="1:15">
      <c r="A51" s="52" t="s">
        <v>142</v>
      </c>
      <c r="B51" s="1">
        <v>204</v>
      </c>
      <c r="C51" s="2" t="s">
        <v>193</v>
      </c>
      <c r="D51" s="55">
        <f t="shared" si="30"/>
        <v>39025</v>
      </c>
      <c r="E51" s="3">
        <v>1451</v>
      </c>
      <c r="F51" s="104">
        <v>37399</v>
      </c>
      <c r="G51" s="3">
        <v>175</v>
      </c>
      <c r="H51" s="56">
        <f t="shared" si="31"/>
        <v>29411</v>
      </c>
      <c r="I51" s="104">
        <v>542</v>
      </c>
      <c r="J51" s="3">
        <v>28869</v>
      </c>
      <c r="K51" s="108" t="s">
        <v>193</v>
      </c>
      <c r="L51" s="57" t="s">
        <v>46</v>
      </c>
      <c r="M51" s="58"/>
      <c r="N51" s="58"/>
      <c r="O51" s="22"/>
    </row>
    <row r="52" spans="1:15">
      <c r="A52" s="47" t="s">
        <v>47</v>
      </c>
      <c r="B52" s="60">
        <f>SUM(B54:B58)</f>
        <v>609</v>
      </c>
      <c r="C52" s="61">
        <f t="shared" ref="C52" si="32">SUM(C54:C58)</f>
        <v>0</v>
      </c>
      <c r="D52" s="61">
        <f>SUM(D54:D58)</f>
        <v>87076</v>
      </c>
      <c r="E52" s="62">
        <f>SUM(E54:E58)</f>
        <v>4817</v>
      </c>
      <c r="F52" s="61">
        <f t="shared" ref="F52:H52" si="33">SUM(F54:F58)</f>
        <v>82259</v>
      </c>
      <c r="G52" s="62">
        <f t="shared" si="33"/>
        <v>0</v>
      </c>
      <c r="H52" s="61">
        <f t="shared" si="33"/>
        <v>79047</v>
      </c>
      <c r="I52" s="62">
        <f t="shared" ref="I52:K52" si="34">SUM(I54:I58)</f>
        <v>5782</v>
      </c>
      <c r="J52" s="61">
        <f t="shared" si="34"/>
        <v>73265</v>
      </c>
      <c r="K52" s="63">
        <f t="shared" si="34"/>
        <v>0</v>
      </c>
      <c r="L52" s="71" t="s">
        <v>48</v>
      </c>
      <c r="M52" s="71"/>
      <c r="N52" s="71"/>
      <c r="O52" s="22"/>
    </row>
    <row r="53" spans="1:15">
      <c r="A53" s="47"/>
      <c r="B53" s="60"/>
      <c r="C53" s="61"/>
      <c r="D53" s="61"/>
      <c r="E53" s="62"/>
      <c r="F53" s="61"/>
      <c r="G53" s="62"/>
      <c r="H53" s="61"/>
      <c r="I53" s="62"/>
      <c r="J53" s="61"/>
      <c r="K53" s="63"/>
      <c r="L53" s="71"/>
      <c r="M53" s="71"/>
      <c r="N53" s="71"/>
      <c r="O53" s="22"/>
    </row>
    <row r="54" spans="1:15">
      <c r="A54" s="52" t="s">
        <v>143</v>
      </c>
      <c r="B54" s="1">
        <v>368</v>
      </c>
      <c r="C54" s="2" t="s">
        <v>193</v>
      </c>
      <c r="D54" s="55">
        <f t="shared" ref="D54:D58" si="35">SUM(E54:G54)</f>
        <v>2110</v>
      </c>
      <c r="E54" s="3">
        <v>790</v>
      </c>
      <c r="F54" s="104">
        <v>1320</v>
      </c>
      <c r="G54" s="2" t="s">
        <v>193</v>
      </c>
      <c r="H54" s="56">
        <f t="shared" ref="H54:H58" si="36">SUM(I54:K54)</f>
        <v>1880</v>
      </c>
      <c r="I54" s="104">
        <v>1028</v>
      </c>
      <c r="J54" s="3">
        <v>852</v>
      </c>
      <c r="K54" s="108" t="s">
        <v>193</v>
      </c>
      <c r="L54" s="57" t="s">
        <v>49</v>
      </c>
      <c r="M54" s="58"/>
      <c r="N54" s="58"/>
      <c r="O54" s="22"/>
    </row>
    <row r="55" spans="1:15">
      <c r="A55" s="52" t="s">
        <v>144</v>
      </c>
      <c r="B55" s="1">
        <v>27</v>
      </c>
      <c r="C55" s="2" t="s">
        <v>193</v>
      </c>
      <c r="D55" s="55">
        <f t="shared" si="35"/>
        <v>6811</v>
      </c>
      <c r="E55" s="3">
        <v>2851</v>
      </c>
      <c r="F55" s="104">
        <v>3960</v>
      </c>
      <c r="G55" s="2" t="s">
        <v>193</v>
      </c>
      <c r="H55" s="56">
        <f t="shared" si="36"/>
        <v>7605</v>
      </c>
      <c r="I55" s="104">
        <v>3491</v>
      </c>
      <c r="J55" s="3">
        <v>4114</v>
      </c>
      <c r="K55" s="108" t="s">
        <v>193</v>
      </c>
      <c r="L55" s="57" t="s">
        <v>50</v>
      </c>
      <c r="M55" s="58"/>
      <c r="N55" s="58"/>
      <c r="O55" s="22"/>
    </row>
    <row r="56" spans="1:15">
      <c r="A56" s="52" t="s">
        <v>145</v>
      </c>
      <c r="B56" s="1">
        <v>5</v>
      </c>
      <c r="C56" s="2" t="s">
        <v>193</v>
      </c>
      <c r="D56" s="55">
        <f t="shared" si="35"/>
        <v>2738</v>
      </c>
      <c r="E56" s="3">
        <v>10</v>
      </c>
      <c r="F56" s="104">
        <v>2728</v>
      </c>
      <c r="G56" s="2" t="s">
        <v>193</v>
      </c>
      <c r="H56" s="56">
        <f t="shared" si="36"/>
        <v>2958</v>
      </c>
      <c r="I56" s="104" t="s">
        <v>193</v>
      </c>
      <c r="J56" s="3">
        <v>2958</v>
      </c>
      <c r="K56" s="108" t="s">
        <v>193</v>
      </c>
      <c r="L56" s="57" t="s">
        <v>51</v>
      </c>
      <c r="M56" s="58"/>
      <c r="N56" s="58"/>
      <c r="O56" s="22"/>
    </row>
    <row r="57" spans="1:15">
      <c r="A57" s="52" t="s">
        <v>146</v>
      </c>
      <c r="B57" s="1">
        <v>177</v>
      </c>
      <c r="C57" s="2" t="s">
        <v>193</v>
      </c>
      <c r="D57" s="55">
        <f t="shared" si="35"/>
        <v>71926</v>
      </c>
      <c r="E57" s="3">
        <v>665</v>
      </c>
      <c r="F57" s="104">
        <v>71261</v>
      </c>
      <c r="G57" s="2" t="s">
        <v>193</v>
      </c>
      <c r="H57" s="56">
        <f t="shared" si="36"/>
        <v>63285</v>
      </c>
      <c r="I57" s="104">
        <v>1013</v>
      </c>
      <c r="J57" s="3">
        <v>62272</v>
      </c>
      <c r="K57" s="108" t="s">
        <v>193</v>
      </c>
      <c r="L57" s="57" t="s">
        <v>52</v>
      </c>
      <c r="M57" s="58"/>
      <c r="N57" s="58"/>
      <c r="O57" s="22"/>
    </row>
    <row r="58" spans="1:15">
      <c r="A58" s="52" t="s">
        <v>147</v>
      </c>
      <c r="B58" s="1">
        <v>32</v>
      </c>
      <c r="C58" s="2" t="s">
        <v>193</v>
      </c>
      <c r="D58" s="55">
        <f t="shared" si="35"/>
        <v>3491</v>
      </c>
      <c r="E58" s="3">
        <v>501</v>
      </c>
      <c r="F58" s="104">
        <v>2990</v>
      </c>
      <c r="G58" s="2" t="s">
        <v>193</v>
      </c>
      <c r="H58" s="56">
        <f t="shared" si="36"/>
        <v>3319</v>
      </c>
      <c r="I58" s="104">
        <v>250</v>
      </c>
      <c r="J58" s="3">
        <v>3069</v>
      </c>
      <c r="K58" s="108" t="s">
        <v>193</v>
      </c>
      <c r="L58" s="57" t="s">
        <v>53</v>
      </c>
      <c r="M58" s="58"/>
      <c r="N58" s="58"/>
      <c r="O58" s="22"/>
    </row>
    <row r="59" spans="1:15">
      <c r="A59" s="47" t="s">
        <v>54</v>
      </c>
      <c r="B59" s="60">
        <f>SUM(B61:B63)</f>
        <v>4428</v>
      </c>
      <c r="C59" s="61">
        <f t="shared" ref="C59" si="37">SUM(C61:C63)</f>
        <v>0</v>
      </c>
      <c r="D59" s="61">
        <f>SUM(D61:D63)</f>
        <v>1031003</v>
      </c>
      <c r="E59" s="62">
        <f>SUM(E61:E63)</f>
        <v>58365</v>
      </c>
      <c r="F59" s="61">
        <f t="shared" ref="F59:H59" si="38">SUM(F61:F63)</f>
        <v>934852</v>
      </c>
      <c r="G59" s="62">
        <f t="shared" si="38"/>
        <v>37786</v>
      </c>
      <c r="H59" s="61">
        <f t="shared" si="38"/>
        <v>351811</v>
      </c>
      <c r="I59" s="62">
        <f t="shared" ref="I59:K59" si="39">SUM(I61:I63)</f>
        <v>40724</v>
      </c>
      <c r="J59" s="61">
        <f t="shared" si="39"/>
        <v>306606</v>
      </c>
      <c r="K59" s="63">
        <f t="shared" si="39"/>
        <v>4481</v>
      </c>
      <c r="L59" s="71" t="s">
        <v>55</v>
      </c>
      <c r="M59" s="71"/>
      <c r="N59" s="71"/>
      <c r="O59" s="22"/>
    </row>
    <row r="60" spans="1:15">
      <c r="A60" s="47"/>
      <c r="B60" s="60"/>
      <c r="C60" s="61"/>
      <c r="D60" s="61"/>
      <c r="E60" s="62"/>
      <c r="F60" s="61"/>
      <c r="G60" s="62"/>
      <c r="H60" s="61"/>
      <c r="I60" s="62"/>
      <c r="J60" s="61"/>
      <c r="K60" s="63"/>
      <c r="L60" s="71"/>
      <c r="M60" s="71"/>
      <c r="N60" s="71"/>
      <c r="O60" s="22"/>
    </row>
    <row r="61" spans="1:15">
      <c r="A61" s="52" t="s">
        <v>148</v>
      </c>
      <c r="B61" s="1">
        <v>1865</v>
      </c>
      <c r="C61" s="2" t="s">
        <v>193</v>
      </c>
      <c r="D61" s="55">
        <f t="shared" ref="D61:D63" si="40">SUM(E61:G61)</f>
        <v>274627</v>
      </c>
      <c r="E61" s="3">
        <v>16295</v>
      </c>
      <c r="F61" s="104">
        <v>256437</v>
      </c>
      <c r="G61" s="3">
        <v>1895</v>
      </c>
      <c r="H61" s="56">
        <f t="shared" ref="H61:H63" si="41">SUM(I61:K61)</f>
        <v>102723</v>
      </c>
      <c r="I61" s="104">
        <v>4702</v>
      </c>
      <c r="J61" s="3">
        <v>98021</v>
      </c>
      <c r="K61" s="108" t="s">
        <v>193</v>
      </c>
      <c r="L61" s="57" t="s">
        <v>56</v>
      </c>
      <c r="M61" s="58"/>
      <c r="N61" s="58"/>
      <c r="O61" s="22"/>
    </row>
    <row r="62" spans="1:15">
      <c r="A62" s="52" t="s">
        <v>149</v>
      </c>
      <c r="B62" s="101" t="s">
        <v>193</v>
      </c>
      <c r="C62" s="2" t="s">
        <v>193</v>
      </c>
      <c r="D62" s="55">
        <f t="shared" si="40"/>
        <v>480615</v>
      </c>
      <c r="E62" s="3">
        <v>30765</v>
      </c>
      <c r="F62" s="105">
        <v>413959</v>
      </c>
      <c r="G62" s="3">
        <v>35891</v>
      </c>
      <c r="H62" s="56">
        <f t="shared" si="41"/>
        <v>194485</v>
      </c>
      <c r="I62" s="105">
        <v>30686</v>
      </c>
      <c r="J62" s="3">
        <v>159318</v>
      </c>
      <c r="K62" s="109">
        <v>4481</v>
      </c>
      <c r="L62" s="57" t="s">
        <v>57</v>
      </c>
      <c r="M62" s="58"/>
      <c r="N62" s="58"/>
      <c r="O62" s="22"/>
    </row>
    <row r="63" spans="1:15">
      <c r="A63" s="52" t="s">
        <v>150</v>
      </c>
      <c r="B63" s="1">
        <v>2563</v>
      </c>
      <c r="C63" s="2" t="s">
        <v>193</v>
      </c>
      <c r="D63" s="55">
        <f t="shared" si="40"/>
        <v>275761</v>
      </c>
      <c r="E63" s="3">
        <v>11305</v>
      </c>
      <c r="F63" s="104">
        <v>264456</v>
      </c>
      <c r="G63" s="2" t="s">
        <v>193</v>
      </c>
      <c r="H63" s="56">
        <f t="shared" si="41"/>
        <v>54603</v>
      </c>
      <c r="I63" s="104">
        <v>5336</v>
      </c>
      <c r="J63" s="3">
        <v>49267</v>
      </c>
      <c r="K63" s="108" t="s">
        <v>193</v>
      </c>
      <c r="L63" s="57" t="s">
        <v>58</v>
      </c>
      <c r="M63" s="58"/>
      <c r="N63" s="58"/>
      <c r="O63" s="22"/>
    </row>
    <row r="64" spans="1:15">
      <c r="A64" s="47" t="s">
        <v>59</v>
      </c>
      <c r="B64" s="60">
        <f>SUM(B66:B70)</f>
        <v>1189</v>
      </c>
      <c r="C64" s="61">
        <f t="shared" ref="C64" si="42">SUM(C66:C70)</f>
        <v>0</v>
      </c>
      <c r="D64" s="61">
        <f>SUM(D66:D70)</f>
        <v>347795</v>
      </c>
      <c r="E64" s="62">
        <f>SUM(E66:E70)</f>
        <v>12655</v>
      </c>
      <c r="F64" s="61">
        <f t="shared" ref="F64:H64" si="43">SUM(F66:F70)</f>
        <v>322325</v>
      </c>
      <c r="G64" s="62">
        <f t="shared" si="43"/>
        <v>12815</v>
      </c>
      <c r="H64" s="61">
        <f t="shared" si="43"/>
        <v>339505</v>
      </c>
      <c r="I64" s="62">
        <f t="shared" ref="I64:K64" si="44">SUM(I66:I70)</f>
        <v>18257</v>
      </c>
      <c r="J64" s="61">
        <f t="shared" si="44"/>
        <v>302428</v>
      </c>
      <c r="K64" s="63">
        <f t="shared" si="44"/>
        <v>18820</v>
      </c>
      <c r="L64" s="71" t="s">
        <v>60</v>
      </c>
      <c r="M64" s="71"/>
      <c r="N64" s="71"/>
      <c r="O64" s="22"/>
    </row>
    <row r="65" spans="1:15">
      <c r="A65" s="47"/>
      <c r="B65" s="60"/>
      <c r="C65" s="61"/>
      <c r="D65" s="61"/>
      <c r="E65" s="62"/>
      <c r="F65" s="61"/>
      <c r="G65" s="62"/>
      <c r="H65" s="61"/>
      <c r="I65" s="62"/>
      <c r="J65" s="61"/>
      <c r="K65" s="63"/>
      <c r="L65" s="71"/>
      <c r="M65" s="71"/>
      <c r="N65" s="71"/>
      <c r="O65" s="22"/>
    </row>
    <row r="66" spans="1:15">
      <c r="A66" s="52" t="s">
        <v>151</v>
      </c>
      <c r="B66" s="1">
        <v>16</v>
      </c>
      <c r="C66" s="2" t="s">
        <v>193</v>
      </c>
      <c r="D66" s="55">
        <f t="shared" ref="D66:D70" si="45">SUM(E66:G66)</f>
        <v>102540</v>
      </c>
      <c r="E66" s="3">
        <v>3147</v>
      </c>
      <c r="F66" s="104">
        <v>99393</v>
      </c>
      <c r="G66" s="2" t="s">
        <v>193</v>
      </c>
      <c r="H66" s="56">
        <f t="shared" ref="H66:H70" si="46">SUM(I66:K66)</f>
        <v>76262</v>
      </c>
      <c r="I66" s="104">
        <v>2423</v>
      </c>
      <c r="J66" s="3">
        <v>73839</v>
      </c>
      <c r="K66" s="108" t="s">
        <v>193</v>
      </c>
      <c r="L66" s="57" t="s">
        <v>61</v>
      </c>
      <c r="M66" s="58"/>
      <c r="N66" s="58"/>
      <c r="O66" s="22"/>
    </row>
    <row r="67" spans="1:15">
      <c r="A67" s="52" t="s">
        <v>152</v>
      </c>
      <c r="B67" s="1">
        <v>448</v>
      </c>
      <c r="C67" s="2" t="s">
        <v>193</v>
      </c>
      <c r="D67" s="55">
        <f t="shared" si="45"/>
        <v>81371</v>
      </c>
      <c r="E67" s="3">
        <v>4476</v>
      </c>
      <c r="F67" s="104">
        <v>71210</v>
      </c>
      <c r="G67" s="3">
        <v>5685</v>
      </c>
      <c r="H67" s="56">
        <f t="shared" si="46"/>
        <v>82944</v>
      </c>
      <c r="I67" s="104">
        <v>3869</v>
      </c>
      <c r="J67" s="3">
        <v>64760</v>
      </c>
      <c r="K67" s="108">
        <v>14315</v>
      </c>
      <c r="L67" s="57" t="s">
        <v>62</v>
      </c>
      <c r="M67" s="58"/>
      <c r="N67" s="58"/>
      <c r="O67" s="22"/>
    </row>
    <row r="68" spans="1:15">
      <c r="A68" s="52" t="s">
        <v>153</v>
      </c>
      <c r="B68" s="1">
        <v>82</v>
      </c>
      <c r="C68" s="2" t="s">
        <v>193</v>
      </c>
      <c r="D68" s="55">
        <f t="shared" si="45"/>
        <v>57640</v>
      </c>
      <c r="E68" s="3">
        <v>1472</v>
      </c>
      <c r="F68" s="104">
        <v>52175</v>
      </c>
      <c r="G68" s="3">
        <v>3993</v>
      </c>
      <c r="H68" s="56">
        <f t="shared" si="46"/>
        <v>43775</v>
      </c>
      <c r="I68" s="104">
        <v>1767</v>
      </c>
      <c r="J68" s="3">
        <v>38598</v>
      </c>
      <c r="K68" s="108">
        <v>3410</v>
      </c>
      <c r="L68" s="57" t="s">
        <v>63</v>
      </c>
      <c r="M68" s="58"/>
      <c r="N68" s="58"/>
      <c r="O68" s="22"/>
    </row>
    <row r="69" spans="1:15">
      <c r="A69" s="52" t="s">
        <v>154</v>
      </c>
      <c r="B69" s="1">
        <v>461</v>
      </c>
      <c r="C69" s="2" t="s">
        <v>193</v>
      </c>
      <c r="D69" s="55">
        <f t="shared" si="45"/>
        <v>54931</v>
      </c>
      <c r="E69" s="3">
        <v>1448</v>
      </c>
      <c r="F69" s="104">
        <v>53213</v>
      </c>
      <c r="G69" s="3">
        <v>270</v>
      </c>
      <c r="H69" s="56">
        <f t="shared" si="46"/>
        <v>102040</v>
      </c>
      <c r="I69" s="104">
        <v>3491</v>
      </c>
      <c r="J69" s="3">
        <v>98549</v>
      </c>
      <c r="K69" s="108" t="s">
        <v>193</v>
      </c>
      <c r="L69" s="57" t="s">
        <v>64</v>
      </c>
      <c r="M69" s="58"/>
      <c r="N69" s="58"/>
      <c r="O69" s="22"/>
    </row>
    <row r="70" spans="1:15">
      <c r="A70" s="52" t="s">
        <v>155</v>
      </c>
      <c r="B70" s="1">
        <v>182</v>
      </c>
      <c r="C70" s="2" t="s">
        <v>193</v>
      </c>
      <c r="D70" s="55">
        <f t="shared" si="45"/>
        <v>51313</v>
      </c>
      <c r="E70" s="3">
        <v>2112</v>
      </c>
      <c r="F70" s="104">
        <v>46334</v>
      </c>
      <c r="G70" s="3">
        <v>2867</v>
      </c>
      <c r="H70" s="56">
        <f t="shared" si="46"/>
        <v>34484</v>
      </c>
      <c r="I70" s="104">
        <v>6707</v>
      </c>
      <c r="J70" s="3">
        <v>26682</v>
      </c>
      <c r="K70" s="108">
        <v>1095</v>
      </c>
      <c r="L70" s="57" t="s">
        <v>65</v>
      </c>
      <c r="M70" s="58"/>
      <c r="N70" s="58"/>
      <c r="O70" s="22"/>
    </row>
    <row r="71" spans="1:15">
      <c r="A71" s="47" t="s">
        <v>66</v>
      </c>
      <c r="B71" s="60">
        <f>SUM(B73:B80)</f>
        <v>4275</v>
      </c>
      <c r="C71" s="61">
        <f t="shared" ref="C71" si="47">SUM(C73:C80)</f>
        <v>0</v>
      </c>
      <c r="D71" s="61">
        <f>SUM(D73:D80)</f>
        <v>79708</v>
      </c>
      <c r="E71" s="62">
        <f>SUM(E73:E80)</f>
        <v>1518</v>
      </c>
      <c r="F71" s="61">
        <f t="shared" ref="F71:H71" si="48">SUM(F73:F80)</f>
        <v>78055</v>
      </c>
      <c r="G71" s="62">
        <f t="shared" si="48"/>
        <v>135</v>
      </c>
      <c r="H71" s="61">
        <f t="shared" si="48"/>
        <v>36815</v>
      </c>
      <c r="I71" s="62">
        <f t="shared" ref="I71:K71" si="49">SUM(I73:I80)</f>
        <v>3527</v>
      </c>
      <c r="J71" s="61">
        <f t="shared" si="49"/>
        <v>33155</v>
      </c>
      <c r="K71" s="63">
        <f t="shared" si="49"/>
        <v>133</v>
      </c>
      <c r="L71" s="71" t="s">
        <v>67</v>
      </c>
      <c r="M71" s="71"/>
      <c r="N71" s="71"/>
      <c r="O71" s="22"/>
    </row>
    <row r="72" spans="1:15">
      <c r="A72" s="47"/>
      <c r="B72" s="60"/>
      <c r="C72" s="61"/>
      <c r="D72" s="61"/>
      <c r="E72" s="62"/>
      <c r="F72" s="61"/>
      <c r="G72" s="62"/>
      <c r="H72" s="61"/>
      <c r="I72" s="62"/>
      <c r="J72" s="61"/>
      <c r="K72" s="63"/>
      <c r="L72" s="71"/>
      <c r="M72" s="71"/>
      <c r="N72" s="71"/>
      <c r="O72" s="22"/>
    </row>
    <row r="73" spans="1:15">
      <c r="A73" s="72" t="s">
        <v>68</v>
      </c>
      <c r="B73" s="1" t="s">
        <v>193</v>
      </c>
      <c r="C73" s="105" t="s">
        <v>193</v>
      </c>
      <c r="D73" s="55">
        <f t="shared" ref="D73:D80" si="50">SUM(E73:G73)</f>
        <v>0</v>
      </c>
      <c r="E73" s="3" t="s">
        <v>193</v>
      </c>
      <c r="F73" s="104" t="s">
        <v>193</v>
      </c>
      <c r="G73" s="104" t="s">
        <v>193</v>
      </c>
      <c r="H73" s="56">
        <f t="shared" ref="H73:H80" si="51">SUM(I73:K73)</f>
        <v>0</v>
      </c>
      <c r="I73" s="104" t="s">
        <v>193</v>
      </c>
      <c r="J73" s="3" t="s">
        <v>193</v>
      </c>
      <c r="K73" s="108" t="s">
        <v>193</v>
      </c>
      <c r="L73" s="57" t="s">
        <v>69</v>
      </c>
      <c r="M73" s="58"/>
      <c r="N73" s="58"/>
      <c r="O73" s="22"/>
    </row>
    <row r="74" spans="1:15">
      <c r="A74" s="72" t="s">
        <v>70</v>
      </c>
      <c r="B74" s="101" t="s">
        <v>193</v>
      </c>
      <c r="C74" s="105" t="s">
        <v>193</v>
      </c>
      <c r="D74" s="55">
        <f t="shared" si="50"/>
        <v>167</v>
      </c>
      <c r="E74" s="3">
        <v>42</v>
      </c>
      <c r="F74" s="105">
        <v>125</v>
      </c>
      <c r="G74" s="105" t="s">
        <v>193</v>
      </c>
      <c r="H74" s="56">
        <f t="shared" si="51"/>
        <v>225</v>
      </c>
      <c r="I74" s="105">
        <v>80</v>
      </c>
      <c r="J74" s="3">
        <v>145</v>
      </c>
      <c r="K74" s="109" t="s">
        <v>193</v>
      </c>
      <c r="L74" s="57" t="s">
        <v>71</v>
      </c>
      <c r="M74" s="58"/>
      <c r="N74" s="58"/>
      <c r="O74" s="22"/>
    </row>
    <row r="75" spans="1:15">
      <c r="A75" s="72" t="s">
        <v>72</v>
      </c>
      <c r="B75" s="101" t="s">
        <v>193</v>
      </c>
      <c r="C75" s="105" t="s">
        <v>193</v>
      </c>
      <c r="D75" s="55">
        <f t="shared" si="50"/>
        <v>512</v>
      </c>
      <c r="E75" s="2" t="s">
        <v>193</v>
      </c>
      <c r="F75" s="105">
        <v>512</v>
      </c>
      <c r="G75" s="105" t="s">
        <v>193</v>
      </c>
      <c r="H75" s="56">
        <f t="shared" si="51"/>
        <v>0</v>
      </c>
      <c r="I75" s="105" t="s">
        <v>193</v>
      </c>
      <c r="J75" s="2" t="s">
        <v>193</v>
      </c>
      <c r="K75" s="109" t="s">
        <v>193</v>
      </c>
      <c r="L75" s="57" t="s">
        <v>73</v>
      </c>
      <c r="M75" s="58"/>
      <c r="N75" s="58"/>
      <c r="O75" s="22"/>
    </row>
    <row r="76" spans="1:15">
      <c r="A76" s="72" t="s">
        <v>74</v>
      </c>
      <c r="B76" s="101" t="s">
        <v>193</v>
      </c>
      <c r="C76" s="105" t="s">
        <v>193</v>
      </c>
      <c r="D76" s="55">
        <f t="shared" si="50"/>
        <v>0</v>
      </c>
      <c r="E76" s="2" t="s">
        <v>193</v>
      </c>
      <c r="F76" s="105" t="s">
        <v>193</v>
      </c>
      <c r="G76" s="105" t="s">
        <v>193</v>
      </c>
      <c r="H76" s="56">
        <f t="shared" si="51"/>
        <v>0</v>
      </c>
      <c r="I76" s="105" t="s">
        <v>193</v>
      </c>
      <c r="J76" s="2" t="s">
        <v>193</v>
      </c>
      <c r="K76" s="109" t="s">
        <v>193</v>
      </c>
      <c r="L76" s="57" t="s">
        <v>75</v>
      </c>
      <c r="M76" s="58"/>
      <c r="N76" s="58"/>
      <c r="O76" s="22"/>
    </row>
    <row r="77" spans="1:15">
      <c r="A77" s="72" t="s">
        <v>76</v>
      </c>
      <c r="B77" s="1">
        <v>205</v>
      </c>
      <c r="C77" s="105" t="s">
        <v>193</v>
      </c>
      <c r="D77" s="55">
        <f t="shared" si="50"/>
        <v>40132</v>
      </c>
      <c r="E77" s="3">
        <v>619</v>
      </c>
      <c r="F77" s="104">
        <v>39378</v>
      </c>
      <c r="G77" s="104">
        <v>135</v>
      </c>
      <c r="H77" s="56">
        <f t="shared" si="51"/>
        <v>9647</v>
      </c>
      <c r="I77" s="104">
        <v>1838</v>
      </c>
      <c r="J77" s="3">
        <v>7676</v>
      </c>
      <c r="K77" s="108">
        <v>133</v>
      </c>
      <c r="L77" s="57" t="s">
        <v>77</v>
      </c>
      <c r="M77" s="58"/>
      <c r="N77" s="58"/>
      <c r="O77" s="22"/>
    </row>
    <row r="78" spans="1:15">
      <c r="A78" s="72" t="s">
        <v>78</v>
      </c>
      <c r="B78" s="1">
        <v>3929</v>
      </c>
      <c r="C78" s="105" t="s">
        <v>193</v>
      </c>
      <c r="D78" s="55">
        <f t="shared" si="50"/>
        <v>30252</v>
      </c>
      <c r="E78" s="3">
        <v>382</v>
      </c>
      <c r="F78" s="104">
        <v>29870</v>
      </c>
      <c r="G78" s="105" t="s">
        <v>193</v>
      </c>
      <c r="H78" s="56">
        <f t="shared" si="51"/>
        <v>18967</v>
      </c>
      <c r="I78" s="104">
        <v>677</v>
      </c>
      <c r="J78" s="3">
        <v>18290</v>
      </c>
      <c r="K78" s="108" t="s">
        <v>193</v>
      </c>
      <c r="L78" s="57" t="s">
        <v>79</v>
      </c>
      <c r="M78" s="58"/>
      <c r="N78" s="58"/>
      <c r="O78" s="22"/>
    </row>
    <row r="79" spans="1:15">
      <c r="A79" s="72" t="s">
        <v>80</v>
      </c>
      <c r="B79" s="1" t="s">
        <v>193</v>
      </c>
      <c r="C79" s="105" t="s">
        <v>193</v>
      </c>
      <c r="D79" s="55">
        <f t="shared" si="50"/>
        <v>0</v>
      </c>
      <c r="E79" s="3" t="s">
        <v>193</v>
      </c>
      <c r="F79" s="104" t="s">
        <v>193</v>
      </c>
      <c r="G79" s="105" t="s">
        <v>193</v>
      </c>
      <c r="H79" s="56">
        <f t="shared" si="51"/>
        <v>0</v>
      </c>
      <c r="I79" s="104" t="s">
        <v>193</v>
      </c>
      <c r="J79" s="3" t="s">
        <v>193</v>
      </c>
      <c r="K79" s="108" t="s">
        <v>193</v>
      </c>
      <c r="L79" s="57" t="s">
        <v>81</v>
      </c>
      <c r="M79" s="58"/>
      <c r="N79" s="58"/>
      <c r="O79" s="22"/>
    </row>
    <row r="80" spans="1:15">
      <c r="A80" s="72" t="s">
        <v>82</v>
      </c>
      <c r="B80" s="1">
        <v>141</v>
      </c>
      <c r="C80" s="105" t="s">
        <v>193</v>
      </c>
      <c r="D80" s="55">
        <f t="shared" si="50"/>
        <v>8645</v>
      </c>
      <c r="E80" s="3">
        <v>475</v>
      </c>
      <c r="F80" s="104">
        <v>8170</v>
      </c>
      <c r="G80" s="105" t="s">
        <v>193</v>
      </c>
      <c r="H80" s="56">
        <f t="shared" si="51"/>
        <v>7976</v>
      </c>
      <c r="I80" s="104">
        <v>932</v>
      </c>
      <c r="J80" s="3">
        <v>7044</v>
      </c>
      <c r="K80" s="108" t="s">
        <v>193</v>
      </c>
      <c r="L80" s="57" t="s">
        <v>83</v>
      </c>
      <c r="M80" s="58"/>
      <c r="N80" s="58"/>
      <c r="O80" s="22"/>
    </row>
    <row r="81" spans="1:15">
      <c r="A81" s="47" t="s">
        <v>84</v>
      </c>
      <c r="B81" s="60">
        <f>SUM(B83:B87)</f>
        <v>667</v>
      </c>
      <c r="C81" s="61">
        <f t="shared" ref="C81" si="52">SUM(C83:C87)</f>
        <v>0</v>
      </c>
      <c r="D81" s="61">
        <f>SUM(D83:D87)</f>
        <v>404842</v>
      </c>
      <c r="E81" s="62">
        <f>SUM(E83:E87)</f>
        <v>6741</v>
      </c>
      <c r="F81" s="61">
        <f t="shared" ref="F81:H81" si="53">SUM(F83:F87)</f>
        <v>396206</v>
      </c>
      <c r="G81" s="62">
        <f t="shared" si="53"/>
        <v>1895</v>
      </c>
      <c r="H81" s="61">
        <f t="shared" si="53"/>
        <v>88118</v>
      </c>
      <c r="I81" s="62">
        <f t="shared" ref="I81:K81" si="54">SUM(I83:I87)</f>
        <v>10220</v>
      </c>
      <c r="J81" s="61">
        <f t="shared" si="54"/>
        <v>67398</v>
      </c>
      <c r="K81" s="63">
        <f t="shared" si="54"/>
        <v>10500</v>
      </c>
      <c r="L81" s="71" t="s">
        <v>85</v>
      </c>
      <c r="M81" s="71"/>
      <c r="N81" s="71"/>
      <c r="O81" s="22"/>
    </row>
    <row r="82" spans="1:15">
      <c r="A82" s="47"/>
      <c r="B82" s="60"/>
      <c r="C82" s="61"/>
      <c r="D82" s="61"/>
      <c r="E82" s="62"/>
      <c r="F82" s="61"/>
      <c r="G82" s="62"/>
      <c r="H82" s="61"/>
      <c r="I82" s="62"/>
      <c r="J82" s="61"/>
      <c r="K82" s="63"/>
      <c r="L82" s="71"/>
      <c r="M82" s="71"/>
      <c r="N82" s="71"/>
      <c r="O82" s="22"/>
    </row>
    <row r="83" spans="1:15">
      <c r="A83" s="52" t="s">
        <v>156</v>
      </c>
      <c r="B83" s="1">
        <v>104</v>
      </c>
      <c r="C83" s="2" t="s">
        <v>193</v>
      </c>
      <c r="D83" s="55">
        <f t="shared" ref="D83:D87" si="55">SUM(E83:G83)</f>
        <v>336700</v>
      </c>
      <c r="E83" s="3">
        <v>4884</v>
      </c>
      <c r="F83" s="104">
        <v>331816</v>
      </c>
      <c r="G83" s="105" t="s">
        <v>193</v>
      </c>
      <c r="H83" s="56">
        <f t="shared" ref="H83:H87" si="56">SUM(I83:K83)</f>
        <v>33488</v>
      </c>
      <c r="I83" s="104">
        <v>5232</v>
      </c>
      <c r="J83" s="3">
        <v>28256</v>
      </c>
      <c r="K83" s="108" t="s">
        <v>193</v>
      </c>
      <c r="L83" s="57" t="s">
        <v>86</v>
      </c>
      <c r="M83" s="58"/>
      <c r="N83" s="58"/>
      <c r="O83" s="22"/>
    </row>
    <row r="84" spans="1:15">
      <c r="A84" s="52" t="s">
        <v>157</v>
      </c>
      <c r="B84" s="1">
        <v>24</v>
      </c>
      <c r="C84" s="2" t="s">
        <v>193</v>
      </c>
      <c r="D84" s="55">
        <f t="shared" si="55"/>
        <v>4145</v>
      </c>
      <c r="E84" s="3">
        <v>1135</v>
      </c>
      <c r="F84" s="104">
        <v>3010</v>
      </c>
      <c r="G84" s="105" t="s">
        <v>193</v>
      </c>
      <c r="H84" s="56">
        <f t="shared" si="56"/>
        <v>11797</v>
      </c>
      <c r="I84" s="104">
        <v>3287</v>
      </c>
      <c r="J84" s="3">
        <v>8510</v>
      </c>
      <c r="K84" s="108" t="s">
        <v>193</v>
      </c>
      <c r="L84" s="57" t="s">
        <v>87</v>
      </c>
      <c r="M84" s="58"/>
      <c r="N84" s="58"/>
      <c r="O84" s="22"/>
    </row>
    <row r="85" spans="1:15">
      <c r="A85" s="52" t="s">
        <v>158</v>
      </c>
      <c r="B85" s="1">
        <v>146</v>
      </c>
      <c r="C85" s="2" t="s">
        <v>193</v>
      </c>
      <c r="D85" s="55">
        <f t="shared" si="55"/>
        <v>57037</v>
      </c>
      <c r="E85" s="3">
        <v>455</v>
      </c>
      <c r="F85" s="104">
        <v>56582</v>
      </c>
      <c r="G85" s="105" t="s">
        <v>193</v>
      </c>
      <c r="H85" s="56">
        <f t="shared" si="56"/>
        <v>11018</v>
      </c>
      <c r="I85" s="104">
        <v>665</v>
      </c>
      <c r="J85" s="3">
        <v>10353</v>
      </c>
      <c r="K85" s="108" t="s">
        <v>193</v>
      </c>
      <c r="L85" s="57" t="s">
        <v>88</v>
      </c>
      <c r="M85" s="58"/>
      <c r="N85" s="58"/>
      <c r="O85" s="22"/>
    </row>
    <row r="86" spans="1:15">
      <c r="A86" s="52" t="s">
        <v>159</v>
      </c>
      <c r="B86" s="1">
        <v>33</v>
      </c>
      <c r="C86" s="2" t="s">
        <v>193</v>
      </c>
      <c r="D86" s="55">
        <f t="shared" si="55"/>
        <v>1246</v>
      </c>
      <c r="E86" s="3">
        <v>99</v>
      </c>
      <c r="F86" s="104">
        <v>1147</v>
      </c>
      <c r="G86" s="105" t="s">
        <v>193</v>
      </c>
      <c r="H86" s="56">
        <f t="shared" si="56"/>
        <v>5648</v>
      </c>
      <c r="I86" s="104">
        <v>224</v>
      </c>
      <c r="J86" s="3">
        <v>5424</v>
      </c>
      <c r="K86" s="108" t="s">
        <v>193</v>
      </c>
      <c r="L86" s="57" t="s">
        <v>89</v>
      </c>
      <c r="M86" s="58"/>
      <c r="N86" s="58"/>
      <c r="O86" s="22"/>
    </row>
    <row r="87" spans="1:15">
      <c r="A87" s="52" t="s">
        <v>160</v>
      </c>
      <c r="B87" s="1">
        <v>360</v>
      </c>
      <c r="C87" s="2" t="s">
        <v>193</v>
      </c>
      <c r="D87" s="55">
        <f t="shared" si="55"/>
        <v>5714</v>
      </c>
      <c r="E87" s="3">
        <v>168</v>
      </c>
      <c r="F87" s="104">
        <v>3651</v>
      </c>
      <c r="G87" s="104">
        <v>1895</v>
      </c>
      <c r="H87" s="56">
        <f t="shared" si="56"/>
        <v>26167</v>
      </c>
      <c r="I87" s="104">
        <v>812</v>
      </c>
      <c r="J87" s="3">
        <v>14855</v>
      </c>
      <c r="K87" s="108">
        <v>10500</v>
      </c>
      <c r="L87" s="57" t="s">
        <v>90</v>
      </c>
      <c r="M87" s="58"/>
      <c r="N87" s="58"/>
      <c r="O87" s="22"/>
    </row>
    <row r="88" spans="1:15">
      <c r="A88" s="47" t="s">
        <v>91</v>
      </c>
      <c r="B88" s="60">
        <f>SUM(B90:B102)</f>
        <v>5211</v>
      </c>
      <c r="C88" s="61">
        <f t="shared" ref="C88" si="57">SUM(C90:C102)</f>
        <v>0</v>
      </c>
      <c r="D88" s="61">
        <f>SUM(D90:D102)</f>
        <v>107602</v>
      </c>
      <c r="E88" s="62">
        <f>SUM(E90:E102)</f>
        <v>5771</v>
      </c>
      <c r="F88" s="61">
        <f t="shared" ref="F88:H88" si="58">SUM(F90:F102)</f>
        <v>101831</v>
      </c>
      <c r="G88" s="62">
        <f t="shared" si="58"/>
        <v>0</v>
      </c>
      <c r="H88" s="61">
        <f t="shared" si="58"/>
        <v>163385</v>
      </c>
      <c r="I88" s="62">
        <f t="shared" ref="I88:K88" si="59">SUM(I90:I102)</f>
        <v>13727</v>
      </c>
      <c r="J88" s="61">
        <f t="shared" si="59"/>
        <v>149658</v>
      </c>
      <c r="K88" s="63">
        <f t="shared" si="59"/>
        <v>0</v>
      </c>
      <c r="L88" s="71" t="s">
        <v>92</v>
      </c>
      <c r="M88" s="71"/>
      <c r="N88" s="71"/>
      <c r="O88" s="22"/>
    </row>
    <row r="89" spans="1:15">
      <c r="A89" s="47"/>
      <c r="B89" s="60"/>
      <c r="C89" s="61"/>
      <c r="D89" s="61"/>
      <c r="E89" s="62"/>
      <c r="F89" s="61"/>
      <c r="G89" s="62"/>
      <c r="H89" s="61"/>
      <c r="I89" s="62"/>
      <c r="J89" s="61"/>
      <c r="K89" s="63"/>
      <c r="L89" s="71"/>
      <c r="M89" s="71"/>
      <c r="N89" s="71"/>
      <c r="O89" s="22"/>
    </row>
    <row r="90" spans="1:15">
      <c r="A90" s="52" t="s">
        <v>161</v>
      </c>
      <c r="B90" s="1">
        <v>209</v>
      </c>
      <c r="C90" s="2" t="s">
        <v>193</v>
      </c>
      <c r="D90" s="55">
        <f t="shared" ref="D90:D102" si="60">SUM(E90:G90)</f>
        <v>1562</v>
      </c>
      <c r="E90" s="3">
        <v>352</v>
      </c>
      <c r="F90" s="104">
        <v>1210</v>
      </c>
      <c r="G90" s="105" t="s">
        <v>193</v>
      </c>
      <c r="H90" s="56">
        <f t="shared" ref="H90:H102" si="61">SUM(I90:K90)</f>
        <v>1543</v>
      </c>
      <c r="I90" s="104">
        <v>743</v>
      </c>
      <c r="J90" s="3">
        <v>800</v>
      </c>
      <c r="K90" s="108" t="s">
        <v>193</v>
      </c>
      <c r="L90" s="57" t="s">
        <v>93</v>
      </c>
      <c r="M90" s="58"/>
      <c r="N90" s="58"/>
      <c r="O90" s="22"/>
    </row>
    <row r="91" spans="1:15">
      <c r="A91" s="52" t="s">
        <v>162</v>
      </c>
      <c r="B91" s="1">
        <v>108</v>
      </c>
      <c r="C91" s="2" t="s">
        <v>193</v>
      </c>
      <c r="D91" s="55">
        <f t="shared" si="60"/>
        <v>940</v>
      </c>
      <c r="E91" s="3">
        <v>191</v>
      </c>
      <c r="F91" s="104">
        <v>749</v>
      </c>
      <c r="G91" s="105" t="s">
        <v>193</v>
      </c>
      <c r="H91" s="56">
        <f t="shared" si="61"/>
        <v>8548</v>
      </c>
      <c r="I91" s="104">
        <v>358</v>
      </c>
      <c r="J91" s="3">
        <v>8190</v>
      </c>
      <c r="K91" s="108" t="s">
        <v>193</v>
      </c>
      <c r="L91" s="57" t="s">
        <v>94</v>
      </c>
      <c r="M91" s="58"/>
      <c r="N91" s="58"/>
      <c r="O91" s="22"/>
    </row>
    <row r="92" spans="1:15">
      <c r="A92" s="52" t="s">
        <v>163</v>
      </c>
      <c r="B92" s="1">
        <v>51</v>
      </c>
      <c r="C92" s="2" t="s">
        <v>193</v>
      </c>
      <c r="D92" s="55">
        <f t="shared" si="60"/>
        <v>1327</v>
      </c>
      <c r="E92" s="3">
        <v>331</v>
      </c>
      <c r="F92" s="104">
        <v>996</v>
      </c>
      <c r="G92" s="105" t="s">
        <v>193</v>
      </c>
      <c r="H92" s="56">
        <f t="shared" si="61"/>
        <v>5180</v>
      </c>
      <c r="I92" s="104">
        <v>1787</v>
      </c>
      <c r="J92" s="3">
        <v>3393</v>
      </c>
      <c r="K92" s="108" t="s">
        <v>193</v>
      </c>
      <c r="L92" s="57" t="s">
        <v>95</v>
      </c>
      <c r="M92" s="58"/>
      <c r="N92" s="58"/>
      <c r="O92" s="22"/>
    </row>
    <row r="93" spans="1:15">
      <c r="A93" s="52" t="s">
        <v>164</v>
      </c>
      <c r="B93" s="1">
        <v>125</v>
      </c>
      <c r="C93" s="2" t="s">
        <v>193</v>
      </c>
      <c r="D93" s="55">
        <f t="shared" si="60"/>
        <v>8083</v>
      </c>
      <c r="E93" s="3">
        <v>363</v>
      </c>
      <c r="F93" s="104">
        <v>7720</v>
      </c>
      <c r="G93" s="105" t="s">
        <v>193</v>
      </c>
      <c r="H93" s="56">
        <f t="shared" si="61"/>
        <v>22775</v>
      </c>
      <c r="I93" s="104">
        <v>535</v>
      </c>
      <c r="J93" s="3">
        <v>22240</v>
      </c>
      <c r="K93" s="108" t="s">
        <v>193</v>
      </c>
      <c r="L93" s="57" t="s">
        <v>96</v>
      </c>
      <c r="M93" s="58"/>
      <c r="N93" s="58"/>
      <c r="O93" s="22"/>
    </row>
    <row r="94" spans="1:15">
      <c r="A94" s="52" t="s">
        <v>165</v>
      </c>
      <c r="B94" s="1">
        <v>5</v>
      </c>
      <c r="C94" s="2" t="s">
        <v>193</v>
      </c>
      <c r="D94" s="55">
        <f t="shared" si="60"/>
        <v>1655</v>
      </c>
      <c r="E94" s="2" t="s">
        <v>193</v>
      </c>
      <c r="F94" s="104">
        <v>1655</v>
      </c>
      <c r="G94" s="105" t="s">
        <v>193</v>
      </c>
      <c r="H94" s="56">
        <f t="shared" si="61"/>
        <v>4074</v>
      </c>
      <c r="I94" s="104">
        <v>672</v>
      </c>
      <c r="J94" s="3">
        <v>3402</v>
      </c>
      <c r="K94" s="108" t="s">
        <v>193</v>
      </c>
      <c r="L94" s="57" t="s">
        <v>97</v>
      </c>
      <c r="M94" s="58"/>
      <c r="N94" s="58"/>
      <c r="O94" s="22"/>
    </row>
    <row r="95" spans="1:15">
      <c r="A95" s="52" t="s">
        <v>166</v>
      </c>
      <c r="B95" s="1">
        <v>71</v>
      </c>
      <c r="C95" s="2" t="s">
        <v>193</v>
      </c>
      <c r="D95" s="55">
        <f t="shared" si="60"/>
        <v>8412</v>
      </c>
      <c r="E95" s="3">
        <v>433</v>
      </c>
      <c r="F95" s="104">
        <v>7979</v>
      </c>
      <c r="G95" s="105" t="s">
        <v>193</v>
      </c>
      <c r="H95" s="56">
        <f t="shared" si="61"/>
        <v>7926</v>
      </c>
      <c r="I95" s="104">
        <v>431</v>
      </c>
      <c r="J95" s="3">
        <v>7495</v>
      </c>
      <c r="K95" s="108" t="s">
        <v>193</v>
      </c>
      <c r="L95" s="57" t="s">
        <v>98</v>
      </c>
      <c r="M95" s="58"/>
      <c r="N95" s="58"/>
      <c r="O95" s="22"/>
    </row>
    <row r="96" spans="1:15">
      <c r="A96" s="52" t="s">
        <v>167</v>
      </c>
      <c r="B96" s="1">
        <v>361</v>
      </c>
      <c r="C96" s="2" t="s">
        <v>193</v>
      </c>
      <c r="D96" s="55">
        <f t="shared" si="60"/>
        <v>13081</v>
      </c>
      <c r="E96" s="3">
        <v>1121</v>
      </c>
      <c r="F96" s="104">
        <v>11960</v>
      </c>
      <c r="G96" s="105" t="s">
        <v>193</v>
      </c>
      <c r="H96" s="56">
        <f t="shared" si="61"/>
        <v>15502</v>
      </c>
      <c r="I96" s="104">
        <v>1652</v>
      </c>
      <c r="J96" s="3">
        <v>13850</v>
      </c>
      <c r="K96" s="108" t="s">
        <v>193</v>
      </c>
      <c r="L96" s="57" t="s">
        <v>99</v>
      </c>
      <c r="M96" s="58"/>
      <c r="N96" s="58"/>
      <c r="O96" s="22"/>
    </row>
    <row r="97" spans="1:15">
      <c r="A97" s="52" t="s">
        <v>168</v>
      </c>
      <c r="B97" s="1">
        <v>33</v>
      </c>
      <c r="C97" s="2" t="s">
        <v>193</v>
      </c>
      <c r="D97" s="55">
        <f t="shared" si="60"/>
        <v>1986</v>
      </c>
      <c r="E97" s="3">
        <v>415</v>
      </c>
      <c r="F97" s="104">
        <v>1571</v>
      </c>
      <c r="G97" s="105" t="s">
        <v>193</v>
      </c>
      <c r="H97" s="56">
        <f t="shared" si="61"/>
        <v>8326</v>
      </c>
      <c r="I97" s="104">
        <v>850</v>
      </c>
      <c r="J97" s="3">
        <v>7476</v>
      </c>
      <c r="K97" s="108" t="s">
        <v>193</v>
      </c>
      <c r="L97" s="57" t="s">
        <v>100</v>
      </c>
      <c r="M97" s="58"/>
      <c r="N97" s="58"/>
      <c r="O97" s="22"/>
    </row>
    <row r="98" spans="1:15">
      <c r="A98" s="52" t="s">
        <v>169</v>
      </c>
      <c r="B98" s="1">
        <v>715</v>
      </c>
      <c r="C98" s="2" t="s">
        <v>193</v>
      </c>
      <c r="D98" s="55">
        <f t="shared" si="60"/>
        <v>1175</v>
      </c>
      <c r="E98" s="3">
        <v>95</v>
      </c>
      <c r="F98" s="104">
        <v>1080</v>
      </c>
      <c r="G98" s="105" t="s">
        <v>193</v>
      </c>
      <c r="H98" s="56">
        <f t="shared" si="61"/>
        <v>2521</v>
      </c>
      <c r="I98" s="104">
        <v>207</v>
      </c>
      <c r="J98" s="3">
        <v>2314</v>
      </c>
      <c r="K98" s="108" t="s">
        <v>193</v>
      </c>
      <c r="L98" s="57" t="s">
        <v>101</v>
      </c>
      <c r="M98" s="58"/>
      <c r="N98" s="58"/>
      <c r="O98" s="22"/>
    </row>
    <row r="99" spans="1:15">
      <c r="A99" s="52" t="s">
        <v>170</v>
      </c>
      <c r="B99" s="1">
        <v>2954</v>
      </c>
      <c r="C99" s="2" t="s">
        <v>193</v>
      </c>
      <c r="D99" s="55">
        <f t="shared" si="60"/>
        <v>50042</v>
      </c>
      <c r="E99" s="3">
        <v>905</v>
      </c>
      <c r="F99" s="104">
        <v>49137</v>
      </c>
      <c r="G99" s="105" t="s">
        <v>193</v>
      </c>
      <c r="H99" s="56">
        <f t="shared" si="61"/>
        <v>51584</v>
      </c>
      <c r="I99" s="104">
        <v>3068</v>
      </c>
      <c r="J99" s="3">
        <v>48516</v>
      </c>
      <c r="K99" s="108" t="s">
        <v>193</v>
      </c>
      <c r="L99" s="57" t="s">
        <v>102</v>
      </c>
      <c r="M99" s="58"/>
      <c r="N99" s="58"/>
      <c r="O99" s="22"/>
    </row>
    <row r="100" spans="1:15">
      <c r="A100" s="52" t="s">
        <v>171</v>
      </c>
      <c r="B100" s="1">
        <v>144</v>
      </c>
      <c r="C100" s="2" t="s">
        <v>193</v>
      </c>
      <c r="D100" s="55">
        <f t="shared" si="60"/>
        <v>2141</v>
      </c>
      <c r="E100" s="3">
        <v>280</v>
      </c>
      <c r="F100" s="104">
        <v>1861</v>
      </c>
      <c r="G100" s="105" t="s">
        <v>193</v>
      </c>
      <c r="H100" s="56">
        <f t="shared" si="61"/>
        <v>2356</v>
      </c>
      <c r="I100" s="104">
        <v>720</v>
      </c>
      <c r="J100" s="3">
        <v>1636</v>
      </c>
      <c r="K100" s="108" t="s">
        <v>193</v>
      </c>
      <c r="L100" s="57" t="s">
        <v>103</v>
      </c>
      <c r="M100" s="58"/>
      <c r="N100" s="58"/>
      <c r="O100" s="22"/>
    </row>
    <row r="101" spans="1:15">
      <c r="A101" s="52" t="s">
        <v>172</v>
      </c>
      <c r="B101" s="1">
        <v>386</v>
      </c>
      <c r="C101" s="2" t="s">
        <v>193</v>
      </c>
      <c r="D101" s="55">
        <f t="shared" si="60"/>
        <v>12188</v>
      </c>
      <c r="E101" s="3">
        <v>1285</v>
      </c>
      <c r="F101" s="104">
        <v>10903</v>
      </c>
      <c r="G101" s="105" t="s">
        <v>193</v>
      </c>
      <c r="H101" s="56">
        <f t="shared" si="61"/>
        <v>27960</v>
      </c>
      <c r="I101" s="104">
        <v>2704</v>
      </c>
      <c r="J101" s="3">
        <v>25256</v>
      </c>
      <c r="K101" s="108" t="s">
        <v>193</v>
      </c>
      <c r="L101" s="57" t="s">
        <v>104</v>
      </c>
      <c r="M101" s="58"/>
      <c r="N101" s="58"/>
      <c r="O101" s="22"/>
    </row>
    <row r="102" spans="1:15">
      <c r="A102" s="52" t="s">
        <v>173</v>
      </c>
      <c r="B102" s="1">
        <v>49</v>
      </c>
      <c r="C102" s="2" t="s">
        <v>193</v>
      </c>
      <c r="D102" s="55">
        <f t="shared" si="60"/>
        <v>5010</v>
      </c>
      <c r="E102" s="2" t="s">
        <v>193</v>
      </c>
      <c r="F102" s="104">
        <v>5010</v>
      </c>
      <c r="G102" s="105" t="s">
        <v>193</v>
      </c>
      <c r="H102" s="56">
        <f t="shared" si="61"/>
        <v>5090</v>
      </c>
      <c r="I102" s="104" t="s">
        <v>193</v>
      </c>
      <c r="J102" s="3">
        <v>5090</v>
      </c>
      <c r="K102" s="108" t="s">
        <v>193</v>
      </c>
      <c r="L102" s="57" t="s">
        <v>105</v>
      </c>
      <c r="M102" s="58"/>
      <c r="N102" s="58"/>
      <c r="O102" s="22"/>
    </row>
    <row r="103" spans="1:15">
      <c r="A103" s="47" t="s">
        <v>106</v>
      </c>
      <c r="B103" s="60">
        <f>SUM(B105:B108)</f>
        <v>139</v>
      </c>
      <c r="C103" s="61">
        <f t="shared" ref="C103" si="62">SUM(C105:C108)</f>
        <v>0</v>
      </c>
      <c r="D103" s="61">
        <f>SUM(D105:D108)</f>
        <v>970879</v>
      </c>
      <c r="E103" s="62">
        <f>SUM(E105:E108)</f>
        <v>37958</v>
      </c>
      <c r="F103" s="61">
        <f t="shared" ref="F103:H103" si="63">SUM(F105:F108)</f>
        <v>897584</v>
      </c>
      <c r="G103" s="62">
        <f t="shared" si="63"/>
        <v>35337</v>
      </c>
      <c r="H103" s="61">
        <f t="shared" si="63"/>
        <v>331686</v>
      </c>
      <c r="I103" s="62">
        <f t="shared" ref="I103:K103" si="64">SUM(I105:I108)</f>
        <v>31914</v>
      </c>
      <c r="J103" s="61">
        <f t="shared" si="64"/>
        <v>289452</v>
      </c>
      <c r="K103" s="63">
        <f t="shared" si="64"/>
        <v>10320</v>
      </c>
      <c r="L103" s="71" t="s">
        <v>107</v>
      </c>
      <c r="M103" s="71"/>
      <c r="N103" s="71"/>
      <c r="O103" s="22"/>
    </row>
    <row r="104" spans="1:15">
      <c r="A104" s="47"/>
      <c r="B104" s="60"/>
      <c r="C104" s="61"/>
      <c r="D104" s="61"/>
      <c r="E104" s="62"/>
      <c r="F104" s="61"/>
      <c r="G104" s="62"/>
      <c r="H104" s="61"/>
      <c r="I104" s="62"/>
      <c r="J104" s="61"/>
      <c r="K104" s="63"/>
      <c r="L104" s="71"/>
      <c r="M104" s="71"/>
      <c r="N104" s="71"/>
      <c r="O104" s="22"/>
    </row>
    <row r="105" spans="1:15">
      <c r="A105" s="52" t="s">
        <v>174</v>
      </c>
      <c r="B105" s="1">
        <v>26</v>
      </c>
      <c r="C105" s="2" t="s">
        <v>193</v>
      </c>
      <c r="D105" s="55">
        <f t="shared" ref="D105:D108" si="65">SUM(E105:G105)</f>
        <v>264895</v>
      </c>
      <c r="E105" s="3">
        <v>8531</v>
      </c>
      <c r="F105" s="104">
        <v>249769</v>
      </c>
      <c r="G105" s="104">
        <v>6595</v>
      </c>
      <c r="H105" s="56">
        <f t="shared" ref="H105:H108" si="66">SUM(I105:K105)</f>
        <v>95440</v>
      </c>
      <c r="I105" s="104">
        <v>10149</v>
      </c>
      <c r="J105" s="3">
        <v>85231</v>
      </c>
      <c r="K105" s="108">
        <v>60</v>
      </c>
      <c r="L105" s="57" t="s">
        <v>108</v>
      </c>
      <c r="M105" s="58"/>
      <c r="N105" s="58"/>
      <c r="O105" s="22"/>
    </row>
    <row r="106" spans="1:15">
      <c r="A106" s="52" t="s">
        <v>175</v>
      </c>
      <c r="B106" s="101" t="s">
        <v>193</v>
      </c>
      <c r="C106" s="2" t="s">
        <v>193</v>
      </c>
      <c r="D106" s="55">
        <f t="shared" si="65"/>
        <v>86031</v>
      </c>
      <c r="E106" s="3">
        <v>2342</v>
      </c>
      <c r="F106" s="105">
        <v>66913</v>
      </c>
      <c r="G106" s="104">
        <v>16776</v>
      </c>
      <c r="H106" s="56">
        <f t="shared" si="66"/>
        <v>42257</v>
      </c>
      <c r="I106" s="105">
        <v>3119</v>
      </c>
      <c r="J106" s="3">
        <v>33466</v>
      </c>
      <c r="K106" s="109">
        <v>5672</v>
      </c>
      <c r="L106" s="57" t="s">
        <v>109</v>
      </c>
      <c r="M106" s="58"/>
      <c r="N106" s="58"/>
      <c r="O106" s="22"/>
    </row>
    <row r="107" spans="1:15">
      <c r="A107" s="52" t="s">
        <v>176</v>
      </c>
      <c r="B107" s="1">
        <v>58</v>
      </c>
      <c r="C107" s="2" t="s">
        <v>193</v>
      </c>
      <c r="D107" s="55">
        <f t="shared" si="65"/>
        <v>427299</v>
      </c>
      <c r="E107" s="3">
        <v>7087</v>
      </c>
      <c r="F107" s="104">
        <v>411832</v>
      </c>
      <c r="G107" s="104">
        <v>8380</v>
      </c>
      <c r="H107" s="56">
        <f t="shared" si="66"/>
        <v>100793</v>
      </c>
      <c r="I107" s="104">
        <v>5103</v>
      </c>
      <c r="J107" s="3">
        <v>93075</v>
      </c>
      <c r="K107" s="108">
        <v>2615</v>
      </c>
      <c r="L107" s="57" t="s">
        <v>110</v>
      </c>
      <c r="M107" s="58"/>
      <c r="N107" s="58"/>
      <c r="O107" s="22"/>
    </row>
    <row r="108" spans="1:15" ht="15.65" thickBot="1">
      <c r="A108" s="73" t="s">
        <v>177</v>
      </c>
      <c r="B108" s="102">
        <v>55</v>
      </c>
      <c r="C108" s="103" t="s">
        <v>193</v>
      </c>
      <c r="D108" s="74">
        <f t="shared" si="65"/>
        <v>192654</v>
      </c>
      <c r="E108" s="106">
        <v>19998</v>
      </c>
      <c r="F108" s="107">
        <v>169070</v>
      </c>
      <c r="G108" s="107">
        <v>3586</v>
      </c>
      <c r="H108" s="75">
        <f t="shared" si="66"/>
        <v>93196</v>
      </c>
      <c r="I108" s="107">
        <v>13543</v>
      </c>
      <c r="J108" s="106">
        <v>77680</v>
      </c>
      <c r="K108" s="110">
        <v>1973</v>
      </c>
      <c r="L108" s="76" t="s">
        <v>111</v>
      </c>
      <c r="M108" s="77"/>
      <c r="N108" s="77"/>
      <c r="O108" s="22"/>
    </row>
    <row r="109" spans="1:15">
      <c r="A109" s="78"/>
      <c r="B109" s="79"/>
      <c r="C109" s="79"/>
      <c r="M109" s="80"/>
      <c r="N109" s="80"/>
    </row>
    <row r="110" spans="1:15">
      <c r="A110" s="79"/>
      <c r="B110" s="79"/>
      <c r="C110" s="79"/>
      <c r="L110" s="79"/>
      <c r="M110" s="79"/>
      <c r="N110" s="79"/>
    </row>
    <row r="111" spans="1:15">
      <c r="A111" s="81"/>
      <c r="B111" s="81"/>
      <c r="C111" s="81"/>
      <c r="D111" s="82"/>
      <c r="E111" s="82"/>
      <c r="F111" s="82"/>
      <c r="G111" s="82"/>
      <c r="L111" s="82"/>
      <c r="M111" s="82"/>
      <c r="N111" s="82"/>
    </row>
    <row r="112" spans="1:15">
      <c r="A112" s="81"/>
      <c r="B112" s="81"/>
      <c r="C112" s="81"/>
      <c r="D112" s="82"/>
      <c r="E112" s="82"/>
      <c r="F112" s="82"/>
      <c r="G112" s="82"/>
      <c r="L112" s="82"/>
      <c r="M112" s="82"/>
      <c r="N112" s="82"/>
    </row>
    <row r="113" spans="1:14">
      <c r="A113" s="83"/>
      <c r="B113" s="83"/>
      <c r="C113" s="83"/>
      <c r="D113" s="83"/>
      <c r="E113" s="83"/>
      <c r="F113" s="83"/>
      <c r="G113" s="83"/>
      <c r="L113" s="83"/>
      <c r="M113" s="83"/>
      <c r="N113" s="83"/>
    </row>
    <row r="114" spans="1:14">
      <c r="A114" s="83"/>
      <c r="B114" s="83"/>
      <c r="C114" s="83"/>
      <c r="D114" s="83"/>
      <c r="E114" s="83"/>
      <c r="F114" s="83"/>
      <c r="G114" s="83"/>
      <c r="L114" s="83"/>
      <c r="M114" s="83"/>
      <c r="N114" s="83"/>
    </row>
    <row r="115" spans="1:14">
      <c r="A115" s="22"/>
      <c r="B115" s="22"/>
      <c r="C115" s="22"/>
    </row>
    <row r="116" spans="1:14">
      <c r="A116" s="22"/>
      <c r="B116" s="22"/>
      <c r="C116" s="22"/>
    </row>
    <row r="117" spans="1:14">
      <c r="A117" s="22"/>
      <c r="B117" s="22"/>
      <c r="C117" s="22"/>
    </row>
    <row r="118" spans="1:14">
      <c r="A118" s="22"/>
      <c r="B118" s="22"/>
      <c r="C118" s="22"/>
    </row>
    <row r="119" spans="1:14">
      <c r="A119" s="22"/>
      <c r="B119" s="22"/>
      <c r="C119" s="22"/>
    </row>
    <row r="120" spans="1:14">
      <c r="A120" s="22"/>
      <c r="B120" s="22"/>
      <c r="C120" s="22"/>
    </row>
    <row r="121" spans="1:14">
      <c r="A121" s="22"/>
      <c r="B121" s="22"/>
      <c r="C121" s="22"/>
    </row>
    <row r="122" spans="1:14">
      <c r="A122" s="22"/>
      <c r="B122" s="22"/>
      <c r="C122" s="22"/>
    </row>
    <row r="123" spans="1:14">
      <c r="A123" s="84"/>
      <c r="B123" s="84"/>
      <c r="C123" s="84"/>
    </row>
    <row r="124" spans="1:14" s="22" customFormat="1">
      <c r="A124" s="85"/>
      <c r="B124" s="85"/>
      <c r="C124" s="85"/>
      <c r="D124" s="85"/>
      <c r="E124" s="85"/>
      <c r="F124" s="85"/>
      <c r="G124" s="85"/>
      <c r="H124" s="85"/>
      <c r="I124" s="86"/>
      <c r="J124" s="86"/>
      <c r="K124" s="86"/>
    </row>
    <row r="125" spans="1:14" s="22" customFormat="1">
      <c r="A125" s="85"/>
      <c r="B125" s="85"/>
      <c r="C125" s="85"/>
      <c r="D125" s="85"/>
      <c r="E125" s="85"/>
      <c r="F125" s="85"/>
      <c r="G125" s="85"/>
      <c r="H125" s="85"/>
      <c r="I125" s="86"/>
      <c r="J125" s="86"/>
      <c r="K125" s="86"/>
    </row>
    <row r="126" spans="1:14" s="22" customFormat="1">
      <c r="A126" s="85"/>
      <c r="B126" s="85"/>
      <c r="C126" s="85"/>
      <c r="D126" s="85"/>
      <c r="E126" s="85"/>
      <c r="F126" s="85"/>
      <c r="G126" s="85"/>
      <c r="H126" s="85"/>
      <c r="I126" s="86"/>
      <c r="J126" s="86"/>
      <c r="K126" s="86"/>
    </row>
    <row r="127" spans="1:14" s="22" customFormat="1">
      <c r="A127" s="87"/>
      <c r="B127" s="87"/>
      <c r="C127" s="87"/>
      <c r="H127" s="88"/>
      <c r="I127" s="88"/>
      <c r="J127" s="88"/>
      <c r="K127" s="88"/>
    </row>
    <row r="128" spans="1:14" s="22" customFormat="1">
      <c r="A128" s="89"/>
      <c r="B128" s="90"/>
      <c r="C128" s="90"/>
      <c r="D128" s="91"/>
      <c r="E128" s="91"/>
      <c r="F128" s="91"/>
      <c r="G128" s="91"/>
      <c r="H128" s="91"/>
      <c r="I128" s="91"/>
      <c r="J128" s="91"/>
      <c r="K128" s="91"/>
    </row>
    <row r="129" spans="1:11" s="22" customFormat="1">
      <c r="A129" s="89"/>
      <c r="B129" s="90"/>
      <c r="C129" s="90"/>
      <c r="D129" s="91"/>
      <c r="E129" s="91"/>
      <c r="F129" s="91"/>
      <c r="G129" s="91"/>
      <c r="H129" s="91"/>
      <c r="I129" s="91"/>
      <c r="J129" s="91"/>
      <c r="K129" s="91"/>
    </row>
    <row r="130" spans="1:11" s="22" customFormat="1">
      <c r="A130" s="89"/>
      <c r="B130" s="90"/>
      <c r="C130" s="90"/>
      <c r="D130" s="91"/>
      <c r="E130" s="91"/>
      <c r="F130" s="91"/>
      <c r="G130" s="91"/>
      <c r="H130" s="91"/>
      <c r="I130" s="91"/>
      <c r="J130" s="91"/>
      <c r="K130" s="91"/>
    </row>
    <row r="131" spans="1:11" s="22" customFormat="1">
      <c r="A131" s="89"/>
      <c r="B131" s="90"/>
      <c r="C131" s="90"/>
      <c r="D131" s="92"/>
      <c r="E131" s="92"/>
      <c r="F131" s="92"/>
      <c r="G131" s="92"/>
      <c r="H131" s="92"/>
      <c r="I131" s="92"/>
      <c r="J131" s="92"/>
      <c r="K131" s="92"/>
    </row>
    <row r="132" spans="1:11" s="22" customFormat="1">
      <c r="A132" s="93"/>
      <c r="B132" s="93"/>
      <c r="C132" s="93"/>
    </row>
    <row r="133" spans="1:11" s="22" customFormat="1">
      <c r="A133" s="94"/>
      <c r="B133" s="94"/>
      <c r="C133" s="94"/>
    </row>
    <row r="134" spans="1:11" s="22" customFormat="1">
      <c r="A134" s="95"/>
      <c r="B134" s="96"/>
      <c r="C134" s="96"/>
      <c r="D134" s="97"/>
      <c r="E134" s="97"/>
      <c r="F134" s="97"/>
      <c r="G134" s="97"/>
      <c r="H134" s="97"/>
      <c r="I134" s="97"/>
      <c r="J134" s="97"/>
      <c r="K134" s="97"/>
    </row>
    <row r="135" spans="1:11" s="22" customFormat="1">
      <c r="A135" s="95"/>
      <c r="B135" s="96"/>
      <c r="C135" s="96"/>
      <c r="D135" s="97"/>
      <c r="E135" s="97"/>
      <c r="F135" s="97"/>
      <c r="G135" s="97"/>
      <c r="H135" s="97"/>
      <c r="I135" s="97"/>
      <c r="J135" s="97"/>
      <c r="K135" s="97"/>
    </row>
    <row r="136" spans="1:11" s="22" customFormat="1">
      <c r="A136" s="95"/>
      <c r="B136" s="96"/>
      <c r="C136" s="96"/>
      <c r="D136" s="97"/>
      <c r="E136" s="97"/>
      <c r="F136" s="97"/>
      <c r="G136" s="97"/>
      <c r="H136" s="97"/>
      <c r="I136" s="97"/>
      <c r="J136" s="97"/>
      <c r="K136" s="97"/>
    </row>
    <row r="137" spans="1:11" s="22" customFormat="1">
      <c r="A137" s="94"/>
      <c r="B137" s="94"/>
      <c r="C137" s="94"/>
      <c r="H137" s="14"/>
      <c r="I137" s="14"/>
    </row>
    <row r="138" spans="1:11" s="22" customFormat="1">
      <c r="A138" s="94"/>
      <c r="B138" s="94"/>
      <c r="C138" s="94"/>
      <c r="H138" s="14"/>
      <c r="I138" s="14"/>
    </row>
    <row r="139" spans="1:11" s="22" customFormat="1">
      <c r="A139" s="94"/>
      <c r="B139" s="94"/>
      <c r="C139" s="94"/>
      <c r="H139" s="14"/>
      <c r="I139" s="14"/>
    </row>
    <row r="140" spans="1:11" s="22" customFormat="1">
      <c r="A140" s="94"/>
      <c r="B140" s="94"/>
      <c r="C140" s="94"/>
      <c r="H140" s="14"/>
      <c r="I140" s="14"/>
    </row>
    <row r="141" spans="1:11" s="22" customFormat="1">
      <c r="A141" s="94"/>
      <c r="B141" s="94"/>
      <c r="C141" s="94"/>
      <c r="H141" s="14"/>
      <c r="I141" s="14"/>
    </row>
    <row r="142" spans="1:11" s="22" customFormat="1">
      <c r="A142" s="94"/>
      <c r="B142" s="94"/>
      <c r="C142" s="94"/>
      <c r="H142" s="14"/>
      <c r="I142" s="14"/>
    </row>
    <row r="143" spans="1:11" s="22" customFormat="1">
      <c r="A143" s="95"/>
      <c r="B143" s="96"/>
      <c r="C143" s="96"/>
    </row>
    <row r="144" spans="1:11" s="22" customFormat="1">
      <c r="A144" s="95"/>
      <c r="B144" s="96"/>
      <c r="C144" s="96"/>
    </row>
    <row r="145" spans="1:9" s="22" customFormat="1">
      <c r="A145" s="94"/>
      <c r="B145" s="94"/>
      <c r="C145" s="94"/>
      <c r="H145" s="14"/>
      <c r="I145" s="14"/>
    </row>
    <row r="146" spans="1:9" s="22" customFormat="1">
      <c r="A146" s="94"/>
      <c r="B146" s="94"/>
      <c r="C146" s="94"/>
      <c r="H146" s="14"/>
      <c r="I146" s="14"/>
    </row>
    <row r="147" spans="1:9" s="22" customFormat="1">
      <c r="A147" s="94"/>
      <c r="B147" s="94"/>
      <c r="C147" s="94"/>
      <c r="H147" s="14"/>
      <c r="I147" s="14"/>
    </row>
    <row r="148" spans="1:9" s="22" customFormat="1">
      <c r="A148" s="94"/>
      <c r="B148" s="94"/>
      <c r="C148" s="94"/>
      <c r="H148" s="14"/>
      <c r="I148" s="14"/>
    </row>
    <row r="149" spans="1:9" s="22" customFormat="1">
      <c r="A149" s="94"/>
      <c r="B149" s="94"/>
      <c r="C149" s="94"/>
      <c r="H149" s="14"/>
      <c r="I149" s="14"/>
    </row>
    <row r="150" spans="1:9" s="22" customFormat="1">
      <c r="A150" s="94"/>
      <c r="B150" s="94"/>
      <c r="C150" s="94"/>
      <c r="H150" s="14"/>
      <c r="I150" s="14"/>
    </row>
    <row r="151" spans="1:9" s="22" customFormat="1">
      <c r="A151" s="94"/>
      <c r="B151" s="94"/>
      <c r="C151" s="94"/>
      <c r="H151" s="14"/>
      <c r="I151" s="14"/>
    </row>
    <row r="152" spans="1:9" s="22" customFormat="1">
      <c r="A152" s="94"/>
      <c r="B152" s="94"/>
      <c r="C152" s="94"/>
      <c r="H152" s="14"/>
      <c r="I152" s="14"/>
    </row>
    <row r="153" spans="1:9" s="22" customFormat="1">
      <c r="A153" s="94"/>
      <c r="B153" s="94"/>
      <c r="C153" s="94"/>
      <c r="H153" s="14"/>
      <c r="I153" s="14"/>
    </row>
    <row r="154" spans="1:9" s="22" customFormat="1">
      <c r="A154" s="94"/>
      <c r="B154" s="94"/>
      <c r="C154" s="94"/>
      <c r="H154" s="14"/>
      <c r="I154" s="14"/>
    </row>
    <row r="155" spans="1:9" s="22" customFormat="1">
      <c r="A155" s="94"/>
      <c r="B155" s="94"/>
      <c r="C155" s="94"/>
      <c r="H155" s="14"/>
      <c r="I155" s="14"/>
    </row>
    <row r="156" spans="1:9" s="22" customFormat="1">
      <c r="A156" s="98"/>
      <c r="B156" s="99"/>
      <c r="C156" s="99"/>
    </row>
    <row r="157" spans="1:9" s="22" customFormat="1">
      <c r="A157" s="98"/>
      <c r="B157" s="99"/>
      <c r="C157" s="99"/>
    </row>
    <row r="158" spans="1:9" s="22" customFormat="1">
      <c r="A158" s="94"/>
      <c r="B158" s="94"/>
      <c r="C158" s="94"/>
      <c r="H158" s="14"/>
      <c r="I158" s="14"/>
    </row>
    <row r="159" spans="1:9" s="22" customFormat="1">
      <c r="A159" s="94"/>
      <c r="B159" s="94"/>
      <c r="C159" s="94"/>
      <c r="H159" s="14"/>
      <c r="I159" s="14"/>
    </row>
    <row r="160" spans="1:9" s="22" customFormat="1">
      <c r="A160" s="94"/>
      <c r="B160" s="94"/>
      <c r="C160" s="94"/>
      <c r="H160" s="14"/>
      <c r="I160" s="14"/>
    </row>
    <row r="161" spans="1:9" s="22" customFormat="1">
      <c r="A161" s="94"/>
      <c r="B161" s="94"/>
      <c r="C161" s="94"/>
      <c r="H161" s="14"/>
      <c r="I161" s="14"/>
    </row>
    <row r="162" spans="1:9" s="22" customFormat="1">
      <c r="A162" s="98"/>
      <c r="B162" s="99"/>
      <c r="C162" s="99"/>
    </row>
    <row r="163" spans="1:9" s="22" customFormat="1">
      <c r="A163" s="98"/>
      <c r="B163" s="99"/>
      <c r="C163" s="99"/>
    </row>
    <row r="164" spans="1:9" s="22" customFormat="1">
      <c r="A164" s="94"/>
      <c r="B164" s="94"/>
      <c r="C164" s="94"/>
      <c r="H164" s="14"/>
      <c r="I164" s="14"/>
    </row>
    <row r="165" spans="1:9" s="22" customFormat="1">
      <c r="A165" s="94"/>
      <c r="B165" s="94"/>
      <c r="C165" s="94"/>
      <c r="H165" s="14"/>
      <c r="I165" s="14"/>
    </row>
    <row r="166" spans="1:9" s="22" customFormat="1">
      <c r="A166" s="94"/>
      <c r="B166" s="94"/>
      <c r="C166" s="94"/>
      <c r="H166" s="14"/>
      <c r="I166" s="14"/>
    </row>
    <row r="167" spans="1:9" s="22" customFormat="1">
      <c r="A167" s="94"/>
      <c r="B167" s="94"/>
      <c r="C167" s="94"/>
      <c r="H167" s="14"/>
      <c r="I167" s="14"/>
    </row>
    <row r="168" spans="1:9" s="22" customFormat="1">
      <c r="A168" s="94"/>
      <c r="B168" s="94"/>
      <c r="C168" s="94"/>
      <c r="H168" s="14"/>
      <c r="I168" s="14"/>
    </row>
    <row r="169" spans="1:9" s="22" customFormat="1">
      <c r="A169" s="98"/>
      <c r="B169" s="99"/>
      <c r="C169" s="99"/>
    </row>
    <row r="170" spans="1:9" s="22" customFormat="1">
      <c r="A170" s="98"/>
      <c r="B170" s="99"/>
      <c r="C170" s="99"/>
    </row>
    <row r="171" spans="1:9" s="22" customFormat="1">
      <c r="A171" s="94"/>
      <c r="B171" s="94"/>
      <c r="C171" s="94"/>
      <c r="H171" s="14"/>
      <c r="I171" s="14"/>
    </row>
    <row r="172" spans="1:9" s="22" customFormat="1">
      <c r="A172" s="94"/>
      <c r="B172" s="94"/>
      <c r="C172" s="94"/>
      <c r="H172" s="14"/>
      <c r="I172" s="14"/>
    </row>
    <row r="173" spans="1:9" s="22" customFormat="1">
      <c r="A173" s="94"/>
      <c r="B173" s="94"/>
      <c r="C173" s="94"/>
      <c r="H173" s="14"/>
      <c r="I173" s="14"/>
    </row>
    <row r="174" spans="1:9" s="22" customFormat="1">
      <c r="A174" s="94"/>
      <c r="B174" s="94"/>
      <c r="C174" s="94"/>
      <c r="H174" s="14"/>
      <c r="I174" s="14"/>
    </row>
    <row r="175" spans="1:9" s="22" customFormat="1">
      <c r="A175" s="94"/>
      <c r="B175" s="94"/>
      <c r="C175" s="94"/>
      <c r="H175" s="14"/>
      <c r="I175" s="14"/>
    </row>
    <row r="176" spans="1:9" s="22" customFormat="1">
      <c r="A176" s="98"/>
      <c r="B176" s="99"/>
      <c r="C176" s="99"/>
    </row>
    <row r="177" spans="1:9" s="22" customFormat="1">
      <c r="A177" s="98"/>
      <c r="B177" s="99"/>
      <c r="C177" s="99"/>
    </row>
    <row r="178" spans="1:9" s="22" customFormat="1">
      <c r="A178" s="94"/>
      <c r="B178" s="94"/>
      <c r="C178" s="94"/>
      <c r="H178" s="14"/>
      <c r="I178" s="14"/>
    </row>
    <row r="179" spans="1:9" s="22" customFormat="1">
      <c r="A179" s="94"/>
      <c r="B179" s="94"/>
      <c r="C179" s="94"/>
      <c r="H179" s="14"/>
      <c r="I179" s="14"/>
    </row>
    <row r="180" spans="1:9" s="22" customFormat="1">
      <c r="A180" s="94"/>
      <c r="B180" s="94"/>
      <c r="C180" s="94"/>
      <c r="H180" s="14"/>
      <c r="I180" s="14"/>
    </row>
    <row r="181" spans="1:9" s="22" customFormat="1">
      <c r="A181" s="94"/>
      <c r="B181" s="94"/>
      <c r="C181" s="94"/>
      <c r="H181" s="14"/>
      <c r="I181" s="14"/>
    </row>
    <row r="182" spans="1:9" s="22" customFormat="1">
      <c r="A182" s="94"/>
      <c r="B182" s="94"/>
      <c r="C182" s="94"/>
      <c r="H182" s="14"/>
      <c r="I182" s="14"/>
    </row>
    <row r="183" spans="1:9" s="22" customFormat="1">
      <c r="A183" s="98"/>
      <c r="B183" s="99"/>
      <c r="C183" s="99"/>
    </row>
    <row r="184" spans="1:9" s="22" customFormat="1">
      <c r="A184" s="98"/>
      <c r="B184" s="99"/>
      <c r="C184" s="99"/>
    </row>
    <row r="185" spans="1:9" s="22" customFormat="1">
      <c r="A185" s="94"/>
      <c r="B185" s="94"/>
      <c r="C185" s="94"/>
      <c r="H185" s="14"/>
      <c r="I185" s="14"/>
    </row>
    <row r="186" spans="1:9" s="22" customFormat="1">
      <c r="A186" s="94"/>
      <c r="B186" s="94"/>
      <c r="C186" s="94"/>
      <c r="H186" s="14"/>
      <c r="I186" s="14"/>
    </row>
    <row r="187" spans="1:9" s="22" customFormat="1">
      <c r="A187" s="94"/>
      <c r="B187" s="94"/>
      <c r="C187" s="94"/>
      <c r="H187" s="14"/>
      <c r="I187" s="14"/>
    </row>
    <row r="188" spans="1:9" s="22" customFormat="1">
      <c r="A188" s="98"/>
      <c r="B188" s="99"/>
      <c r="C188" s="99"/>
    </row>
    <row r="189" spans="1:9" s="22" customFormat="1">
      <c r="A189" s="98"/>
      <c r="B189" s="99"/>
      <c r="C189" s="99"/>
    </row>
    <row r="190" spans="1:9" s="22" customFormat="1">
      <c r="A190" s="94"/>
      <c r="B190" s="94"/>
      <c r="C190" s="94"/>
      <c r="H190" s="14"/>
      <c r="I190" s="14"/>
    </row>
    <row r="191" spans="1:9" s="22" customFormat="1">
      <c r="A191" s="94"/>
      <c r="B191" s="94"/>
      <c r="C191" s="94"/>
      <c r="H191" s="14"/>
      <c r="I191" s="14"/>
    </row>
    <row r="192" spans="1:9" s="22" customFormat="1">
      <c r="A192" s="94"/>
      <c r="B192" s="94"/>
      <c r="C192" s="94"/>
      <c r="H192" s="14"/>
      <c r="I192" s="14"/>
    </row>
    <row r="193" spans="1:9" s="22" customFormat="1">
      <c r="A193" s="94"/>
      <c r="B193" s="94"/>
      <c r="C193" s="94"/>
      <c r="H193" s="14"/>
      <c r="I193" s="14"/>
    </row>
    <row r="194" spans="1:9" s="22" customFormat="1">
      <c r="A194" s="94"/>
      <c r="B194" s="94"/>
      <c r="C194" s="94"/>
      <c r="H194" s="14"/>
      <c r="I194" s="14"/>
    </row>
    <row r="195" spans="1:9" s="22" customFormat="1">
      <c r="A195" s="98"/>
      <c r="B195" s="99"/>
      <c r="C195" s="99"/>
    </row>
    <row r="196" spans="1:9" s="22" customFormat="1">
      <c r="A196" s="98"/>
      <c r="B196" s="99"/>
      <c r="C196" s="99"/>
    </row>
    <row r="197" spans="1:9" s="22" customFormat="1">
      <c r="A197" s="94"/>
      <c r="B197" s="94"/>
      <c r="C197" s="94"/>
      <c r="H197" s="14"/>
      <c r="I197" s="14"/>
    </row>
    <row r="198" spans="1:9" s="22" customFormat="1">
      <c r="A198" s="94"/>
      <c r="B198" s="94"/>
      <c r="C198" s="94"/>
      <c r="H198" s="14"/>
      <c r="I198" s="14"/>
    </row>
    <row r="199" spans="1:9" s="22" customFormat="1">
      <c r="A199" s="94"/>
      <c r="B199" s="94"/>
      <c r="C199" s="94"/>
      <c r="H199" s="14"/>
      <c r="I199" s="14"/>
    </row>
    <row r="200" spans="1:9" s="22" customFormat="1">
      <c r="A200" s="94"/>
      <c r="B200" s="94"/>
      <c r="C200" s="94"/>
      <c r="H200" s="14"/>
      <c r="I200" s="14"/>
    </row>
    <row r="201" spans="1:9" s="22" customFormat="1">
      <c r="A201" s="94"/>
      <c r="B201" s="94"/>
      <c r="C201" s="94"/>
      <c r="H201" s="14"/>
      <c r="I201" s="14"/>
    </row>
    <row r="202" spans="1:9" s="22" customFormat="1">
      <c r="A202" s="94"/>
      <c r="B202" s="94"/>
      <c r="C202" s="94"/>
      <c r="H202" s="14"/>
      <c r="I202" s="14"/>
    </row>
    <row r="203" spans="1:9" s="22" customFormat="1">
      <c r="A203" s="94"/>
      <c r="B203" s="94"/>
      <c r="C203" s="94"/>
      <c r="H203" s="14"/>
      <c r="I203" s="14"/>
    </row>
    <row r="204" spans="1:9" s="22" customFormat="1">
      <c r="A204" s="94"/>
      <c r="B204" s="94"/>
      <c r="C204" s="94"/>
      <c r="H204" s="14"/>
      <c r="I204" s="14"/>
    </row>
    <row r="205" spans="1:9" s="22" customFormat="1">
      <c r="A205" s="98"/>
      <c r="B205" s="99"/>
      <c r="C205" s="99"/>
    </row>
    <row r="206" spans="1:9" s="22" customFormat="1">
      <c r="A206" s="98"/>
      <c r="B206" s="99"/>
      <c r="C206" s="99"/>
    </row>
    <row r="207" spans="1:9" s="22" customFormat="1">
      <c r="A207" s="94"/>
      <c r="B207" s="94"/>
      <c r="C207" s="94"/>
      <c r="H207" s="14"/>
      <c r="I207" s="14"/>
    </row>
    <row r="208" spans="1:9" s="22" customFormat="1">
      <c r="A208" s="94"/>
      <c r="B208" s="94"/>
      <c r="C208" s="94"/>
      <c r="H208" s="14"/>
      <c r="I208" s="14"/>
    </row>
    <row r="209" spans="1:9" s="22" customFormat="1">
      <c r="A209" s="94"/>
      <c r="B209" s="94"/>
      <c r="C209" s="94"/>
      <c r="H209" s="14"/>
      <c r="I209" s="14"/>
    </row>
    <row r="210" spans="1:9" s="22" customFormat="1">
      <c r="A210" s="94"/>
      <c r="B210" s="94"/>
      <c r="C210" s="94"/>
      <c r="H210" s="14"/>
      <c r="I210" s="14"/>
    </row>
    <row r="211" spans="1:9" s="22" customFormat="1">
      <c r="A211" s="94"/>
      <c r="B211" s="94"/>
      <c r="C211" s="94"/>
      <c r="H211" s="14"/>
      <c r="I211" s="14"/>
    </row>
    <row r="212" spans="1:9" s="22" customFormat="1">
      <c r="A212" s="98"/>
      <c r="B212" s="99"/>
      <c r="C212" s="99"/>
    </row>
    <row r="213" spans="1:9" s="22" customFormat="1">
      <c r="A213" s="98"/>
      <c r="B213" s="99"/>
      <c r="C213" s="99"/>
    </row>
    <row r="214" spans="1:9" s="22" customFormat="1">
      <c r="A214" s="94"/>
      <c r="B214" s="94"/>
      <c r="C214" s="94"/>
      <c r="H214" s="14"/>
      <c r="I214" s="14"/>
    </row>
    <row r="215" spans="1:9" s="22" customFormat="1">
      <c r="A215" s="94"/>
      <c r="B215" s="94"/>
      <c r="C215" s="94"/>
      <c r="H215" s="14"/>
      <c r="I215" s="14"/>
    </row>
    <row r="216" spans="1:9" s="22" customFormat="1">
      <c r="A216" s="94"/>
      <c r="B216" s="94"/>
      <c r="C216" s="94"/>
      <c r="H216" s="14"/>
      <c r="I216" s="14"/>
    </row>
    <row r="217" spans="1:9" s="22" customFormat="1">
      <c r="A217" s="94"/>
      <c r="B217" s="94"/>
      <c r="C217" s="94"/>
      <c r="H217" s="14"/>
      <c r="I217" s="14"/>
    </row>
    <row r="218" spans="1:9" s="22" customFormat="1">
      <c r="A218" s="94"/>
      <c r="B218" s="94"/>
      <c r="C218" s="94"/>
      <c r="H218" s="14"/>
      <c r="I218" s="14"/>
    </row>
    <row r="219" spans="1:9" s="22" customFormat="1">
      <c r="A219" s="94"/>
      <c r="B219" s="94"/>
      <c r="C219" s="94"/>
      <c r="H219" s="14"/>
      <c r="I219" s="14"/>
    </row>
    <row r="220" spans="1:9" s="22" customFormat="1">
      <c r="A220" s="94"/>
      <c r="B220" s="94"/>
      <c r="C220" s="94"/>
      <c r="H220" s="14"/>
      <c r="I220" s="14"/>
    </row>
    <row r="221" spans="1:9" s="22" customFormat="1">
      <c r="A221" s="94"/>
      <c r="B221" s="94"/>
      <c r="C221" s="94"/>
      <c r="H221" s="14"/>
      <c r="I221" s="14"/>
    </row>
    <row r="222" spans="1:9" s="22" customFormat="1">
      <c r="A222" s="94"/>
      <c r="B222" s="94"/>
      <c r="C222" s="94"/>
      <c r="H222" s="14"/>
      <c r="I222" s="14"/>
    </row>
    <row r="223" spans="1:9" s="22" customFormat="1">
      <c r="A223" s="94"/>
      <c r="B223" s="94"/>
      <c r="C223" s="94"/>
      <c r="H223" s="14"/>
      <c r="I223" s="14"/>
    </row>
    <row r="224" spans="1:9" s="22" customFormat="1">
      <c r="A224" s="94"/>
      <c r="B224" s="94"/>
      <c r="C224" s="94"/>
      <c r="H224" s="14"/>
      <c r="I224" s="14"/>
    </row>
    <row r="225" spans="1:9" s="22" customFormat="1">
      <c r="A225" s="94"/>
      <c r="B225" s="94"/>
      <c r="C225" s="94"/>
      <c r="H225" s="14"/>
      <c r="I225" s="14"/>
    </row>
    <row r="226" spans="1:9" s="22" customFormat="1">
      <c r="A226" s="94"/>
      <c r="B226" s="94"/>
      <c r="C226" s="94"/>
      <c r="H226" s="14"/>
      <c r="I226" s="14"/>
    </row>
    <row r="227" spans="1:9" s="22" customFormat="1">
      <c r="A227" s="98"/>
      <c r="B227" s="99"/>
      <c r="C227" s="99"/>
    </row>
    <row r="228" spans="1:9" s="22" customFormat="1">
      <c r="A228" s="98"/>
      <c r="B228" s="99"/>
      <c r="C228" s="99"/>
    </row>
    <row r="229" spans="1:9" s="22" customFormat="1">
      <c r="A229" s="94"/>
      <c r="B229" s="94"/>
      <c r="C229" s="94"/>
      <c r="H229" s="14"/>
      <c r="I229" s="14"/>
    </row>
    <row r="230" spans="1:9" s="22" customFormat="1">
      <c r="A230" s="94"/>
      <c r="B230" s="94"/>
      <c r="C230" s="94"/>
      <c r="H230" s="14"/>
      <c r="I230" s="14"/>
    </row>
    <row r="231" spans="1:9" s="22" customFormat="1">
      <c r="A231" s="94"/>
      <c r="B231" s="94"/>
      <c r="C231" s="94"/>
      <c r="H231" s="14"/>
      <c r="I231" s="14"/>
    </row>
    <row r="232" spans="1:9" s="22" customFormat="1">
      <c r="A232" s="94"/>
      <c r="B232" s="94"/>
      <c r="C232" s="94"/>
      <c r="H232" s="14"/>
      <c r="I232" s="14"/>
    </row>
    <row r="233" spans="1:9" s="22" customFormat="1">
      <c r="A233" s="94"/>
      <c r="B233" s="94"/>
      <c r="C233" s="94"/>
    </row>
    <row r="234" spans="1:9">
      <c r="A234" s="100"/>
      <c r="B234" s="100"/>
      <c r="C234" s="100"/>
    </row>
  </sheetData>
  <mergeCells count="208">
    <mergeCell ref="I4:K4"/>
    <mergeCell ref="A5:A7"/>
    <mergeCell ref="A8:A9"/>
    <mergeCell ref="B5:B7"/>
    <mergeCell ref="B2:J2"/>
    <mergeCell ref="B3:J3"/>
    <mergeCell ref="L8:N9"/>
    <mergeCell ref="H8:H9"/>
    <mergeCell ref="I8:I9"/>
    <mergeCell ref="J8:J9"/>
    <mergeCell ref="K8:K9"/>
    <mergeCell ref="J6:J7"/>
    <mergeCell ref="K6:K7"/>
    <mergeCell ref="M4:N4"/>
    <mergeCell ref="L5:N7"/>
    <mergeCell ref="D5:G5"/>
    <mergeCell ref="H5:K5"/>
    <mergeCell ref="D6:D7"/>
    <mergeCell ref="E6:E7"/>
    <mergeCell ref="F6:F7"/>
    <mergeCell ref="G6:G7"/>
    <mergeCell ref="H6:H7"/>
    <mergeCell ref="I6:I7"/>
    <mergeCell ref="L38:N39"/>
    <mergeCell ref="D18:D19"/>
    <mergeCell ref="E18:E19"/>
    <mergeCell ref="F18:F19"/>
    <mergeCell ref="G18:G19"/>
    <mergeCell ref="H18:H19"/>
    <mergeCell ref="C18:C19"/>
    <mergeCell ref="D10:D11"/>
    <mergeCell ref="L18:N19"/>
    <mergeCell ref="D32:D33"/>
    <mergeCell ref="E32:E33"/>
    <mergeCell ref="F32:F33"/>
    <mergeCell ref="G32:G33"/>
    <mergeCell ref="L32:N33"/>
    <mergeCell ref="H32:H33"/>
    <mergeCell ref="I32:I33"/>
    <mergeCell ref="J32:J33"/>
    <mergeCell ref="K32:K33"/>
    <mergeCell ref="L10:N11"/>
    <mergeCell ref="I18:I19"/>
    <mergeCell ref="K10:K11"/>
    <mergeCell ref="I10:I11"/>
    <mergeCell ref="J10:J11"/>
    <mergeCell ref="C10:C11"/>
    <mergeCell ref="L45:N46"/>
    <mergeCell ref="A52:A53"/>
    <mergeCell ref="D52:D53"/>
    <mergeCell ref="E52:E53"/>
    <mergeCell ref="F52:F53"/>
    <mergeCell ref="G52:G53"/>
    <mergeCell ref="L52:N53"/>
    <mergeCell ref="H52:H53"/>
    <mergeCell ref="I52:I53"/>
    <mergeCell ref="J52:J53"/>
    <mergeCell ref="B52:B53"/>
    <mergeCell ref="C52:C53"/>
    <mergeCell ref="A45:A46"/>
    <mergeCell ref="D45:D46"/>
    <mergeCell ref="E45:E46"/>
    <mergeCell ref="F45:F46"/>
    <mergeCell ref="G45:G46"/>
    <mergeCell ref="H45:H46"/>
    <mergeCell ref="I45:I46"/>
    <mergeCell ref="B45:B46"/>
    <mergeCell ref="L71:N72"/>
    <mergeCell ref="H71:H72"/>
    <mergeCell ref="I71:I72"/>
    <mergeCell ref="J71:J72"/>
    <mergeCell ref="L59:N60"/>
    <mergeCell ref="D64:D65"/>
    <mergeCell ref="E64:E65"/>
    <mergeCell ref="F64:F65"/>
    <mergeCell ref="G64:G65"/>
    <mergeCell ref="H64:H65"/>
    <mergeCell ref="I64:I65"/>
    <mergeCell ref="D59:D60"/>
    <mergeCell ref="L64:N65"/>
    <mergeCell ref="I59:I60"/>
    <mergeCell ref="J59:J60"/>
    <mergeCell ref="K59:K60"/>
    <mergeCell ref="E59:E60"/>
    <mergeCell ref="F59:F60"/>
    <mergeCell ref="G59:G60"/>
    <mergeCell ref="H59:H60"/>
    <mergeCell ref="L81:N82"/>
    <mergeCell ref="A88:A89"/>
    <mergeCell ref="D88:D89"/>
    <mergeCell ref="H103:H104"/>
    <mergeCell ref="I103:I104"/>
    <mergeCell ref="J103:J104"/>
    <mergeCell ref="G103:G104"/>
    <mergeCell ref="L103:N104"/>
    <mergeCell ref="K103:K104"/>
    <mergeCell ref="J88:J89"/>
    <mergeCell ref="K88:K89"/>
    <mergeCell ref="L88:N89"/>
    <mergeCell ref="E88:E89"/>
    <mergeCell ref="B81:B82"/>
    <mergeCell ref="D81:D82"/>
    <mergeCell ref="E81:E82"/>
    <mergeCell ref="F81:F82"/>
    <mergeCell ref="G81:G82"/>
    <mergeCell ref="C81:C82"/>
    <mergeCell ref="J81:J82"/>
    <mergeCell ref="K81:K82"/>
    <mergeCell ref="C88:C89"/>
    <mergeCell ref="M109:N109"/>
    <mergeCell ref="A113:G113"/>
    <mergeCell ref="L113:N113"/>
    <mergeCell ref="C103:C104"/>
    <mergeCell ref="A103:A104"/>
    <mergeCell ref="D103:D104"/>
    <mergeCell ref="A114:G114"/>
    <mergeCell ref="L114:N114"/>
    <mergeCell ref="C5:C7"/>
    <mergeCell ref="C32:C33"/>
    <mergeCell ref="C8:C9"/>
    <mergeCell ref="C64:C65"/>
    <mergeCell ref="C71:C72"/>
    <mergeCell ref="B10:B11"/>
    <mergeCell ref="C45:C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I134:I136"/>
    <mergeCell ref="J134:J136"/>
    <mergeCell ref="A143:A144"/>
    <mergeCell ref="H134:H136"/>
    <mergeCell ref="D134:D136"/>
    <mergeCell ref="E134:E136"/>
    <mergeCell ref="F134:F136"/>
    <mergeCell ref="G134:G136"/>
    <mergeCell ref="K134:K136"/>
    <mergeCell ref="A134:A136"/>
    <mergeCell ref="H128:I130"/>
    <mergeCell ref="J128:K130"/>
    <mergeCell ref="D130:E130"/>
    <mergeCell ref="F130:G130"/>
    <mergeCell ref="J64:J65"/>
    <mergeCell ref="K64:K65"/>
    <mergeCell ref="J45:J46"/>
    <mergeCell ref="K45:K46"/>
    <mergeCell ref="K52:K53"/>
    <mergeCell ref="A124:H126"/>
    <mergeCell ref="I124:K126"/>
    <mergeCell ref="H127:K127"/>
    <mergeCell ref="A128:A131"/>
    <mergeCell ref="D128:G129"/>
    <mergeCell ref="A81:A82"/>
    <mergeCell ref="E103:E104"/>
    <mergeCell ref="F103:F104"/>
    <mergeCell ref="K71:K72"/>
    <mergeCell ref="I88:I89"/>
    <mergeCell ref="H81:H82"/>
    <mergeCell ref="I81:I82"/>
    <mergeCell ref="F88:F89"/>
    <mergeCell ref="G88:G89"/>
    <mergeCell ref="H88:H8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B71:B72"/>
    <mergeCell ref="B64:B65"/>
    <mergeCell ref="D71:D72"/>
    <mergeCell ref="E71:E72"/>
    <mergeCell ref="F71:F72"/>
    <mergeCell ref="G71:G72"/>
    <mergeCell ref="C59:C60"/>
    <mergeCell ref="D38:D39"/>
    <mergeCell ref="B38:B39"/>
    <mergeCell ref="K18:K19"/>
    <mergeCell ref="B32:B33"/>
    <mergeCell ref="B8:B9"/>
    <mergeCell ref="A10:A11"/>
    <mergeCell ref="I38:I39"/>
    <mergeCell ref="J38:J39"/>
    <mergeCell ref="K38:K39"/>
    <mergeCell ref="C38:C39"/>
    <mergeCell ref="E38:E39"/>
    <mergeCell ref="F38:F39"/>
    <mergeCell ref="G38:G39"/>
    <mergeCell ref="H38:H39"/>
    <mergeCell ref="E10:E11"/>
    <mergeCell ref="J18:J19"/>
    <mergeCell ref="F10:F11"/>
    <mergeCell ref="G10:G11"/>
    <mergeCell ref="H10:H11"/>
    <mergeCell ref="D8:D9"/>
    <mergeCell ref="E8:E9"/>
    <mergeCell ref="F8:F9"/>
    <mergeCell ref="G8:G9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14:D17 E10:G11 I10:K11 D20:D26 E18:G19 D28:D31 E27:G27 D34:D37 E32:G33 D40:D44 E38:G39 D47:D51 E45:G46 D54:D58 E52:G53 D61:D63 E59:G60 D66:D70 E64:G65 E71:G72 D83:D87 E81:G82 D90:D102 E88:G89 D105:D108 E103:G104 I18:K19 I27:K27 I32:K33 I38:K39 I45:K46 I52:K53 I59:K60 I64:K65 I71:K72 I81:K82 I88:K89 I103:K104" formula="1"/>
    <ignoredError sqref="B27:C27 B38:C39 B52:C53 B81:C82 B103:C104 B88:C89 B71:C72 B59:C60 B45:C46 B32:C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2019-06-26T11:03:58Z</dcterms:modified>
</cp:coreProperties>
</file>