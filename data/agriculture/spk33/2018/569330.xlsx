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7B3D1226-71F4-4C7A-85FD-5EEA6505E2F7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B13" i="1" l="1"/>
  <c r="C13" i="1"/>
  <c r="C12" i="1"/>
  <c r="B12" i="1"/>
  <c r="C108" i="1" l="1"/>
  <c r="C107" i="1"/>
  <c r="C106" i="1"/>
  <c r="C105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7" i="1"/>
  <c r="C86" i="1"/>
  <c r="C85" i="1"/>
  <c r="C84" i="1"/>
  <c r="C83" i="1"/>
  <c r="C80" i="1"/>
  <c r="C79" i="1"/>
  <c r="C78" i="1"/>
  <c r="C77" i="1"/>
  <c r="C76" i="1"/>
  <c r="C75" i="1"/>
  <c r="C74" i="1"/>
  <c r="C73" i="1"/>
  <c r="C70" i="1"/>
  <c r="C69" i="1"/>
  <c r="C68" i="1"/>
  <c r="C67" i="1"/>
  <c r="C66" i="1"/>
  <c r="C63" i="1"/>
  <c r="C62" i="1"/>
  <c r="C61" i="1"/>
  <c r="C58" i="1"/>
  <c r="C57" i="1"/>
  <c r="C56" i="1"/>
  <c r="C55" i="1"/>
  <c r="C54" i="1"/>
  <c r="C51" i="1"/>
  <c r="C50" i="1"/>
  <c r="C49" i="1"/>
  <c r="C48" i="1"/>
  <c r="C47" i="1"/>
  <c r="C44" i="1"/>
  <c r="C43" i="1"/>
  <c r="C42" i="1"/>
  <c r="C41" i="1"/>
  <c r="C40" i="1"/>
  <c r="C37" i="1"/>
  <c r="C36" i="1"/>
  <c r="C35" i="1"/>
  <c r="C34" i="1"/>
  <c r="C31" i="1"/>
  <c r="C30" i="1"/>
  <c r="C29" i="1"/>
  <c r="C28" i="1"/>
  <c r="C26" i="1"/>
  <c r="C25" i="1"/>
  <c r="C24" i="1"/>
  <c r="C23" i="1"/>
  <c r="C22" i="1"/>
  <c r="C21" i="1"/>
  <c r="C20" i="1"/>
  <c r="C14" i="1"/>
  <c r="B108" i="1"/>
  <c r="B107" i="1"/>
  <c r="B106" i="1"/>
  <c r="B105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7" i="1"/>
  <c r="B86" i="1"/>
  <c r="B85" i="1"/>
  <c r="B84" i="1"/>
  <c r="B83" i="1"/>
  <c r="B80" i="1"/>
  <c r="B79" i="1"/>
  <c r="B78" i="1"/>
  <c r="B77" i="1"/>
  <c r="B76" i="1"/>
  <c r="B75" i="1"/>
  <c r="B74" i="1"/>
  <c r="B73" i="1"/>
  <c r="B70" i="1"/>
  <c r="B69" i="1"/>
  <c r="B68" i="1"/>
  <c r="B67" i="1"/>
  <c r="B66" i="1"/>
  <c r="B63" i="1"/>
  <c r="B62" i="1"/>
  <c r="B61" i="1"/>
  <c r="B58" i="1"/>
  <c r="B57" i="1"/>
  <c r="B56" i="1"/>
  <c r="B55" i="1"/>
  <c r="B54" i="1"/>
  <c r="B51" i="1"/>
  <c r="B50" i="1"/>
  <c r="B49" i="1"/>
  <c r="B48" i="1"/>
  <c r="B47" i="1"/>
  <c r="B44" i="1"/>
  <c r="B43" i="1"/>
  <c r="B42" i="1"/>
  <c r="B41" i="1"/>
  <c r="B40" i="1"/>
  <c r="B37" i="1"/>
  <c r="B36" i="1"/>
  <c r="B35" i="1"/>
  <c r="B34" i="1"/>
  <c r="B31" i="1"/>
  <c r="B30" i="1"/>
  <c r="B29" i="1"/>
  <c r="B28" i="1"/>
  <c r="B26" i="1"/>
  <c r="B25" i="1"/>
  <c r="B24" i="1"/>
  <c r="B23" i="1"/>
  <c r="B22" i="1"/>
  <c r="B21" i="1"/>
  <c r="B20" i="1"/>
  <c r="C15" i="1"/>
  <c r="C16" i="1"/>
  <c r="C17" i="1"/>
  <c r="B14" i="1"/>
  <c r="B15" i="1"/>
  <c r="B16" i="1"/>
  <c r="B17" i="1"/>
  <c r="D10" i="1"/>
  <c r="D18" i="1"/>
  <c r="D103" i="1"/>
  <c r="D88" i="1"/>
  <c r="D81" i="1"/>
  <c r="D71" i="1"/>
  <c r="D64" i="1"/>
  <c r="D59" i="1"/>
  <c r="D52" i="1"/>
  <c r="D45" i="1"/>
  <c r="D38" i="1"/>
  <c r="D32" i="1"/>
  <c r="D27" i="1"/>
  <c r="E10" i="1"/>
  <c r="E27" i="1"/>
  <c r="F27" i="1"/>
  <c r="G27" i="1"/>
  <c r="H27" i="1"/>
  <c r="I27" i="1"/>
  <c r="J27" i="1"/>
  <c r="K27" i="1"/>
  <c r="F18" i="1"/>
  <c r="E18" i="1"/>
  <c r="G18" i="1"/>
  <c r="H18" i="1"/>
  <c r="I18" i="1"/>
  <c r="J18" i="1"/>
  <c r="K18" i="1"/>
  <c r="K103" i="1"/>
  <c r="J103" i="1"/>
  <c r="I103" i="1"/>
  <c r="H103" i="1"/>
  <c r="G103" i="1"/>
  <c r="F103" i="1"/>
  <c r="E103" i="1"/>
  <c r="K88" i="1"/>
  <c r="J88" i="1"/>
  <c r="I88" i="1"/>
  <c r="H88" i="1"/>
  <c r="G88" i="1"/>
  <c r="F88" i="1"/>
  <c r="E88" i="1"/>
  <c r="K81" i="1"/>
  <c r="J81" i="1"/>
  <c r="I81" i="1"/>
  <c r="H81" i="1"/>
  <c r="G81" i="1"/>
  <c r="F81" i="1"/>
  <c r="E81" i="1"/>
  <c r="K71" i="1"/>
  <c r="J71" i="1"/>
  <c r="I71" i="1"/>
  <c r="H71" i="1"/>
  <c r="G71" i="1"/>
  <c r="F71" i="1"/>
  <c r="E71" i="1"/>
  <c r="K64" i="1"/>
  <c r="J64" i="1"/>
  <c r="I64" i="1"/>
  <c r="H64" i="1"/>
  <c r="G64" i="1"/>
  <c r="F64" i="1"/>
  <c r="E64" i="1"/>
  <c r="K59" i="1"/>
  <c r="J59" i="1"/>
  <c r="I59" i="1"/>
  <c r="H59" i="1"/>
  <c r="G59" i="1"/>
  <c r="F59" i="1"/>
  <c r="E59" i="1"/>
  <c r="K52" i="1"/>
  <c r="J52" i="1"/>
  <c r="I52" i="1"/>
  <c r="H52" i="1"/>
  <c r="G52" i="1"/>
  <c r="F52" i="1"/>
  <c r="E52" i="1"/>
  <c r="K45" i="1"/>
  <c r="J45" i="1"/>
  <c r="I45" i="1"/>
  <c r="H45" i="1"/>
  <c r="G45" i="1"/>
  <c r="F45" i="1"/>
  <c r="E45" i="1"/>
  <c r="K38" i="1"/>
  <c r="J38" i="1"/>
  <c r="I38" i="1"/>
  <c r="H38" i="1"/>
  <c r="G38" i="1"/>
  <c r="F38" i="1"/>
  <c r="E38" i="1"/>
  <c r="K32" i="1"/>
  <c r="J32" i="1"/>
  <c r="I32" i="1"/>
  <c r="H32" i="1"/>
  <c r="G32" i="1"/>
  <c r="F32" i="1"/>
  <c r="E32" i="1"/>
  <c r="K10" i="1"/>
  <c r="J10" i="1"/>
  <c r="I10" i="1"/>
  <c r="H10" i="1"/>
  <c r="G10" i="1"/>
  <c r="F10" i="1"/>
  <c r="C64" i="1" l="1"/>
  <c r="C10" i="1"/>
  <c r="C81" i="1"/>
  <c r="C38" i="1"/>
  <c r="C32" i="1"/>
  <c r="B10" i="1"/>
  <c r="C103" i="1"/>
  <c r="C52" i="1"/>
  <c r="D8" i="1"/>
  <c r="C45" i="1"/>
  <c r="C59" i="1"/>
  <c r="B71" i="1"/>
  <c r="C27" i="1"/>
  <c r="C88" i="1"/>
  <c r="B103" i="1"/>
  <c r="B88" i="1"/>
  <c r="B27" i="1"/>
  <c r="B18" i="1"/>
  <c r="C71" i="1"/>
  <c r="C18" i="1"/>
  <c r="B64" i="1"/>
  <c r="B52" i="1"/>
  <c r="B38" i="1"/>
  <c r="B32" i="1"/>
  <c r="B81" i="1"/>
  <c r="B59" i="1"/>
  <c r="B45" i="1"/>
  <c r="H8" i="1"/>
  <c r="K8" i="1"/>
  <c r="G8" i="1"/>
  <c r="I8" i="1"/>
  <c r="J8" i="1"/>
  <c r="F8" i="1"/>
  <c r="E8" i="1"/>
  <c r="C8" i="1" l="1"/>
</calcChain>
</file>

<file path=xl/sharedStrings.xml><?xml version="1.0" encoding="utf-8"?>
<sst xmlns="http://schemas.openxmlformats.org/spreadsheetml/2006/main" count="396" uniqueCount="194">
  <si>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</si>
  <si>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</si>
  <si>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</si>
  <si>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</si>
  <si>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</si>
  <si>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</si>
  <si>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</si>
  <si>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</si>
  <si>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</si>
  <si>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</si>
  <si>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</si>
  <si>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</si>
  <si>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</si>
  <si>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</si>
  <si>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</si>
  <si>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</si>
  <si>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</si>
  <si>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</si>
  <si>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</si>
  <si>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</si>
  <si>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</si>
  <si>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</si>
  <si>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</si>
  <si>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</si>
  <si>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</si>
  <si>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</si>
  <si>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</si>
  <si>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</si>
  <si>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</si>
  <si>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</si>
  <si>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</si>
  <si>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</si>
  <si>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</si>
  <si>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</si>
  <si>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</si>
  <si>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</si>
  <si>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</si>
  <si>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</si>
  <si>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</si>
  <si>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</si>
  <si>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</si>
  <si>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</si>
  <si>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</si>
  <si>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</si>
  <si>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</si>
  <si>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</si>
  <si>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</si>
  <si>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</si>
  <si>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</si>
  <si>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</si>
  <si>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</si>
  <si>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</si>
  <si>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</si>
  <si>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</si>
  <si>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</si>
  <si>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</si>
  <si>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</si>
  <si>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</si>
  <si>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</si>
  <si>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</si>
  <si>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</si>
  <si>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</si>
  <si>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</si>
  <si>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</si>
  <si>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</si>
  <si>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</si>
  <si>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</si>
  <si>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</si>
  <si>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</si>
  <si>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</si>
  <si>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</si>
  <si>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</si>
  <si>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</si>
  <si>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</si>
  <si>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</si>
  <si>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</si>
  <si>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</si>
  <si>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</si>
  <si>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</si>
  <si>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</si>
  <si>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</si>
  <si>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</si>
  <si>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</si>
  <si>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</si>
  <si>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</si>
  <si>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</si>
  <si>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</si>
  <si>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</si>
  <si>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</si>
  <si>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</si>
  <si>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</si>
  <si>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</si>
  <si>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</si>
  <si>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</si>
  <si>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</si>
  <si>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</si>
  <si>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</si>
  <si>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</si>
  <si>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</si>
  <si>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</si>
  <si>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</si>
  <si>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</si>
  <si>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</si>
  <si>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</si>
  <si>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</si>
  <si>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</si>
  <si>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</si>
  <si>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</si>
  <si>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</si>
  <si>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</si>
  <si>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</si>
  <si>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</si>
  <si>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</si>
  <si>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</si>
  <si>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</si>
  <si>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</si>
  <si>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</si>
  <si>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</si>
  <si>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</si>
  <si>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</si>
  <si>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</si>
  <si>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</si>
  <si>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</si>
  <si>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</si>
  <si>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</si>
  <si>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</si>
  <si>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</si>
  <si>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</si>
  <si>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</si>
  <si>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</si>
  <si>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</si>
  <si>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</si>
  <si>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</si>
  <si>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</si>
  <si>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</si>
  <si>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</si>
  <si>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</si>
  <si>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</si>
  <si>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</si>
  <si>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</si>
  <si>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</si>
  <si>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</si>
  <si>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</si>
  <si>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</si>
  <si>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</si>
  <si>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</si>
  <si>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</si>
  <si>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</si>
  <si>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</si>
  <si>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</si>
  <si>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</si>
  <si>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</si>
  <si>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</si>
  <si>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</si>
  <si>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</si>
  <si>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</si>
  <si>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</si>
  <si>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</si>
  <si>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</si>
  <si>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</si>
  <si>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</si>
  <si>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</si>
  <si>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</si>
  <si>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</si>
  <si>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</si>
  <si>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</si>
  <si>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</si>
  <si>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</si>
  <si>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</si>
  <si>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</si>
  <si>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</si>
  <si>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</si>
  <si>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</si>
  <si>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</si>
  <si>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</si>
  <si>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</si>
  <si>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</si>
  <si>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</si>
  <si>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</si>
  <si>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</si>
  <si>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</si>
  <si>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</si>
  <si>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</si>
  <si>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</si>
  <si>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Βοοειδή ενός (1) μέχρι δύο (2) ετών
Bovine animals 
between one (1) and two (2) years old</t>
  </si>
  <si>
    <t>Βοοειδή δύο (2) ετών και άνω
Bovine animals of two (2) years of age or more</t>
  </si>
  <si>
    <t>Αγελάδες γαλακτοπαραγωγής
Cows for milk production</t>
  </si>
  <si>
    <t>Βοοειδή άρρενα
Bovine male</t>
  </si>
  <si>
    <t>Δαμάλια
Heifers</t>
  </si>
  <si>
    <t>Άλλες αγελάδες (για παραγωγή βοοειδών πάχυνσης)
Other cows (reproductive of meat production bovine)</t>
  </si>
  <si>
    <t>Βόδια, ταύροι, δαμάλια, αγελάδες και βουβάλια (όλων των ηλικιών) 
Oxen, bulls, heifers, cows and buffaloes (all ages)</t>
  </si>
  <si>
    <t>―</t>
  </si>
  <si>
    <t>Πίνακας 2. Βόδια, ταύροι, δαμάλια, αγελάδες και βουβάλια (όλων των ηλικιών) στις 31.12.2018, κατά Περιφέρεια και Περιφερειακή Ενότητα</t>
  </si>
  <si>
    <t>Table 2. Oxen, bulls, heifers, cows and buffaloes (all ages) on 31st December 2018,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</si>
</sst>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31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22" xfId="0" quotePrefix="1" applyNumberFormat="1" applyFont="1" applyFill="1" applyBorder="1" applyAlignment="1" applyProtection="1">
      <alignment horizontal="right"/>
    </xf>
    <xf numFmtId="3" fontId="3" fillId="0" borderId="28" xfId="0" quotePrefix="1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22" xfId="0" quotePrefix="1" applyNumberFormat="1" applyFont="1" applyFill="1" applyBorder="1" applyAlignment="1" applyProtection="1">
      <alignment horizontal="right" vertical="center"/>
    </xf>
    <xf numFmtId="3" fontId="2" fillId="0" borderId="28" xfId="0" quotePrefix="1" applyNumberFormat="1" applyFont="1" applyFill="1" applyBorder="1" applyAlignment="1" applyProtection="1">
      <alignment horizontal="right" vertical="center"/>
    </xf>
    <xf numFmtId="3" fontId="2" fillId="0" borderId="5" xfId="0" quotePrefix="1" applyNumberFormat="1" applyFont="1" applyFill="1" applyBorder="1" applyAlignment="1" applyProtection="1">
      <alignment horizontal="right" vertical="center"/>
    </xf>
    <xf numFmtId="3" fontId="2" fillId="0" borderId="23" xfId="0" quotePrefix="1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25" xfId="0" quotePrefix="1" applyNumberFormat="1" applyFont="1" applyFill="1" applyBorder="1" applyAlignment="1" applyProtection="1">
      <alignment horizontal="right"/>
    </xf>
    <xf numFmtId="3" fontId="3" fillId="0" borderId="29" xfId="0" quotePrefix="1" applyNumberFormat="1" applyFont="1" applyFill="1" applyBorder="1" applyAlignment="1" applyProtection="1">
      <alignment horizontal="right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49" fontId="3" fillId="0" borderId="6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0" fontId="1" fillId="0" borderId="0" xfId="0" applyFont="1" applyBorder="1" applyAlignment="1">
      <alignment horizontal="right" vertical="center"/>
    </xf>
    <xf numFmtId="49" fontId="0" fillId="0" borderId="0" xfId="0" applyNumberFormat="1" applyFont="1"/>
    <xf numFmtId="0" fontId="6" fillId="0" borderId="1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vertical="center" wrapText="1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0" fontId="7" fillId="0" borderId="24" xfId="0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33" xfId="0" applyFont="1" applyBorder="1" applyAlignment="1">
      <alignment horizontal="right" vertical="top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2" fillId="0" borderId="34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35" xfId="0" applyNumberFormat="1" applyFont="1" applyFill="1" applyBorder="1" applyAlignment="1" applyProtection="1">
      <alignment horizontal="center" vertical="center" wrapText="1"/>
    </xf>
    <xf numFmtId="0" fontId="2" fillId="0" borderId="30" xfId="0" applyNumberFormat="1" applyFont="1" applyFill="1" applyBorder="1" applyAlignment="1" applyProtection="1">
      <alignment horizontal="center" vertical="center" wrapText="1"/>
    </xf>
    <xf numFmtId="3" fontId="2" fillId="0" borderId="20" xfId="0" applyNumberFormat="1" applyFont="1" applyFill="1" applyBorder="1" applyAlignment="1" applyProtection="1">
      <alignment horizontal="right" vertical="center" wrapText="1"/>
    </xf>
    <xf numFmtId="3" fontId="2" fillId="0" borderId="5" xfId="0" applyNumberFormat="1" applyFont="1" applyFill="1" applyBorder="1" applyAlignment="1" applyProtection="1">
      <alignment horizontal="right" vertical="center" wrapText="1"/>
    </xf>
    <xf numFmtId="3" fontId="2" fillId="0" borderId="5" xfId="0" applyNumberFormat="1" applyFont="1" applyBorder="1" applyAlignment="1">
      <alignment horizontal="right" vertical="center"/>
    </xf>
    <xf numFmtId="0" fontId="3" fillId="0" borderId="1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>
      <alignment horizontal="right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9" xfId="0" applyNumberFormat="1" applyFont="1" applyFill="1" applyBorder="1" applyAlignment="1" applyProtection="1">
      <alignment horizontal="right" vertical="center" wrapText="1"/>
    </xf>
    <xf numFmtId="3" fontId="2" fillId="0" borderId="23" xfId="0" applyNumberFormat="1" applyFont="1" applyFill="1" applyBorder="1" applyAlignment="1" applyProtection="1">
      <alignment horizontal="right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49" fontId="2" fillId="0" borderId="19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32" xfId="0" applyNumberFormat="1" applyFont="1" applyFill="1" applyBorder="1" applyAlignment="1" applyProtection="1">
      <alignment horizontal="right" vertical="center" wrapText="1"/>
    </xf>
    <xf numFmtId="3" fontId="2" fillId="0" borderId="27" xfId="0" applyNumberFormat="1" applyFont="1" applyFill="1" applyBorder="1" applyAlignment="1" applyProtection="1">
      <alignment horizontal="right" vertical="center" wrapText="1"/>
    </xf>
    <xf numFmtId="0" fontId="1" fillId="0" borderId="0" xfId="0" applyFont="1" applyBorder="1" applyAlignment="1">
      <alignment horizontal="left" vertical="center" wrapText="1"/>
    </xf>
    <xf numFmtId="3" fontId="2" fillId="0" borderId="23" xfId="0" applyNumberFormat="1" applyFont="1" applyBorder="1" applyAlignment="1">
      <alignment horizontal="right" vertical="center"/>
    </xf>
    <xf numFmtId="3" fontId="2" fillId="0" borderId="22" xfId="0" applyNumberFormat="1" applyFont="1" applyBorder="1" applyAlignment="1">
      <alignment horizontal="right" vertical="center"/>
    </xf>
    <xf numFmtId="3" fontId="2" fillId="0" borderId="28" xfId="0" applyNumberFormat="1" applyFont="1" applyBorder="1" applyAlignment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3" fontId="2" fillId="0" borderId="5" xfId="0" applyNumberFormat="1" applyFont="1" applyFill="1" applyBorder="1" applyAlignment="1" applyProtection="1">
      <alignment horizontal="right" vertical="center"/>
    </xf>
    <xf numFmtId="3" fontId="2" fillId="0" borderId="23" xfId="0" applyNumberFormat="1" applyFont="1" applyFill="1" applyBorder="1" applyAlignment="1" applyProtection="1">
      <alignment horizontal="right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left" wrapText="1" indent="1"/>
    </xf>
    <xf numFmtId="49" fontId="1" fillId="0" borderId="0" xfId="0" applyNumberFormat="1" applyFont="1" applyBorder="1" applyAlignment="1">
      <alignment horizontal="left" vertical="center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34"/>
  <sheetViews>
    <sheetView showGridLines="0" tabSelected="1" workbookViewId="0">
      <selection activeCell="F10" sqref="F10:F11"/>
    </sheetView>
  </sheetViews>
  <sheetFormatPr defaultRowHeight="14.4" x14ac:dyDescent="0.3"/>
  <cols>
    <col min="1" max="1" width="43.109375" style="3" bestFit="1" customWidth="1"/>
    <col min="2" max="3" width="9.5546875" style="3" customWidth="1"/>
    <col min="4" max="4" width="9" style="3" customWidth="1"/>
    <col min="5" max="5" width="10" style="3" customWidth="1"/>
    <col min="6" max="6" width="17.33203125" style="3" customWidth="1"/>
    <col min="7" max="7" width="11.5546875" style="3" customWidth="1"/>
    <col min="8" max="8" width="8" style="3" bestFit="1" customWidth="1"/>
    <col min="9" max="9" width="16.33203125" style="3" customWidth="1"/>
    <col min="10" max="11" width="12.44140625" style="3" customWidth="1"/>
    <col min="12" max="12" width="11.5546875" style="3" customWidth="1"/>
    <col min="13" max="13" width="10.21875" style="3" customWidth="1"/>
    <col min="14" max="14" width="16.33203125" style="3" customWidth="1"/>
    <col min="15" max="15" width="10.109375" style="3" customWidth="1"/>
    <col min="16" max="16384" width="8.88671875" style="3"/>
  </cols>
  <sheetData>
    <row r="2" spans="1:15" ht="18" x14ac:dyDescent="0.3">
      <c r="A2" s="56" t="s">
        <v>192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1"/>
      <c r="O2" s="2"/>
    </row>
    <row r="3" spans="1:15" ht="18" x14ac:dyDescent="0.3">
      <c r="A3" s="56" t="s">
        <v>193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45"/>
      <c r="N3" s="4"/>
      <c r="O3" s="2"/>
    </row>
    <row r="4" spans="1:15" ht="15" thickBot="1" x14ac:dyDescent="0.35">
      <c r="A4" s="44" t="s">
        <v>102</v>
      </c>
      <c r="B4" s="5"/>
      <c r="C4" s="5"/>
      <c r="D4" s="5"/>
      <c r="E4" s="5"/>
      <c r="F4" s="5"/>
      <c r="G4" s="5"/>
      <c r="H4" s="66"/>
      <c r="I4" s="66"/>
      <c r="J4" s="66"/>
      <c r="K4" s="66"/>
      <c r="L4" s="6"/>
      <c r="M4" s="67" t="s">
        <v>103</v>
      </c>
      <c r="N4" s="67"/>
    </row>
    <row r="5" spans="1:15" ht="29.4" customHeight="1" x14ac:dyDescent="0.3">
      <c r="A5" s="68" t="s">
        <v>0</v>
      </c>
      <c r="B5" s="78" t="s">
        <v>190</v>
      </c>
      <c r="C5" s="79"/>
      <c r="D5" s="79"/>
      <c r="E5" s="79"/>
      <c r="F5" s="79"/>
      <c r="G5" s="79"/>
      <c r="H5" s="79"/>
      <c r="I5" s="80"/>
      <c r="J5" s="98" t="s">
        <v>109</v>
      </c>
      <c r="K5" s="99"/>
      <c r="L5" s="57" t="s">
        <v>1</v>
      </c>
      <c r="M5" s="58"/>
      <c r="N5" s="58"/>
      <c r="O5" s="8"/>
    </row>
    <row r="6" spans="1:15" ht="90.15" customHeight="1" x14ac:dyDescent="0.3">
      <c r="A6" s="69"/>
      <c r="B6" s="81" t="s">
        <v>106</v>
      </c>
      <c r="C6" s="82"/>
      <c r="D6" s="75" t="s">
        <v>184</v>
      </c>
      <c r="E6" s="76"/>
      <c r="F6" s="75" t="s">
        <v>185</v>
      </c>
      <c r="G6" s="77"/>
      <c r="H6" s="77"/>
      <c r="I6" s="76"/>
      <c r="J6" s="107" t="s">
        <v>108</v>
      </c>
      <c r="K6" s="105" t="s">
        <v>107</v>
      </c>
      <c r="L6" s="59"/>
      <c r="M6" s="60"/>
      <c r="N6" s="60"/>
      <c r="O6" s="8"/>
    </row>
    <row r="7" spans="1:15" ht="120" customHeight="1" x14ac:dyDescent="0.3">
      <c r="A7" s="70"/>
      <c r="B7" s="9" t="s">
        <v>108</v>
      </c>
      <c r="C7" s="10" t="s">
        <v>107</v>
      </c>
      <c r="D7" s="55" t="s">
        <v>108</v>
      </c>
      <c r="E7" s="11" t="s">
        <v>107</v>
      </c>
      <c r="F7" s="10" t="s">
        <v>186</v>
      </c>
      <c r="G7" s="12" t="s">
        <v>187</v>
      </c>
      <c r="H7" s="12" t="s">
        <v>188</v>
      </c>
      <c r="I7" s="13" t="s">
        <v>189</v>
      </c>
      <c r="J7" s="108"/>
      <c r="K7" s="106"/>
      <c r="L7" s="61"/>
      <c r="M7" s="62"/>
      <c r="N7" s="62"/>
      <c r="O7" s="8"/>
    </row>
    <row r="8" spans="1:15" x14ac:dyDescent="0.3">
      <c r="A8" s="83" t="s">
        <v>2</v>
      </c>
      <c r="B8" s="85">
        <f>SUM(B10,B18,B27,B32,B38,B45,B52,B59,B64,B71,B81,B88,B103)</f>
        <v>504535</v>
      </c>
      <c r="C8" s="63">
        <f>SUM(C10,C18,C27,C32,C38,C45,C52,C59,C64,C71,C81,C88,C103)</f>
        <v>121138</v>
      </c>
      <c r="D8" s="63">
        <f>SUM(D10,D18,D27,D32,D38,D45,D52,D59,D64,D71,D81,D88,D103)</f>
        <v>92020</v>
      </c>
      <c r="E8" s="63">
        <f t="shared" ref="E8:K8" si="0">SUM(E10,E18,E27,E32,E38,E45,E52,E59,E64,E71,E81,E88,E103)</f>
        <v>82968</v>
      </c>
      <c r="F8" s="63">
        <f t="shared" si="0"/>
        <v>142920</v>
      </c>
      <c r="G8" s="63">
        <f t="shared" si="0"/>
        <v>36877</v>
      </c>
      <c r="H8" s="63">
        <f t="shared" si="0"/>
        <v>23694</v>
      </c>
      <c r="I8" s="63">
        <f t="shared" si="0"/>
        <v>242705</v>
      </c>
      <c r="J8" s="63">
        <f t="shared" si="0"/>
        <v>3196</v>
      </c>
      <c r="K8" s="73">
        <f t="shared" si="0"/>
        <v>1293</v>
      </c>
      <c r="L8" s="71" t="s">
        <v>3</v>
      </c>
      <c r="M8" s="71"/>
      <c r="N8" s="71"/>
      <c r="O8" s="8"/>
    </row>
    <row r="9" spans="1:15" x14ac:dyDescent="0.3">
      <c r="A9" s="84"/>
      <c r="B9" s="86"/>
      <c r="C9" s="64"/>
      <c r="D9" s="64"/>
      <c r="E9" s="64"/>
      <c r="F9" s="64"/>
      <c r="G9" s="64"/>
      <c r="H9" s="64"/>
      <c r="I9" s="64"/>
      <c r="J9" s="64"/>
      <c r="K9" s="74"/>
      <c r="L9" s="72"/>
      <c r="M9" s="72"/>
      <c r="N9" s="72"/>
      <c r="O9" s="8"/>
    </row>
    <row r="10" spans="1:15" x14ac:dyDescent="0.3">
      <c r="A10" s="84" t="s">
        <v>4</v>
      </c>
      <c r="B10" s="89">
        <f>SUM(B12:B17)</f>
        <v>81083</v>
      </c>
      <c r="C10" s="90">
        <f>SUM(C12:C17)</f>
        <v>17953</v>
      </c>
      <c r="D10" s="65">
        <f>SUM(D12:D17)</f>
        <v>16460</v>
      </c>
      <c r="E10" s="65">
        <f>SUM(E12:E17)</f>
        <v>12730</v>
      </c>
      <c r="F10" s="65">
        <f t="shared" ref="F10:K10" si="1">SUM(F12:F17)</f>
        <v>20665</v>
      </c>
      <c r="G10" s="65">
        <f t="shared" si="1"/>
        <v>5223</v>
      </c>
      <c r="H10" s="65">
        <f t="shared" si="1"/>
        <v>7582</v>
      </c>
      <c r="I10" s="65">
        <f t="shared" si="1"/>
        <v>36376</v>
      </c>
      <c r="J10" s="65">
        <f t="shared" si="1"/>
        <v>0</v>
      </c>
      <c r="K10" s="88">
        <f t="shared" si="1"/>
        <v>0</v>
      </c>
      <c r="L10" s="72" t="s">
        <v>5</v>
      </c>
      <c r="M10" s="72"/>
      <c r="N10" s="72"/>
      <c r="O10" s="8"/>
    </row>
    <row r="11" spans="1:15" x14ac:dyDescent="0.3">
      <c r="A11" s="84"/>
      <c r="B11" s="89"/>
      <c r="C11" s="90"/>
      <c r="D11" s="65"/>
      <c r="E11" s="65"/>
      <c r="F11" s="65"/>
      <c r="G11" s="65"/>
      <c r="H11" s="65"/>
      <c r="I11" s="65"/>
      <c r="J11" s="65"/>
      <c r="K11" s="88"/>
      <c r="L11" s="72"/>
      <c r="M11" s="72"/>
      <c r="N11" s="72"/>
      <c r="O11" s="8"/>
    </row>
    <row r="12" spans="1:15" x14ac:dyDescent="0.3">
      <c r="A12" s="14" t="s">
        <v>118</v>
      </c>
      <c r="B12" s="15">
        <f>SUM(D12,F12,H12,I12,J12)</f>
        <v>19224</v>
      </c>
      <c r="C12" s="16">
        <f>SUM(E12,G12,K12)</f>
        <v>5400</v>
      </c>
      <c r="D12" s="46">
        <v>4467</v>
      </c>
      <c r="E12" s="47">
        <v>3912</v>
      </c>
      <c r="F12" s="46">
        <v>2192</v>
      </c>
      <c r="G12" s="47">
        <v>1488</v>
      </c>
      <c r="H12" s="46">
        <v>1600</v>
      </c>
      <c r="I12" s="47">
        <v>10965</v>
      </c>
      <c r="J12" s="46" t="s">
        <v>191</v>
      </c>
      <c r="K12" s="48" t="s">
        <v>191</v>
      </c>
      <c r="L12" s="17" t="s">
        <v>6</v>
      </c>
      <c r="M12" s="18"/>
      <c r="N12" s="18"/>
      <c r="O12" s="8"/>
    </row>
    <row r="13" spans="1:15" x14ac:dyDescent="0.3">
      <c r="A13" s="14" t="s">
        <v>119</v>
      </c>
      <c r="B13" s="15">
        <f>SUM(D13,F13,H13,I13,J13)</f>
        <v>18912</v>
      </c>
      <c r="C13" s="16">
        <f>SUM(E13,G13,K13)</f>
        <v>3689</v>
      </c>
      <c r="D13" s="46">
        <v>2722</v>
      </c>
      <c r="E13" s="47">
        <v>2273</v>
      </c>
      <c r="F13" s="46">
        <v>3466</v>
      </c>
      <c r="G13" s="47">
        <v>1416</v>
      </c>
      <c r="H13" s="46">
        <v>1738</v>
      </c>
      <c r="I13" s="47">
        <v>10986</v>
      </c>
      <c r="J13" s="46" t="s">
        <v>191</v>
      </c>
      <c r="K13" s="48" t="s">
        <v>191</v>
      </c>
      <c r="L13" s="17" t="s">
        <v>7</v>
      </c>
      <c r="M13" s="18"/>
      <c r="N13" s="18"/>
      <c r="O13" s="8"/>
    </row>
    <row r="14" spans="1:15" x14ac:dyDescent="0.3">
      <c r="A14" s="14" t="s">
        <v>120</v>
      </c>
      <c r="B14" s="15">
        <f t="shared" ref="B14:B17" si="2">SUM(D14,F14,H14,I14,J14)</f>
        <v>14280</v>
      </c>
      <c r="C14" s="16">
        <f>SUM(E14,G14,K14)</f>
        <v>3309</v>
      </c>
      <c r="D14" s="46">
        <v>3363</v>
      </c>
      <c r="E14" s="47">
        <v>2182</v>
      </c>
      <c r="F14" s="46">
        <v>4369</v>
      </c>
      <c r="G14" s="47">
        <v>1127</v>
      </c>
      <c r="H14" s="46">
        <v>108</v>
      </c>
      <c r="I14" s="47">
        <v>6440</v>
      </c>
      <c r="J14" s="46" t="s">
        <v>191</v>
      </c>
      <c r="K14" s="49" t="s">
        <v>191</v>
      </c>
      <c r="L14" s="17" t="s">
        <v>8</v>
      </c>
      <c r="M14" s="18"/>
      <c r="N14" s="18"/>
      <c r="O14" s="8"/>
    </row>
    <row r="15" spans="1:15" x14ac:dyDescent="0.3">
      <c r="A15" s="14" t="s">
        <v>121</v>
      </c>
      <c r="B15" s="15">
        <f t="shared" si="2"/>
        <v>16</v>
      </c>
      <c r="C15" s="16">
        <f t="shared" ref="C15:C17" si="3">SUM(E15,G15,K15)</f>
        <v>2</v>
      </c>
      <c r="D15" s="50">
        <v>3</v>
      </c>
      <c r="E15" s="51">
        <v>1</v>
      </c>
      <c r="F15" s="50">
        <v>10</v>
      </c>
      <c r="G15" s="47">
        <v>1</v>
      </c>
      <c r="H15" s="50" t="s">
        <v>191</v>
      </c>
      <c r="I15" s="51">
        <v>3</v>
      </c>
      <c r="J15" s="50" t="s">
        <v>191</v>
      </c>
      <c r="K15" s="48" t="s">
        <v>191</v>
      </c>
      <c r="L15" s="17" t="s">
        <v>9</v>
      </c>
      <c r="M15" s="18"/>
      <c r="N15" s="18"/>
      <c r="O15" s="8"/>
    </row>
    <row r="16" spans="1:15" x14ac:dyDescent="0.3">
      <c r="A16" s="14" t="s">
        <v>122</v>
      </c>
      <c r="B16" s="15">
        <f t="shared" si="2"/>
        <v>7413</v>
      </c>
      <c r="C16" s="16">
        <f t="shared" si="3"/>
        <v>1054</v>
      </c>
      <c r="D16" s="46">
        <v>1023</v>
      </c>
      <c r="E16" s="47">
        <v>444</v>
      </c>
      <c r="F16" s="46">
        <v>2665</v>
      </c>
      <c r="G16" s="47">
        <v>610</v>
      </c>
      <c r="H16" s="46">
        <v>56</v>
      </c>
      <c r="I16" s="47">
        <v>3669</v>
      </c>
      <c r="J16" s="46" t="s">
        <v>191</v>
      </c>
      <c r="K16" s="48" t="s">
        <v>191</v>
      </c>
      <c r="L16" s="17" t="s">
        <v>10</v>
      </c>
      <c r="M16" s="18"/>
      <c r="N16" s="18"/>
      <c r="O16" s="8"/>
    </row>
    <row r="17" spans="1:15" x14ac:dyDescent="0.3">
      <c r="A17" s="14" t="s">
        <v>123</v>
      </c>
      <c r="B17" s="15">
        <f t="shared" si="2"/>
        <v>21238</v>
      </c>
      <c r="C17" s="16">
        <f t="shared" si="3"/>
        <v>4499</v>
      </c>
      <c r="D17" s="46">
        <v>4882</v>
      </c>
      <c r="E17" s="47">
        <v>3918</v>
      </c>
      <c r="F17" s="46">
        <v>7963</v>
      </c>
      <c r="G17" s="47">
        <v>581</v>
      </c>
      <c r="H17" s="46">
        <v>4080</v>
      </c>
      <c r="I17" s="47">
        <v>4313</v>
      </c>
      <c r="J17" s="46" t="s">
        <v>191</v>
      </c>
      <c r="K17" s="48" t="s">
        <v>191</v>
      </c>
      <c r="L17" s="17" t="s">
        <v>11</v>
      </c>
      <c r="M17" s="18"/>
      <c r="N17" s="18"/>
      <c r="O17" s="8"/>
    </row>
    <row r="18" spans="1:15" x14ac:dyDescent="0.3">
      <c r="A18" s="91" t="s">
        <v>12</v>
      </c>
      <c r="B18" s="89">
        <f>SUM(B20:B26)</f>
        <v>124597</v>
      </c>
      <c r="C18" s="90">
        <f>SUM(C20:C26)</f>
        <v>34159</v>
      </c>
      <c r="D18" s="65">
        <f>SUM(D20:D26)</f>
        <v>24001</v>
      </c>
      <c r="E18" s="65">
        <f t="shared" ref="E18:K18" si="4">SUM(E20:E26)</f>
        <v>26147</v>
      </c>
      <c r="F18" s="65">
        <f>SUM(F20:F26)</f>
        <v>58042</v>
      </c>
      <c r="G18" s="65">
        <f t="shared" si="4"/>
        <v>6750</v>
      </c>
      <c r="H18" s="65">
        <f t="shared" si="4"/>
        <v>3235</v>
      </c>
      <c r="I18" s="65">
        <f t="shared" si="4"/>
        <v>36217</v>
      </c>
      <c r="J18" s="65">
        <f t="shared" si="4"/>
        <v>3102</v>
      </c>
      <c r="K18" s="88">
        <f t="shared" si="4"/>
        <v>1262</v>
      </c>
      <c r="L18" s="87" t="s">
        <v>13</v>
      </c>
      <c r="M18" s="87"/>
      <c r="N18" s="87"/>
      <c r="O18" s="8"/>
    </row>
    <row r="19" spans="1:15" x14ac:dyDescent="0.3">
      <c r="A19" s="91"/>
      <c r="B19" s="89"/>
      <c r="C19" s="90"/>
      <c r="D19" s="65"/>
      <c r="E19" s="65"/>
      <c r="F19" s="65"/>
      <c r="G19" s="65"/>
      <c r="H19" s="65"/>
      <c r="I19" s="65"/>
      <c r="J19" s="65"/>
      <c r="K19" s="88"/>
      <c r="L19" s="87"/>
      <c r="M19" s="87"/>
      <c r="N19" s="87"/>
      <c r="O19" s="8"/>
    </row>
    <row r="20" spans="1:15" x14ac:dyDescent="0.3">
      <c r="A20" s="14" t="s">
        <v>124</v>
      </c>
      <c r="B20" s="15">
        <f t="shared" ref="B20:B26" si="5">SUM(D20,F20,H20,I20,J20)</f>
        <v>37982</v>
      </c>
      <c r="C20" s="16">
        <f t="shared" ref="C20:C26" si="6">SUM(E20,G20,K20)</f>
        <v>2713</v>
      </c>
      <c r="D20" s="46">
        <v>4285</v>
      </c>
      <c r="E20" s="47">
        <v>2281</v>
      </c>
      <c r="F20" s="46">
        <v>27471</v>
      </c>
      <c r="G20" s="47">
        <v>407</v>
      </c>
      <c r="H20" s="46" t="s">
        <v>191</v>
      </c>
      <c r="I20" s="47">
        <v>6006</v>
      </c>
      <c r="J20" s="46">
        <v>220</v>
      </c>
      <c r="K20" s="49">
        <v>25</v>
      </c>
      <c r="L20" s="17" t="s">
        <v>14</v>
      </c>
      <c r="M20" s="18"/>
      <c r="N20" s="18"/>
      <c r="O20" s="8"/>
    </row>
    <row r="21" spans="1:15" x14ac:dyDescent="0.3">
      <c r="A21" s="14" t="s">
        <v>125</v>
      </c>
      <c r="B21" s="15">
        <f t="shared" si="5"/>
        <v>5575</v>
      </c>
      <c r="C21" s="16">
        <f t="shared" si="6"/>
        <v>8887</v>
      </c>
      <c r="D21" s="46">
        <v>1648</v>
      </c>
      <c r="E21" s="47">
        <v>6628</v>
      </c>
      <c r="F21" s="46">
        <v>2006</v>
      </c>
      <c r="G21" s="47">
        <v>2259</v>
      </c>
      <c r="H21" s="46">
        <v>65</v>
      </c>
      <c r="I21" s="47">
        <v>1856</v>
      </c>
      <c r="J21" s="46" t="s">
        <v>191</v>
      </c>
      <c r="K21" s="48" t="s">
        <v>191</v>
      </c>
      <c r="L21" s="17" t="s">
        <v>15</v>
      </c>
      <c r="M21" s="18"/>
      <c r="N21" s="18"/>
      <c r="O21" s="8"/>
    </row>
    <row r="22" spans="1:15" x14ac:dyDescent="0.3">
      <c r="A22" s="14" t="s">
        <v>126</v>
      </c>
      <c r="B22" s="15">
        <f t="shared" si="5"/>
        <v>14493</v>
      </c>
      <c r="C22" s="16">
        <f t="shared" si="6"/>
        <v>4369</v>
      </c>
      <c r="D22" s="46">
        <v>4041</v>
      </c>
      <c r="E22" s="47">
        <v>3716</v>
      </c>
      <c r="F22" s="46">
        <v>9388</v>
      </c>
      <c r="G22" s="47">
        <v>653</v>
      </c>
      <c r="H22" s="46">
        <v>260</v>
      </c>
      <c r="I22" s="47">
        <v>804</v>
      </c>
      <c r="J22" s="46" t="s">
        <v>191</v>
      </c>
      <c r="K22" s="48" t="s">
        <v>191</v>
      </c>
      <c r="L22" s="17" t="s">
        <v>16</v>
      </c>
      <c r="M22" s="18"/>
      <c r="N22" s="18"/>
      <c r="O22" s="8"/>
    </row>
    <row r="23" spans="1:15" x14ac:dyDescent="0.3">
      <c r="A23" s="14" t="s">
        <v>127</v>
      </c>
      <c r="B23" s="15">
        <f t="shared" si="5"/>
        <v>14779</v>
      </c>
      <c r="C23" s="16">
        <f t="shared" si="6"/>
        <v>4399</v>
      </c>
      <c r="D23" s="46">
        <v>3605</v>
      </c>
      <c r="E23" s="47">
        <v>3378</v>
      </c>
      <c r="F23" s="46">
        <v>2902</v>
      </c>
      <c r="G23" s="47">
        <v>1021</v>
      </c>
      <c r="H23" s="46">
        <v>680</v>
      </c>
      <c r="I23" s="47">
        <v>7592</v>
      </c>
      <c r="J23" s="46" t="s">
        <v>191</v>
      </c>
      <c r="K23" s="48" t="s">
        <v>191</v>
      </c>
      <c r="L23" s="17" t="s">
        <v>17</v>
      </c>
      <c r="M23" s="18"/>
      <c r="N23" s="18"/>
      <c r="O23" s="8"/>
    </row>
    <row r="24" spans="1:15" x14ac:dyDescent="0.3">
      <c r="A24" s="14" t="s">
        <v>128</v>
      </c>
      <c r="B24" s="15">
        <f t="shared" si="5"/>
        <v>3316</v>
      </c>
      <c r="C24" s="16">
        <f t="shared" si="6"/>
        <v>996</v>
      </c>
      <c r="D24" s="46">
        <v>901</v>
      </c>
      <c r="E24" s="47">
        <v>778</v>
      </c>
      <c r="F24" s="46">
        <v>1897</v>
      </c>
      <c r="G24" s="47">
        <v>218</v>
      </c>
      <c r="H24" s="46" t="s">
        <v>191</v>
      </c>
      <c r="I24" s="47">
        <v>518</v>
      </c>
      <c r="J24" s="46" t="s">
        <v>191</v>
      </c>
      <c r="K24" s="48" t="s">
        <v>191</v>
      </c>
      <c r="L24" s="17" t="s">
        <v>18</v>
      </c>
      <c r="M24" s="18"/>
      <c r="N24" s="18"/>
      <c r="O24" s="8"/>
    </row>
    <row r="25" spans="1:15" x14ac:dyDescent="0.3">
      <c r="A25" s="14" t="s">
        <v>129</v>
      </c>
      <c r="B25" s="15">
        <f t="shared" si="5"/>
        <v>45788</v>
      </c>
      <c r="C25" s="16">
        <f t="shared" si="6"/>
        <v>12131</v>
      </c>
      <c r="D25" s="46">
        <v>8882</v>
      </c>
      <c r="E25" s="47">
        <v>8881</v>
      </c>
      <c r="F25" s="46">
        <v>13876</v>
      </c>
      <c r="G25" s="47">
        <v>2013</v>
      </c>
      <c r="H25" s="46">
        <v>2223</v>
      </c>
      <c r="I25" s="47">
        <v>17925</v>
      </c>
      <c r="J25" s="46">
        <v>2882</v>
      </c>
      <c r="K25" s="49">
        <v>1237</v>
      </c>
      <c r="L25" s="17" t="s">
        <v>19</v>
      </c>
      <c r="M25" s="18"/>
      <c r="N25" s="18"/>
      <c r="O25" s="8"/>
    </row>
    <row r="26" spans="1:15" x14ac:dyDescent="0.3">
      <c r="A26" s="14" t="s">
        <v>130</v>
      </c>
      <c r="B26" s="15">
        <f t="shared" si="5"/>
        <v>2664</v>
      </c>
      <c r="C26" s="16">
        <f t="shared" si="6"/>
        <v>664</v>
      </c>
      <c r="D26" s="46">
        <v>639</v>
      </c>
      <c r="E26" s="47">
        <v>485</v>
      </c>
      <c r="F26" s="46">
        <v>502</v>
      </c>
      <c r="G26" s="47">
        <v>179</v>
      </c>
      <c r="H26" s="46">
        <v>7</v>
      </c>
      <c r="I26" s="47">
        <v>1516</v>
      </c>
      <c r="J26" s="46" t="s">
        <v>191</v>
      </c>
      <c r="K26" s="48" t="s">
        <v>191</v>
      </c>
      <c r="L26" s="17" t="s">
        <v>20</v>
      </c>
      <c r="M26" s="18"/>
      <c r="N26" s="18"/>
      <c r="O26" s="8"/>
    </row>
    <row r="27" spans="1:15" ht="28.8" customHeight="1" x14ac:dyDescent="0.3">
      <c r="A27" s="19" t="s">
        <v>105</v>
      </c>
      <c r="B27" s="20">
        <f>SUM(B28:B31)</f>
        <v>32517</v>
      </c>
      <c r="C27" s="21">
        <f>SUM(C28:C31)</f>
        <v>9286</v>
      </c>
      <c r="D27" s="22">
        <f t="shared" ref="D27:K27" si="7">SUM(D28:D31)</f>
        <v>7495</v>
      </c>
      <c r="E27" s="22">
        <f t="shared" si="7"/>
        <v>6918</v>
      </c>
      <c r="F27" s="22">
        <f t="shared" si="7"/>
        <v>12131</v>
      </c>
      <c r="G27" s="22">
        <f t="shared" si="7"/>
        <v>2368</v>
      </c>
      <c r="H27" s="22">
        <f t="shared" si="7"/>
        <v>193</v>
      </c>
      <c r="I27" s="22">
        <f t="shared" si="7"/>
        <v>12698</v>
      </c>
      <c r="J27" s="22">
        <f t="shared" si="7"/>
        <v>0</v>
      </c>
      <c r="K27" s="23">
        <f t="shared" si="7"/>
        <v>0</v>
      </c>
      <c r="L27" s="24" t="s">
        <v>104</v>
      </c>
      <c r="M27" s="18"/>
      <c r="N27" s="18"/>
      <c r="O27" s="8"/>
    </row>
    <row r="28" spans="1:15" x14ac:dyDescent="0.3">
      <c r="A28" s="14" t="s">
        <v>131</v>
      </c>
      <c r="B28" s="15">
        <f t="shared" ref="B28:B31" si="8">SUM(D28,F28,H28,I28,J28)</f>
        <v>15028</v>
      </c>
      <c r="C28" s="16">
        <f t="shared" ref="C28:C31" si="9">SUM(E28,G28,K28)</f>
        <v>4055</v>
      </c>
      <c r="D28" s="46">
        <v>3200</v>
      </c>
      <c r="E28" s="47">
        <v>2555</v>
      </c>
      <c r="F28" s="46">
        <v>6531</v>
      </c>
      <c r="G28" s="47">
        <v>1500</v>
      </c>
      <c r="H28" s="46">
        <v>138</v>
      </c>
      <c r="I28" s="47">
        <v>5159</v>
      </c>
      <c r="J28" s="46" t="s">
        <v>191</v>
      </c>
      <c r="K28" s="48" t="s">
        <v>191</v>
      </c>
      <c r="L28" s="17" t="s">
        <v>21</v>
      </c>
      <c r="M28" s="18"/>
      <c r="N28" s="18"/>
      <c r="O28" s="8"/>
    </row>
    <row r="29" spans="1:15" x14ac:dyDescent="0.3">
      <c r="A29" s="14" t="s">
        <v>132</v>
      </c>
      <c r="B29" s="15">
        <f t="shared" si="8"/>
        <v>5562</v>
      </c>
      <c r="C29" s="16">
        <f t="shared" si="9"/>
        <v>2310</v>
      </c>
      <c r="D29" s="46">
        <v>1552</v>
      </c>
      <c r="E29" s="47">
        <v>1910</v>
      </c>
      <c r="F29" s="46">
        <v>849</v>
      </c>
      <c r="G29" s="47">
        <v>400</v>
      </c>
      <c r="H29" s="46">
        <v>4</v>
      </c>
      <c r="I29" s="47">
        <v>3157</v>
      </c>
      <c r="J29" s="46" t="s">
        <v>191</v>
      </c>
      <c r="K29" s="48" t="s">
        <v>191</v>
      </c>
      <c r="L29" s="17" t="s">
        <v>22</v>
      </c>
      <c r="M29" s="18"/>
      <c r="N29" s="18"/>
      <c r="O29" s="8"/>
    </row>
    <row r="30" spans="1:15" x14ac:dyDescent="0.3">
      <c r="A30" s="14" t="s">
        <v>133</v>
      </c>
      <c r="B30" s="15">
        <f t="shared" si="8"/>
        <v>2871</v>
      </c>
      <c r="C30" s="16">
        <f t="shared" si="9"/>
        <v>431</v>
      </c>
      <c r="D30" s="46">
        <v>608</v>
      </c>
      <c r="E30" s="47">
        <v>352</v>
      </c>
      <c r="F30" s="46">
        <v>180</v>
      </c>
      <c r="G30" s="47">
        <v>79</v>
      </c>
      <c r="H30" s="46">
        <v>16</v>
      </c>
      <c r="I30" s="47">
        <v>2067</v>
      </c>
      <c r="J30" s="46" t="s">
        <v>191</v>
      </c>
      <c r="K30" s="48" t="s">
        <v>191</v>
      </c>
      <c r="L30" s="17" t="s">
        <v>23</v>
      </c>
      <c r="M30" s="18"/>
      <c r="N30" s="18"/>
      <c r="O30" s="8"/>
    </row>
    <row r="31" spans="1:15" x14ac:dyDescent="0.3">
      <c r="A31" s="14" t="s">
        <v>134</v>
      </c>
      <c r="B31" s="15">
        <f t="shared" si="8"/>
        <v>9056</v>
      </c>
      <c r="C31" s="16">
        <f t="shared" si="9"/>
        <v>2490</v>
      </c>
      <c r="D31" s="46">
        <v>2135</v>
      </c>
      <c r="E31" s="47">
        <v>2101</v>
      </c>
      <c r="F31" s="46">
        <v>4571</v>
      </c>
      <c r="G31" s="47">
        <v>389</v>
      </c>
      <c r="H31" s="46">
        <v>35</v>
      </c>
      <c r="I31" s="47">
        <v>2315</v>
      </c>
      <c r="J31" s="46" t="s">
        <v>191</v>
      </c>
      <c r="K31" s="48" t="s">
        <v>191</v>
      </c>
      <c r="L31" s="17" t="s">
        <v>24</v>
      </c>
      <c r="M31" s="18"/>
      <c r="N31" s="18"/>
      <c r="O31" s="8"/>
    </row>
    <row r="32" spans="1:15" x14ac:dyDescent="0.3">
      <c r="A32" s="91" t="s">
        <v>25</v>
      </c>
      <c r="B32" s="89">
        <f>SUM(B34:B37)</f>
        <v>57039</v>
      </c>
      <c r="C32" s="90">
        <f>SUM(C34:C37)</f>
        <v>9616</v>
      </c>
      <c r="D32" s="93">
        <f>SUM(D34:D37)</f>
        <v>9935</v>
      </c>
      <c r="E32" s="93">
        <f>SUM(E34:E37)</f>
        <v>5922</v>
      </c>
      <c r="F32" s="93">
        <f t="shared" ref="F32:K32" si="10">SUM(F34:F37)</f>
        <v>5996</v>
      </c>
      <c r="G32" s="93">
        <f t="shared" si="10"/>
        <v>3694</v>
      </c>
      <c r="H32" s="93">
        <f t="shared" si="10"/>
        <v>1485</v>
      </c>
      <c r="I32" s="93">
        <f t="shared" si="10"/>
        <v>39623</v>
      </c>
      <c r="J32" s="93">
        <f t="shared" si="10"/>
        <v>0</v>
      </c>
      <c r="K32" s="94">
        <f t="shared" si="10"/>
        <v>0</v>
      </c>
      <c r="L32" s="92" t="s">
        <v>26</v>
      </c>
      <c r="M32" s="92"/>
      <c r="N32" s="92"/>
      <c r="O32" s="8"/>
    </row>
    <row r="33" spans="1:15" x14ac:dyDescent="0.3">
      <c r="A33" s="91"/>
      <c r="B33" s="89"/>
      <c r="C33" s="90"/>
      <c r="D33" s="93"/>
      <c r="E33" s="93"/>
      <c r="F33" s="93"/>
      <c r="G33" s="93"/>
      <c r="H33" s="93"/>
      <c r="I33" s="93"/>
      <c r="J33" s="93"/>
      <c r="K33" s="94"/>
      <c r="L33" s="92"/>
      <c r="M33" s="92"/>
      <c r="N33" s="92"/>
      <c r="O33" s="8"/>
    </row>
    <row r="34" spans="1:15" x14ac:dyDescent="0.3">
      <c r="A34" s="14" t="s">
        <v>135</v>
      </c>
      <c r="B34" s="15">
        <f t="shared" ref="B34:B37" si="11">SUM(D34,F34,H34,I34,J34)</f>
        <v>17818</v>
      </c>
      <c r="C34" s="16">
        <f t="shared" ref="C34:C37" si="12">SUM(E34,G34,K34)</f>
        <v>3183</v>
      </c>
      <c r="D34" s="46">
        <v>3181</v>
      </c>
      <c r="E34" s="47">
        <v>1944</v>
      </c>
      <c r="F34" s="46">
        <v>2716</v>
      </c>
      <c r="G34" s="47">
        <v>1239</v>
      </c>
      <c r="H34" s="46">
        <v>474</v>
      </c>
      <c r="I34" s="47">
        <v>11447</v>
      </c>
      <c r="J34" s="46" t="s">
        <v>191</v>
      </c>
      <c r="K34" s="48" t="s">
        <v>191</v>
      </c>
      <c r="L34" s="17" t="s">
        <v>27</v>
      </c>
      <c r="M34" s="18"/>
      <c r="N34" s="18"/>
      <c r="O34" s="8"/>
    </row>
    <row r="35" spans="1:15" x14ac:dyDescent="0.3">
      <c r="A35" s="14" t="s">
        <v>136</v>
      </c>
      <c r="B35" s="15">
        <f t="shared" si="11"/>
        <v>3835</v>
      </c>
      <c r="C35" s="16">
        <f t="shared" si="12"/>
        <v>963</v>
      </c>
      <c r="D35" s="46">
        <v>864</v>
      </c>
      <c r="E35" s="47">
        <v>598</v>
      </c>
      <c r="F35" s="46">
        <v>769</v>
      </c>
      <c r="G35" s="47">
        <v>365</v>
      </c>
      <c r="H35" s="46">
        <v>4</v>
      </c>
      <c r="I35" s="47">
        <v>2198</v>
      </c>
      <c r="J35" s="46" t="s">
        <v>191</v>
      </c>
      <c r="K35" s="48" t="s">
        <v>191</v>
      </c>
      <c r="L35" s="17" t="s">
        <v>28</v>
      </c>
      <c r="M35" s="18"/>
      <c r="N35" s="18"/>
      <c r="O35" s="8"/>
    </row>
    <row r="36" spans="1:15" x14ac:dyDescent="0.3">
      <c r="A36" s="14" t="s">
        <v>137</v>
      </c>
      <c r="B36" s="15">
        <f t="shared" si="11"/>
        <v>23614</v>
      </c>
      <c r="C36" s="16">
        <f t="shared" si="12"/>
        <v>2483</v>
      </c>
      <c r="D36" s="46">
        <v>3562</v>
      </c>
      <c r="E36" s="47">
        <v>1489</v>
      </c>
      <c r="F36" s="46">
        <v>196</v>
      </c>
      <c r="G36" s="47">
        <v>994</v>
      </c>
      <c r="H36" s="46">
        <v>586</v>
      </c>
      <c r="I36" s="47">
        <v>19270</v>
      </c>
      <c r="J36" s="46" t="s">
        <v>191</v>
      </c>
      <c r="K36" s="48" t="s">
        <v>191</v>
      </c>
      <c r="L36" s="17" t="s">
        <v>29</v>
      </c>
      <c r="M36" s="18"/>
      <c r="N36" s="18"/>
      <c r="O36" s="8"/>
    </row>
    <row r="37" spans="1:15" x14ac:dyDescent="0.3">
      <c r="A37" s="14" t="s">
        <v>138</v>
      </c>
      <c r="B37" s="15">
        <f t="shared" si="11"/>
        <v>11772</v>
      </c>
      <c r="C37" s="16">
        <f t="shared" si="12"/>
        <v>2987</v>
      </c>
      <c r="D37" s="46">
        <v>2328</v>
      </c>
      <c r="E37" s="47">
        <v>1891</v>
      </c>
      <c r="F37" s="46">
        <v>2315</v>
      </c>
      <c r="G37" s="47">
        <v>1096</v>
      </c>
      <c r="H37" s="46">
        <v>421</v>
      </c>
      <c r="I37" s="47">
        <v>6708</v>
      </c>
      <c r="J37" s="46" t="s">
        <v>191</v>
      </c>
      <c r="K37" s="48" t="s">
        <v>191</v>
      </c>
      <c r="L37" s="17" t="s">
        <v>30</v>
      </c>
      <c r="M37" s="18"/>
      <c r="N37" s="18"/>
      <c r="O37" s="8"/>
    </row>
    <row r="38" spans="1:15" x14ac:dyDescent="0.3">
      <c r="A38" s="91" t="s">
        <v>31</v>
      </c>
      <c r="B38" s="89">
        <f>SUM(B40:B44)</f>
        <v>108969</v>
      </c>
      <c r="C38" s="90">
        <f>SUM(C40:C44)</f>
        <v>20976</v>
      </c>
      <c r="D38" s="93">
        <f t="shared" ref="D38" si="13">SUM(D40:D44)</f>
        <v>17570</v>
      </c>
      <c r="E38" s="93">
        <f t="shared" ref="E38:K38" si="14">SUM(E40:E44)</f>
        <v>16511</v>
      </c>
      <c r="F38" s="93">
        <f t="shared" si="14"/>
        <v>22551</v>
      </c>
      <c r="G38" s="93">
        <f t="shared" si="14"/>
        <v>4435</v>
      </c>
      <c r="H38" s="93">
        <f t="shared" si="14"/>
        <v>2477</v>
      </c>
      <c r="I38" s="93">
        <f t="shared" si="14"/>
        <v>66281</v>
      </c>
      <c r="J38" s="93">
        <f t="shared" si="14"/>
        <v>90</v>
      </c>
      <c r="K38" s="94">
        <f t="shared" si="14"/>
        <v>30</v>
      </c>
      <c r="L38" s="92" t="s">
        <v>32</v>
      </c>
      <c r="M38" s="92"/>
      <c r="N38" s="92"/>
      <c r="O38" s="8"/>
    </row>
    <row r="39" spans="1:15" x14ac:dyDescent="0.3">
      <c r="A39" s="91"/>
      <c r="B39" s="89"/>
      <c r="C39" s="90"/>
      <c r="D39" s="93"/>
      <c r="E39" s="93"/>
      <c r="F39" s="93"/>
      <c r="G39" s="93"/>
      <c r="H39" s="93"/>
      <c r="I39" s="93"/>
      <c r="J39" s="93"/>
      <c r="K39" s="94"/>
      <c r="L39" s="92"/>
      <c r="M39" s="92"/>
      <c r="N39" s="92"/>
      <c r="O39" s="8"/>
    </row>
    <row r="40" spans="1:15" x14ac:dyDescent="0.3">
      <c r="A40" s="14" t="s">
        <v>139</v>
      </c>
      <c r="B40" s="15">
        <f t="shared" ref="B40:B44" si="15">SUM(D40,F40,H40,I40,J40)</f>
        <v>53339</v>
      </c>
      <c r="C40" s="16">
        <f t="shared" ref="C40:C44" si="16">SUM(E40,G40,K40)</f>
        <v>9449</v>
      </c>
      <c r="D40" s="46">
        <v>8840</v>
      </c>
      <c r="E40" s="47">
        <v>7356</v>
      </c>
      <c r="F40" s="46">
        <v>17257</v>
      </c>
      <c r="G40" s="47">
        <v>2093</v>
      </c>
      <c r="H40" s="46">
        <v>286</v>
      </c>
      <c r="I40" s="47">
        <v>26956</v>
      </c>
      <c r="J40" s="46" t="s">
        <v>191</v>
      </c>
      <c r="K40" s="48" t="s">
        <v>191</v>
      </c>
      <c r="L40" s="17" t="s">
        <v>33</v>
      </c>
      <c r="M40" s="18"/>
      <c r="N40" s="18"/>
      <c r="O40" s="8"/>
    </row>
    <row r="41" spans="1:15" x14ac:dyDescent="0.3">
      <c r="A41" s="14" t="s">
        <v>140</v>
      </c>
      <c r="B41" s="15">
        <f t="shared" si="15"/>
        <v>3313</v>
      </c>
      <c r="C41" s="16">
        <f t="shared" si="16"/>
        <v>1934</v>
      </c>
      <c r="D41" s="46">
        <v>178</v>
      </c>
      <c r="E41" s="47">
        <v>1744</v>
      </c>
      <c r="F41" s="46">
        <v>1253</v>
      </c>
      <c r="G41" s="47">
        <v>190</v>
      </c>
      <c r="H41" s="46">
        <v>55</v>
      </c>
      <c r="I41" s="47">
        <v>1827</v>
      </c>
      <c r="J41" s="46" t="s">
        <v>191</v>
      </c>
      <c r="K41" s="48" t="s">
        <v>191</v>
      </c>
      <c r="L41" s="17" t="s">
        <v>34</v>
      </c>
      <c r="M41" s="18"/>
      <c r="N41" s="18"/>
      <c r="O41" s="8"/>
    </row>
    <row r="42" spans="1:15" x14ac:dyDescent="0.3">
      <c r="A42" s="14" t="s">
        <v>141</v>
      </c>
      <c r="B42" s="15">
        <f t="shared" si="15"/>
        <v>18849</v>
      </c>
      <c r="C42" s="16">
        <f t="shared" si="16"/>
        <v>3479</v>
      </c>
      <c r="D42" s="46">
        <v>3628</v>
      </c>
      <c r="E42" s="47">
        <v>2704</v>
      </c>
      <c r="F42" s="46">
        <v>1078</v>
      </c>
      <c r="G42" s="47">
        <v>775</v>
      </c>
      <c r="H42" s="46">
        <v>18</v>
      </c>
      <c r="I42" s="47">
        <v>14125</v>
      </c>
      <c r="J42" s="46" t="s">
        <v>191</v>
      </c>
      <c r="K42" s="48" t="s">
        <v>191</v>
      </c>
      <c r="L42" s="17" t="s">
        <v>35</v>
      </c>
      <c r="M42" s="18"/>
      <c r="N42" s="18"/>
      <c r="O42" s="8"/>
    </row>
    <row r="43" spans="1:15" x14ac:dyDescent="0.3">
      <c r="A43" s="14" t="s">
        <v>142</v>
      </c>
      <c r="B43" s="15">
        <f t="shared" si="15"/>
        <v>1</v>
      </c>
      <c r="C43" s="16">
        <f t="shared" si="16"/>
        <v>1</v>
      </c>
      <c r="D43" s="50" t="s">
        <v>191</v>
      </c>
      <c r="E43" s="51">
        <v>1</v>
      </c>
      <c r="F43" s="50">
        <v>1</v>
      </c>
      <c r="G43" s="51" t="s">
        <v>191</v>
      </c>
      <c r="H43" s="50" t="s">
        <v>191</v>
      </c>
      <c r="I43" s="47" t="s">
        <v>191</v>
      </c>
      <c r="J43" s="50" t="s">
        <v>191</v>
      </c>
      <c r="K43" s="48" t="s">
        <v>191</v>
      </c>
      <c r="L43" s="17" t="s">
        <v>36</v>
      </c>
      <c r="M43" s="18"/>
      <c r="N43" s="18"/>
      <c r="O43" s="8"/>
    </row>
    <row r="44" spans="1:15" x14ac:dyDescent="0.3">
      <c r="A44" s="14" t="s">
        <v>143</v>
      </c>
      <c r="B44" s="15">
        <f t="shared" si="15"/>
        <v>33467</v>
      </c>
      <c r="C44" s="16">
        <f t="shared" si="16"/>
        <v>6113</v>
      </c>
      <c r="D44" s="46">
        <v>4924</v>
      </c>
      <c r="E44" s="47">
        <v>4706</v>
      </c>
      <c r="F44" s="46">
        <v>2962</v>
      </c>
      <c r="G44" s="47">
        <v>1377</v>
      </c>
      <c r="H44" s="46">
        <v>2118</v>
      </c>
      <c r="I44" s="47">
        <v>23373</v>
      </c>
      <c r="J44" s="46">
        <v>90</v>
      </c>
      <c r="K44" s="49">
        <v>30</v>
      </c>
      <c r="L44" s="17" t="s">
        <v>37</v>
      </c>
      <c r="M44" s="18"/>
      <c r="N44" s="18"/>
      <c r="O44" s="8"/>
    </row>
    <row r="45" spans="1:15" x14ac:dyDescent="0.3">
      <c r="A45" s="91" t="s">
        <v>38</v>
      </c>
      <c r="B45" s="89">
        <f>SUM(B47:B51)</f>
        <v>28064</v>
      </c>
      <c r="C45" s="90">
        <f>SUM(C47:C51)</f>
        <v>7710</v>
      </c>
      <c r="D45" s="93">
        <f t="shared" ref="D45" si="17">SUM(D47:D51)</f>
        <v>4616</v>
      </c>
      <c r="E45" s="93">
        <f t="shared" ref="E45:K45" si="18">SUM(E47:E51)</f>
        <v>4657</v>
      </c>
      <c r="F45" s="93">
        <f t="shared" si="18"/>
        <v>5871</v>
      </c>
      <c r="G45" s="93">
        <f t="shared" si="18"/>
        <v>3053</v>
      </c>
      <c r="H45" s="93">
        <f t="shared" si="18"/>
        <v>2678</v>
      </c>
      <c r="I45" s="93">
        <f t="shared" si="18"/>
        <v>14899</v>
      </c>
      <c r="J45" s="93">
        <f t="shared" si="18"/>
        <v>0</v>
      </c>
      <c r="K45" s="94">
        <f t="shared" si="18"/>
        <v>0</v>
      </c>
      <c r="L45" s="92" t="s">
        <v>39</v>
      </c>
      <c r="M45" s="92"/>
      <c r="N45" s="92"/>
      <c r="O45" s="8"/>
    </row>
    <row r="46" spans="1:15" x14ac:dyDescent="0.3">
      <c r="A46" s="91"/>
      <c r="B46" s="89"/>
      <c r="C46" s="90"/>
      <c r="D46" s="93"/>
      <c r="E46" s="93"/>
      <c r="F46" s="93"/>
      <c r="G46" s="93"/>
      <c r="H46" s="93"/>
      <c r="I46" s="93"/>
      <c r="J46" s="93"/>
      <c r="K46" s="94"/>
      <c r="L46" s="92"/>
      <c r="M46" s="92"/>
      <c r="N46" s="92"/>
      <c r="O46" s="8"/>
    </row>
    <row r="47" spans="1:15" x14ac:dyDescent="0.3">
      <c r="A47" s="14" t="s">
        <v>144</v>
      </c>
      <c r="B47" s="15">
        <f t="shared" ref="B47:B51" si="19">SUM(D47,F47,H47,I47,J47)</f>
        <v>9407</v>
      </c>
      <c r="C47" s="16">
        <f t="shared" ref="C47:C51" si="20">SUM(E47,G47,K47)</f>
        <v>2361</v>
      </c>
      <c r="D47" s="46">
        <v>1395</v>
      </c>
      <c r="E47" s="47">
        <v>1417</v>
      </c>
      <c r="F47" s="46">
        <v>1862</v>
      </c>
      <c r="G47" s="47">
        <v>944</v>
      </c>
      <c r="H47" s="46">
        <v>2281</v>
      </c>
      <c r="I47" s="47">
        <v>3869</v>
      </c>
      <c r="J47" s="46" t="s">
        <v>191</v>
      </c>
      <c r="K47" s="48" t="s">
        <v>191</v>
      </c>
      <c r="L47" s="17" t="s">
        <v>40</v>
      </c>
      <c r="M47" s="18"/>
      <c r="N47" s="18"/>
      <c r="O47" s="8"/>
    </row>
    <row r="48" spans="1:15" x14ac:dyDescent="0.3">
      <c r="A48" s="14" t="s">
        <v>145</v>
      </c>
      <c r="B48" s="15">
        <f t="shared" si="19"/>
        <v>7251</v>
      </c>
      <c r="C48" s="16">
        <f t="shared" si="20"/>
        <v>970</v>
      </c>
      <c r="D48" s="46">
        <v>1305</v>
      </c>
      <c r="E48" s="47">
        <v>697</v>
      </c>
      <c r="F48" s="46">
        <v>3381</v>
      </c>
      <c r="G48" s="47">
        <v>273</v>
      </c>
      <c r="H48" s="46">
        <v>134</v>
      </c>
      <c r="I48" s="47">
        <v>2431</v>
      </c>
      <c r="J48" s="46" t="s">
        <v>191</v>
      </c>
      <c r="K48" s="48" t="s">
        <v>191</v>
      </c>
      <c r="L48" s="17" t="s">
        <v>41</v>
      </c>
      <c r="M48" s="18"/>
      <c r="N48" s="18"/>
      <c r="O48" s="8"/>
    </row>
    <row r="49" spans="1:15" x14ac:dyDescent="0.3">
      <c r="A49" s="14" t="s">
        <v>146</v>
      </c>
      <c r="B49" s="15">
        <f t="shared" si="19"/>
        <v>1529</v>
      </c>
      <c r="C49" s="16">
        <f t="shared" si="20"/>
        <v>2070</v>
      </c>
      <c r="D49" s="46">
        <v>283</v>
      </c>
      <c r="E49" s="47">
        <v>1574</v>
      </c>
      <c r="F49" s="46">
        <v>468</v>
      </c>
      <c r="G49" s="47">
        <v>496</v>
      </c>
      <c r="H49" s="46">
        <v>31</v>
      </c>
      <c r="I49" s="47">
        <v>747</v>
      </c>
      <c r="J49" s="46" t="s">
        <v>191</v>
      </c>
      <c r="K49" s="48" t="s">
        <v>191</v>
      </c>
      <c r="L49" s="17" t="s">
        <v>42</v>
      </c>
      <c r="M49" s="18"/>
      <c r="N49" s="18"/>
      <c r="O49" s="8"/>
    </row>
    <row r="50" spans="1:15" x14ac:dyDescent="0.3">
      <c r="A50" s="14" t="s">
        <v>147</v>
      </c>
      <c r="B50" s="15">
        <f t="shared" si="19"/>
        <v>3376</v>
      </c>
      <c r="C50" s="16">
        <f t="shared" si="20"/>
        <v>755</v>
      </c>
      <c r="D50" s="46">
        <v>583</v>
      </c>
      <c r="E50" s="47">
        <v>386</v>
      </c>
      <c r="F50" s="46">
        <v>5</v>
      </c>
      <c r="G50" s="47">
        <v>369</v>
      </c>
      <c r="H50" s="46" t="s">
        <v>191</v>
      </c>
      <c r="I50" s="47">
        <v>2788</v>
      </c>
      <c r="J50" s="46" t="s">
        <v>191</v>
      </c>
      <c r="K50" s="48" t="s">
        <v>191</v>
      </c>
      <c r="L50" s="17" t="s">
        <v>43</v>
      </c>
      <c r="M50" s="18"/>
      <c r="N50" s="18"/>
      <c r="O50" s="8"/>
    </row>
    <row r="51" spans="1:15" x14ac:dyDescent="0.3">
      <c r="A51" s="14" t="s">
        <v>148</v>
      </c>
      <c r="B51" s="15">
        <f t="shared" si="19"/>
        <v>6501</v>
      </c>
      <c r="C51" s="16">
        <f t="shared" si="20"/>
        <v>1554</v>
      </c>
      <c r="D51" s="46">
        <v>1050</v>
      </c>
      <c r="E51" s="47">
        <v>583</v>
      </c>
      <c r="F51" s="46">
        <v>155</v>
      </c>
      <c r="G51" s="47">
        <v>971</v>
      </c>
      <c r="H51" s="46">
        <v>232</v>
      </c>
      <c r="I51" s="47">
        <v>5064</v>
      </c>
      <c r="J51" s="46" t="s">
        <v>191</v>
      </c>
      <c r="K51" s="48" t="s">
        <v>191</v>
      </c>
      <c r="L51" s="17" t="s">
        <v>44</v>
      </c>
      <c r="M51" s="18"/>
      <c r="N51" s="18"/>
      <c r="O51" s="8"/>
    </row>
    <row r="52" spans="1:15" x14ac:dyDescent="0.3">
      <c r="A52" s="91" t="s">
        <v>45</v>
      </c>
      <c r="B52" s="89">
        <f>SUM(B54:B58)</f>
        <v>3926</v>
      </c>
      <c r="C52" s="90">
        <f>SUM(C54:C58)</f>
        <v>1664</v>
      </c>
      <c r="D52" s="93">
        <f t="shared" ref="D52" si="21">SUM(D54:D58)</f>
        <v>520</v>
      </c>
      <c r="E52" s="93">
        <f t="shared" ref="E52:K52" si="22">SUM(E54:E58)</f>
        <v>584</v>
      </c>
      <c r="F52" s="93">
        <f t="shared" si="22"/>
        <v>573</v>
      </c>
      <c r="G52" s="93">
        <f t="shared" si="22"/>
        <v>1080</v>
      </c>
      <c r="H52" s="93">
        <f t="shared" si="22"/>
        <v>265</v>
      </c>
      <c r="I52" s="93">
        <f t="shared" si="22"/>
        <v>2568</v>
      </c>
      <c r="J52" s="93">
        <f t="shared" si="22"/>
        <v>0</v>
      </c>
      <c r="K52" s="94">
        <f t="shared" si="22"/>
        <v>0</v>
      </c>
      <c r="L52" s="92" t="s">
        <v>46</v>
      </c>
      <c r="M52" s="92"/>
      <c r="N52" s="92"/>
      <c r="O52" s="8"/>
    </row>
    <row r="53" spans="1:15" x14ac:dyDescent="0.3">
      <c r="A53" s="91"/>
      <c r="B53" s="89"/>
      <c r="C53" s="90"/>
      <c r="D53" s="93"/>
      <c r="E53" s="93"/>
      <c r="F53" s="93"/>
      <c r="G53" s="93"/>
      <c r="H53" s="93"/>
      <c r="I53" s="93"/>
      <c r="J53" s="93"/>
      <c r="K53" s="94"/>
      <c r="L53" s="92"/>
      <c r="M53" s="92"/>
      <c r="N53" s="92"/>
      <c r="O53" s="8"/>
    </row>
    <row r="54" spans="1:15" x14ac:dyDescent="0.3">
      <c r="A54" s="14" t="s">
        <v>149</v>
      </c>
      <c r="B54" s="15">
        <f t="shared" ref="B54:B58" si="23">SUM(D54,F54,H54,I54,J54)</f>
        <v>637</v>
      </c>
      <c r="C54" s="16">
        <f t="shared" ref="C54:C58" si="24">SUM(E54,G54,K54)</f>
        <v>104</v>
      </c>
      <c r="D54" s="46">
        <v>84</v>
      </c>
      <c r="E54" s="47">
        <v>31</v>
      </c>
      <c r="F54" s="46">
        <v>397</v>
      </c>
      <c r="G54" s="47">
        <v>73</v>
      </c>
      <c r="H54" s="46">
        <v>26</v>
      </c>
      <c r="I54" s="47">
        <v>130</v>
      </c>
      <c r="J54" s="46" t="s">
        <v>191</v>
      </c>
      <c r="K54" s="48" t="s">
        <v>191</v>
      </c>
      <c r="L54" s="17" t="s">
        <v>47</v>
      </c>
      <c r="M54" s="18"/>
      <c r="N54" s="18"/>
      <c r="O54" s="8"/>
    </row>
    <row r="55" spans="1:15" x14ac:dyDescent="0.3">
      <c r="A55" s="14" t="s">
        <v>150</v>
      </c>
      <c r="B55" s="15">
        <f t="shared" si="23"/>
        <v>366</v>
      </c>
      <c r="C55" s="16">
        <f t="shared" si="24"/>
        <v>532</v>
      </c>
      <c r="D55" s="46">
        <v>85</v>
      </c>
      <c r="E55" s="47">
        <v>170</v>
      </c>
      <c r="F55" s="46">
        <v>60</v>
      </c>
      <c r="G55" s="47">
        <v>362</v>
      </c>
      <c r="H55" s="46">
        <v>2</v>
      </c>
      <c r="I55" s="47">
        <v>219</v>
      </c>
      <c r="J55" s="46" t="s">
        <v>191</v>
      </c>
      <c r="K55" s="48" t="s">
        <v>191</v>
      </c>
      <c r="L55" s="17" t="s">
        <v>48</v>
      </c>
      <c r="M55" s="18"/>
      <c r="N55" s="18"/>
      <c r="O55" s="8"/>
    </row>
    <row r="56" spans="1:15" x14ac:dyDescent="0.3">
      <c r="A56" s="14" t="s">
        <v>151</v>
      </c>
      <c r="B56" s="15">
        <f t="shared" si="23"/>
        <v>73</v>
      </c>
      <c r="C56" s="16">
        <f t="shared" si="24"/>
        <v>26</v>
      </c>
      <c r="D56" s="46">
        <v>4</v>
      </c>
      <c r="E56" s="47">
        <v>2</v>
      </c>
      <c r="F56" s="46" t="s">
        <v>191</v>
      </c>
      <c r="G56" s="47">
        <v>24</v>
      </c>
      <c r="H56" s="46">
        <v>52</v>
      </c>
      <c r="I56" s="51">
        <v>17</v>
      </c>
      <c r="J56" s="46" t="s">
        <v>191</v>
      </c>
      <c r="K56" s="48" t="s">
        <v>191</v>
      </c>
      <c r="L56" s="17" t="s">
        <v>49</v>
      </c>
      <c r="M56" s="18"/>
      <c r="N56" s="18"/>
      <c r="O56" s="8"/>
    </row>
    <row r="57" spans="1:15" x14ac:dyDescent="0.3">
      <c r="A57" s="14" t="s">
        <v>152</v>
      </c>
      <c r="B57" s="15">
        <f t="shared" si="23"/>
        <v>2117</v>
      </c>
      <c r="C57" s="16">
        <f t="shared" si="24"/>
        <v>554</v>
      </c>
      <c r="D57" s="46">
        <v>127</v>
      </c>
      <c r="E57" s="47">
        <v>136</v>
      </c>
      <c r="F57" s="46">
        <v>77</v>
      </c>
      <c r="G57" s="47">
        <v>418</v>
      </c>
      <c r="H57" s="46">
        <v>185</v>
      </c>
      <c r="I57" s="47">
        <v>1728</v>
      </c>
      <c r="J57" s="46" t="s">
        <v>191</v>
      </c>
      <c r="K57" s="48" t="s">
        <v>191</v>
      </c>
      <c r="L57" s="17" t="s">
        <v>50</v>
      </c>
      <c r="M57" s="18"/>
      <c r="N57" s="18"/>
      <c r="O57" s="8"/>
    </row>
    <row r="58" spans="1:15" x14ac:dyDescent="0.3">
      <c r="A58" s="14" t="s">
        <v>153</v>
      </c>
      <c r="B58" s="15">
        <f t="shared" si="23"/>
        <v>733</v>
      </c>
      <c r="C58" s="16">
        <f t="shared" si="24"/>
        <v>448</v>
      </c>
      <c r="D58" s="46">
        <v>220</v>
      </c>
      <c r="E58" s="47">
        <v>245</v>
      </c>
      <c r="F58" s="46">
        <v>39</v>
      </c>
      <c r="G58" s="47">
        <v>203</v>
      </c>
      <c r="H58" s="46" t="s">
        <v>191</v>
      </c>
      <c r="I58" s="47">
        <v>474</v>
      </c>
      <c r="J58" s="46" t="s">
        <v>191</v>
      </c>
      <c r="K58" s="48" t="s">
        <v>191</v>
      </c>
      <c r="L58" s="17" t="s">
        <v>51</v>
      </c>
      <c r="M58" s="18"/>
      <c r="N58" s="18"/>
      <c r="O58" s="8"/>
    </row>
    <row r="59" spans="1:15" x14ac:dyDescent="0.3">
      <c r="A59" s="91" t="s">
        <v>52</v>
      </c>
      <c r="B59" s="89">
        <f>SUM(B61:B63)</f>
        <v>31432</v>
      </c>
      <c r="C59" s="90">
        <f>SUM(C61:C63)</f>
        <v>7499</v>
      </c>
      <c r="D59" s="93">
        <f t="shared" ref="D59" si="25">SUM(D61:D63)</f>
        <v>4107</v>
      </c>
      <c r="E59" s="93">
        <f t="shared" ref="E59:K59" si="26">SUM(E61:E63)</f>
        <v>2988</v>
      </c>
      <c r="F59" s="93">
        <f t="shared" si="26"/>
        <v>5139</v>
      </c>
      <c r="G59" s="93">
        <f t="shared" si="26"/>
        <v>4511</v>
      </c>
      <c r="H59" s="93">
        <f t="shared" si="26"/>
        <v>1999</v>
      </c>
      <c r="I59" s="93">
        <f t="shared" si="26"/>
        <v>20187</v>
      </c>
      <c r="J59" s="93">
        <f t="shared" si="26"/>
        <v>0</v>
      </c>
      <c r="K59" s="94">
        <f t="shared" si="26"/>
        <v>0</v>
      </c>
      <c r="L59" s="92" t="s">
        <v>53</v>
      </c>
      <c r="M59" s="92"/>
      <c r="N59" s="92"/>
      <c r="O59" s="8"/>
    </row>
    <row r="60" spans="1:15" x14ac:dyDescent="0.3">
      <c r="A60" s="91"/>
      <c r="B60" s="89"/>
      <c r="C60" s="90"/>
      <c r="D60" s="93"/>
      <c r="E60" s="93"/>
      <c r="F60" s="93"/>
      <c r="G60" s="93"/>
      <c r="H60" s="93"/>
      <c r="I60" s="93"/>
      <c r="J60" s="93"/>
      <c r="K60" s="94"/>
      <c r="L60" s="92"/>
      <c r="M60" s="92"/>
      <c r="N60" s="92"/>
      <c r="O60" s="8"/>
    </row>
    <row r="61" spans="1:15" x14ac:dyDescent="0.3">
      <c r="A61" s="14" t="s">
        <v>154</v>
      </c>
      <c r="B61" s="15">
        <f t="shared" ref="B61:B63" si="27">SUM(D61,F61,H61,I61,J61)</f>
        <v>4662</v>
      </c>
      <c r="C61" s="16">
        <f t="shared" ref="C61:C63" si="28">SUM(E61,G61,K61)</f>
        <v>696</v>
      </c>
      <c r="D61" s="46">
        <v>359</v>
      </c>
      <c r="E61" s="47">
        <v>264</v>
      </c>
      <c r="F61" s="46">
        <v>2406</v>
      </c>
      <c r="G61" s="47">
        <v>432</v>
      </c>
      <c r="H61" s="46">
        <v>42</v>
      </c>
      <c r="I61" s="47">
        <v>1855</v>
      </c>
      <c r="J61" s="46" t="s">
        <v>191</v>
      </c>
      <c r="K61" s="48" t="s">
        <v>191</v>
      </c>
      <c r="L61" s="17" t="s">
        <v>54</v>
      </c>
      <c r="M61" s="18"/>
      <c r="N61" s="18"/>
      <c r="O61" s="8"/>
    </row>
    <row r="62" spans="1:15" x14ac:dyDescent="0.3">
      <c r="A62" s="14" t="s">
        <v>155</v>
      </c>
      <c r="B62" s="15">
        <f t="shared" si="27"/>
        <v>22825</v>
      </c>
      <c r="C62" s="16">
        <f t="shared" si="28"/>
        <v>4866</v>
      </c>
      <c r="D62" s="46">
        <v>3208</v>
      </c>
      <c r="E62" s="47">
        <v>1412</v>
      </c>
      <c r="F62" s="46" t="s">
        <v>191</v>
      </c>
      <c r="G62" s="47">
        <v>3454</v>
      </c>
      <c r="H62" s="46">
        <v>1918</v>
      </c>
      <c r="I62" s="47">
        <v>17699</v>
      </c>
      <c r="J62" s="46" t="s">
        <v>191</v>
      </c>
      <c r="K62" s="48" t="s">
        <v>191</v>
      </c>
      <c r="L62" s="17" t="s">
        <v>55</v>
      </c>
      <c r="M62" s="18"/>
      <c r="N62" s="18"/>
      <c r="O62" s="8"/>
    </row>
    <row r="63" spans="1:15" x14ac:dyDescent="0.3">
      <c r="A63" s="14" t="s">
        <v>156</v>
      </c>
      <c r="B63" s="15">
        <f t="shared" si="27"/>
        <v>3945</v>
      </c>
      <c r="C63" s="16">
        <f t="shared" si="28"/>
        <v>1937</v>
      </c>
      <c r="D63" s="46">
        <v>540</v>
      </c>
      <c r="E63" s="47">
        <v>1312</v>
      </c>
      <c r="F63" s="46">
        <v>2733</v>
      </c>
      <c r="G63" s="47">
        <v>625</v>
      </c>
      <c r="H63" s="46">
        <v>39</v>
      </c>
      <c r="I63" s="47">
        <v>633</v>
      </c>
      <c r="J63" s="46" t="s">
        <v>191</v>
      </c>
      <c r="K63" s="48" t="s">
        <v>191</v>
      </c>
      <c r="L63" s="17" t="s">
        <v>56</v>
      </c>
      <c r="M63" s="18"/>
      <c r="N63" s="18"/>
      <c r="O63" s="8"/>
    </row>
    <row r="64" spans="1:15" x14ac:dyDescent="0.3">
      <c r="A64" s="91" t="s">
        <v>57</v>
      </c>
      <c r="B64" s="89">
        <f>SUM(B66:B70)</f>
        <v>10958</v>
      </c>
      <c r="C64" s="90">
        <f>SUM(C66:C70)</f>
        <v>3697</v>
      </c>
      <c r="D64" s="93">
        <f t="shared" ref="D64" si="29">SUM(D66:D70)</f>
        <v>2062</v>
      </c>
      <c r="E64" s="93">
        <f t="shared" ref="E64:K64" si="30">SUM(E66:E70)</f>
        <v>2001</v>
      </c>
      <c r="F64" s="93">
        <f t="shared" si="30"/>
        <v>1267</v>
      </c>
      <c r="G64" s="93">
        <f t="shared" si="30"/>
        <v>1696</v>
      </c>
      <c r="H64" s="93">
        <f t="shared" si="30"/>
        <v>1973</v>
      </c>
      <c r="I64" s="93">
        <f t="shared" si="30"/>
        <v>5656</v>
      </c>
      <c r="J64" s="93">
        <f t="shared" si="30"/>
        <v>0</v>
      </c>
      <c r="K64" s="94">
        <f t="shared" si="30"/>
        <v>0</v>
      </c>
      <c r="L64" s="92" t="s">
        <v>58</v>
      </c>
      <c r="M64" s="92"/>
      <c r="N64" s="92"/>
      <c r="O64" s="8"/>
    </row>
    <row r="65" spans="1:15" x14ac:dyDescent="0.3">
      <c r="A65" s="91"/>
      <c r="B65" s="89"/>
      <c r="C65" s="90"/>
      <c r="D65" s="93"/>
      <c r="E65" s="93"/>
      <c r="F65" s="93"/>
      <c r="G65" s="93"/>
      <c r="H65" s="93"/>
      <c r="I65" s="93"/>
      <c r="J65" s="93"/>
      <c r="K65" s="94"/>
      <c r="L65" s="92"/>
      <c r="M65" s="92"/>
      <c r="N65" s="92"/>
      <c r="O65" s="8"/>
    </row>
    <row r="66" spans="1:15" x14ac:dyDescent="0.3">
      <c r="A66" s="14" t="s">
        <v>157</v>
      </c>
      <c r="B66" s="15">
        <f t="shared" ref="B66:B70" si="31">SUM(D66,F66,H66,I66,J66)</f>
        <v>1620</v>
      </c>
      <c r="C66" s="16">
        <f t="shared" ref="C66:C70" si="32">SUM(E66,G66,K66)</f>
        <v>608</v>
      </c>
      <c r="D66" s="46">
        <v>442</v>
      </c>
      <c r="E66" s="47">
        <v>357</v>
      </c>
      <c r="F66" s="46">
        <v>15</v>
      </c>
      <c r="G66" s="47">
        <v>251</v>
      </c>
      <c r="H66" s="46">
        <v>313</v>
      </c>
      <c r="I66" s="47">
        <v>850</v>
      </c>
      <c r="J66" s="46" t="s">
        <v>191</v>
      </c>
      <c r="K66" s="48" t="s">
        <v>191</v>
      </c>
      <c r="L66" s="17" t="s">
        <v>59</v>
      </c>
      <c r="M66" s="18"/>
      <c r="N66" s="18"/>
      <c r="O66" s="8"/>
    </row>
    <row r="67" spans="1:15" x14ac:dyDescent="0.3">
      <c r="A67" s="14" t="s">
        <v>158</v>
      </c>
      <c r="B67" s="15">
        <f t="shared" si="31"/>
        <v>719</v>
      </c>
      <c r="C67" s="16">
        <f t="shared" si="32"/>
        <v>113</v>
      </c>
      <c r="D67" s="46">
        <v>52</v>
      </c>
      <c r="E67" s="47">
        <v>45</v>
      </c>
      <c r="F67" s="46">
        <v>474</v>
      </c>
      <c r="G67" s="47">
        <v>68</v>
      </c>
      <c r="H67" s="46">
        <v>40</v>
      </c>
      <c r="I67" s="47">
        <v>153</v>
      </c>
      <c r="J67" s="46" t="s">
        <v>191</v>
      </c>
      <c r="K67" s="48" t="s">
        <v>191</v>
      </c>
      <c r="L67" s="17" t="s">
        <v>60</v>
      </c>
      <c r="M67" s="18"/>
      <c r="N67" s="18"/>
      <c r="O67" s="8"/>
    </row>
    <row r="68" spans="1:15" x14ac:dyDescent="0.3">
      <c r="A68" s="14" t="s">
        <v>159</v>
      </c>
      <c r="B68" s="15">
        <f t="shared" si="31"/>
        <v>587</v>
      </c>
      <c r="C68" s="16">
        <f t="shared" si="32"/>
        <v>262</v>
      </c>
      <c r="D68" s="46">
        <v>124</v>
      </c>
      <c r="E68" s="47">
        <v>148</v>
      </c>
      <c r="F68" s="46">
        <v>140</v>
      </c>
      <c r="G68" s="47">
        <v>114</v>
      </c>
      <c r="H68" s="46">
        <v>5</v>
      </c>
      <c r="I68" s="47">
        <v>318</v>
      </c>
      <c r="J68" s="46" t="s">
        <v>191</v>
      </c>
      <c r="K68" s="48" t="s">
        <v>191</v>
      </c>
      <c r="L68" s="17" t="s">
        <v>61</v>
      </c>
      <c r="M68" s="18"/>
      <c r="N68" s="18"/>
      <c r="O68" s="8"/>
    </row>
    <row r="69" spans="1:15" x14ac:dyDescent="0.3">
      <c r="A69" s="14" t="s">
        <v>160</v>
      </c>
      <c r="B69" s="15">
        <f t="shared" si="31"/>
        <v>4878</v>
      </c>
      <c r="C69" s="16">
        <f t="shared" si="32"/>
        <v>1460</v>
      </c>
      <c r="D69" s="46">
        <v>1009</v>
      </c>
      <c r="E69" s="47">
        <v>736</v>
      </c>
      <c r="F69" s="46">
        <v>499</v>
      </c>
      <c r="G69" s="47">
        <v>724</v>
      </c>
      <c r="H69" s="46">
        <v>1050</v>
      </c>
      <c r="I69" s="47">
        <v>2320</v>
      </c>
      <c r="J69" s="46" t="s">
        <v>191</v>
      </c>
      <c r="K69" s="48" t="s">
        <v>191</v>
      </c>
      <c r="L69" s="17" t="s">
        <v>62</v>
      </c>
      <c r="M69" s="18"/>
      <c r="N69" s="18"/>
      <c r="O69" s="8"/>
    </row>
    <row r="70" spans="1:15" x14ac:dyDescent="0.3">
      <c r="A70" s="14" t="s">
        <v>161</v>
      </c>
      <c r="B70" s="15">
        <f t="shared" si="31"/>
        <v>3154</v>
      </c>
      <c r="C70" s="16">
        <f t="shared" si="32"/>
        <v>1254</v>
      </c>
      <c r="D70" s="46">
        <v>435</v>
      </c>
      <c r="E70" s="47">
        <v>715</v>
      </c>
      <c r="F70" s="46">
        <v>139</v>
      </c>
      <c r="G70" s="47">
        <v>539</v>
      </c>
      <c r="H70" s="46">
        <v>565</v>
      </c>
      <c r="I70" s="47">
        <v>2015</v>
      </c>
      <c r="J70" s="46" t="s">
        <v>191</v>
      </c>
      <c r="K70" s="48" t="s">
        <v>191</v>
      </c>
      <c r="L70" s="17" t="s">
        <v>63</v>
      </c>
      <c r="M70" s="18"/>
      <c r="N70" s="18"/>
      <c r="O70" s="8"/>
    </row>
    <row r="71" spans="1:15" x14ac:dyDescent="0.3">
      <c r="A71" s="91" t="s">
        <v>64</v>
      </c>
      <c r="B71" s="89">
        <f>SUM(B73:B80)</f>
        <v>5122</v>
      </c>
      <c r="C71" s="90">
        <f>SUM(C73:C80)</f>
        <v>403</v>
      </c>
      <c r="D71" s="93">
        <f t="shared" ref="D71" si="33">SUM(D73:D80)</f>
        <v>813</v>
      </c>
      <c r="E71" s="93">
        <f t="shared" ref="E71:K71" si="34">SUM(E73:E80)</f>
        <v>296</v>
      </c>
      <c r="F71" s="93">
        <f t="shared" si="34"/>
        <v>3797</v>
      </c>
      <c r="G71" s="93">
        <f t="shared" si="34"/>
        <v>107</v>
      </c>
      <c r="H71" s="93">
        <f t="shared" si="34"/>
        <v>342</v>
      </c>
      <c r="I71" s="93">
        <f t="shared" si="34"/>
        <v>170</v>
      </c>
      <c r="J71" s="93">
        <f t="shared" si="34"/>
        <v>0</v>
      </c>
      <c r="K71" s="94">
        <f t="shared" si="34"/>
        <v>0</v>
      </c>
      <c r="L71" s="92" t="s">
        <v>65</v>
      </c>
      <c r="M71" s="92"/>
      <c r="N71" s="92"/>
      <c r="O71" s="8"/>
    </row>
    <row r="72" spans="1:15" x14ac:dyDescent="0.3">
      <c r="A72" s="91"/>
      <c r="B72" s="89"/>
      <c r="C72" s="90"/>
      <c r="D72" s="93"/>
      <c r="E72" s="93"/>
      <c r="F72" s="93"/>
      <c r="G72" s="93"/>
      <c r="H72" s="93"/>
      <c r="I72" s="93"/>
      <c r="J72" s="93"/>
      <c r="K72" s="94"/>
      <c r="L72" s="92"/>
      <c r="M72" s="92"/>
      <c r="N72" s="92"/>
      <c r="O72" s="8"/>
    </row>
    <row r="73" spans="1:15" x14ac:dyDescent="0.3">
      <c r="A73" s="25" t="s">
        <v>110</v>
      </c>
      <c r="B73" s="15">
        <f t="shared" ref="B73:B80" si="35">SUM(D73,F73,H73,I73,J73)</f>
        <v>0</v>
      </c>
      <c r="C73" s="16">
        <f t="shared" ref="C73:C80" si="36">SUM(E73,G73,K73)</f>
        <v>0</v>
      </c>
      <c r="D73" s="46" t="s">
        <v>191</v>
      </c>
      <c r="E73" s="47" t="s">
        <v>191</v>
      </c>
      <c r="F73" s="46" t="s">
        <v>191</v>
      </c>
      <c r="G73" s="47" t="s">
        <v>191</v>
      </c>
      <c r="H73" s="46" t="s">
        <v>191</v>
      </c>
      <c r="I73" s="47" t="s">
        <v>191</v>
      </c>
      <c r="J73" s="46" t="s">
        <v>191</v>
      </c>
      <c r="K73" s="48" t="s">
        <v>191</v>
      </c>
      <c r="L73" s="17" t="s">
        <v>66</v>
      </c>
      <c r="M73" s="18"/>
      <c r="N73" s="18"/>
      <c r="O73" s="8"/>
    </row>
    <row r="74" spans="1:15" x14ac:dyDescent="0.3">
      <c r="A74" s="25" t="s">
        <v>111</v>
      </c>
      <c r="B74" s="15">
        <f t="shared" si="35"/>
        <v>0</v>
      </c>
      <c r="C74" s="16">
        <f t="shared" si="36"/>
        <v>0</v>
      </c>
      <c r="D74" s="46" t="s">
        <v>191</v>
      </c>
      <c r="E74" s="47" t="s">
        <v>191</v>
      </c>
      <c r="F74" s="46" t="s">
        <v>191</v>
      </c>
      <c r="G74" s="47" t="s">
        <v>191</v>
      </c>
      <c r="H74" s="46" t="s">
        <v>191</v>
      </c>
      <c r="I74" s="47" t="s">
        <v>191</v>
      </c>
      <c r="J74" s="46" t="s">
        <v>191</v>
      </c>
      <c r="K74" s="48" t="s">
        <v>191</v>
      </c>
      <c r="L74" s="17" t="s">
        <v>67</v>
      </c>
      <c r="M74" s="18"/>
      <c r="N74" s="18"/>
      <c r="O74" s="8"/>
    </row>
    <row r="75" spans="1:15" x14ac:dyDescent="0.3">
      <c r="A75" s="25" t="s">
        <v>112</v>
      </c>
      <c r="B75" s="15">
        <f t="shared" si="35"/>
        <v>0</v>
      </c>
      <c r="C75" s="16">
        <f t="shared" si="36"/>
        <v>0</v>
      </c>
      <c r="D75" s="46" t="s">
        <v>191</v>
      </c>
      <c r="E75" s="47" t="s">
        <v>191</v>
      </c>
      <c r="F75" s="46" t="s">
        <v>191</v>
      </c>
      <c r="G75" s="47" t="s">
        <v>191</v>
      </c>
      <c r="H75" s="46" t="s">
        <v>191</v>
      </c>
      <c r="I75" s="47" t="s">
        <v>191</v>
      </c>
      <c r="J75" s="46" t="s">
        <v>191</v>
      </c>
      <c r="K75" s="48" t="s">
        <v>191</v>
      </c>
      <c r="L75" s="17" t="s">
        <v>68</v>
      </c>
      <c r="M75" s="18"/>
      <c r="N75" s="18"/>
      <c r="O75" s="8"/>
    </row>
    <row r="76" spans="1:15" x14ac:dyDescent="0.3">
      <c r="A76" s="25" t="s">
        <v>113</v>
      </c>
      <c r="B76" s="15">
        <f t="shared" si="35"/>
        <v>0</v>
      </c>
      <c r="C76" s="16">
        <f t="shared" si="36"/>
        <v>0</v>
      </c>
      <c r="D76" s="46" t="s">
        <v>191</v>
      </c>
      <c r="E76" s="47" t="s">
        <v>191</v>
      </c>
      <c r="F76" s="46" t="s">
        <v>191</v>
      </c>
      <c r="G76" s="47" t="s">
        <v>191</v>
      </c>
      <c r="H76" s="46" t="s">
        <v>191</v>
      </c>
      <c r="I76" s="47" t="s">
        <v>191</v>
      </c>
      <c r="J76" s="46" t="s">
        <v>191</v>
      </c>
      <c r="K76" s="48" t="s">
        <v>191</v>
      </c>
      <c r="L76" s="17" t="s">
        <v>69</v>
      </c>
      <c r="M76" s="18"/>
      <c r="N76" s="18"/>
      <c r="O76" s="8"/>
    </row>
    <row r="77" spans="1:15" x14ac:dyDescent="0.3">
      <c r="A77" s="25" t="s">
        <v>114</v>
      </c>
      <c r="B77" s="15">
        <f t="shared" si="35"/>
        <v>354</v>
      </c>
      <c r="C77" s="16">
        <f t="shared" si="36"/>
        <v>46</v>
      </c>
      <c r="D77" s="46">
        <v>73</v>
      </c>
      <c r="E77" s="47">
        <v>33</v>
      </c>
      <c r="F77" s="46">
        <v>279</v>
      </c>
      <c r="G77" s="47">
        <v>13</v>
      </c>
      <c r="H77" s="46" t="s">
        <v>191</v>
      </c>
      <c r="I77" s="51">
        <v>2</v>
      </c>
      <c r="J77" s="46" t="s">
        <v>191</v>
      </c>
      <c r="K77" s="48" t="s">
        <v>191</v>
      </c>
      <c r="L77" s="17" t="s">
        <v>70</v>
      </c>
      <c r="M77" s="18"/>
      <c r="N77" s="18"/>
      <c r="O77" s="8"/>
    </row>
    <row r="78" spans="1:15" x14ac:dyDescent="0.3">
      <c r="A78" s="25" t="s">
        <v>115</v>
      </c>
      <c r="B78" s="15">
        <f t="shared" si="35"/>
        <v>4252</v>
      </c>
      <c r="C78" s="16">
        <f t="shared" si="36"/>
        <v>307</v>
      </c>
      <c r="D78" s="46">
        <v>558</v>
      </c>
      <c r="E78" s="47">
        <v>236</v>
      </c>
      <c r="F78" s="46">
        <v>3238</v>
      </c>
      <c r="G78" s="47">
        <v>71</v>
      </c>
      <c r="H78" s="46">
        <v>342</v>
      </c>
      <c r="I78" s="47">
        <v>114</v>
      </c>
      <c r="J78" s="46" t="s">
        <v>191</v>
      </c>
      <c r="K78" s="48" t="s">
        <v>191</v>
      </c>
      <c r="L78" s="17" t="s">
        <v>71</v>
      </c>
      <c r="M78" s="18"/>
      <c r="N78" s="18"/>
      <c r="O78" s="8"/>
    </row>
    <row r="79" spans="1:15" x14ac:dyDescent="0.3">
      <c r="A79" s="25" t="s">
        <v>116</v>
      </c>
      <c r="B79" s="15">
        <f t="shared" si="35"/>
        <v>0</v>
      </c>
      <c r="C79" s="16">
        <f t="shared" si="36"/>
        <v>0</v>
      </c>
      <c r="D79" s="46" t="s">
        <v>191</v>
      </c>
      <c r="E79" s="47" t="s">
        <v>191</v>
      </c>
      <c r="F79" s="46" t="s">
        <v>191</v>
      </c>
      <c r="G79" s="47" t="s">
        <v>191</v>
      </c>
      <c r="H79" s="46" t="s">
        <v>191</v>
      </c>
      <c r="I79" s="47" t="s">
        <v>191</v>
      </c>
      <c r="J79" s="46" t="s">
        <v>191</v>
      </c>
      <c r="K79" s="48" t="s">
        <v>191</v>
      </c>
      <c r="L79" s="17" t="s">
        <v>72</v>
      </c>
      <c r="M79" s="18"/>
      <c r="N79" s="18"/>
      <c r="O79" s="8"/>
    </row>
    <row r="80" spans="1:15" x14ac:dyDescent="0.3">
      <c r="A80" s="25" t="s">
        <v>117</v>
      </c>
      <c r="B80" s="15">
        <f t="shared" si="35"/>
        <v>516</v>
      </c>
      <c r="C80" s="16">
        <f t="shared" si="36"/>
        <v>50</v>
      </c>
      <c r="D80" s="46">
        <v>182</v>
      </c>
      <c r="E80" s="47">
        <v>27</v>
      </c>
      <c r="F80" s="46">
        <v>280</v>
      </c>
      <c r="G80" s="47">
        <v>23</v>
      </c>
      <c r="H80" s="46" t="s">
        <v>191</v>
      </c>
      <c r="I80" s="47">
        <v>54</v>
      </c>
      <c r="J80" s="46" t="s">
        <v>191</v>
      </c>
      <c r="K80" s="48" t="s">
        <v>191</v>
      </c>
      <c r="L80" s="17" t="s">
        <v>73</v>
      </c>
      <c r="M80" s="18"/>
      <c r="N80" s="18"/>
      <c r="O80" s="8"/>
    </row>
    <row r="81" spans="1:15" x14ac:dyDescent="0.3">
      <c r="A81" s="91" t="s">
        <v>74</v>
      </c>
      <c r="B81" s="89">
        <f>SUM(B83:B87)</f>
        <v>6477</v>
      </c>
      <c r="C81" s="90">
        <f>SUM(C83:C87)</f>
        <v>2364</v>
      </c>
      <c r="D81" s="93">
        <f t="shared" ref="D81" si="37">SUM(D83:D87)</f>
        <v>1009</v>
      </c>
      <c r="E81" s="93">
        <f t="shared" ref="E81:K81" si="38">SUM(E83:E87)</f>
        <v>979</v>
      </c>
      <c r="F81" s="93">
        <f t="shared" si="38"/>
        <v>799</v>
      </c>
      <c r="G81" s="93">
        <f t="shared" si="38"/>
        <v>1385</v>
      </c>
      <c r="H81" s="93">
        <f t="shared" si="38"/>
        <v>452</v>
      </c>
      <c r="I81" s="93">
        <f t="shared" si="38"/>
        <v>4217</v>
      </c>
      <c r="J81" s="93">
        <f t="shared" si="38"/>
        <v>0</v>
      </c>
      <c r="K81" s="94">
        <f t="shared" si="38"/>
        <v>0</v>
      </c>
      <c r="L81" s="92" t="s">
        <v>75</v>
      </c>
      <c r="M81" s="92"/>
      <c r="N81" s="92"/>
      <c r="O81" s="8"/>
    </row>
    <row r="82" spans="1:15" x14ac:dyDescent="0.3">
      <c r="A82" s="91"/>
      <c r="B82" s="89"/>
      <c r="C82" s="90"/>
      <c r="D82" s="93"/>
      <c r="E82" s="93"/>
      <c r="F82" s="93"/>
      <c r="G82" s="93"/>
      <c r="H82" s="93"/>
      <c r="I82" s="93"/>
      <c r="J82" s="93"/>
      <c r="K82" s="94"/>
      <c r="L82" s="92"/>
      <c r="M82" s="92"/>
      <c r="N82" s="92"/>
      <c r="O82" s="8"/>
    </row>
    <row r="83" spans="1:15" x14ac:dyDescent="0.3">
      <c r="A83" s="14" t="s">
        <v>162</v>
      </c>
      <c r="B83" s="15">
        <f t="shared" ref="B83:B87" si="39">SUM(D83,F83,H83,I83,J83)</f>
        <v>3938</v>
      </c>
      <c r="C83" s="16">
        <f t="shared" ref="C83:C87" si="40">SUM(E83,G83,K83)</f>
        <v>1851</v>
      </c>
      <c r="D83" s="46">
        <v>543</v>
      </c>
      <c r="E83" s="47">
        <v>575</v>
      </c>
      <c r="F83" s="46">
        <v>37</v>
      </c>
      <c r="G83" s="47">
        <v>1276</v>
      </c>
      <c r="H83" s="46">
        <v>109</v>
      </c>
      <c r="I83" s="47">
        <v>3249</v>
      </c>
      <c r="J83" s="46" t="s">
        <v>191</v>
      </c>
      <c r="K83" s="48" t="s">
        <v>191</v>
      </c>
      <c r="L83" s="17" t="s">
        <v>76</v>
      </c>
      <c r="M83" s="18"/>
      <c r="N83" s="18"/>
      <c r="O83" s="8"/>
    </row>
    <row r="84" spans="1:15" x14ac:dyDescent="0.3">
      <c r="A84" s="14" t="s">
        <v>163</v>
      </c>
      <c r="B84" s="15">
        <f t="shared" si="39"/>
        <v>209</v>
      </c>
      <c r="C84" s="16">
        <f t="shared" si="40"/>
        <v>64</v>
      </c>
      <c r="D84" s="46">
        <v>99</v>
      </c>
      <c r="E84" s="47">
        <v>59</v>
      </c>
      <c r="F84" s="46">
        <v>22</v>
      </c>
      <c r="G84" s="47">
        <v>5</v>
      </c>
      <c r="H84" s="46" t="s">
        <v>191</v>
      </c>
      <c r="I84" s="47">
        <v>88</v>
      </c>
      <c r="J84" s="46" t="s">
        <v>191</v>
      </c>
      <c r="K84" s="48" t="s">
        <v>191</v>
      </c>
      <c r="L84" s="17" t="s">
        <v>77</v>
      </c>
      <c r="M84" s="18"/>
      <c r="N84" s="18"/>
      <c r="O84" s="8"/>
    </row>
    <row r="85" spans="1:15" x14ac:dyDescent="0.3">
      <c r="A85" s="14" t="s">
        <v>164</v>
      </c>
      <c r="B85" s="15">
        <f t="shared" si="39"/>
        <v>935</v>
      </c>
      <c r="C85" s="16">
        <f t="shared" si="40"/>
        <v>259</v>
      </c>
      <c r="D85" s="46">
        <v>175</v>
      </c>
      <c r="E85" s="47">
        <v>196</v>
      </c>
      <c r="F85" s="46">
        <v>10</v>
      </c>
      <c r="G85" s="47">
        <v>63</v>
      </c>
      <c r="H85" s="46" t="s">
        <v>191</v>
      </c>
      <c r="I85" s="47">
        <v>750</v>
      </c>
      <c r="J85" s="46" t="s">
        <v>191</v>
      </c>
      <c r="K85" s="48" t="s">
        <v>191</v>
      </c>
      <c r="L85" s="17" t="s">
        <v>78</v>
      </c>
      <c r="M85" s="18"/>
      <c r="N85" s="18"/>
      <c r="O85" s="8"/>
    </row>
    <row r="86" spans="1:15" x14ac:dyDescent="0.3">
      <c r="A86" s="14" t="s">
        <v>165</v>
      </c>
      <c r="B86" s="15">
        <f t="shared" si="39"/>
        <v>116</v>
      </c>
      <c r="C86" s="16">
        <f t="shared" si="40"/>
        <v>18</v>
      </c>
      <c r="D86" s="46">
        <v>26</v>
      </c>
      <c r="E86" s="47">
        <v>13</v>
      </c>
      <c r="F86" s="46">
        <v>59</v>
      </c>
      <c r="G86" s="47">
        <v>5</v>
      </c>
      <c r="H86" s="46" t="s">
        <v>191</v>
      </c>
      <c r="I86" s="47">
        <v>31</v>
      </c>
      <c r="J86" s="46" t="s">
        <v>191</v>
      </c>
      <c r="K86" s="48" t="s">
        <v>191</v>
      </c>
      <c r="L86" s="17" t="s">
        <v>79</v>
      </c>
      <c r="M86" s="18"/>
      <c r="N86" s="18"/>
      <c r="O86" s="8"/>
    </row>
    <row r="87" spans="1:15" x14ac:dyDescent="0.3">
      <c r="A87" s="14" t="s">
        <v>166</v>
      </c>
      <c r="B87" s="15">
        <f t="shared" si="39"/>
        <v>1279</v>
      </c>
      <c r="C87" s="16">
        <f t="shared" si="40"/>
        <v>172</v>
      </c>
      <c r="D87" s="46">
        <v>166</v>
      </c>
      <c r="E87" s="47">
        <v>136</v>
      </c>
      <c r="F87" s="46">
        <v>671</v>
      </c>
      <c r="G87" s="47">
        <v>36</v>
      </c>
      <c r="H87" s="46">
        <v>343</v>
      </c>
      <c r="I87" s="47">
        <v>99</v>
      </c>
      <c r="J87" s="46" t="s">
        <v>191</v>
      </c>
      <c r="K87" s="48" t="s">
        <v>191</v>
      </c>
      <c r="L87" s="17" t="s">
        <v>80</v>
      </c>
      <c r="M87" s="18"/>
      <c r="N87" s="18"/>
      <c r="O87" s="8"/>
    </row>
    <row r="88" spans="1:15" x14ac:dyDescent="0.3">
      <c r="A88" s="91" t="s">
        <v>81</v>
      </c>
      <c r="B88" s="89">
        <f>SUM(B90:B102)</f>
        <v>13140</v>
      </c>
      <c r="C88" s="90">
        <f>SUM(C90:C102)</f>
        <v>4823</v>
      </c>
      <c r="D88" s="93">
        <f t="shared" ref="D88" si="41">SUM(D90:D102)</f>
        <v>2851</v>
      </c>
      <c r="E88" s="93">
        <f t="shared" ref="E88:K88" si="42">SUM(E90:E102)</f>
        <v>2637</v>
      </c>
      <c r="F88" s="93">
        <f t="shared" si="42"/>
        <v>5794</v>
      </c>
      <c r="G88" s="93">
        <f t="shared" si="42"/>
        <v>2186</v>
      </c>
      <c r="H88" s="93">
        <f t="shared" si="42"/>
        <v>990</v>
      </c>
      <c r="I88" s="93">
        <f t="shared" si="42"/>
        <v>3505</v>
      </c>
      <c r="J88" s="93">
        <f t="shared" si="42"/>
        <v>0</v>
      </c>
      <c r="K88" s="94">
        <f t="shared" si="42"/>
        <v>0</v>
      </c>
      <c r="L88" s="92" t="s">
        <v>82</v>
      </c>
      <c r="M88" s="92"/>
      <c r="N88" s="92"/>
      <c r="O88" s="8"/>
    </row>
    <row r="89" spans="1:15" x14ac:dyDescent="0.3">
      <c r="A89" s="91"/>
      <c r="B89" s="89"/>
      <c r="C89" s="90"/>
      <c r="D89" s="93"/>
      <c r="E89" s="93"/>
      <c r="F89" s="93"/>
      <c r="G89" s="93"/>
      <c r="H89" s="93"/>
      <c r="I89" s="93"/>
      <c r="J89" s="93"/>
      <c r="K89" s="94"/>
      <c r="L89" s="92"/>
      <c r="M89" s="92"/>
      <c r="N89" s="92"/>
      <c r="O89" s="8"/>
    </row>
    <row r="90" spans="1:15" x14ac:dyDescent="0.3">
      <c r="A90" s="14" t="s">
        <v>167</v>
      </c>
      <c r="B90" s="15">
        <f t="shared" ref="B90:B102" si="43">SUM(D90,F90,H90,I90,J90)</f>
        <v>326</v>
      </c>
      <c r="C90" s="16">
        <f t="shared" ref="C90:C102" si="44">SUM(E90,G90,K90)</f>
        <v>87</v>
      </c>
      <c r="D90" s="46">
        <v>89</v>
      </c>
      <c r="E90" s="47">
        <v>87</v>
      </c>
      <c r="F90" s="46">
        <v>237</v>
      </c>
      <c r="G90" s="51" t="s">
        <v>191</v>
      </c>
      <c r="H90" s="46" t="s">
        <v>191</v>
      </c>
      <c r="I90" s="51" t="s">
        <v>191</v>
      </c>
      <c r="J90" s="46" t="s">
        <v>191</v>
      </c>
      <c r="K90" s="48" t="s">
        <v>191</v>
      </c>
      <c r="L90" s="17" t="s">
        <v>83</v>
      </c>
      <c r="M90" s="18"/>
      <c r="N90" s="18"/>
      <c r="O90" s="8"/>
    </row>
    <row r="91" spans="1:15" x14ac:dyDescent="0.3">
      <c r="A91" s="14" t="s">
        <v>168</v>
      </c>
      <c r="B91" s="15">
        <f t="shared" si="43"/>
        <v>544</v>
      </c>
      <c r="C91" s="16">
        <f t="shared" si="44"/>
        <v>143</v>
      </c>
      <c r="D91" s="46">
        <v>121</v>
      </c>
      <c r="E91" s="47">
        <v>132</v>
      </c>
      <c r="F91" s="46">
        <v>286</v>
      </c>
      <c r="G91" s="47">
        <v>11</v>
      </c>
      <c r="H91" s="46">
        <v>10</v>
      </c>
      <c r="I91" s="47">
        <v>127</v>
      </c>
      <c r="J91" s="46" t="s">
        <v>191</v>
      </c>
      <c r="K91" s="48" t="s">
        <v>191</v>
      </c>
      <c r="L91" s="17" t="s">
        <v>84</v>
      </c>
      <c r="M91" s="18"/>
      <c r="N91" s="18"/>
      <c r="O91" s="8"/>
    </row>
    <row r="92" spans="1:15" x14ac:dyDescent="0.3">
      <c r="A92" s="14" t="s">
        <v>169</v>
      </c>
      <c r="B92" s="15">
        <f t="shared" si="43"/>
        <v>222</v>
      </c>
      <c r="C92" s="16">
        <f t="shared" si="44"/>
        <v>86</v>
      </c>
      <c r="D92" s="46">
        <v>62</v>
      </c>
      <c r="E92" s="47">
        <v>34</v>
      </c>
      <c r="F92" s="46">
        <v>87</v>
      </c>
      <c r="G92" s="47">
        <v>52</v>
      </c>
      <c r="H92" s="46">
        <v>1</v>
      </c>
      <c r="I92" s="47">
        <v>72</v>
      </c>
      <c r="J92" s="46" t="s">
        <v>191</v>
      </c>
      <c r="K92" s="48" t="s">
        <v>191</v>
      </c>
      <c r="L92" s="17" t="s">
        <v>85</v>
      </c>
      <c r="M92" s="18"/>
      <c r="N92" s="18"/>
      <c r="O92" s="8"/>
    </row>
    <row r="93" spans="1:15" x14ac:dyDescent="0.3">
      <c r="A93" s="14" t="s">
        <v>170</v>
      </c>
      <c r="B93" s="15">
        <f t="shared" si="43"/>
        <v>497</v>
      </c>
      <c r="C93" s="16">
        <f t="shared" si="44"/>
        <v>316</v>
      </c>
      <c r="D93" s="46">
        <v>40</v>
      </c>
      <c r="E93" s="47">
        <v>85</v>
      </c>
      <c r="F93" s="46">
        <v>251</v>
      </c>
      <c r="G93" s="47">
        <v>231</v>
      </c>
      <c r="H93" s="46" t="s">
        <v>191</v>
      </c>
      <c r="I93" s="47">
        <v>206</v>
      </c>
      <c r="J93" s="46" t="s">
        <v>191</v>
      </c>
      <c r="K93" s="48" t="s">
        <v>191</v>
      </c>
      <c r="L93" s="17" t="s">
        <v>86</v>
      </c>
      <c r="M93" s="18"/>
      <c r="N93" s="18"/>
      <c r="O93" s="8"/>
    </row>
    <row r="94" spans="1:15" x14ac:dyDescent="0.3">
      <c r="A94" s="14" t="s">
        <v>171</v>
      </c>
      <c r="B94" s="15">
        <f t="shared" si="43"/>
        <v>13</v>
      </c>
      <c r="C94" s="16">
        <f t="shared" si="44"/>
        <v>0</v>
      </c>
      <c r="D94" s="50" t="s">
        <v>191</v>
      </c>
      <c r="E94" s="51" t="s">
        <v>191</v>
      </c>
      <c r="F94" s="50">
        <v>10</v>
      </c>
      <c r="G94" s="47" t="s">
        <v>191</v>
      </c>
      <c r="H94" s="50" t="s">
        <v>191</v>
      </c>
      <c r="I94" s="47">
        <v>3</v>
      </c>
      <c r="J94" s="50" t="s">
        <v>191</v>
      </c>
      <c r="K94" s="48" t="s">
        <v>191</v>
      </c>
      <c r="L94" s="17" t="s">
        <v>87</v>
      </c>
      <c r="M94" s="18"/>
      <c r="N94" s="18"/>
      <c r="O94" s="8"/>
    </row>
    <row r="95" spans="1:15" x14ac:dyDescent="0.3">
      <c r="A95" s="14" t="s">
        <v>172</v>
      </c>
      <c r="B95" s="15">
        <f t="shared" si="43"/>
        <v>819</v>
      </c>
      <c r="C95" s="16">
        <f t="shared" si="44"/>
        <v>202</v>
      </c>
      <c r="D95" s="46">
        <v>135</v>
      </c>
      <c r="E95" s="47">
        <v>145</v>
      </c>
      <c r="F95" s="46">
        <v>51</v>
      </c>
      <c r="G95" s="47">
        <v>57</v>
      </c>
      <c r="H95" s="46">
        <v>252</v>
      </c>
      <c r="I95" s="47">
        <v>381</v>
      </c>
      <c r="J95" s="46" t="s">
        <v>191</v>
      </c>
      <c r="K95" s="48" t="s">
        <v>191</v>
      </c>
      <c r="L95" s="17" t="s">
        <v>88</v>
      </c>
      <c r="M95" s="18"/>
      <c r="N95" s="18"/>
      <c r="O95" s="8"/>
    </row>
    <row r="96" spans="1:15" x14ac:dyDescent="0.3">
      <c r="A96" s="14" t="s">
        <v>173</v>
      </c>
      <c r="B96" s="15">
        <f t="shared" si="43"/>
        <v>2522</v>
      </c>
      <c r="C96" s="16">
        <f t="shared" si="44"/>
        <v>1031</v>
      </c>
      <c r="D96" s="46">
        <v>535</v>
      </c>
      <c r="E96" s="47">
        <v>540</v>
      </c>
      <c r="F96" s="46">
        <v>590</v>
      </c>
      <c r="G96" s="47">
        <v>491</v>
      </c>
      <c r="H96" s="46" t="s">
        <v>191</v>
      </c>
      <c r="I96" s="47">
        <v>1397</v>
      </c>
      <c r="J96" s="46" t="s">
        <v>191</v>
      </c>
      <c r="K96" s="48" t="s">
        <v>191</v>
      </c>
      <c r="L96" s="17" t="s">
        <v>89</v>
      </c>
      <c r="M96" s="18"/>
      <c r="N96" s="18"/>
      <c r="O96" s="8"/>
    </row>
    <row r="97" spans="1:15" x14ac:dyDescent="0.3">
      <c r="A97" s="14" t="s">
        <v>174</v>
      </c>
      <c r="B97" s="15">
        <f t="shared" si="43"/>
        <v>109</v>
      </c>
      <c r="C97" s="16">
        <f t="shared" si="44"/>
        <v>37</v>
      </c>
      <c r="D97" s="46">
        <v>15</v>
      </c>
      <c r="E97" s="47">
        <v>4</v>
      </c>
      <c r="F97" s="46">
        <v>55</v>
      </c>
      <c r="G97" s="47">
        <v>33</v>
      </c>
      <c r="H97" s="46">
        <v>4</v>
      </c>
      <c r="I97" s="47">
        <v>35</v>
      </c>
      <c r="J97" s="46" t="s">
        <v>191</v>
      </c>
      <c r="K97" s="48" t="s">
        <v>191</v>
      </c>
      <c r="L97" s="17" t="s">
        <v>90</v>
      </c>
      <c r="M97" s="18"/>
      <c r="N97" s="18"/>
      <c r="O97" s="8"/>
    </row>
    <row r="98" spans="1:15" x14ac:dyDescent="0.3">
      <c r="A98" s="14" t="s">
        <v>175</v>
      </c>
      <c r="B98" s="15">
        <f t="shared" si="43"/>
        <v>282</v>
      </c>
      <c r="C98" s="16">
        <f t="shared" si="44"/>
        <v>150</v>
      </c>
      <c r="D98" s="46">
        <v>12</v>
      </c>
      <c r="E98" s="47">
        <v>57</v>
      </c>
      <c r="F98" s="46">
        <v>245</v>
      </c>
      <c r="G98" s="47">
        <v>93</v>
      </c>
      <c r="H98" s="46">
        <v>17</v>
      </c>
      <c r="I98" s="47">
        <v>8</v>
      </c>
      <c r="J98" s="46" t="s">
        <v>191</v>
      </c>
      <c r="K98" s="48" t="s">
        <v>191</v>
      </c>
      <c r="L98" s="17" t="s">
        <v>91</v>
      </c>
      <c r="M98" s="18"/>
      <c r="N98" s="18"/>
      <c r="O98" s="8"/>
    </row>
    <row r="99" spans="1:15" x14ac:dyDescent="0.3">
      <c r="A99" s="14" t="s">
        <v>176</v>
      </c>
      <c r="B99" s="15">
        <f t="shared" si="43"/>
        <v>5808</v>
      </c>
      <c r="C99" s="16">
        <f t="shared" si="44"/>
        <v>2187</v>
      </c>
      <c r="D99" s="46">
        <v>1405</v>
      </c>
      <c r="E99" s="47">
        <v>1113</v>
      </c>
      <c r="F99" s="46">
        <v>3372</v>
      </c>
      <c r="G99" s="47">
        <v>1074</v>
      </c>
      <c r="H99" s="46">
        <v>115</v>
      </c>
      <c r="I99" s="47">
        <v>916</v>
      </c>
      <c r="J99" s="46" t="s">
        <v>191</v>
      </c>
      <c r="K99" s="48" t="s">
        <v>191</v>
      </c>
      <c r="L99" s="17" t="s">
        <v>92</v>
      </c>
      <c r="M99" s="18"/>
      <c r="N99" s="18"/>
      <c r="O99" s="8"/>
    </row>
    <row r="100" spans="1:15" x14ac:dyDescent="0.3">
      <c r="A100" s="14" t="s">
        <v>177</v>
      </c>
      <c r="B100" s="15">
        <f t="shared" si="43"/>
        <v>658</v>
      </c>
      <c r="C100" s="16">
        <f t="shared" si="44"/>
        <v>195</v>
      </c>
      <c r="D100" s="46">
        <v>137</v>
      </c>
      <c r="E100" s="47">
        <v>136</v>
      </c>
      <c r="F100" s="46">
        <v>103</v>
      </c>
      <c r="G100" s="47">
        <v>59</v>
      </c>
      <c r="H100" s="46">
        <v>418</v>
      </c>
      <c r="I100" s="51" t="s">
        <v>191</v>
      </c>
      <c r="J100" s="46" t="s">
        <v>191</v>
      </c>
      <c r="K100" s="48" t="s">
        <v>191</v>
      </c>
      <c r="L100" s="17" t="s">
        <v>93</v>
      </c>
      <c r="M100" s="18"/>
      <c r="N100" s="18"/>
      <c r="O100" s="8"/>
    </row>
    <row r="101" spans="1:15" x14ac:dyDescent="0.3">
      <c r="A101" s="14" t="s">
        <v>178</v>
      </c>
      <c r="B101" s="15">
        <f t="shared" si="43"/>
        <v>792</v>
      </c>
      <c r="C101" s="16">
        <f t="shared" si="44"/>
        <v>196</v>
      </c>
      <c r="D101" s="46">
        <v>139</v>
      </c>
      <c r="E101" s="47">
        <v>137</v>
      </c>
      <c r="F101" s="46">
        <v>444</v>
      </c>
      <c r="G101" s="47">
        <v>59</v>
      </c>
      <c r="H101" s="46">
        <v>173</v>
      </c>
      <c r="I101" s="47">
        <v>36</v>
      </c>
      <c r="J101" s="46" t="s">
        <v>191</v>
      </c>
      <c r="K101" s="48" t="s">
        <v>191</v>
      </c>
      <c r="L101" s="17" t="s">
        <v>94</v>
      </c>
      <c r="M101" s="18"/>
      <c r="N101" s="18"/>
      <c r="O101" s="8"/>
    </row>
    <row r="102" spans="1:15" x14ac:dyDescent="0.3">
      <c r="A102" s="14" t="s">
        <v>179</v>
      </c>
      <c r="B102" s="15">
        <f t="shared" si="43"/>
        <v>548</v>
      </c>
      <c r="C102" s="16">
        <f t="shared" si="44"/>
        <v>193</v>
      </c>
      <c r="D102" s="46">
        <v>161</v>
      </c>
      <c r="E102" s="47">
        <v>167</v>
      </c>
      <c r="F102" s="46">
        <v>63</v>
      </c>
      <c r="G102" s="47">
        <v>26</v>
      </c>
      <c r="H102" s="46" t="s">
        <v>191</v>
      </c>
      <c r="I102" s="47">
        <v>324</v>
      </c>
      <c r="J102" s="46" t="s">
        <v>191</v>
      </c>
      <c r="K102" s="48" t="s">
        <v>191</v>
      </c>
      <c r="L102" s="17" t="s">
        <v>95</v>
      </c>
      <c r="M102" s="18"/>
      <c r="N102" s="18"/>
      <c r="O102" s="8"/>
    </row>
    <row r="103" spans="1:15" x14ac:dyDescent="0.3">
      <c r="A103" s="91" t="s">
        <v>96</v>
      </c>
      <c r="B103" s="89">
        <f>SUM(B105:B108)</f>
        <v>1211</v>
      </c>
      <c r="C103" s="90">
        <f>SUM(C105:C108)</f>
        <v>988</v>
      </c>
      <c r="D103" s="93">
        <f t="shared" ref="D103" si="45">SUM(D105:D108)</f>
        <v>581</v>
      </c>
      <c r="E103" s="93">
        <f t="shared" ref="E103:K103" si="46">SUM(E105:E108)</f>
        <v>598</v>
      </c>
      <c r="F103" s="93">
        <f t="shared" si="46"/>
        <v>295</v>
      </c>
      <c r="G103" s="93">
        <f t="shared" si="46"/>
        <v>389</v>
      </c>
      <c r="H103" s="93">
        <f t="shared" si="46"/>
        <v>23</v>
      </c>
      <c r="I103" s="93">
        <f t="shared" si="46"/>
        <v>308</v>
      </c>
      <c r="J103" s="93">
        <f t="shared" si="46"/>
        <v>4</v>
      </c>
      <c r="K103" s="94">
        <f t="shared" si="46"/>
        <v>1</v>
      </c>
      <c r="L103" s="92" t="s">
        <v>97</v>
      </c>
      <c r="M103" s="92"/>
      <c r="N103" s="92"/>
      <c r="O103" s="8"/>
    </row>
    <row r="104" spans="1:15" x14ac:dyDescent="0.3">
      <c r="A104" s="91"/>
      <c r="B104" s="89"/>
      <c r="C104" s="90"/>
      <c r="D104" s="93"/>
      <c r="E104" s="93"/>
      <c r="F104" s="93"/>
      <c r="G104" s="93"/>
      <c r="H104" s="93"/>
      <c r="I104" s="93"/>
      <c r="J104" s="93"/>
      <c r="K104" s="94"/>
      <c r="L104" s="92"/>
      <c r="M104" s="92"/>
      <c r="N104" s="92"/>
      <c r="O104" s="8"/>
    </row>
    <row r="105" spans="1:15" x14ac:dyDescent="0.3">
      <c r="A105" s="14" t="s">
        <v>180</v>
      </c>
      <c r="B105" s="15">
        <f t="shared" ref="B105:B108" si="47">SUM(D105,F105,H105,I105,J105)</f>
        <v>472</v>
      </c>
      <c r="C105" s="16">
        <f t="shared" ref="C105:C108" si="48">SUM(E105,G105,K105)</f>
        <v>606</v>
      </c>
      <c r="D105" s="46">
        <v>153</v>
      </c>
      <c r="E105" s="47">
        <v>384</v>
      </c>
      <c r="F105" s="46">
        <v>127</v>
      </c>
      <c r="G105" s="47">
        <v>222</v>
      </c>
      <c r="H105" s="46">
        <v>8</v>
      </c>
      <c r="I105" s="47">
        <v>184</v>
      </c>
      <c r="J105" s="46" t="s">
        <v>191</v>
      </c>
      <c r="K105" s="48" t="s">
        <v>191</v>
      </c>
      <c r="L105" s="17" t="s">
        <v>98</v>
      </c>
      <c r="M105" s="18"/>
      <c r="N105" s="18"/>
      <c r="O105" s="8"/>
    </row>
    <row r="106" spans="1:15" x14ac:dyDescent="0.3">
      <c r="A106" s="14" t="s">
        <v>181</v>
      </c>
      <c r="B106" s="15">
        <f t="shared" si="47"/>
        <v>17</v>
      </c>
      <c r="C106" s="16">
        <f t="shared" si="48"/>
        <v>105</v>
      </c>
      <c r="D106" s="50">
        <v>1</v>
      </c>
      <c r="E106" s="47">
        <v>2</v>
      </c>
      <c r="F106" s="50">
        <v>5</v>
      </c>
      <c r="G106" s="51">
        <v>103</v>
      </c>
      <c r="H106" s="50" t="s">
        <v>191</v>
      </c>
      <c r="I106" s="51">
        <v>11</v>
      </c>
      <c r="J106" s="50" t="s">
        <v>191</v>
      </c>
      <c r="K106" s="48" t="s">
        <v>191</v>
      </c>
      <c r="L106" s="17" t="s">
        <v>99</v>
      </c>
      <c r="M106" s="18"/>
      <c r="N106" s="18"/>
      <c r="O106" s="8"/>
    </row>
    <row r="107" spans="1:15" x14ac:dyDescent="0.3">
      <c r="A107" s="14" t="s">
        <v>182</v>
      </c>
      <c r="B107" s="15">
        <f t="shared" si="47"/>
        <v>494</v>
      </c>
      <c r="C107" s="16">
        <f t="shared" si="48"/>
        <v>224</v>
      </c>
      <c r="D107" s="46">
        <v>350</v>
      </c>
      <c r="E107" s="47">
        <v>170</v>
      </c>
      <c r="F107" s="46">
        <v>126</v>
      </c>
      <c r="G107" s="47">
        <v>53</v>
      </c>
      <c r="H107" s="46" t="s">
        <v>191</v>
      </c>
      <c r="I107" s="47">
        <v>14</v>
      </c>
      <c r="J107" s="46">
        <v>4</v>
      </c>
      <c r="K107" s="48">
        <v>1</v>
      </c>
      <c r="L107" s="17" t="s">
        <v>100</v>
      </c>
      <c r="M107" s="18"/>
      <c r="N107" s="18"/>
      <c r="O107" s="8"/>
    </row>
    <row r="108" spans="1:15" ht="15" thickBot="1" x14ac:dyDescent="0.35">
      <c r="A108" s="26" t="s">
        <v>183</v>
      </c>
      <c r="B108" s="27">
        <f t="shared" si="47"/>
        <v>228</v>
      </c>
      <c r="C108" s="28">
        <f t="shared" si="48"/>
        <v>53</v>
      </c>
      <c r="D108" s="52">
        <v>77</v>
      </c>
      <c r="E108" s="53">
        <v>42</v>
      </c>
      <c r="F108" s="52">
        <v>37</v>
      </c>
      <c r="G108" s="53">
        <v>11</v>
      </c>
      <c r="H108" s="52">
        <v>15</v>
      </c>
      <c r="I108" s="53">
        <v>99</v>
      </c>
      <c r="J108" s="52" t="s">
        <v>191</v>
      </c>
      <c r="K108" s="54" t="s">
        <v>191</v>
      </c>
      <c r="L108" s="29" t="s">
        <v>101</v>
      </c>
      <c r="M108" s="30"/>
      <c r="N108" s="30"/>
      <c r="O108" s="8"/>
    </row>
    <row r="109" spans="1:15" x14ac:dyDescent="0.3">
      <c r="A109" s="31"/>
      <c r="K109" s="2"/>
      <c r="M109" s="95"/>
      <c r="N109" s="95"/>
    </row>
    <row r="110" spans="1:15" x14ac:dyDescent="0.3">
      <c r="A110" s="32"/>
      <c r="K110" s="33"/>
      <c r="L110" s="32"/>
      <c r="M110" s="32"/>
      <c r="N110" s="32"/>
    </row>
    <row r="111" spans="1:15" ht="10.199999999999999" customHeight="1" x14ac:dyDescent="0.3">
      <c r="A111" s="34"/>
      <c r="B111" s="35"/>
      <c r="C111" s="35"/>
      <c r="D111" s="35"/>
      <c r="E111" s="35"/>
      <c r="F111" s="35"/>
      <c r="L111" s="35"/>
      <c r="M111" s="35"/>
      <c r="N111" s="35"/>
    </row>
    <row r="112" spans="1:15" ht="10.199999999999999" customHeight="1" x14ac:dyDescent="0.3">
      <c r="A112" s="34"/>
      <c r="B112" s="35"/>
      <c r="C112" s="35"/>
      <c r="D112" s="35"/>
      <c r="E112" s="35"/>
      <c r="F112" s="35"/>
      <c r="L112" s="35"/>
      <c r="M112" s="35"/>
      <c r="N112" s="35"/>
    </row>
    <row r="113" spans="1:14" ht="10.199999999999999" customHeight="1" x14ac:dyDescent="0.3">
      <c r="A113" s="96"/>
      <c r="B113" s="96"/>
      <c r="C113" s="96"/>
      <c r="D113" s="96"/>
      <c r="E113" s="96"/>
      <c r="F113" s="96"/>
      <c r="L113" s="96"/>
      <c r="M113" s="96"/>
      <c r="N113" s="96"/>
    </row>
    <row r="114" spans="1:14" x14ac:dyDescent="0.3">
      <c r="A114" s="96"/>
      <c r="B114" s="96"/>
      <c r="C114" s="96"/>
      <c r="D114" s="96"/>
      <c r="E114" s="96"/>
      <c r="F114" s="96"/>
      <c r="L114" s="96"/>
      <c r="M114" s="96"/>
      <c r="N114" s="96"/>
    </row>
    <row r="115" spans="1:14" x14ac:dyDescent="0.3">
      <c r="A115" s="8"/>
    </row>
    <row r="116" spans="1:14" x14ac:dyDescent="0.3">
      <c r="A116" s="8"/>
    </row>
    <row r="117" spans="1:14" x14ac:dyDescent="0.3">
      <c r="A117" s="8"/>
    </row>
    <row r="118" spans="1:14" x14ac:dyDescent="0.3">
      <c r="A118" s="8"/>
    </row>
    <row r="119" spans="1:14" x14ac:dyDescent="0.3">
      <c r="A119" s="8"/>
    </row>
    <row r="120" spans="1:14" x14ac:dyDescent="0.3">
      <c r="A120" s="8"/>
    </row>
    <row r="121" spans="1:14" x14ac:dyDescent="0.3">
      <c r="A121" s="8"/>
    </row>
    <row r="122" spans="1:14" x14ac:dyDescent="0.3">
      <c r="A122" s="8"/>
    </row>
    <row r="123" spans="1:14" x14ac:dyDescent="0.3">
      <c r="A123" s="36"/>
    </row>
    <row r="124" spans="1:14" s="8" customFormat="1" x14ac:dyDescent="0.3">
      <c r="A124" s="109"/>
      <c r="B124" s="109"/>
      <c r="C124" s="109"/>
      <c r="D124" s="109"/>
      <c r="E124" s="109"/>
      <c r="F124" s="109"/>
      <c r="G124" s="109"/>
      <c r="H124" s="110"/>
      <c r="I124" s="110"/>
      <c r="J124" s="110"/>
      <c r="K124" s="110"/>
    </row>
    <row r="125" spans="1:14" s="8" customFormat="1" x14ac:dyDescent="0.3">
      <c r="A125" s="109"/>
      <c r="B125" s="109"/>
      <c r="C125" s="109"/>
      <c r="D125" s="109"/>
      <c r="E125" s="109"/>
      <c r="F125" s="109"/>
      <c r="G125" s="109"/>
      <c r="H125" s="110"/>
      <c r="I125" s="110"/>
      <c r="J125" s="110"/>
      <c r="K125" s="110"/>
    </row>
    <row r="126" spans="1:14" s="8" customFormat="1" x14ac:dyDescent="0.3">
      <c r="A126" s="109"/>
      <c r="B126" s="109"/>
      <c r="C126" s="109"/>
      <c r="D126" s="109"/>
      <c r="E126" s="109"/>
      <c r="F126" s="109"/>
      <c r="G126" s="109"/>
      <c r="H126" s="110"/>
      <c r="I126" s="110"/>
      <c r="J126" s="110"/>
      <c r="K126" s="110"/>
    </row>
    <row r="127" spans="1:14" s="8" customFormat="1" x14ac:dyDescent="0.3">
      <c r="A127" s="37"/>
      <c r="G127" s="100"/>
      <c r="H127" s="100"/>
      <c r="I127" s="100"/>
      <c r="J127" s="100"/>
      <c r="K127" s="100"/>
    </row>
    <row r="128" spans="1:14" s="8" customFormat="1" x14ac:dyDescent="0.3">
      <c r="A128" s="101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</row>
    <row r="129" spans="1:11" s="8" customFormat="1" x14ac:dyDescent="0.3">
      <c r="A129" s="101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</row>
    <row r="130" spans="1:11" s="8" customFormat="1" x14ac:dyDescent="0.3">
      <c r="A130" s="101"/>
      <c r="B130" s="102"/>
      <c r="C130" s="102"/>
      <c r="D130" s="38"/>
      <c r="E130" s="102"/>
      <c r="F130" s="102"/>
      <c r="G130" s="102"/>
      <c r="H130" s="102"/>
      <c r="I130" s="102"/>
      <c r="J130" s="102"/>
      <c r="K130" s="102"/>
    </row>
    <row r="131" spans="1:11" s="8" customFormat="1" x14ac:dyDescent="0.3">
      <c r="A131" s="101"/>
      <c r="B131" s="39"/>
      <c r="C131" s="39"/>
      <c r="D131" s="39"/>
      <c r="E131" s="39"/>
      <c r="F131" s="39"/>
      <c r="G131" s="39"/>
      <c r="H131" s="39"/>
      <c r="I131" s="39"/>
      <c r="J131" s="39"/>
      <c r="K131" s="39"/>
    </row>
    <row r="132" spans="1:11" s="8" customFormat="1" x14ac:dyDescent="0.3">
      <c r="A132" s="40"/>
    </row>
    <row r="133" spans="1:11" s="8" customFormat="1" x14ac:dyDescent="0.3">
      <c r="A133" s="41"/>
    </row>
    <row r="134" spans="1:11" s="8" customFormat="1" x14ac:dyDescent="0.3">
      <c r="A134" s="104"/>
      <c r="B134" s="103"/>
      <c r="C134" s="103"/>
      <c r="D134" s="42"/>
      <c r="E134" s="103"/>
      <c r="F134" s="103"/>
      <c r="G134" s="103"/>
      <c r="H134" s="103"/>
      <c r="I134" s="103"/>
      <c r="J134" s="103"/>
      <c r="K134" s="103"/>
    </row>
    <row r="135" spans="1:11" s="8" customFormat="1" x14ac:dyDescent="0.3">
      <c r="A135" s="104"/>
      <c r="B135" s="103"/>
      <c r="C135" s="103"/>
      <c r="D135" s="42"/>
      <c r="E135" s="103"/>
      <c r="F135" s="103"/>
      <c r="G135" s="103"/>
      <c r="H135" s="103"/>
      <c r="I135" s="103"/>
      <c r="J135" s="103"/>
      <c r="K135" s="103"/>
    </row>
    <row r="136" spans="1:11" s="8" customFormat="1" x14ac:dyDescent="0.3">
      <c r="A136" s="104"/>
      <c r="B136" s="103"/>
      <c r="C136" s="103"/>
      <c r="D136" s="42"/>
      <c r="E136" s="103"/>
      <c r="F136" s="103"/>
      <c r="G136" s="103"/>
      <c r="H136" s="103"/>
      <c r="I136" s="103"/>
      <c r="J136" s="103"/>
      <c r="K136" s="103"/>
    </row>
    <row r="137" spans="1:11" s="8" customFormat="1" x14ac:dyDescent="0.3">
      <c r="A137" s="41"/>
      <c r="G137" s="7"/>
      <c r="H137" s="7"/>
    </row>
    <row r="138" spans="1:11" s="8" customFormat="1" x14ac:dyDescent="0.3">
      <c r="A138" s="41"/>
      <c r="G138" s="7"/>
      <c r="H138" s="7"/>
    </row>
    <row r="139" spans="1:11" s="8" customFormat="1" x14ac:dyDescent="0.3">
      <c r="A139" s="41"/>
      <c r="G139" s="7"/>
      <c r="H139" s="7"/>
    </row>
    <row r="140" spans="1:11" s="8" customFormat="1" x14ac:dyDescent="0.3">
      <c r="A140" s="41"/>
      <c r="G140" s="7"/>
      <c r="H140" s="7"/>
    </row>
    <row r="141" spans="1:11" s="8" customFormat="1" x14ac:dyDescent="0.3">
      <c r="A141" s="41"/>
      <c r="G141" s="7"/>
      <c r="H141" s="7"/>
    </row>
    <row r="142" spans="1:11" s="8" customFormat="1" x14ac:dyDescent="0.3">
      <c r="A142" s="41"/>
      <c r="G142" s="7"/>
      <c r="H142" s="7"/>
    </row>
    <row r="143" spans="1:11" s="8" customFormat="1" x14ac:dyDescent="0.3">
      <c r="A143" s="104"/>
    </row>
    <row r="144" spans="1:11" s="8" customFormat="1" x14ac:dyDescent="0.3">
      <c r="A144" s="104"/>
    </row>
    <row r="145" spans="1:8" s="8" customFormat="1" x14ac:dyDescent="0.3">
      <c r="A145" s="41"/>
      <c r="G145" s="7"/>
      <c r="H145" s="7"/>
    </row>
    <row r="146" spans="1:8" s="8" customFormat="1" x14ac:dyDescent="0.3">
      <c r="A146" s="41"/>
      <c r="G146" s="7"/>
      <c r="H146" s="7"/>
    </row>
    <row r="147" spans="1:8" s="8" customFormat="1" x14ac:dyDescent="0.3">
      <c r="A147" s="41"/>
      <c r="G147" s="7"/>
      <c r="H147" s="7"/>
    </row>
    <row r="148" spans="1:8" s="8" customFormat="1" x14ac:dyDescent="0.3">
      <c r="A148" s="41"/>
      <c r="G148" s="7"/>
      <c r="H148" s="7"/>
    </row>
    <row r="149" spans="1:8" s="8" customFormat="1" x14ac:dyDescent="0.3">
      <c r="A149" s="41"/>
      <c r="G149" s="7"/>
      <c r="H149" s="7"/>
    </row>
    <row r="150" spans="1:8" s="8" customFormat="1" x14ac:dyDescent="0.3">
      <c r="A150" s="41"/>
      <c r="G150" s="7"/>
      <c r="H150" s="7"/>
    </row>
    <row r="151" spans="1:8" s="8" customFormat="1" x14ac:dyDescent="0.3">
      <c r="A151" s="41"/>
      <c r="G151" s="7"/>
      <c r="H151" s="7"/>
    </row>
    <row r="152" spans="1:8" s="8" customFormat="1" x14ac:dyDescent="0.3">
      <c r="A152" s="41"/>
      <c r="G152" s="7"/>
      <c r="H152" s="7"/>
    </row>
    <row r="153" spans="1:8" s="8" customFormat="1" x14ac:dyDescent="0.3">
      <c r="A153" s="41"/>
      <c r="G153" s="7"/>
      <c r="H153" s="7"/>
    </row>
    <row r="154" spans="1:8" s="8" customFormat="1" x14ac:dyDescent="0.3">
      <c r="A154" s="41"/>
      <c r="G154" s="7"/>
      <c r="H154" s="7"/>
    </row>
    <row r="155" spans="1:8" s="8" customFormat="1" x14ac:dyDescent="0.3">
      <c r="A155" s="41"/>
      <c r="G155" s="7"/>
      <c r="H155" s="7"/>
    </row>
    <row r="156" spans="1:8" s="8" customFormat="1" x14ac:dyDescent="0.3">
      <c r="A156" s="97"/>
    </row>
    <row r="157" spans="1:8" s="8" customFormat="1" x14ac:dyDescent="0.3">
      <c r="A157" s="97"/>
    </row>
    <row r="158" spans="1:8" s="8" customFormat="1" x14ac:dyDescent="0.3">
      <c r="A158" s="41"/>
      <c r="G158" s="7"/>
      <c r="H158" s="7"/>
    </row>
    <row r="159" spans="1:8" s="8" customFormat="1" x14ac:dyDescent="0.3">
      <c r="A159" s="41"/>
      <c r="G159" s="7"/>
      <c r="H159" s="7"/>
    </row>
    <row r="160" spans="1:8" s="8" customFormat="1" x14ac:dyDescent="0.3">
      <c r="A160" s="41"/>
      <c r="G160" s="7"/>
      <c r="H160" s="7"/>
    </row>
    <row r="161" spans="1:8" s="8" customFormat="1" x14ac:dyDescent="0.3">
      <c r="A161" s="41"/>
      <c r="G161" s="7"/>
      <c r="H161" s="7"/>
    </row>
    <row r="162" spans="1:8" s="8" customFormat="1" x14ac:dyDescent="0.3">
      <c r="A162" s="97"/>
    </row>
    <row r="163" spans="1:8" s="8" customFormat="1" x14ac:dyDescent="0.3">
      <c r="A163" s="97"/>
    </row>
    <row r="164" spans="1:8" s="8" customFormat="1" x14ac:dyDescent="0.3">
      <c r="A164" s="41"/>
      <c r="G164" s="7"/>
      <c r="H164" s="7"/>
    </row>
    <row r="165" spans="1:8" s="8" customFormat="1" x14ac:dyDescent="0.3">
      <c r="A165" s="41"/>
      <c r="G165" s="7"/>
      <c r="H165" s="7"/>
    </row>
    <row r="166" spans="1:8" s="8" customFormat="1" x14ac:dyDescent="0.3">
      <c r="A166" s="41"/>
      <c r="G166" s="7"/>
      <c r="H166" s="7"/>
    </row>
    <row r="167" spans="1:8" s="8" customFormat="1" x14ac:dyDescent="0.3">
      <c r="A167" s="41"/>
      <c r="G167" s="7"/>
      <c r="H167" s="7"/>
    </row>
    <row r="168" spans="1:8" s="8" customFormat="1" x14ac:dyDescent="0.3">
      <c r="A168" s="41"/>
      <c r="G168" s="7"/>
      <c r="H168" s="7"/>
    </row>
    <row r="169" spans="1:8" s="8" customFormat="1" x14ac:dyDescent="0.3">
      <c r="A169" s="97"/>
    </row>
    <row r="170" spans="1:8" s="8" customFormat="1" x14ac:dyDescent="0.3">
      <c r="A170" s="97"/>
    </row>
    <row r="171" spans="1:8" s="8" customFormat="1" x14ac:dyDescent="0.3">
      <c r="A171" s="41"/>
      <c r="G171" s="7"/>
      <c r="H171" s="7"/>
    </row>
    <row r="172" spans="1:8" s="8" customFormat="1" x14ac:dyDescent="0.3">
      <c r="A172" s="41"/>
      <c r="G172" s="7"/>
      <c r="H172" s="7"/>
    </row>
    <row r="173" spans="1:8" s="8" customFormat="1" x14ac:dyDescent="0.3">
      <c r="A173" s="41"/>
      <c r="G173" s="7"/>
      <c r="H173" s="7"/>
    </row>
    <row r="174" spans="1:8" s="8" customFormat="1" x14ac:dyDescent="0.3">
      <c r="A174" s="41"/>
      <c r="G174" s="7"/>
      <c r="H174" s="7"/>
    </row>
    <row r="175" spans="1:8" s="8" customFormat="1" x14ac:dyDescent="0.3">
      <c r="A175" s="41"/>
      <c r="G175" s="7"/>
      <c r="H175" s="7"/>
    </row>
    <row r="176" spans="1:8" s="8" customFormat="1" x14ac:dyDescent="0.3">
      <c r="A176" s="97"/>
    </row>
    <row r="177" spans="1:8" s="8" customFormat="1" x14ac:dyDescent="0.3">
      <c r="A177" s="97"/>
    </row>
    <row r="178" spans="1:8" s="8" customFormat="1" x14ac:dyDescent="0.3">
      <c r="A178" s="41"/>
      <c r="G178" s="7"/>
      <c r="H178" s="7"/>
    </row>
    <row r="179" spans="1:8" s="8" customFormat="1" x14ac:dyDescent="0.3">
      <c r="A179" s="41"/>
      <c r="G179" s="7"/>
      <c r="H179" s="7"/>
    </row>
    <row r="180" spans="1:8" s="8" customFormat="1" x14ac:dyDescent="0.3">
      <c r="A180" s="41"/>
      <c r="G180" s="7"/>
      <c r="H180" s="7"/>
    </row>
    <row r="181" spans="1:8" s="8" customFormat="1" x14ac:dyDescent="0.3">
      <c r="A181" s="41"/>
      <c r="G181" s="7"/>
      <c r="H181" s="7"/>
    </row>
    <row r="182" spans="1:8" s="8" customFormat="1" x14ac:dyDescent="0.3">
      <c r="A182" s="41"/>
      <c r="G182" s="7"/>
      <c r="H182" s="7"/>
    </row>
    <row r="183" spans="1:8" s="8" customFormat="1" x14ac:dyDescent="0.3">
      <c r="A183" s="97"/>
    </row>
    <row r="184" spans="1:8" s="8" customFormat="1" x14ac:dyDescent="0.3">
      <c r="A184" s="97"/>
    </row>
    <row r="185" spans="1:8" s="8" customFormat="1" x14ac:dyDescent="0.3">
      <c r="A185" s="41"/>
      <c r="G185" s="7"/>
      <c r="H185" s="7"/>
    </row>
    <row r="186" spans="1:8" s="8" customFormat="1" x14ac:dyDescent="0.3">
      <c r="A186" s="41"/>
      <c r="G186" s="7"/>
      <c r="H186" s="7"/>
    </row>
    <row r="187" spans="1:8" s="8" customFormat="1" x14ac:dyDescent="0.3">
      <c r="A187" s="41"/>
      <c r="G187" s="7"/>
      <c r="H187" s="7"/>
    </row>
    <row r="188" spans="1:8" s="8" customFormat="1" x14ac:dyDescent="0.3">
      <c r="A188" s="97"/>
    </row>
    <row r="189" spans="1:8" s="8" customFormat="1" x14ac:dyDescent="0.3">
      <c r="A189" s="97"/>
    </row>
    <row r="190" spans="1:8" s="8" customFormat="1" x14ac:dyDescent="0.3">
      <c r="A190" s="41"/>
      <c r="G190" s="7"/>
      <c r="H190" s="7"/>
    </row>
    <row r="191" spans="1:8" s="8" customFormat="1" x14ac:dyDescent="0.3">
      <c r="A191" s="41"/>
      <c r="G191" s="7"/>
      <c r="H191" s="7"/>
    </row>
    <row r="192" spans="1:8" s="8" customFormat="1" x14ac:dyDescent="0.3">
      <c r="A192" s="41"/>
      <c r="G192" s="7"/>
      <c r="H192" s="7"/>
    </row>
    <row r="193" spans="1:8" s="8" customFormat="1" x14ac:dyDescent="0.3">
      <c r="A193" s="41"/>
      <c r="G193" s="7"/>
      <c r="H193" s="7"/>
    </row>
    <row r="194" spans="1:8" s="8" customFormat="1" x14ac:dyDescent="0.3">
      <c r="A194" s="41"/>
      <c r="G194" s="7"/>
      <c r="H194" s="7"/>
    </row>
    <row r="195" spans="1:8" s="8" customFormat="1" x14ac:dyDescent="0.3">
      <c r="A195" s="97"/>
    </row>
    <row r="196" spans="1:8" s="8" customFormat="1" x14ac:dyDescent="0.3">
      <c r="A196" s="97"/>
    </row>
    <row r="197" spans="1:8" s="8" customFormat="1" x14ac:dyDescent="0.3">
      <c r="A197" s="41"/>
      <c r="G197" s="7"/>
      <c r="H197" s="7"/>
    </row>
    <row r="198" spans="1:8" s="8" customFormat="1" x14ac:dyDescent="0.3">
      <c r="A198" s="41"/>
      <c r="G198" s="7"/>
      <c r="H198" s="7"/>
    </row>
    <row r="199" spans="1:8" s="8" customFormat="1" x14ac:dyDescent="0.3">
      <c r="A199" s="41"/>
      <c r="G199" s="7"/>
      <c r="H199" s="7"/>
    </row>
    <row r="200" spans="1:8" s="8" customFormat="1" x14ac:dyDescent="0.3">
      <c r="A200" s="41"/>
      <c r="G200" s="7"/>
      <c r="H200" s="7"/>
    </row>
    <row r="201" spans="1:8" s="8" customFormat="1" x14ac:dyDescent="0.3">
      <c r="A201" s="41"/>
      <c r="G201" s="7"/>
      <c r="H201" s="7"/>
    </row>
    <row r="202" spans="1:8" s="8" customFormat="1" x14ac:dyDescent="0.3">
      <c r="A202" s="41"/>
      <c r="G202" s="7"/>
      <c r="H202" s="7"/>
    </row>
    <row r="203" spans="1:8" s="8" customFormat="1" x14ac:dyDescent="0.3">
      <c r="A203" s="41"/>
      <c r="G203" s="7"/>
      <c r="H203" s="7"/>
    </row>
    <row r="204" spans="1:8" s="8" customFormat="1" x14ac:dyDescent="0.3">
      <c r="A204" s="41"/>
      <c r="G204" s="7"/>
      <c r="H204" s="7"/>
    </row>
    <row r="205" spans="1:8" s="8" customFormat="1" x14ac:dyDescent="0.3">
      <c r="A205" s="97"/>
    </row>
    <row r="206" spans="1:8" s="8" customFormat="1" x14ac:dyDescent="0.3">
      <c r="A206" s="97"/>
    </row>
    <row r="207" spans="1:8" s="8" customFormat="1" x14ac:dyDescent="0.3">
      <c r="A207" s="41"/>
      <c r="G207" s="7"/>
      <c r="H207" s="7"/>
    </row>
    <row r="208" spans="1:8" s="8" customFormat="1" x14ac:dyDescent="0.3">
      <c r="A208" s="41"/>
      <c r="G208" s="7"/>
      <c r="H208" s="7"/>
    </row>
    <row r="209" spans="1:8" s="8" customFormat="1" x14ac:dyDescent="0.3">
      <c r="A209" s="41"/>
      <c r="G209" s="7"/>
      <c r="H209" s="7"/>
    </row>
    <row r="210" spans="1:8" s="8" customFormat="1" x14ac:dyDescent="0.3">
      <c r="A210" s="41"/>
      <c r="G210" s="7"/>
      <c r="H210" s="7"/>
    </row>
    <row r="211" spans="1:8" s="8" customFormat="1" x14ac:dyDescent="0.3">
      <c r="A211" s="41"/>
      <c r="G211" s="7"/>
      <c r="H211" s="7"/>
    </row>
    <row r="212" spans="1:8" s="8" customFormat="1" x14ac:dyDescent="0.3">
      <c r="A212" s="97"/>
    </row>
    <row r="213" spans="1:8" s="8" customFormat="1" x14ac:dyDescent="0.3">
      <c r="A213" s="97"/>
    </row>
    <row r="214" spans="1:8" s="8" customFormat="1" x14ac:dyDescent="0.3">
      <c r="A214" s="41"/>
      <c r="G214" s="7"/>
      <c r="H214" s="7"/>
    </row>
    <row r="215" spans="1:8" s="8" customFormat="1" x14ac:dyDescent="0.3">
      <c r="A215" s="41"/>
      <c r="G215" s="7"/>
      <c r="H215" s="7"/>
    </row>
    <row r="216" spans="1:8" s="8" customFormat="1" x14ac:dyDescent="0.3">
      <c r="A216" s="41"/>
      <c r="G216" s="7"/>
      <c r="H216" s="7"/>
    </row>
    <row r="217" spans="1:8" s="8" customFormat="1" x14ac:dyDescent="0.3">
      <c r="A217" s="41"/>
      <c r="G217" s="7"/>
      <c r="H217" s="7"/>
    </row>
    <row r="218" spans="1:8" s="8" customFormat="1" x14ac:dyDescent="0.3">
      <c r="A218" s="41"/>
      <c r="G218" s="7"/>
      <c r="H218" s="7"/>
    </row>
    <row r="219" spans="1:8" s="8" customFormat="1" x14ac:dyDescent="0.3">
      <c r="A219" s="41"/>
      <c r="G219" s="7"/>
      <c r="H219" s="7"/>
    </row>
    <row r="220" spans="1:8" s="8" customFormat="1" x14ac:dyDescent="0.3">
      <c r="A220" s="41"/>
      <c r="G220" s="7"/>
      <c r="H220" s="7"/>
    </row>
    <row r="221" spans="1:8" s="8" customFormat="1" x14ac:dyDescent="0.3">
      <c r="A221" s="41"/>
      <c r="G221" s="7"/>
      <c r="H221" s="7"/>
    </row>
    <row r="222" spans="1:8" s="8" customFormat="1" x14ac:dyDescent="0.3">
      <c r="A222" s="41"/>
      <c r="G222" s="7"/>
      <c r="H222" s="7"/>
    </row>
    <row r="223" spans="1:8" s="8" customFormat="1" x14ac:dyDescent="0.3">
      <c r="A223" s="41"/>
      <c r="G223" s="7"/>
      <c r="H223" s="7"/>
    </row>
    <row r="224" spans="1:8" s="8" customFormat="1" x14ac:dyDescent="0.3">
      <c r="A224" s="41"/>
      <c r="G224" s="7"/>
      <c r="H224" s="7"/>
    </row>
    <row r="225" spans="1:8" s="8" customFormat="1" x14ac:dyDescent="0.3">
      <c r="A225" s="41"/>
      <c r="G225" s="7"/>
      <c r="H225" s="7"/>
    </row>
    <row r="226" spans="1:8" s="8" customFormat="1" x14ac:dyDescent="0.3">
      <c r="A226" s="41"/>
      <c r="G226" s="7"/>
      <c r="H226" s="7"/>
    </row>
    <row r="227" spans="1:8" s="8" customFormat="1" x14ac:dyDescent="0.3">
      <c r="A227" s="97"/>
    </row>
    <row r="228" spans="1:8" s="8" customFormat="1" x14ac:dyDescent="0.3">
      <c r="A228" s="97"/>
    </row>
    <row r="229" spans="1:8" s="8" customFormat="1" x14ac:dyDescent="0.3">
      <c r="A229" s="41"/>
      <c r="G229" s="7"/>
      <c r="H229" s="7"/>
    </row>
    <row r="230" spans="1:8" s="8" customFormat="1" x14ac:dyDescent="0.3">
      <c r="A230" s="41"/>
      <c r="G230" s="7"/>
      <c r="H230" s="7"/>
    </row>
    <row r="231" spans="1:8" s="8" customFormat="1" x14ac:dyDescent="0.3">
      <c r="A231" s="41"/>
      <c r="G231" s="7"/>
      <c r="H231" s="7"/>
    </row>
    <row r="232" spans="1:8" s="8" customFormat="1" x14ac:dyDescent="0.3">
      <c r="A232" s="41"/>
      <c r="G232" s="7"/>
      <c r="H232" s="7"/>
    </row>
    <row r="233" spans="1:8" s="8" customFormat="1" x14ac:dyDescent="0.3">
      <c r="A233" s="41"/>
    </row>
    <row r="234" spans="1:8" x14ac:dyDescent="0.3">
      <c r="A234" s="43"/>
    </row>
  </sheetData>
  <mergeCells count="205">
    <mergeCell ref="A143:A144"/>
    <mergeCell ref="A156:A157"/>
    <mergeCell ref="A162:A163"/>
    <mergeCell ref="H134:H136"/>
    <mergeCell ref="I134:I136"/>
    <mergeCell ref="A188:A189"/>
    <mergeCell ref="A52:A53"/>
    <mergeCell ref="B52:B53"/>
    <mergeCell ref="C52:C53"/>
    <mergeCell ref="E52:E53"/>
    <mergeCell ref="F52:F53"/>
    <mergeCell ref="G52:G53"/>
    <mergeCell ref="H124:K126"/>
    <mergeCell ref="A71:A72"/>
    <mergeCell ref="B71:B72"/>
    <mergeCell ref="C71:C72"/>
    <mergeCell ref="E71:E72"/>
    <mergeCell ref="F71:F72"/>
    <mergeCell ref="G71:G72"/>
    <mergeCell ref="A59:A60"/>
    <mergeCell ref="B59:B60"/>
    <mergeCell ref="C59:C60"/>
    <mergeCell ref="E59:E60"/>
    <mergeCell ref="F59:F60"/>
    <mergeCell ref="A212:A213"/>
    <mergeCell ref="F103:F104"/>
    <mergeCell ref="G103:G104"/>
    <mergeCell ref="A114:F114"/>
    <mergeCell ref="A81:A82"/>
    <mergeCell ref="B81:B82"/>
    <mergeCell ref="C81:C82"/>
    <mergeCell ref="E81:E82"/>
    <mergeCell ref="F81:F82"/>
    <mergeCell ref="G81:G82"/>
    <mergeCell ref="C103:C104"/>
    <mergeCell ref="E103:E104"/>
    <mergeCell ref="A195:A196"/>
    <mergeCell ref="A205:A206"/>
    <mergeCell ref="A169:A170"/>
    <mergeCell ref="A176:A177"/>
    <mergeCell ref="A183:A184"/>
    <mergeCell ref="G134:G136"/>
    <mergeCell ref="A124:G126"/>
    <mergeCell ref="D103:D104"/>
    <mergeCell ref="A88:A89"/>
    <mergeCell ref="B88:B89"/>
    <mergeCell ref="C88:C89"/>
    <mergeCell ref="E88:E89"/>
    <mergeCell ref="A227:A228"/>
    <mergeCell ref="J5:K5"/>
    <mergeCell ref="G127:K127"/>
    <mergeCell ref="A128:A131"/>
    <mergeCell ref="B128:F129"/>
    <mergeCell ref="G128:H130"/>
    <mergeCell ref="I128:I130"/>
    <mergeCell ref="J128:K130"/>
    <mergeCell ref="B130:C130"/>
    <mergeCell ref="E130:F130"/>
    <mergeCell ref="K134:K136"/>
    <mergeCell ref="A134:A136"/>
    <mergeCell ref="B134:B136"/>
    <mergeCell ref="C134:C136"/>
    <mergeCell ref="E134:E136"/>
    <mergeCell ref="F134:F136"/>
    <mergeCell ref="J134:J136"/>
    <mergeCell ref="A103:A104"/>
    <mergeCell ref="B103:B104"/>
    <mergeCell ref="K6:K7"/>
    <mergeCell ref="J6:J7"/>
    <mergeCell ref="A64:A65"/>
    <mergeCell ref="B64:B65"/>
    <mergeCell ref="C64:C65"/>
    <mergeCell ref="M109:N109"/>
    <mergeCell ref="L113:N113"/>
    <mergeCell ref="L114:N114"/>
    <mergeCell ref="A113:F113"/>
    <mergeCell ref="L81:N82"/>
    <mergeCell ref="H81:H82"/>
    <mergeCell ref="I81:I82"/>
    <mergeCell ref="J81:J82"/>
    <mergeCell ref="K81:K82"/>
    <mergeCell ref="D81:D82"/>
    <mergeCell ref="F88:F89"/>
    <mergeCell ref="G88:G89"/>
    <mergeCell ref="L88:N89"/>
    <mergeCell ref="H88:H89"/>
    <mergeCell ref="I88:I89"/>
    <mergeCell ref="J88:J89"/>
    <mergeCell ref="K88:K89"/>
    <mergeCell ref="D88:D89"/>
    <mergeCell ref="L103:N104"/>
    <mergeCell ref="H103:H104"/>
    <mergeCell ref="I103:I104"/>
    <mergeCell ref="J103:J104"/>
    <mergeCell ref="K103:K104"/>
    <mergeCell ref="L71:N72"/>
    <mergeCell ref="H71:H72"/>
    <mergeCell ref="I71:I72"/>
    <mergeCell ref="J71:J72"/>
    <mergeCell ref="K71:K72"/>
    <mergeCell ref="D71:D72"/>
    <mergeCell ref="L64:N65"/>
    <mergeCell ref="H64:H65"/>
    <mergeCell ref="I64:I65"/>
    <mergeCell ref="J64:J65"/>
    <mergeCell ref="K64:K65"/>
    <mergeCell ref="D64:D65"/>
    <mergeCell ref="G59:G60"/>
    <mergeCell ref="L59:N60"/>
    <mergeCell ref="H59:H60"/>
    <mergeCell ref="I59:I60"/>
    <mergeCell ref="J59:J60"/>
    <mergeCell ref="K59:K60"/>
    <mergeCell ref="D59:D60"/>
    <mergeCell ref="E64:E65"/>
    <mergeCell ref="F64:F65"/>
    <mergeCell ref="G64:G65"/>
    <mergeCell ref="L52:N53"/>
    <mergeCell ref="H52:H53"/>
    <mergeCell ref="I52:I53"/>
    <mergeCell ref="J52:J53"/>
    <mergeCell ref="K52:K53"/>
    <mergeCell ref="D52:D53"/>
    <mergeCell ref="A45:A46"/>
    <mergeCell ref="B45:B46"/>
    <mergeCell ref="C45:C46"/>
    <mergeCell ref="E45:E46"/>
    <mergeCell ref="F45:F46"/>
    <mergeCell ref="G45:G46"/>
    <mergeCell ref="L45:N46"/>
    <mergeCell ref="H45:H46"/>
    <mergeCell ref="I45:I46"/>
    <mergeCell ref="J45:J46"/>
    <mergeCell ref="K45:K46"/>
    <mergeCell ref="D45:D46"/>
    <mergeCell ref="L38:N39"/>
    <mergeCell ref="H38:H39"/>
    <mergeCell ref="I38:I39"/>
    <mergeCell ref="J38:J39"/>
    <mergeCell ref="K38:K39"/>
    <mergeCell ref="D38:D39"/>
    <mergeCell ref="A32:A33"/>
    <mergeCell ref="B32:B33"/>
    <mergeCell ref="C32:C33"/>
    <mergeCell ref="E32:E33"/>
    <mergeCell ref="F32:F33"/>
    <mergeCell ref="G32:G33"/>
    <mergeCell ref="L32:N33"/>
    <mergeCell ref="H32:H33"/>
    <mergeCell ref="I32:I33"/>
    <mergeCell ref="J32:J33"/>
    <mergeCell ref="K32:K33"/>
    <mergeCell ref="D32:D33"/>
    <mergeCell ref="A38:A39"/>
    <mergeCell ref="B38:B39"/>
    <mergeCell ref="C38:C39"/>
    <mergeCell ref="E38:E39"/>
    <mergeCell ref="F38:F39"/>
    <mergeCell ref="G38:G39"/>
    <mergeCell ref="L18:N19"/>
    <mergeCell ref="H18:H19"/>
    <mergeCell ref="I18:I19"/>
    <mergeCell ref="J18:J19"/>
    <mergeCell ref="K18:K19"/>
    <mergeCell ref="D18:D19"/>
    <mergeCell ref="A10:A11"/>
    <mergeCell ref="B10:B11"/>
    <mergeCell ref="C10:C11"/>
    <mergeCell ref="E10:E11"/>
    <mergeCell ref="F10:F11"/>
    <mergeCell ref="G10:G11"/>
    <mergeCell ref="L10:N11"/>
    <mergeCell ref="H10:H11"/>
    <mergeCell ref="I10:I11"/>
    <mergeCell ref="J10:J11"/>
    <mergeCell ref="K10:K11"/>
    <mergeCell ref="E18:E19"/>
    <mergeCell ref="F18:F19"/>
    <mergeCell ref="G18:G19"/>
    <mergeCell ref="A18:A19"/>
    <mergeCell ref="B18:B19"/>
    <mergeCell ref="C18:C19"/>
    <mergeCell ref="A2:M2"/>
    <mergeCell ref="A3:L3"/>
    <mergeCell ref="L5:N7"/>
    <mergeCell ref="D8:D9"/>
    <mergeCell ref="D10:D11"/>
    <mergeCell ref="H4:K4"/>
    <mergeCell ref="M4:N4"/>
    <mergeCell ref="A5:A7"/>
    <mergeCell ref="L8:N9"/>
    <mergeCell ref="H8:H9"/>
    <mergeCell ref="I8:I9"/>
    <mergeCell ref="J8:J9"/>
    <mergeCell ref="K8:K9"/>
    <mergeCell ref="D6:E6"/>
    <mergeCell ref="F6:I6"/>
    <mergeCell ref="B5:I5"/>
    <mergeCell ref="B6:C6"/>
    <mergeCell ref="A8:A9"/>
    <mergeCell ref="B8:B9"/>
    <mergeCell ref="C8:C9"/>
    <mergeCell ref="E8:E9"/>
    <mergeCell ref="F8:F9"/>
    <mergeCell ref="G8:G9"/>
  </mergeCells>
  <pageMargins left="0.7" right="0.7" top="0.75" bottom="0.75" header="0.3" footer="0.3"/>
  <pageSetup paperSize="9" orientation="portrait" horizontalDpi="200" verticalDpi="200" r:id="rId1"/>
  <ignoredErrors>
    <ignoredError sqref="E27:I27 J27:K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2015-05-15T06:35:45Z</cp:lastPrinted>
  <dcterms:created xsi:type="dcterms:W3CDTF">2015-05-15T06:27:06Z</dcterms:created>
  <dcterms:modified xsi:type="dcterms:W3CDTF">2020-05-25T11:15:09Z</dcterms:modified>
</cp:coreProperties>
</file>