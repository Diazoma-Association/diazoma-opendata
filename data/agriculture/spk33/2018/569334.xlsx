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8. 2018 ΑΝΑΛΥΤΙΚΟΙ ΠΙΝΑΚΕΣ\"/>
    </mc:Choice>
  </mc:AlternateContent>
  <xr:revisionPtr revIDLastSave="0" documentId="8_{E18EDB4A-2BAE-4055-AE1B-C15B3C152D0D}" xr6:coauthVersionLast="44" xr6:coauthVersionMax="44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4" i="1" l="1"/>
  <c r="D14" i="1"/>
  <c r="D80" i="1"/>
  <c r="D79" i="1"/>
  <c r="D78" i="1"/>
  <c r="D77" i="1"/>
  <c r="D76" i="1"/>
  <c r="D75" i="1"/>
  <c r="D74" i="1"/>
  <c r="D73" i="1"/>
  <c r="D13" i="1" l="1"/>
  <c r="H12" i="1"/>
  <c r="D12" i="1"/>
  <c r="B64" i="1"/>
  <c r="C64" i="1"/>
  <c r="H108" i="1" l="1"/>
  <c r="H107" i="1"/>
  <c r="H106" i="1"/>
  <c r="H105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7" i="1"/>
  <c r="H86" i="1"/>
  <c r="H85" i="1"/>
  <c r="H84" i="1"/>
  <c r="H83" i="1"/>
  <c r="H80" i="1"/>
  <c r="H79" i="1"/>
  <c r="H78" i="1"/>
  <c r="H77" i="1"/>
  <c r="H76" i="1"/>
  <c r="H75" i="1"/>
  <c r="H74" i="1"/>
  <c r="H73" i="1"/>
  <c r="H70" i="1"/>
  <c r="H69" i="1"/>
  <c r="H68" i="1"/>
  <c r="H67" i="1"/>
  <c r="H66" i="1"/>
  <c r="H63" i="1"/>
  <c r="H62" i="1"/>
  <c r="H61" i="1"/>
  <c r="H58" i="1"/>
  <c r="H57" i="1"/>
  <c r="H56" i="1"/>
  <c r="H55" i="1"/>
  <c r="H54" i="1"/>
  <c r="H51" i="1"/>
  <c r="H50" i="1"/>
  <c r="H49" i="1"/>
  <c r="H48" i="1"/>
  <c r="H47" i="1"/>
  <c r="H44" i="1"/>
  <c r="H43" i="1"/>
  <c r="H42" i="1"/>
  <c r="H41" i="1"/>
  <c r="H40" i="1"/>
  <c r="H37" i="1"/>
  <c r="H36" i="1"/>
  <c r="H35" i="1"/>
  <c r="H34" i="1"/>
  <c r="H31" i="1"/>
  <c r="H30" i="1"/>
  <c r="H29" i="1"/>
  <c r="H28" i="1"/>
  <c r="H26" i="1"/>
  <c r="H25" i="1"/>
  <c r="H24" i="1"/>
  <c r="H23" i="1"/>
  <c r="H22" i="1"/>
  <c r="H21" i="1"/>
  <c r="H20" i="1"/>
  <c r="H17" i="1"/>
  <c r="H16" i="1"/>
  <c r="H15" i="1"/>
  <c r="H13" i="1"/>
  <c r="H10" i="1" l="1"/>
  <c r="H103" i="1"/>
  <c r="H88" i="1"/>
  <c r="H81" i="1"/>
  <c r="H71" i="1"/>
  <c r="H64" i="1"/>
  <c r="H59" i="1"/>
  <c r="H52" i="1"/>
  <c r="H45" i="1"/>
  <c r="H38" i="1"/>
  <c r="H32" i="1"/>
  <c r="H27" i="1"/>
  <c r="H18" i="1"/>
  <c r="B18" i="1"/>
  <c r="B10" i="1"/>
  <c r="K103" i="1"/>
  <c r="J103" i="1"/>
  <c r="I103" i="1"/>
  <c r="G103" i="1"/>
  <c r="F103" i="1"/>
  <c r="E103" i="1"/>
  <c r="K88" i="1"/>
  <c r="J88" i="1"/>
  <c r="I88" i="1"/>
  <c r="G88" i="1"/>
  <c r="F88" i="1"/>
  <c r="E88" i="1"/>
  <c r="K81" i="1"/>
  <c r="J81" i="1"/>
  <c r="I81" i="1"/>
  <c r="G81" i="1"/>
  <c r="F81" i="1"/>
  <c r="E81" i="1"/>
  <c r="K71" i="1"/>
  <c r="J71" i="1"/>
  <c r="I71" i="1"/>
  <c r="G71" i="1"/>
  <c r="F71" i="1"/>
  <c r="E71" i="1"/>
  <c r="K64" i="1"/>
  <c r="J64" i="1"/>
  <c r="I64" i="1"/>
  <c r="G64" i="1"/>
  <c r="F64" i="1"/>
  <c r="E64" i="1"/>
  <c r="K59" i="1"/>
  <c r="J59" i="1"/>
  <c r="I59" i="1"/>
  <c r="G59" i="1"/>
  <c r="F59" i="1"/>
  <c r="E59" i="1"/>
  <c r="K52" i="1"/>
  <c r="J52" i="1"/>
  <c r="I52" i="1"/>
  <c r="G52" i="1"/>
  <c r="F52" i="1"/>
  <c r="E52" i="1"/>
  <c r="K45" i="1"/>
  <c r="J45" i="1"/>
  <c r="I45" i="1"/>
  <c r="G45" i="1"/>
  <c r="F45" i="1"/>
  <c r="E45" i="1"/>
  <c r="K38" i="1"/>
  <c r="J38" i="1"/>
  <c r="I38" i="1"/>
  <c r="G38" i="1"/>
  <c r="F38" i="1"/>
  <c r="E38" i="1"/>
  <c r="K32" i="1"/>
  <c r="J32" i="1"/>
  <c r="I32" i="1"/>
  <c r="G32" i="1"/>
  <c r="F32" i="1"/>
  <c r="E32" i="1"/>
  <c r="K27" i="1"/>
  <c r="J27" i="1"/>
  <c r="I27" i="1"/>
  <c r="F27" i="1"/>
  <c r="G27" i="1"/>
  <c r="E27" i="1"/>
  <c r="K18" i="1"/>
  <c r="J18" i="1"/>
  <c r="I18" i="1"/>
  <c r="F18" i="1"/>
  <c r="G18" i="1"/>
  <c r="E18" i="1"/>
  <c r="K10" i="1"/>
  <c r="J10" i="1"/>
  <c r="I10" i="1"/>
  <c r="F10" i="1"/>
  <c r="G10" i="1"/>
  <c r="E10" i="1"/>
  <c r="E8" i="1" s="1"/>
  <c r="D108" i="1"/>
  <c r="D107" i="1"/>
  <c r="D106" i="1"/>
  <c r="D105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7" i="1"/>
  <c r="D86" i="1"/>
  <c r="D85" i="1"/>
  <c r="D84" i="1"/>
  <c r="D83" i="1"/>
  <c r="D70" i="1"/>
  <c r="D69" i="1"/>
  <c r="D68" i="1"/>
  <c r="D67" i="1"/>
  <c r="D66" i="1"/>
  <c r="D63" i="1"/>
  <c r="D62" i="1"/>
  <c r="D61" i="1"/>
  <c r="D58" i="1"/>
  <c r="D57" i="1"/>
  <c r="D56" i="1"/>
  <c r="D55" i="1"/>
  <c r="D54" i="1"/>
  <c r="D51" i="1"/>
  <c r="D50" i="1"/>
  <c r="D49" i="1"/>
  <c r="D48" i="1"/>
  <c r="D47" i="1"/>
  <c r="D44" i="1"/>
  <c r="D43" i="1"/>
  <c r="D42" i="1"/>
  <c r="D41" i="1"/>
  <c r="D40" i="1"/>
  <c r="D37" i="1"/>
  <c r="D36" i="1"/>
  <c r="D35" i="1"/>
  <c r="D34" i="1"/>
  <c r="D31" i="1"/>
  <c r="D30" i="1"/>
  <c r="D29" i="1"/>
  <c r="D28" i="1"/>
  <c r="D26" i="1"/>
  <c r="D25" i="1"/>
  <c r="D24" i="1"/>
  <c r="D23" i="1"/>
  <c r="D22" i="1"/>
  <c r="D21" i="1"/>
  <c r="D20" i="1"/>
  <c r="D17" i="1"/>
  <c r="D16" i="1"/>
  <c r="D15" i="1"/>
  <c r="C103" i="1"/>
  <c r="B103" i="1"/>
  <c r="C88" i="1"/>
  <c r="B88" i="1"/>
  <c r="C81" i="1"/>
  <c r="B81" i="1"/>
  <c r="C71" i="1"/>
  <c r="B71" i="1"/>
  <c r="C59" i="1"/>
  <c r="B59" i="1"/>
  <c r="C52" i="1"/>
  <c r="B52" i="1"/>
  <c r="C38" i="1"/>
  <c r="C32" i="1"/>
  <c r="C45" i="1"/>
  <c r="B45" i="1"/>
  <c r="B38" i="1"/>
  <c r="B32" i="1"/>
  <c r="C27" i="1"/>
  <c r="B27" i="1"/>
  <c r="C18" i="1"/>
  <c r="C10" i="1"/>
  <c r="C8" i="1" l="1"/>
  <c r="B8" i="1"/>
  <c r="D27" i="1"/>
  <c r="D32" i="1"/>
  <c r="D38" i="1"/>
  <c r="D52" i="1"/>
  <c r="D64" i="1"/>
  <c r="D88" i="1"/>
  <c r="D10" i="1"/>
  <c r="D18" i="1"/>
  <c r="D45" i="1"/>
  <c r="D59" i="1"/>
  <c r="D71" i="1"/>
  <c r="D81" i="1"/>
  <c r="D103" i="1"/>
  <c r="H8" i="1"/>
  <c r="K8" i="1"/>
  <c r="F8" i="1"/>
  <c r="I8" i="1"/>
  <c r="J8" i="1"/>
  <c r="G8" i="1"/>
  <c r="D8" i="1" l="1"/>
</calcChain>
</file>

<file path=xl/sharedStrings.xml><?xml version="1.0" encoding="utf-8"?>
<sst xmlns="http://schemas.openxmlformats.org/spreadsheetml/2006/main" count="408" uniqueCount="194">
  <si>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</si>
  <si>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</si>
  <si>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</si>
  <si>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</si>
  <si>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</si>
  <si>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</si>
  <si>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</si>
  <si>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</si>
  <si>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</si>
  <si>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</si>
  <si>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</si>
  <si>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</si>
  <si>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</si>
  <si>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</si>
  <si>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</si>
  <si>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</si>
  <si>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</si>
  <si>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</si>
  <si>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</si>
  <si>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</si>
  <si>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</si>
  <si>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</si>
  <si>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</si>
  <si>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</si>
  <si>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</si>
  <si>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</si>
  <si>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</si>
  <si>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</si>
  <si>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</si>
  <si>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</si>
  <si>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</si>
  <si>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</si>
  <si>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</si>
  <si>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</si>
  <si>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</si>
  <si>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</si>
  <si>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</si>
  <si>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</si>
  <si>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</si>
  <si>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</si>
  <si>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</si>
  <si>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</si>
  <si>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</si>
  <si>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</si>
  <si>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</si>
  <si>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</si>
  <si>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</si>
  <si>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</si>
  <si>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</si>
  <si>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</si>
  <si>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</si>
  <si>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</si>
  <si>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</si>
  <si>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</si>
  <si>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</si>
  <si>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</si>
  <si>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</si>
  <si>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</si>
  <si>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</si>
  <si>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</si>
  <si>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</si>
  <si>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</si>
  <si>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</si>
  <si>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</si>
  <si>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</si>
  <si>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</si>
  <si>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</si>
  <si>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</si>
  <si>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</si>
  <si>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</si>
  <si>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</si>
  <si>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</si>
  <si>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</si>
  <si>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</si>
  <si>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</si>
  <si>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</si>
  <si>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</si>
  <si>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</si>
  <si>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</si>
  <si>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</si>
  <si>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</si>
  <si>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</si>
  <si>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</si>
  <si>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</si>
  <si>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</si>
  <si>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</si>
  <si>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</si>
  <si>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</si>
  <si>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</si>
  <si>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</si>
  <si>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</si>
  <si>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</si>
  <si>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</si>
  <si>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</si>
  <si>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</si>
  <si>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</si>
  <si>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</si>
  <si>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</si>
  <si>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</si>
  <si>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</si>
  <si>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</si>
  <si>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</si>
  <si>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</si>
  <si>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</si>
  <si>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</si>
  <si>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</si>
  <si>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</si>
  <si>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</si>
  <si>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</si>
  <si>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</si>
  <si>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</si>
  <si>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</si>
  <si>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</si>
  <si>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</si>
  <si>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</si>
  <si>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</si>
  <si>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</si>
  <si>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</si>
  <si>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</si>
  <si>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</si>
  <si>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</si>
  <si>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</si>
  <si>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</si>
  <si>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</si>
  <si>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</si>
  <si>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</si>
  <si>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</si>
  <si>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</si>
  <si>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</si>
  <si>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</si>
  <si>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</si>
  <si>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</si>
  <si>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</si>
  <si>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</si>
  <si>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</si>
  <si>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</si>
  <si>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</si>
  <si>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</si>
  <si>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</si>
  <si>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</si>
  <si>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</si>
  <si>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</si>
  <si>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</si>
  <si>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</si>
  <si>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</si>
  <si>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</si>
  <si>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</si>
  <si>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</si>
  <si>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</si>
  <si>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</si>
  <si>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</si>
  <si>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</si>
  <si>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</si>
  <si>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</si>
  <si>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</si>
  <si>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</si>
  <si>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</si>
  <si>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</si>
  <si>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</si>
  <si>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</si>
  <si>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</si>
  <si>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</si>
  <si>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</si>
  <si>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</si>
  <si>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</si>
  <si>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</si>
  <si>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</si>
  <si>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</si>
  <si>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</si>
  <si>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</si>
  <si>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</si>
  <si>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</si>
  <si>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</si>
  <si>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</si>
  <si>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</si>
  <si>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</si>
  <si>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</si>
  <si>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</si>
  <si>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 of Western Macedonia</t>
  </si>
  <si>
    <t>Περιφέρεια Δυτικής Μακεδονίας</t>
  </si>
  <si>
    <t>Βουβάλια
Buffaloes</t>
  </si>
  <si>
    <t>Σύνολο
Total</t>
  </si>
  <si>
    <t>Οικόσιτα
Domestic</t>
  </si>
  <si>
    <t>Κοπαδιάρικα
In flock</t>
  </si>
  <si>
    <t>Νομαδικά
Nomadic</t>
  </si>
  <si>
    <t>Οικόσιτες
Domestic</t>
  </si>
  <si>
    <t>Κοπαδιάρικες
In flock</t>
  </si>
  <si>
    <t>Νομαδικές
Nomadic</t>
  </si>
  <si>
    <t>Αίγες
Goats</t>
  </si>
  <si>
    <t>Πρόβατα
Sheep</t>
  </si>
  <si>
    <t>Αγελάδες γαλακτοπαραγωγής
Cows for milk production</t>
  </si>
  <si>
    <t>―</t>
  </si>
  <si>
    <t>Πίνακας 6. Ζώα που αρμέχτηκαν όλο το έτος 2018, κατά Περιφέρεια και Περιφερειακή Ενότητα</t>
  </si>
  <si>
    <t>Table 6. Animals milked during 2018, 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</si>
</sst>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charset val="161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4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3" fontId="2" fillId="0" borderId="21" xfId="0" applyNumberFormat="1" applyFont="1" applyBorder="1" applyAlignment="1">
      <alignment horizontal="right" vertical="top"/>
    </xf>
    <xf numFmtId="0" fontId="2" fillId="0" borderId="0" xfId="0" applyFont="1" applyBorder="1" applyAlignment="1">
      <alignment horizontal="right" vertical="top"/>
    </xf>
    <xf numFmtId="3" fontId="2" fillId="0" borderId="0" xfId="0" applyNumberFormat="1" applyFont="1" applyBorder="1" applyAlignment="1">
      <alignment horizontal="right" vertical="top"/>
    </xf>
    <xf numFmtId="0" fontId="3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/>
    <xf numFmtId="0" fontId="4" fillId="0" borderId="1" xfId="0" applyNumberFormat="1" applyFont="1" applyFill="1" applyBorder="1" applyAlignment="1" applyProtection="1">
      <alignment horizontal="left"/>
    </xf>
    <xf numFmtId="0" fontId="4" fillId="0" borderId="1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0" fontId="5" fillId="0" borderId="0" xfId="0" applyFont="1" applyBorder="1"/>
    <xf numFmtId="49" fontId="4" fillId="0" borderId="0" xfId="0" applyNumberFormat="1" applyFont="1" applyFill="1" applyBorder="1" applyAlignment="1" applyProtection="1">
      <alignment horizontal="left" wrapText="1" indent="1"/>
    </xf>
    <xf numFmtId="3" fontId="1" fillId="0" borderId="21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/>
    </xf>
    <xf numFmtId="3" fontId="4" fillId="0" borderId="3" xfId="0" quotePrefix="1" applyNumberFormat="1" applyFont="1" applyFill="1" applyBorder="1" applyAlignment="1" applyProtection="1">
      <alignment horizontal="right"/>
    </xf>
    <xf numFmtId="3" fontId="4" fillId="0" borderId="3" xfId="0" applyNumberFormat="1" applyFont="1" applyFill="1" applyBorder="1" applyAlignment="1" applyProtection="1">
      <alignment horizontal="right"/>
    </xf>
    <xf numFmtId="0" fontId="5" fillId="0" borderId="0" xfId="0" applyFont="1" applyBorder="1" applyAlignment="1">
      <alignment horizontal="left" indent="1"/>
    </xf>
    <xf numFmtId="0" fontId="5" fillId="0" borderId="0" xfId="0" applyFont="1" applyBorder="1" applyAlignment="1">
      <alignment horizontal="left"/>
    </xf>
    <xf numFmtId="3" fontId="1" fillId="0" borderId="0" xfId="0" applyNumberFormat="1" applyFont="1" applyBorder="1" applyAlignment="1">
      <alignment horizontal="right" vertical="top"/>
    </xf>
    <xf numFmtId="49" fontId="3" fillId="0" borderId="0" xfId="0" applyNumberFormat="1" applyFont="1" applyFill="1" applyBorder="1" applyAlignment="1" applyProtection="1">
      <alignment vertical="center" wrapText="1"/>
    </xf>
    <xf numFmtId="3" fontId="3" fillId="0" borderId="21" xfId="0" applyNumberFormat="1" applyFont="1" applyFill="1" applyBorder="1" applyAlignment="1" applyProtection="1">
      <alignment horizontal="right" vertical="center"/>
    </xf>
    <xf numFmtId="3" fontId="3" fillId="0" borderId="3" xfId="0" applyNumberFormat="1" applyFont="1" applyFill="1" applyBorder="1" applyAlignment="1" applyProtection="1">
      <alignment horizontal="right" vertical="center"/>
    </xf>
    <xf numFmtId="3" fontId="3" fillId="0" borderId="0" xfId="0" applyNumberFormat="1" applyFont="1" applyFill="1" applyBorder="1" applyAlignment="1" applyProtection="1">
      <alignment horizontal="right" vertical="center"/>
    </xf>
    <xf numFmtId="3" fontId="3" fillId="0" borderId="17" xfId="0" applyNumberFormat="1" applyFont="1" applyFill="1" applyBorder="1" applyAlignment="1" applyProtection="1">
      <alignment horizontal="right" vertical="center"/>
    </xf>
    <xf numFmtId="0" fontId="6" fillId="0" borderId="0" xfId="0" applyFont="1" applyBorder="1" applyAlignment="1">
      <alignment vertical="center"/>
    </xf>
    <xf numFmtId="49" fontId="5" fillId="0" borderId="0" xfId="0" applyNumberFormat="1" applyFont="1" applyBorder="1" applyAlignment="1" applyProtection="1">
      <alignment horizontal="left" vertical="center" wrapText="1" indent="1"/>
      <protection locked="0"/>
    </xf>
    <xf numFmtId="49" fontId="4" fillId="0" borderId="1" xfId="0" applyNumberFormat="1" applyFont="1" applyFill="1" applyBorder="1" applyAlignment="1" applyProtection="1">
      <alignment horizontal="left" wrapText="1" indent="1"/>
    </xf>
    <xf numFmtId="3" fontId="4" fillId="0" borderId="4" xfId="0" quotePrefix="1" applyNumberFormat="1" applyFont="1" applyFill="1" applyBorder="1" applyAlignment="1" applyProtection="1">
      <alignment horizontal="right"/>
    </xf>
    <xf numFmtId="3" fontId="4" fillId="0" borderId="4" xfId="0" applyNumberFormat="1" applyFont="1" applyFill="1" applyBorder="1" applyAlignment="1" applyProtection="1">
      <alignment horizontal="right"/>
    </xf>
    <xf numFmtId="0" fontId="5" fillId="0" borderId="1" xfId="0" applyFont="1" applyBorder="1" applyAlignment="1">
      <alignment horizontal="left" indent="1"/>
    </xf>
    <xf numFmtId="0" fontId="5" fillId="0" borderId="1" xfId="0" applyFont="1" applyBorder="1" applyAlignment="1">
      <alignment horizontal="left"/>
    </xf>
    <xf numFmtId="49" fontId="4" fillId="0" borderId="2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/>
    <xf numFmtId="49" fontId="4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 applyAlignment="1" applyProtection="1">
      <alignment horizontal="left" indent="2"/>
    </xf>
    <xf numFmtId="0" fontId="4" fillId="0" borderId="0" xfId="0" applyFont="1" applyFill="1" applyBorder="1" applyAlignment="1" applyProtection="1">
      <alignment horizontal="left" indent="2"/>
    </xf>
    <xf numFmtId="0" fontId="4" fillId="0" borderId="0" xfId="0" applyFont="1" applyFill="1" applyBorder="1" applyAlignment="1" applyProtection="1">
      <alignment horizontal="center" vertical="center" wrapText="1"/>
    </xf>
    <xf numFmtId="0" fontId="5" fillId="0" borderId="0" xfId="0" applyFont="1" applyBorder="1" applyAlignment="1">
      <alignment horizontal="center"/>
    </xf>
    <xf numFmtId="49" fontId="3" fillId="0" borderId="0" xfId="0" applyNumberFormat="1" applyFont="1" applyFill="1" applyBorder="1" applyAlignment="1" applyProtection="1">
      <alignment horizontal="left" indent="2"/>
    </xf>
    <xf numFmtId="49" fontId="5" fillId="0" borderId="0" xfId="0" applyNumberFormat="1" applyFont="1" applyBorder="1"/>
    <xf numFmtId="49" fontId="6" fillId="0" borderId="0" xfId="0" applyNumberFormat="1" applyFont="1" applyBorder="1" applyAlignment="1">
      <alignment horizontal="left" vertical="center" wrapText="1"/>
    </xf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/>
    <xf numFmtId="0" fontId="2" fillId="0" borderId="21" xfId="0" applyFont="1" applyBorder="1" applyAlignment="1">
      <alignment horizontal="right" vertical="top"/>
    </xf>
    <xf numFmtId="3" fontId="2" fillId="0" borderId="27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3" fontId="2" fillId="0" borderId="3" xfId="0" applyNumberFormat="1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top"/>
    </xf>
    <xf numFmtId="3" fontId="2" fillId="0" borderId="4" xfId="0" applyNumberFormat="1" applyFont="1" applyBorder="1" applyAlignment="1">
      <alignment horizontal="right" vertical="top"/>
    </xf>
    <xf numFmtId="3" fontId="2" fillId="0" borderId="6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3" fontId="2" fillId="0" borderId="22" xfId="0" applyNumberFormat="1" applyFont="1" applyBorder="1" applyAlignment="1">
      <alignment horizontal="right" vertical="top"/>
    </xf>
    <xf numFmtId="0" fontId="4" fillId="0" borderId="1" xfId="0" applyNumberFormat="1" applyFont="1" applyFill="1" applyBorder="1" applyAlignment="1" applyProtection="1">
      <alignment horizontal="right"/>
    </xf>
    <xf numFmtId="0" fontId="3" fillId="0" borderId="2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20" xfId="0" applyNumberFormat="1" applyFont="1" applyFill="1" applyBorder="1" applyAlignment="1" applyProtection="1">
      <alignment horizontal="left" vertical="center" wrapText="1"/>
    </xf>
    <xf numFmtId="49" fontId="3" fillId="0" borderId="9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vertical="center" wrapText="1"/>
    </xf>
    <xf numFmtId="0" fontId="4" fillId="0" borderId="26" xfId="0" applyNumberFormat="1" applyFont="1" applyFill="1" applyBorder="1" applyAlignment="1" applyProtection="1">
      <alignment horizontal="center" vertical="center" wrapText="1"/>
    </xf>
    <xf numFmtId="0" fontId="4" fillId="0" borderId="21" xfId="0" applyNumberFormat="1" applyFont="1" applyFill="1" applyBorder="1" applyAlignment="1" applyProtection="1">
      <alignment horizontal="center" vertical="center" wrapText="1"/>
    </xf>
    <xf numFmtId="0" fontId="4" fillId="0" borderId="25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left" vertical="center" wrapText="1"/>
    </xf>
    <xf numFmtId="3" fontId="3" fillId="0" borderId="8" xfId="0" applyNumberFormat="1" applyFont="1" applyFill="1" applyBorder="1" applyAlignment="1" applyProtection="1">
      <alignment horizontal="right" vertical="center" wrapText="1"/>
    </xf>
    <xf numFmtId="3" fontId="3" fillId="0" borderId="3" xfId="0" applyNumberFormat="1" applyFont="1" applyFill="1" applyBorder="1" applyAlignment="1" applyProtection="1">
      <alignment horizontal="right" vertical="center" wrapText="1"/>
    </xf>
    <xf numFmtId="3" fontId="3" fillId="0" borderId="9" xfId="0" applyNumberFormat="1" applyFont="1" applyFill="1" applyBorder="1" applyAlignment="1" applyProtection="1">
      <alignment horizontal="right" vertical="center" wrapText="1"/>
    </xf>
    <xf numFmtId="3" fontId="3" fillId="0" borderId="0" xfId="0" applyNumberFormat="1" applyFont="1" applyFill="1" applyBorder="1" applyAlignment="1" applyProtection="1">
      <alignment horizontal="right" vertical="center" wrapText="1"/>
    </xf>
    <xf numFmtId="3" fontId="3" fillId="0" borderId="16" xfId="0" applyNumberFormat="1" applyFont="1" applyFill="1" applyBorder="1" applyAlignment="1" applyProtection="1">
      <alignment horizontal="right" vertical="center" wrapText="1"/>
    </xf>
    <xf numFmtId="3" fontId="3" fillId="0" borderId="17" xfId="0" applyNumberFormat="1" applyFont="1" applyFill="1" applyBorder="1" applyAlignment="1" applyProtection="1">
      <alignment horizontal="right" vertical="center" wrapText="1"/>
    </xf>
    <xf numFmtId="0" fontId="4" fillId="0" borderId="8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0" fontId="4" fillId="0" borderId="6" xfId="0" applyNumberFormat="1" applyFont="1" applyFill="1" applyBorder="1" applyAlignment="1" applyProtection="1">
      <alignment horizontal="center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center" vertical="center" wrapText="1"/>
    </xf>
    <xf numFmtId="0" fontId="4" fillId="0" borderId="13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0" fontId="6" fillId="0" borderId="0" xfId="0" applyFont="1" applyBorder="1" applyAlignment="1">
      <alignment horizontal="left" vertical="center"/>
    </xf>
    <xf numFmtId="3" fontId="3" fillId="0" borderId="3" xfId="0" applyNumberFormat="1" applyFont="1" applyFill="1" applyBorder="1" applyAlignment="1" applyProtection="1">
      <alignment horizontal="right" vertical="center"/>
    </xf>
    <xf numFmtId="3" fontId="3" fillId="0" borderId="0" xfId="0" applyNumberFormat="1" applyFont="1" applyFill="1" applyBorder="1" applyAlignment="1" applyProtection="1">
      <alignment horizontal="right" vertical="center"/>
    </xf>
    <xf numFmtId="3" fontId="6" fillId="0" borderId="3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left" vertical="center" wrapText="1"/>
    </xf>
    <xf numFmtId="3" fontId="3" fillId="0" borderId="17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Border="1" applyAlignment="1">
      <alignment horizontal="right" vertical="center"/>
    </xf>
    <xf numFmtId="3" fontId="6" fillId="0" borderId="0" xfId="0" applyNumberFormat="1" applyFont="1" applyBorder="1" applyAlignment="1">
      <alignment horizontal="right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3" fontId="3" fillId="0" borderId="21" xfId="0" applyNumberFormat="1" applyFont="1" applyFill="1" applyBorder="1" applyAlignment="1" applyProtection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Border="1" applyAlignment="1">
      <alignment horizontal="left" wrapText="1" indent="1"/>
    </xf>
    <xf numFmtId="0" fontId="4" fillId="0" borderId="23" xfId="0" applyNumberFormat="1" applyFont="1" applyFill="1" applyBorder="1" applyAlignment="1" applyProtection="1">
      <alignment horizontal="center" vertical="center" wrapText="1"/>
    </xf>
    <xf numFmtId="0" fontId="4" fillId="0" borderId="19" xfId="0" applyNumberFormat="1" applyFont="1" applyFill="1" applyBorder="1" applyAlignment="1" applyProtection="1">
      <alignment horizontal="center" vertical="center" wrapText="1"/>
    </xf>
    <xf numFmtId="3" fontId="6" fillId="0" borderId="21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49" fontId="6" fillId="0" borderId="0" xfId="0" applyNumberFormat="1" applyFont="1" applyBorder="1" applyAlignment="1">
      <alignment horizontal="left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NumberFormat="1" applyFont="1" applyFill="1" applyBorder="1" applyAlignment="1" applyProtection="1">
      <alignment horizontal="right"/>
    </xf>
    <xf numFmtId="0" fontId="4" fillId="0" borderId="0" xfId="0" applyFont="1" applyFill="1" applyBorder="1" applyAlignment="1" applyProtection="1">
      <alignment horizontal="center" vertical="center" wrapText="1"/>
    </xf>
    <xf numFmtId="49" fontId="6" fillId="0" borderId="0" xfId="0" applyNumberFormat="1" applyFont="1" applyBorder="1" applyAlignment="1">
      <alignment horizontal="left" vertical="center"/>
    </xf>
    <xf numFmtId="3" fontId="3" fillId="0" borderId="24" xfId="0" applyNumberFormat="1" applyFont="1" applyFill="1" applyBorder="1" applyAlignment="1" applyProtection="1">
      <alignment horizontal="right" vertical="center" wrapText="1"/>
    </xf>
    <xf numFmtId="3" fontId="3" fillId="0" borderId="21" xfId="0" applyNumberFormat="1" applyFont="1" applyFill="1" applyBorder="1" applyAlignment="1" applyProtection="1">
      <alignment horizontal="right" vertical="center" wrapText="1"/>
    </xf>
    <xf numFmtId="0" fontId="7" fillId="0" borderId="0" xfId="0" applyFont="1"/>
    <xf numFmtId="0" fontId="8" fillId="0" borderId="0" xfId="0" applyNumberFormat="1" applyFont="1" applyFill="1" applyBorder="1" applyAlignment="1" applyProtection="1">
      <alignment horizontal="center" vertical="center" wrapText="1"/>
    </xf>
    <xf numFmtId="0" fontId="8" fillId="0" borderId="0" xfId="0" applyNumberFormat="1" applyFont="1" applyFill="1" applyBorder="1" applyAlignment="1" applyProtection="1">
      <alignment vertical="center" wrapText="1"/>
    </xf>
    <xf numFmtId="0" fontId="7" fillId="0" borderId="0" xfId="0" applyFont="1" applyBorder="1" applyAlignment="1">
      <alignment vertical="center"/>
    </xf>
    <xf numFmtId="0" fontId="8" fillId="0" borderId="0" xfId="0" applyNumberFormat="1" applyFont="1" applyFill="1" applyBorder="1" applyAlignment="1" applyProtection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4"/>
  <sheetViews>
    <sheetView showGridLines="0" tabSelected="1" zoomScaleNormal="100" workbookViewId="0">
      <selection activeCell="I99" sqref="I99"/>
    </sheetView>
  </sheetViews>
  <sheetFormatPr defaultRowHeight="14.4" x14ac:dyDescent="0.3"/>
  <cols>
    <col min="1" max="1" width="35.5546875" style="7" customWidth="1"/>
    <col min="2" max="2" width="17.6640625" style="7" customWidth="1"/>
    <col min="3" max="3" width="12.33203125" style="7" customWidth="1"/>
    <col min="4" max="9" width="11.77734375" style="7" customWidth="1"/>
    <col min="10" max="10" width="13.77734375" style="7" customWidth="1"/>
    <col min="11" max="11" width="11.77734375" style="7" customWidth="1"/>
    <col min="12" max="12" width="9.6640625" style="7" customWidth="1"/>
    <col min="13" max="13" width="9.33203125" style="7" customWidth="1"/>
    <col min="14" max="14" width="11" style="7" customWidth="1"/>
    <col min="15" max="15" width="8.44140625" style="7" customWidth="1"/>
    <col min="16" max="16384" width="8.88671875" style="7"/>
  </cols>
  <sheetData>
    <row r="1" spans="1:15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6"/>
    </row>
    <row r="2" spans="1:15" s="108" customFormat="1" ht="18" x14ac:dyDescent="0.35">
      <c r="B2" s="109" t="s">
        <v>192</v>
      </c>
      <c r="C2" s="109"/>
      <c r="D2" s="109"/>
      <c r="E2" s="109"/>
      <c r="F2" s="109"/>
      <c r="G2" s="109"/>
      <c r="H2" s="109"/>
      <c r="I2" s="109"/>
      <c r="J2" s="109"/>
      <c r="K2" s="110"/>
      <c r="L2" s="110"/>
      <c r="M2" s="110"/>
      <c r="N2" s="110"/>
      <c r="O2" s="111"/>
    </row>
    <row r="3" spans="1:15" s="108" customFormat="1" ht="18" x14ac:dyDescent="0.35">
      <c r="A3" s="112"/>
      <c r="B3" s="109" t="s">
        <v>193</v>
      </c>
      <c r="C3" s="109"/>
      <c r="D3" s="109"/>
      <c r="E3" s="109"/>
      <c r="F3" s="109"/>
      <c r="G3" s="109"/>
      <c r="H3" s="109"/>
      <c r="I3" s="109"/>
      <c r="J3" s="109"/>
      <c r="K3" s="112"/>
      <c r="L3" s="112"/>
      <c r="M3" s="112"/>
      <c r="N3" s="112"/>
      <c r="O3" s="111"/>
    </row>
    <row r="4" spans="1:15" ht="15" thickBot="1" x14ac:dyDescent="0.35">
      <c r="A4" s="8" t="s">
        <v>0</v>
      </c>
      <c r="B4" s="8"/>
      <c r="C4" s="8"/>
      <c r="D4" s="8"/>
      <c r="E4" s="8"/>
      <c r="F4" s="8"/>
      <c r="G4" s="8"/>
      <c r="H4" s="8"/>
      <c r="I4" s="55"/>
      <c r="J4" s="55"/>
      <c r="K4" s="55"/>
      <c r="L4" s="9"/>
      <c r="M4" s="55" t="s">
        <v>1</v>
      </c>
      <c r="N4" s="55"/>
      <c r="O4" s="10"/>
    </row>
    <row r="5" spans="1:15" ht="34.5" customHeight="1" x14ac:dyDescent="0.3">
      <c r="A5" s="56" t="s">
        <v>2</v>
      </c>
      <c r="B5" s="61" t="s">
        <v>190</v>
      </c>
      <c r="C5" s="95" t="s">
        <v>180</v>
      </c>
      <c r="D5" s="75" t="s">
        <v>189</v>
      </c>
      <c r="E5" s="76"/>
      <c r="F5" s="76"/>
      <c r="G5" s="77"/>
      <c r="H5" s="76" t="s">
        <v>188</v>
      </c>
      <c r="I5" s="76"/>
      <c r="J5" s="76"/>
      <c r="K5" s="78"/>
      <c r="L5" s="56" t="s">
        <v>3</v>
      </c>
      <c r="M5" s="56"/>
      <c r="N5" s="56"/>
      <c r="O5" s="11"/>
    </row>
    <row r="6" spans="1:15" ht="31.2" customHeight="1" x14ac:dyDescent="0.3">
      <c r="A6" s="57"/>
      <c r="B6" s="62"/>
      <c r="C6" s="72"/>
      <c r="D6" s="79" t="s">
        <v>181</v>
      </c>
      <c r="E6" s="71" t="s">
        <v>182</v>
      </c>
      <c r="F6" s="71" t="s">
        <v>183</v>
      </c>
      <c r="G6" s="71" t="s">
        <v>184</v>
      </c>
      <c r="H6" s="81" t="s">
        <v>181</v>
      </c>
      <c r="I6" s="71" t="s">
        <v>185</v>
      </c>
      <c r="J6" s="71" t="s">
        <v>186</v>
      </c>
      <c r="K6" s="73" t="s">
        <v>187</v>
      </c>
      <c r="L6" s="57"/>
      <c r="M6" s="57"/>
      <c r="N6" s="57"/>
      <c r="O6" s="11"/>
    </row>
    <row r="7" spans="1:15" x14ac:dyDescent="0.3">
      <c r="A7" s="58"/>
      <c r="B7" s="63"/>
      <c r="C7" s="96"/>
      <c r="D7" s="80"/>
      <c r="E7" s="72"/>
      <c r="F7" s="72"/>
      <c r="G7" s="72"/>
      <c r="H7" s="82"/>
      <c r="I7" s="72"/>
      <c r="J7" s="72"/>
      <c r="K7" s="74"/>
      <c r="L7" s="58"/>
      <c r="M7" s="58"/>
      <c r="N7" s="58"/>
      <c r="O7" s="11"/>
    </row>
    <row r="8" spans="1:15" x14ac:dyDescent="0.3">
      <c r="A8" s="59" t="s">
        <v>4</v>
      </c>
      <c r="B8" s="106">
        <f>SUM(B10,B18,B27,B32,B38,B45,B52,B59,B64,B71,B81,B88,B103)</f>
        <v>116461</v>
      </c>
      <c r="C8" s="65">
        <f>SUM(C10,C18,C27,C32,C38,C45,C52,C59,C64,C71,C81,C88,C103)</f>
        <v>2095</v>
      </c>
      <c r="D8" s="65">
        <f>SUM(D10,D18,D27,D32,D38,D45,D52,D59,D64,D71,D81,D88,D103)</f>
        <v>6356393</v>
      </c>
      <c r="E8" s="67">
        <f>SUM(E10,E18,E27,E32,E38,E45,E52,E59,E64,E71,E81,E88,E103)</f>
        <v>154817</v>
      </c>
      <c r="F8" s="65">
        <f t="shared" ref="F8:K8" si="0">SUM(F10,F18,F27,F32,F38,F45,F52,F59,F64,F71,F81,F88,F103)</f>
        <v>5945918</v>
      </c>
      <c r="G8" s="67">
        <f t="shared" si="0"/>
        <v>255658</v>
      </c>
      <c r="H8" s="65">
        <f>SUM(H10,H18,H27,H32,H38,H45,H52,H59,H64,H71,H81,H88,H103)</f>
        <v>2822628</v>
      </c>
      <c r="I8" s="67">
        <f t="shared" si="0"/>
        <v>132872</v>
      </c>
      <c r="J8" s="65">
        <f t="shared" si="0"/>
        <v>2578880</v>
      </c>
      <c r="K8" s="69">
        <f t="shared" si="0"/>
        <v>110876</v>
      </c>
      <c r="L8" s="64" t="s">
        <v>5</v>
      </c>
      <c r="M8" s="64"/>
      <c r="N8" s="64"/>
      <c r="O8" s="11"/>
    </row>
    <row r="9" spans="1:15" x14ac:dyDescent="0.3">
      <c r="A9" s="60"/>
      <c r="B9" s="107"/>
      <c r="C9" s="66"/>
      <c r="D9" s="66"/>
      <c r="E9" s="68"/>
      <c r="F9" s="66"/>
      <c r="G9" s="68"/>
      <c r="H9" s="66"/>
      <c r="I9" s="68"/>
      <c r="J9" s="66"/>
      <c r="K9" s="70"/>
      <c r="L9" s="57"/>
      <c r="M9" s="57"/>
      <c r="N9" s="57"/>
      <c r="O9" s="11"/>
    </row>
    <row r="10" spans="1:15" x14ac:dyDescent="0.3">
      <c r="A10" s="91" t="s">
        <v>6</v>
      </c>
      <c r="B10" s="97">
        <f>SUM(B12:B17)</f>
        <v>18101</v>
      </c>
      <c r="C10" s="86">
        <f t="shared" ref="C10" si="1">SUM(C12:C17)</f>
        <v>0</v>
      </c>
      <c r="D10" s="86">
        <f>SUM(D12:D17)</f>
        <v>390714</v>
      </c>
      <c r="E10" s="90">
        <f>SUM(E12:E17)</f>
        <v>6407</v>
      </c>
      <c r="F10" s="86">
        <f t="shared" ref="F10:G10" si="2">SUM(F12:F17)</f>
        <v>384307</v>
      </c>
      <c r="G10" s="90">
        <f t="shared" si="2"/>
        <v>0</v>
      </c>
      <c r="H10" s="86">
        <f>SUM(H12:H17)</f>
        <v>273762</v>
      </c>
      <c r="I10" s="90">
        <f t="shared" ref="I10:K10" si="3">SUM(I12:I17)</f>
        <v>2272</v>
      </c>
      <c r="J10" s="86">
        <f t="shared" si="3"/>
        <v>271085</v>
      </c>
      <c r="K10" s="89">
        <f t="shared" si="3"/>
        <v>405</v>
      </c>
      <c r="L10" s="57" t="s">
        <v>7</v>
      </c>
      <c r="M10" s="57"/>
      <c r="N10" s="57"/>
      <c r="O10" s="11"/>
    </row>
    <row r="11" spans="1:15" x14ac:dyDescent="0.3">
      <c r="A11" s="91"/>
      <c r="B11" s="97"/>
      <c r="C11" s="86"/>
      <c r="D11" s="86"/>
      <c r="E11" s="90"/>
      <c r="F11" s="86"/>
      <c r="G11" s="90"/>
      <c r="H11" s="86"/>
      <c r="I11" s="90"/>
      <c r="J11" s="86"/>
      <c r="K11" s="89"/>
      <c r="L11" s="57"/>
      <c r="M11" s="57"/>
      <c r="N11" s="57"/>
      <c r="O11" s="11"/>
    </row>
    <row r="12" spans="1:15" x14ac:dyDescent="0.3">
      <c r="A12" s="12" t="s">
        <v>112</v>
      </c>
      <c r="B12" s="13">
        <v>2100</v>
      </c>
      <c r="C12" s="14" t="s">
        <v>191</v>
      </c>
      <c r="D12" s="15">
        <f>SUM(E12:G12)</f>
        <v>101607</v>
      </c>
      <c r="E12" s="3">
        <v>556</v>
      </c>
      <c r="F12" s="48">
        <v>101051</v>
      </c>
      <c r="G12" s="2" t="s">
        <v>191</v>
      </c>
      <c r="H12" s="16">
        <f>SUM(I12:K12)</f>
        <v>60772</v>
      </c>
      <c r="I12" s="48">
        <v>169</v>
      </c>
      <c r="J12" s="3">
        <v>60603</v>
      </c>
      <c r="K12" s="52" t="s">
        <v>191</v>
      </c>
      <c r="L12" s="17" t="s">
        <v>8</v>
      </c>
      <c r="M12" s="18"/>
      <c r="N12" s="18"/>
      <c r="O12" s="11"/>
    </row>
    <row r="13" spans="1:15" x14ac:dyDescent="0.3">
      <c r="A13" s="12" t="s">
        <v>113</v>
      </c>
      <c r="B13" s="13">
        <v>2423</v>
      </c>
      <c r="C13" s="14" t="s">
        <v>191</v>
      </c>
      <c r="D13" s="15">
        <f>SUM(E13:G13)</f>
        <v>74500</v>
      </c>
      <c r="E13" s="3">
        <v>4495</v>
      </c>
      <c r="F13" s="48">
        <v>70005</v>
      </c>
      <c r="G13" s="2" t="s">
        <v>191</v>
      </c>
      <c r="H13" s="16">
        <f t="shared" ref="H13:H17" si="4">SUM(I13:K13)</f>
        <v>42763</v>
      </c>
      <c r="I13" s="48">
        <v>1016</v>
      </c>
      <c r="J13" s="3">
        <v>41747</v>
      </c>
      <c r="K13" s="52" t="s">
        <v>191</v>
      </c>
      <c r="L13" s="17" t="s">
        <v>9</v>
      </c>
      <c r="M13" s="18"/>
      <c r="N13" s="18"/>
      <c r="O13" s="11"/>
    </row>
    <row r="14" spans="1:15" x14ac:dyDescent="0.3">
      <c r="A14" s="12" t="s">
        <v>114</v>
      </c>
      <c r="B14" s="13">
        <v>3618</v>
      </c>
      <c r="C14" s="19" t="s">
        <v>191</v>
      </c>
      <c r="D14" s="15">
        <f>SUM(E14:G14)</f>
        <v>63609</v>
      </c>
      <c r="E14" s="3">
        <v>1017</v>
      </c>
      <c r="F14" s="48">
        <v>62592</v>
      </c>
      <c r="G14" s="2" t="s">
        <v>191</v>
      </c>
      <c r="H14" s="16">
        <f>SUM(I14:K14)</f>
        <v>64502</v>
      </c>
      <c r="I14" s="48">
        <v>697</v>
      </c>
      <c r="J14" s="3">
        <v>63805</v>
      </c>
      <c r="K14" s="52" t="s">
        <v>191</v>
      </c>
      <c r="L14" s="17" t="s">
        <v>10</v>
      </c>
      <c r="M14" s="18"/>
      <c r="N14" s="18"/>
      <c r="O14" s="11"/>
    </row>
    <row r="15" spans="1:15" x14ac:dyDescent="0.3">
      <c r="A15" s="12" t="s">
        <v>115</v>
      </c>
      <c r="B15" s="13">
        <v>8</v>
      </c>
      <c r="C15" s="14" t="s">
        <v>191</v>
      </c>
      <c r="D15" s="15">
        <f t="shared" ref="D14:D17" si="5">SUM(E15:G15)</f>
        <v>21332</v>
      </c>
      <c r="E15" s="3">
        <v>67</v>
      </c>
      <c r="F15" s="48">
        <v>21265</v>
      </c>
      <c r="G15" s="2" t="s">
        <v>191</v>
      </c>
      <c r="H15" s="16">
        <f t="shared" si="4"/>
        <v>13607</v>
      </c>
      <c r="I15" s="48">
        <v>47</v>
      </c>
      <c r="J15" s="3">
        <v>13560</v>
      </c>
      <c r="K15" s="52" t="s">
        <v>191</v>
      </c>
      <c r="L15" s="17" t="s">
        <v>11</v>
      </c>
      <c r="M15" s="18"/>
      <c r="N15" s="18"/>
      <c r="O15" s="11"/>
    </row>
    <row r="16" spans="1:15" x14ac:dyDescent="0.3">
      <c r="A16" s="12" t="s">
        <v>116</v>
      </c>
      <c r="B16" s="13">
        <v>2283</v>
      </c>
      <c r="C16" s="14" t="s">
        <v>191</v>
      </c>
      <c r="D16" s="15">
        <f t="shared" si="5"/>
        <v>50629</v>
      </c>
      <c r="E16" s="3">
        <v>272</v>
      </c>
      <c r="F16" s="48">
        <v>50357</v>
      </c>
      <c r="G16" s="2" t="s">
        <v>191</v>
      </c>
      <c r="H16" s="16">
        <f t="shared" si="4"/>
        <v>47712</v>
      </c>
      <c r="I16" s="48">
        <v>343</v>
      </c>
      <c r="J16" s="3">
        <v>46964</v>
      </c>
      <c r="K16" s="52">
        <v>405</v>
      </c>
      <c r="L16" s="17" t="s">
        <v>12</v>
      </c>
      <c r="M16" s="18"/>
      <c r="N16" s="18"/>
      <c r="O16" s="11"/>
    </row>
    <row r="17" spans="1:15" x14ac:dyDescent="0.3">
      <c r="A17" s="12" t="s">
        <v>117</v>
      </c>
      <c r="B17" s="13">
        <v>7669</v>
      </c>
      <c r="C17" s="14" t="s">
        <v>191</v>
      </c>
      <c r="D17" s="15">
        <f t="shared" si="5"/>
        <v>79037</v>
      </c>
      <c r="E17" s="2" t="s">
        <v>191</v>
      </c>
      <c r="F17" s="48">
        <v>79037</v>
      </c>
      <c r="G17" s="2" t="s">
        <v>191</v>
      </c>
      <c r="H17" s="16">
        <f t="shared" si="4"/>
        <v>44406</v>
      </c>
      <c r="I17" s="48" t="s">
        <v>191</v>
      </c>
      <c r="J17" s="3">
        <v>44406</v>
      </c>
      <c r="K17" s="52" t="s">
        <v>191</v>
      </c>
      <c r="L17" s="17" t="s">
        <v>13</v>
      </c>
      <c r="M17" s="18"/>
      <c r="N17" s="18"/>
      <c r="O17" s="11"/>
    </row>
    <row r="18" spans="1:15" x14ac:dyDescent="0.3">
      <c r="A18" s="91" t="s">
        <v>14</v>
      </c>
      <c r="B18" s="92">
        <f>SUM(B20:B26)</f>
        <v>48889</v>
      </c>
      <c r="C18" s="84">
        <f t="shared" ref="C18" si="6">SUM(C20:C26)</f>
        <v>2092</v>
      </c>
      <c r="D18" s="84">
        <f>SUM(D20:D26)</f>
        <v>676360</v>
      </c>
      <c r="E18" s="85">
        <f>SUM(E20:E26)</f>
        <v>1205</v>
      </c>
      <c r="F18" s="84">
        <f t="shared" ref="F18:H18" si="7">SUM(F20:F26)</f>
        <v>673603</v>
      </c>
      <c r="G18" s="85">
        <f t="shared" si="7"/>
        <v>1552</v>
      </c>
      <c r="H18" s="84">
        <f t="shared" si="7"/>
        <v>386287</v>
      </c>
      <c r="I18" s="85">
        <f t="shared" ref="I18:K18" si="8">SUM(I20:I26)</f>
        <v>3280</v>
      </c>
      <c r="J18" s="84">
        <f t="shared" si="8"/>
        <v>381002</v>
      </c>
      <c r="K18" s="88">
        <f t="shared" si="8"/>
        <v>2005</v>
      </c>
      <c r="L18" s="87" t="s">
        <v>15</v>
      </c>
      <c r="M18" s="87"/>
      <c r="N18" s="87"/>
      <c r="O18" s="11"/>
    </row>
    <row r="19" spans="1:15" x14ac:dyDescent="0.3">
      <c r="A19" s="91"/>
      <c r="B19" s="92"/>
      <c r="C19" s="84"/>
      <c r="D19" s="84"/>
      <c r="E19" s="85"/>
      <c r="F19" s="84"/>
      <c r="G19" s="85"/>
      <c r="H19" s="84"/>
      <c r="I19" s="85"/>
      <c r="J19" s="84"/>
      <c r="K19" s="88"/>
      <c r="L19" s="87"/>
      <c r="M19" s="87"/>
      <c r="N19" s="87"/>
      <c r="O19" s="11"/>
    </row>
    <row r="20" spans="1:15" x14ac:dyDescent="0.3">
      <c r="A20" s="12" t="s">
        <v>118</v>
      </c>
      <c r="B20" s="13">
        <v>22155</v>
      </c>
      <c r="C20" s="19">
        <v>128</v>
      </c>
      <c r="D20" s="15">
        <f t="shared" ref="D20:D26" si="9">SUM(E20:G20)</f>
        <v>121961</v>
      </c>
      <c r="E20" s="3">
        <v>4</v>
      </c>
      <c r="F20" s="48">
        <v>121957</v>
      </c>
      <c r="G20" s="2" t="s">
        <v>191</v>
      </c>
      <c r="H20" s="16">
        <f t="shared" ref="H20:H26" si="10">SUM(I20:K20)</f>
        <v>96463</v>
      </c>
      <c r="I20" s="48">
        <v>79</v>
      </c>
      <c r="J20" s="3">
        <v>96079</v>
      </c>
      <c r="K20" s="52">
        <v>305</v>
      </c>
      <c r="L20" s="17" t="s">
        <v>16</v>
      </c>
      <c r="M20" s="18"/>
      <c r="N20" s="18"/>
      <c r="O20" s="11"/>
    </row>
    <row r="21" spans="1:15" x14ac:dyDescent="0.3">
      <c r="A21" s="12" t="s">
        <v>119</v>
      </c>
      <c r="B21" s="13">
        <v>1782</v>
      </c>
      <c r="C21" s="14" t="s">
        <v>191</v>
      </c>
      <c r="D21" s="15">
        <f t="shared" si="9"/>
        <v>29844</v>
      </c>
      <c r="E21" s="3">
        <v>39</v>
      </c>
      <c r="F21" s="48">
        <v>29805</v>
      </c>
      <c r="G21" s="3" t="s">
        <v>191</v>
      </c>
      <c r="H21" s="16">
        <f t="shared" si="10"/>
        <v>12581</v>
      </c>
      <c r="I21" s="48">
        <v>1</v>
      </c>
      <c r="J21" s="3">
        <v>12580</v>
      </c>
      <c r="K21" s="52" t="s">
        <v>191</v>
      </c>
      <c r="L21" s="17" t="s">
        <v>17</v>
      </c>
      <c r="M21" s="18"/>
      <c r="N21" s="18"/>
      <c r="O21" s="11"/>
    </row>
    <row r="22" spans="1:15" x14ac:dyDescent="0.3">
      <c r="A22" s="12" t="s">
        <v>120</v>
      </c>
      <c r="B22" s="13">
        <v>8801</v>
      </c>
      <c r="C22" s="14" t="s">
        <v>191</v>
      </c>
      <c r="D22" s="15">
        <f t="shared" si="9"/>
        <v>99467</v>
      </c>
      <c r="E22" s="2" t="s">
        <v>191</v>
      </c>
      <c r="F22" s="48">
        <v>99467</v>
      </c>
      <c r="G22" s="2" t="s">
        <v>191</v>
      </c>
      <c r="H22" s="16">
        <f t="shared" si="10"/>
        <v>39118</v>
      </c>
      <c r="I22" s="48" t="s">
        <v>191</v>
      </c>
      <c r="J22" s="3">
        <v>39118</v>
      </c>
      <c r="K22" s="52" t="s">
        <v>191</v>
      </c>
      <c r="L22" s="17" t="s">
        <v>18</v>
      </c>
      <c r="M22" s="18"/>
      <c r="N22" s="18"/>
      <c r="O22" s="11"/>
    </row>
    <row r="23" spans="1:15" x14ac:dyDescent="0.3">
      <c r="A23" s="12" t="s">
        <v>121</v>
      </c>
      <c r="B23" s="13">
        <v>2467</v>
      </c>
      <c r="C23" s="14" t="s">
        <v>191</v>
      </c>
      <c r="D23" s="15">
        <f t="shared" si="9"/>
        <v>104648</v>
      </c>
      <c r="E23" s="3">
        <v>447</v>
      </c>
      <c r="F23" s="48">
        <v>104201</v>
      </c>
      <c r="G23" s="2" t="s">
        <v>191</v>
      </c>
      <c r="H23" s="16">
        <f t="shared" si="10"/>
        <v>41442</v>
      </c>
      <c r="I23" s="48">
        <v>624</v>
      </c>
      <c r="J23" s="3">
        <v>40818</v>
      </c>
      <c r="K23" s="52" t="s">
        <v>191</v>
      </c>
      <c r="L23" s="17" t="s">
        <v>19</v>
      </c>
      <c r="M23" s="18"/>
      <c r="N23" s="18"/>
      <c r="O23" s="11"/>
    </row>
    <row r="24" spans="1:15" x14ac:dyDescent="0.3">
      <c r="A24" s="12" t="s">
        <v>122</v>
      </c>
      <c r="B24" s="13">
        <v>1483</v>
      </c>
      <c r="C24" s="14" t="s">
        <v>191</v>
      </c>
      <c r="D24" s="15">
        <f t="shared" si="9"/>
        <v>88151</v>
      </c>
      <c r="E24" s="3">
        <v>335</v>
      </c>
      <c r="F24" s="48">
        <v>86264</v>
      </c>
      <c r="G24" s="3">
        <v>1552</v>
      </c>
      <c r="H24" s="16">
        <f t="shared" si="10"/>
        <v>35407</v>
      </c>
      <c r="I24" s="48">
        <v>395</v>
      </c>
      <c r="J24" s="3">
        <v>33312</v>
      </c>
      <c r="K24" s="52">
        <v>1700</v>
      </c>
      <c r="L24" s="17" t="s">
        <v>20</v>
      </c>
      <c r="M24" s="18"/>
      <c r="N24" s="18"/>
      <c r="O24" s="11"/>
    </row>
    <row r="25" spans="1:15" x14ac:dyDescent="0.3">
      <c r="A25" s="12" t="s">
        <v>123</v>
      </c>
      <c r="B25" s="13">
        <v>11822</v>
      </c>
      <c r="C25" s="19">
        <v>1964</v>
      </c>
      <c r="D25" s="15">
        <f t="shared" si="9"/>
        <v>187747</v>
      </c>
      <c r="E25" s="3" t="s">
        <v>191</v>
      </c>
      <c r="F25" s="48">
        <v>187747</v>
      </c>
      <c r="G25" s="2" t="s">
        <v>191</v>
      </c>
      <c r="H25" s="16">
        <f t="shared" si="10"/>
        <v>87117</v>
      </c>
      <c r="I25" s="48">
        <v>363</v>
      </c>
      <c r="J25" s="3">
        <v>86754</v>
      </c>
      <c r="K25" s="52" t="s">
        <v>191</v>
      </c>
      <c r="L25" s="17" t="s">
        <v>21</v>
      </c>
      <c r="M25" s="18"/>
      <c r="N25" s="18"/>
      <c r="O25" s="11"/>
    </row>
    <row r="26" spans="1:15" x14ac:dyDescent="0.3">
      <c r="A26" s="12" t="s">
        <v>124</v>
      </c>
      <c r="B26" s="13">
        <v>379</v>
      </c>
      <c r="C26" s="14" t="s">
        <v>191</v>
      </c>
      <c r="D26" s="15">
        <f t="shared" si="9"/>
        <v>44542</v>
      </c>
      <c r="E26" s="3">
        <v>380</v>
      </c>
      <c r="F26" s="48">
        <v>44162</v>
      </c>
      <c r="G26" s="2" t="s">
        <v>191</v>
      </c>
      <c r="H26" s="16">
        <f t="shared" si="10"/>
        <v>74159</v>
      </c>
      <c r="I26" s="48">
        <v>1818</v>
      </c>
      <c r="J26" s="3">
        <v>72341</v>
      </c>
      <c r="K26" s="52" t="s">
        <v>191</v>
      </c>
      <c r="L26" s="17" t="s">
        <v>22</v>
      </c>
      <c r="M26" s="18"/>
      <c r="N26" s="18"/>
      <c r="O26" s="11"/>
    </row>
    <row r="27" spans="1:15" ht="29.4" customHeight="1" x14ac:dyDescent="0.3">
      <c r="A27" s="20" t="s">
        <v>179</v>
      </c>
      <c r="B27" s="21">
        <f>SUM(B28:B31)</f>
        <v>11059</v>
      </c>
      <c r="C27" s="22">
        <f t="shared" ref="C27" si="11">SUM(C28:C31)</f>
        <v>0</v>
      </c>
      <c r="D27" s="22">
        <f>SUM(D28:D31)</f>
        <v>344250</v>
      </c>
      <c r="E27" s="23">
        <f>SUM(E28:E31)</f>
        <v>429</v>
      </c>
      <c r="F27" s="22">
        <f t="shared" ref="F27:G27" si="12">SUM(F28:F31)</f>
        <v>343821</v>
      </c>
      <c r="G27" s="23">
        <f t="shared" si="12"/>
        <v>0</v>
      </c>
      <c r="H27" s="22">
        <f t="shared" ref="H27:I27" si="13">SUM(H28:H31)</f>
        <v>121081</v>
      </c>
      <c r="I27" s="23">
        <f t="shared" si="13"/>
        <v>552</v>
      </c>
      <c r="J27" s="22">
        <f t="shared" ref="J27" si="14">SUM(J28:J31)</f>
        <v>120527</v>
      </c>
      <c r="K27" s="24">
        <f t="shared" ref="K27" si="15">SUM(K28:K31)</f>
        <v>2</v>
      </c>
      <c r="L27" s="25" t="s">
        <v>178</v>
      </c>
      <c r="M27" s="18"/>
      <c r="N27" s="18"/>
      <c r="O27" s="11"/>
    </row>
    <row r="28" spans="1:15" x14ac:dyDescent="0.3">
      <c r="A28" s="12" t="s">
        <v>125</v>
      </c>
      <c r="B28" s="1">
        <v>5963</v>
      </c>
      <c r="C28" s="2" t="s">
        <v>191</v>
      </c>
      <c r="D28" s="15">
        <f t="shared" ref="D28:D31" si="16">SUM(E28:G28)</f>
        <v>146692</v>
      </c>
      <c r="E28" s="3">
        <v>289</v>
      </c>
      <c r="F28" s="48">
        <v>146403</v>
      </c>
      <c r="G28" s="2" t="s">
        <v>191</v>
      </c>
      <c r="H28" s="16">
        <f t="shared" ref="H28:H31" si="17">SUM(I28:K28)</f>
        <v>53931</v>
      </c>
      <c r="I28" s="48">
        <v>138</v>
      </c>
      <c r="J28" s="3">
        <v>53791</v>
      </c>
      <c r="K28" s="52">
        <v>2</v>
      </c>
      <c r="L28" s="17" t="s">
        <v>23</v>
      </c>
      <c r="M28" s="18"/>
      <c r="N28" s="18"/>
      <c r="O28" s="11"/>
    </row>
    <row r="29" spans="1:15" x14ac:dyDescent="0.3">
      <c r="A29" s="12" t="s">
        <v>126</v>
      </c>
      <c r="B29" s="1">
        <v>749</v>
      </c>
      <c r="C29" s="2" t="s">
        <v>191</v>
      </c>
      <c r="D29" s="15">
        <f t="shared" si="16"/>
        <v>63459</v>
      </c>
      <c r="E29" s="3">
        <v>140</v>
      </c>
      <c r="F29" s="48">
        <v>63319</v>
      </c>
      <c r="G29" s="2" t="s">
        <v>191</v>
      </c>
      <c r="H29" s="16">
        <f t="shared" si="17"/>
        <v>35068</v>
      </c>
      <c r="I29" s="48">
        <v>414</v>
      </c>
      <c r="J29" s="3">
        <v>34654</v>
      </c>
      <c r="K29" s="52" t="s">
        <v>191</v>
      </c>
      <c r="L29" s="17" t="s">
        <v>24</v>
      </c>
      <c r="M29" s="18"/>
      <c r="N29" s="18"/>
      <c r="O29" s="11"/>
    </row>
    <row r="30" spans="1:15" x14ac:dyDescent="0.3">
      <c r="A30" s="12" t="s">
        <v>127</v>
      </c>
      <c r="B30" s="1">
        <v>162</v>
      </c>
      <c r="C30" s="2" t="s">
        <v>191</v>
      </c>
      <c r="D30" s="15">
        <f t="shared" si="16"/>
        <v>47032</v>
      </c>
      <c r="E30" s="3" t="s">
        <v>191</v>
      </c>
      <c r="F30" s="48">
        <v>47032</v>
      </c>
      <c r="G30" s="2" t="s">
        <v>191</v>
      </c>
      <c r="H30" s="16">
        <f t="shared" si="17"/>
        <v>11264</v>
      </c>
      <c r="I30" s="48" t="s">
        <v>191</v>
      </c>
      <c r="J30" s="3">
        <v>11264</v>
      </c>
      <c r="K30" s="52" t="s">
        <v>191</v>
      </c>
      <c r="L30" s="17" t="s">
        <v>25</v>
      </c>
      <c r="M30" s="18"/>
      <c r="N30" s="18"/>
      <c r="O30" s="11"/>
    </row>
    <row r="31" spans="1:15" x14ac:dyDescent="0.3">
      <c r="A31" s="12" t="s">
        <v>128</v>
      </c>
      <c r="B31" s="1">
        <v>4185</v>
      </c>
      <c r="C31" s="2" t="s">
        <v>191</v>
      </c>
      <c r="D31" s="15">
        <f t="shared" si="16"/>
        <v>87067</v>
      </c>
      <c r="E31" s="3" t="s">
        <v>191</v>
      </c>
      <c r="F31" s="48">
        <v>87067</v>
      </c>
      <c r="G31" s="2" t="s">
        <v>191</v>
      </c>
      <c r="H31" s="16">
        <f t="shared" si="17"/>
        <v>20818</v>
      </c>
      <c r="I31" s="48" t="s">
        <v>191</v>
      </c>
      <c r="J31" s="3">
        <v>20818</v>
      </c>
      <c r="K31" s="52" t="s">
        <v>191</v>
      </c>
      <c r="L31" s="17" t="s">
        <v>26</v>
      </c>
      <c r="M31" s="18"/>
      <c r="N31" s="18"/>
      <c r="O31" s="11"/>
    </row>
    <row r="32" spans="1:15" x14ac:dyDescent="0.3">
      <c r="A32" s="91" t="s">
        <v>27</v>
      </c>
      <c r="B32" s="92">
        <f>SUM(B34:B37)</f>
        <v>5259</v>
      </c>
      <c r="C32" s="84">
        <f t="shared" ref="C32" si="18">SUM(C34:C37)</f>
        <v>0</v>
      </c>
      <c r="D32" s="84">
        <f>SUM(D34:D37)</f>
        <v>417859</v>
      </c>
      <c r="E32" s="85">
        <f>SUM(E34:E37)</f>
        <v>4450</v>
      </c>
      <c r="F32" s="84">
        <f t="shared" ref="F32:H32" si="19">SUM(F34:F37)</f>
        <v>400519</v>
      </c>
      <c r="G32" s="85">
        <f t="shared" si="19"/>
        <v>12890</v>
      </c>
      <c r="H32" s="84">
        <f t="shared" si="19"/>
        <v>121495</v>
      </c>
      <c r="I32" s="85">
        <f t="shared" ref="I32:K32" si="20">SUM(I34:I37)</f>
        <v>1875</v>
      </c>
      <c r="J32" s="84">
        <f t="shared" si="20"/>
        <v>115185</v>
      </c>
      <c r="K32" s="88">
        <f t="shared" si="20"/>
        <v>4435</v>
      </c>
      <c r="L32" s="83" t="s">
        <v>28</v>
      </c>
      <c r="M32" s="83"/>
      <c r="N32" s="83"/>
      <c r="O32" s="11"/>
    </row>
    <row r="33" spans="1:15" x14ac:dyDescent="0.3">
      <c r="A33" s="91"/>
      <c r="B33" s="92"/>
      <c r="C33" s="84"/>
      <c r="D33" s="84"/>
      <c r="E33" s="85"/>
      <c r="F33" s="84"/>
      <c r="G33" s="85"/>
      <c r="H33" s="84"/>
      <c r="I33" s="85"/>
      <c r="J33" s="84"/>
      <c r="K33" s="88"/>
      <c r="L33" s="83"/>
      <c r="M33" s="83"/>
      <c r="N33" s="83"/>
      <c r="O33" s="11"/>
    </row>
    <row r="34" spans="1:15" x14ac:dyDescent="0.3">
      <c r="A34" s="12" t="s">
        <v>129</v>
      </c>
      <c r="B34" s="1">
        <v>2226</v>
      </c>
      <c r="C34" s="2" t="s">
        <v>191</v>
      </c>
      <c r="D34" s="15">
        <f t="shared" ref="D34:D37" si="21">SUM(E34:G34)</f>
        <v>148780</v>
      </c>
      <c r="E34" s="3">
        <v>3586</v>
      </c>
      <c r="F34" s="48">
        <v>142644</v>
      </c>
      <c r="G34" s="3">
        <v>2550</v>
      </c>
      <c r="H34" s="16">
        <f t="shared" ref="H34:H37" si="22">SUM(I34:K34)</f>
        <v>38148</v>
      </c>
      <c r="I34" s="48">
        <v>1706</v>
      </c>
      <c r="J34" s="3">
        <v>35905</v>
      </c>
      <c r="K34" s="52">
        <v>537</v>
      </c>
      <c r="L34" s="17" t="s">
        <v>29</v>
      </c>
      <c r="M34" s="18"/>
      <c r="N34" s="18"/>
      <c r="O34" s="11"/>
    </row>
    <row r="35" spans="1:15" x14ac:dyDescent="0.3">
      <c r="A35" s="12" t="s">
        <v>130</v>
      </c>
      <c r="B35" s="1">
        <v>643</v>
      </c>
      <c r="C35" s="2" t="s">
        <v>191</v>
      </c>
      <c r="D35" s="15">
        <f t="shared" si="21"/>
        <v>100369</v>
      </c>
      <c r="E35" s="2" t="s">
        <v>191</v>
      </c>
      <c r="F35" s="48">
        <v>96469</v>
      </c>
      <c r="G35" s="3">
        <v>3900</v>
      </c>
      <c r="H35" s="16">
        <f t="shared" si="22"/>
        <v>19657</v>
      </c>
      <c r="I35" s="48" t="s">
        <v>191</v>
      </c>
      <c r="J35" s="3">
        <v>19657</v>
      </c>
      <c r="K35" s="52" t="s">
        <v>191</v>
      </c>
      <c r="L35" s="17" t="s">
        <v>30</v>
      </c>
      <c r="M35" s="18"/>
      <c r="N35" s="18"/>
      <c r="O35" s="11"/>
    </row>
    <row r="36" spans="1:15" x14ac:dyDescent="0.3">
      <c r="A36" s="12" t="s">
        <v>131</v>
      </c>
      <c r="B36" s="1">
        <v>191</v>
      </c>
      <c r="C36" s="2" t="s">
        <v>191</v>
      </c>
      <c r="D36" s="15">
        <f t="shared" si="21"/>
        <v>87480</v>
      </c>
      <c r="E36" s="3">
        <v>749</v>
      </c>
      <c r="F36" s="48">
        <v>80291</v>
      </c>
      <c r="G36" s="3">
        <v>6440</v>
      </c>
      <c r="H36" s="16">
        <f t="shared" si="22"/>
        <v>40862</v>
      </c>
      <c r="I36" s="48">
        <v>90</v>
      </c>
      <c r="J36" s="3">
        <v>36874</v>
      </c>
      <c r="K36" s="52">
        <v>3898</v>
      </c>
      <c r="L36" s="17" t="s">
        <v>31</v>
      </c>
      <c r="M36" s="18"/>
      <c r="N36" s="18"/>
      <c r="O36" s="11"/>
    </row>
    <row r="37" spans="1:15" x14ac:dyDescent="0.3">
      <c r="A37" s="12" t="s">
        <v>132</v>
      </c>
      <c r="B37" s="1">
        <v>2199</v>
      </c>
      <c r="C37" s="2" t="s">
        <v>191</v>
      </c>
      <c r="D37" s="15">
        <f t="shared" si="21"/>
        <v>81230</v>
      </c>
      <c r="E37" s="3">
        <v>115</v>
      </c>
      <c r="F37" s="48">
        <v>81115</v>
      </c>
      <c r="G37" s="2" t="s">
        <v>191</v>
      </c>
      <c r="H37" s="16">
        <f t="shared" si="22"/>
        <v>22828</v>
      </c>
      <c r="I37" s="48">
        <v>79</v>
      </c>
      <c r="J37" s="3">
        <v>22749</v>
      </c>
      <c r="K37" s="52" t="s">
        <v>191</v>
      </c>
      <c r="L37" s="17" t="s">
        <v>32</v>
      </c>
      <c r="M37" s="18"/>
      <c r="N37" s="18"/>
      <c r="O37" s="11"/>
    </row>
    <row r="38" spans="1:15" x14ac:dyDescent="0.3">
      <c r="A38" s="91" t="s">
        <v>33</v>
      </c>
      <c r="B38" s="92">
        <f>SUM(B40:B44)</f>
        <v>13909</v>
      </c>
      <c r="C38" s="84">
        <f t="shared" ref="C38" si="23">SUM(C40:C44)</f>
        <v>1</v>
      </c>
      <c r="D38" s="84">
        <f>SUM(D40:D44)</f>
        <v>1005220</v>
      </c>
      <c r="E38" s="85">
        <f>SUM(E40:E44)</f>
        <v>3466</v>
      </c>
      <c r="F38" s="84">
        <f t="shared" ref="F38:H38" si="24">SUM(F40:F44)</f>
        <v>878899</v>
      </c>
      <c r="G38" s="85">
        <f t="shared" si="24"/>
        <v>122855</v>
      </c>
      <c r="H38" s="84">
        <f t="shared" si="24"/>
        <v>303782</v>
      </c>
      <c r="I38" s="85">
        <f t="shared" ref="I38:K38" si="25">SUM(I40:I44)</f>
        <v>3217</v>
      </c>
      <c r="J38" s="84">
        <f t="shared" si="25"/>
        <v>254030</v>
      </c>
      <c r="K38" s="88">
        <f t="shared" si="25"/>
        <v>46535</v>
      </c>
      <c r="L38" s="83" t="s">
        <v>34</v>
      </c>
      <c r="M38" s="83"/>
      <c r="N38" s="83"/>
      <c r="O38" s="11"/>
    </row>
    <row r="39" spans="1:15" x14ac:dyDescent="0.3">
      <c r="A39" s="91"/>
      <c r="B39" s="92"/>
      <c r="C39" s="84"/>
      <c r="D39" s="84"/>
      <c r="E39" s="85"/>
      <c r="F39" s="84"/>
      <c r="G39" s="85"/>
      <c r="H39" s="84"/>
      <c r="I39" s="85"/>
      <c r="J39" s="84"/>
      <c r="K39" s="88"/>
      <c r="L39" s="83"/>
      <c r="M39" s="83"/>
      <c r="N39" s="83"/>
      <c r="O39" s="11"/>
    </row>
    <row r="40" spans="1:15" x14ac:dyDescent="0.3">
      <c r="A40" s="12" t="s">
        <v>133</v>
      </c>
      <c r="B40" s="1">
        <v>8997</v>
      </c>
      <c r="C40" s="2" t="s">
        <v>191</v>
      </c>
      <c r="D40" s="15">
        <f t="shared" ref="D40:D44" si="26">SUM(E40:G40)</f>
        <v>594319</v>
      </c>
      <c r="E40" s="3">
        <v>126</v>
      </c>
      <c r="F40" s="48">
        <v>503298</v>
      </c>
      <c r="G40" s="3">
        <v>90895</v>
      </c>
      <c r="H40" s="16">
        <f t="shared" ref="H40:H44" si="27">SUM(I40:K40)</f>
        <v>170285</v>
      </c>
      <c r="I40" s="48">
        <v>625</v>
      </c>
      <c r="J40" s="3">
        <v>132113</v>
      </c>
      <c r="K40" s="52">
        <v>37547</v>
      </c>
      <c r="L40" s="17" t="s">
        <v>35</v>
      </c>
      <c r="M40" s="18"/>
      <c r="N40" s="18"/>
      <c r="O40" s="11"/>
    </row>
    <row r="41" spans="1:15" x14ac:dyDescent="0.3">
      <c r="A41" s="12" t="s">
        <v>134</v>
      </c>
      <c r="B41" s="1">
        <v>1244</v>
      </c>
      <c r="C41" s="2" t="s">
        <v>191</v>
      </c>
      <c r="D41" s="15">
        <f t="shared" si="26"/>
        <v>135634</v>
      </c>
      <c r="E41" s="3">
        <v>1274</v>
      </c>
      <c r="F41" s="48">
        <v>118090</v>
      </c>
      <c r="G41" s="3">
        <v>16270</v>
      </c>
      <c r="H41" s="16">
        <f t="shared" si="27"/>
        <v>25351</v>
      </c>
      <c r="I41" s="48">
        <v>1126</v>
      </c>
      <c r="J41" s="3">
        <v>20247</v>
      </c>
      <c r="K41" s="52">
        <v>3978</v>
      </c>
      <c r="L41" s="17" t="s">
        <v>36</v>
      </c>
      <c r="M41" s="18"/>
      <c r="N41" s="18"/>
      <c r="O41" s="11"/>
    </row>
    <row r="42" spans="1:15" x14ac:dyDescent="0.3">
      <c r="A42" s="12" t="s">
        <v>135</v>
      </c>
      <c r="B42" s="1">
        <v>720</v>
      </c>
      <c r="C42" s="2" t="s">
        <v>191</v>
      </c>
      <c r="D42" s="15">
        <f t="shared" si="26"/>
        <v>82063</v>
      </c>
      <c r="E42" s="3">
        <v>166</v>
      </c>
      <c r="F42" s="48">
        <v>81897</v>
      </c>
      <c r="G42" s="2" t="s">
        <v>191</v>
      </c>
      <c r="H42" s="16">
        <f t="shared" si="27"/>
        <v>37752</v>
      </c>
      <c r="I42" s="48">
        <v>67</v>
      </c>
      <c r="J42" s="3">
        <v>37685</v>
      </c>
      <c r="K42" s="52" t="s">
        <v>191</v>
      </c>
      <c r="L42" s="17" t="s">
        <v>37</v>
      </c>
      <c r="M42" s="18"/>
      <c r="N42" s="18"/>
      <c r="O42" s="11"/>
    </row>
    <row r="43" spans="1:15" x14ac:dyDescent="0.3">
      <c r="A43" s="12" t="s">
        <v>136</v>
      </c>
      <c r="B43" s="45">
        <v>1</v>
      </c>
      <c r="C43" s="2" t="s">
        <v>191</v>
      </c>
      <c r="D43" s="15">
        <f t="shared" si="26"/>
        <v>518</v>
      </c>
      <c r="E43" s="3" t="s">
        <v>191</v>
      </c>
      <c r="F43" s="49">
        <v>518</v>
      </c>
      <c r="G43" s="2" t="s">
        <v>191</v>
      </c>
      <c r="H43" s="16">
        <f t="shared" si="27"/>
        <v>5370</v>
      </c>
      <c r="I43" s="49" t="s">
        <v>191</v>
      </c>
      <c r="J43" s="3">
        <v>5370</v>
      </c>
      <c r="K43" s="53" t="s">
        <v>191</v>
      </c>
      <c r="L43" s="17" t="s">
        <v>38</v>
      </c>
      <c r="M43" s="18"/>
      <c r="N43" s="18"/>
      <c r="O43" s="11"/>
    </row>
    <row r="44" spans="1:15" x14ac:dyDescent="0.3">
      <c r="A44" s="12" t="s">
        <v>137</v>
      </c>
      <c r="B44" s="1">
        <v>2947</v>
      </c>
      <c r="C44" s="3">
        <v>1</v>
      </c>
      <c r="D44" s="15">
        <f t="shared" si="26"/>
        <v>192686</v>
      </c>
      <c r="E44" s="3">
        <v>1900</v>
      </c>
      <c r="F44" s="48">
        <v>175096</v>
      </c>
      <c r="G44" s="3">
        <v>15690</v>
      </c>
      <c r="H44" s="16">
        <f t="shared" si="27"/>
        <v>65024</v>
      </c>
      <c r="I44" s="48">
        <v>1399</v>
      </c>
      <c r="J44" s="3">
        <v>58615</v>
      </c>
      <c r="K44" s="52">
        <v>5010</v>
      </c>
      <c r="L44" s="17" t="s">
        <v>39</v>
      </c>
      <c r="M44" s="18"/>
      <c r="N44" s="18"/>
      <c r="O44" s="11"/>
    </row>
    <row r="45" spans="1:15" x14ac:dyDescent="0.3">
      <c r="A45" s="91" t="s">
        <v>40</v>
      </c>
      <c r="B45" s="92">
        <f>SUM(B47:B51)</f>
        <v>4838</v>
      </c>
      <c r="C45" s="84">
        <f>SUM(C47:C51)</f>
        <v>0</v>
      </c>
      <c r="D45" s="84">
        <f>SUM(D47:D51)</f>
        <v>408868</v>
      </c>
      <c r="E45" s="85">
        <f>SUM(E47:E51)</f>
        <v>10856</v>
      </c>
      <c r="F45" s="84">
        <f t="shared" ref="F45:H45" si="28">SUM(F47:F51)</f>
        <v>362718</v>
      </c>
      <c r="G45" s="85">
        <f t="shared" si="28"/>
        <v>35294</v>
      </c>
      <c r="H45" s="84">
        <f t="shared" si="28"/>
        <v>253425</v>
      </c>
      <c r="I45" s="85">
        <f t="shared" ref="I45:K45" si="29">SUM(I47:I51)</f>
        <v>8366</v>
      </c>
      <c r="J45" s="84">
        <f t="shared" si="29"/>
        <v>234142</v>
      </c>
      <c r="K45" s="88">
        <f t="shared" si="29"/>
        <v>10917</v>
      </c>
      <c r="L45" s="83" t="s">
        <v>41</v>
      </c>
      <c r="M45" s="83"/>
      <c r="N45" s="83"/>
      <c r="O45" s="11"/>
    </row>
    <row r="46" spans="1:15" x14ac:dyDescent="0.3">
      <c r="A46" s="91"/>
      <c r="B46" s="92"/>
      <c r="C46" s="84"/>
      <c r="D46" s="84"/>
      <c r="E46" s="85"/>
      <c r="F46" s="84"/>
      <c r="G46" s="85"/>
      <c r="H46" s="84"/>
      <c r="I46" s="85"/>
      <c r="J46" s="84"/>
      <c r="K46" s="88"/>
      <c r="L46" s="83"/>
      <c r="M46" s="83"/>
      <c r="N46" s="83"/>
      <c r="O46" s="11"/>
    </row>
    <row r="47" spans="1:15" x14ac:dyDescent="0.3">
      <c r="A47" s="12" t="s">
        <v>138</v>
      </c>
      <c r="B47" s="1">
        <v>1454</v>
      </c>
      <c r="C47" s="2" t="s">
        <v>191</v>
      </c>
      <c r="D47" s="15">
        <f t="shared" ref="D47:D51" si="30">SUM(E47:G47)</f>
        <v>126315</v>
      </c>
      <c r="E47" s="3">
        <v>2619</v>
      </c>
      <c r="F47" s="48">
        <v>93542</v>
      </c>
      <c r="G47" s="3">
        <v>30154</v>
      </c>
      <c r="H47" s="16">
        <f t="shared" ref="H47:H51" si="31">SUM(I47:K47)</f>
        <v>44434</v>
      </c>
      <c r="I47" s="48">
        <v>1187</v>
      </c>
      <c r="J47" s="3">
        <v>33100</v>
      </c>
      <c r="K47" s="52">
        <v>10147</v>
      </c>
      <c r="L47" s="17" t="s">
        <v>42</v>
      </c>
      <c r="M47" s="18"/>
      <c r="N47" s="18"/>
      <c r="O47" s="11"/>
    </row>
    <row r="48" spans="1:15" x14ac:dyDescent="0.3">
      <c r="A48" s="12" t="s">
        <v>139</v>
      </c>
      <c r="B48" s="1">
        <v>2795</v>
      </c>
      <c r="C48" s="2" t="s">
        <v>191</v>
      </c>
      <c r="D48" s="15">
        <f t="shared" si="30"/>
        <v>75414</v>
      </c>
      <c r="E48" s="3">
        <v>1068</v>
      </c>
      <c r="F48" s="48">
        <v>72956</v>
      </c>
      <c r="G48" s="3">
        <v>1390</v>
      </c>
      <c r="H48" s="16">
        <f t="shared" si="31"/>
        <v>43004</v>
      </c>
      <c r="I48" s="48">
        <v>506</v>
      </c>
      <c r="J48" s="3">
        <v>42498</v>
      </c>
      <c r="K48" s="52" t="s">
        <v>191</v>
      </c>
      <c r="L48" s="17" t="s">
        <v>43</v>
      </c>
      <c r="M48" s="18"/>
      <c r="N48" s="18"/>
      <c r="O48" s="11"/>
    </row>
    <row r="49" spans="1:15" x14ac:dyDescent="0.3">
      <c r="A49" s="12" t="s">
        <v>140</v>
      </c>
      <c r="B49" s="1">
        <v>451</v>
      </c>
      <c r="C49" s="2" t="s">
        <v>191</v>
      </c>
      <c r="D49" s="15">
        <f t="shared" si="30"/>
        <v>141056</v>
      </c>
      <c r="E49" s="3">
        <v>4238</v>
      </c>
      <c r="F49" s="48">
        <v>133068</v>
      </c>
      <c r="G49" s="3">
        <v>3750</v>
      </c>
      <c r="H49" s="16">
        <f t="shared" si="31"/>
        <v>109149</v>
      </c>
      <c r="I49" s="48">
        <v>4035</v>
      </c>
      <c r="J49" s="3">
        <v>104344</v>
      </c>
      <c r="K49" s="52">
        <v>770</v>
      </c>
      <c r="L49" s="17" t="s">
        <v>44</v>
      </c>
      <c r="M49" s="18"/>
      <c r="N49" s="18"/>
      <c r="O49" s="11"/>
    </row>
    <row r="50" spans="1:15" x14ac:dyDescent="0.3">
      <c r="A50" s="12" t="s">
        <v>141</v>
      </c>
      <c r="B50" s="1">
        <v>5</v>
      </c>
      <c r="C50" s="2" t="s">
        <v>191</v>
      </c>
      <c r="D50" s="15">
        <f t="shared" si="30"/>
        <v>28803</v>
      </c>
      <c r="E50" s="3">
        <v>1370</v>
      </c>
      <c r="F50" s="48">
        <v>27433</v>
      </c>
      <c r="G50" s="2" t="s">
        <v>191</v>
      </c>
      <c r="H50" s="16">
        <f t="shared" si="31"/>
        <v>24208</v>
      </c>
      <c r="I50" s="48">
        <v>1739</v>
      </c>
      <c r="J50" s="3">
        <v>22469</v>
      </c>
      <c r="K50" s="52" t="s">
        <v>191</v>
      </c>
      <c r="L50" s="17" t="s">
        <v>45</v>
      </c>
      <c r="M50" s="18"/>
      <c r="N50" s="18"/>
      <c r="O50" s="11"/>
    </row>
    <row r="51" spans="1:15" x14ac:dyDescent="0.3">
      <c r="A51" s="12" t="s">
        <v>142</v>
      </c>
      <c r="B51" s="1">
        <v>133</v>
      </c>
      <c r="C51" s="2" t="s">
        <v>191</v>
      </c>
      <c r="D51" s="15">
        <f t="shared" si="30"/>
        <v>37280</v>
      </c>
      <c r="E51" s="3">
        <v>1561</v>
      </c>
      <c r="F51" s="48">
        <v>35719</v>
      </c>
      <c r="G51" s="3" t="s">
        <v>191</v>
      </c>
      <c r="H51" s="16">
        <f t="shared" si="31"/>
        <v>32630</v>
      </c>
      <c r="I51" s="48">
        <v>899</v>
      </c>
      <c r="J51" s="3">
        <v>31731</v>
      </c>
      <c r="K51" s="52" t="s">
        <v>191</v>
      </c>
      <c r="L51" s="17" t="s">
        <v>46</v>
      </c>
      <c r="M51" s="18"/>
      <c r="N51" s="18"/>
      <c r="O51" s="11"/>
    </row>
    <row r="52" spans="1:15" x14ac:dyDescent="0.3">
      <c r="A52" s="91" t="s">
        <v>47</v>
      </c>
      <c r="B52" s="92">
        <f>SUM(B54:B58)</f>
        <v>514</v>
      </c>
      <c r="C52" s="84">
        <f t="shared" ref="C52" si="32">SUM(C54:C58)</f>
        <v>0</v>
      </c>
      <c r="D52" s="84">
        <f>SUM(D54:D58)</f>
        <v>78532</v>
      </c>
      <c r="E52" s="85">
        <f>SUM(E54:E58)</f>
        <v>3952</v>
      </c>
      <c r="F52" s="84">
        <f t="shared" ref="F52:H52" si="33">SUM(F54:F58)</f>
        <v>74580</v>
      </c>
      <c r="G52" s="85">
        <f t="shared" si="33"/>
        <v>0</v>
      </c>
      <c r="H52" s="84">
        <f t="shared" si="33"/>
        <v>74466</v>
      </c>
      <c r="I52" s="85">
        <f t="shared" ref="I52:K52" si="34">SUM(I54:I58)</f>
        <v>3615</v>
      </c>
      <c r="J52" s="84">
        <f t="shared" si="34"/>
        <v>70851</v>
      </c>
      <c r="K52" s="88">
        <f t="shared" si="34"/>
        <v>0</v>
      </c>
      <c r="L52" s="83" t="s">
        <v>48</v>
      </c>
      <c r="M52" s="83"/>
      <c r="N52" s="83"/>
      <c r="O52" s="11"/>
    </row>
    <row r="53" spans="1:15" x14ac:dyDescent="0.3">
      <c r="A53" s="91"/>
      <c r="B53" s="92"/>
      <c r="C53" s="84"/>
      <c r="D53" s="84"/>
      <c r="E53" s="85"/>
      <c r="F53" s="84"/>
      <c r="G53" s="85"/>
      <c r="H53" s="84"/>
      <c r="I53" s="85"/>
      <c r="J53" s="84"/>
      <c r="K53" s="88"/>
      <c r="L53" s="83"/>
      <c r="M53" s="83"/>
      <c r="N53" s="83"/>
      <c r="O53" s="11"/>
    </row>
    <row r="54" spans="1:15" x14ac:dyDescent="0.3">
      <c r="A54" s="12" t="s">
        <v>143</v>
      </c>
      <c r="B54" s="1">
        <v>368</v>
      </c>
      <c r="C54" s="2" t="s">
        <v>191</v>
      </c>
      <c r="D54" s="15">
        <f t="shared" ref="D54:D58" si="35">SUM(E54:G54)</f>
        <v>2045</v>
      </c>
      <c r="E54" s="3">
        <v>1005</v>
      </c>
      <c r="F54" s="48">
        <v>1040</v>
      </c>
      <c r="G54" s="2" t="s">
        <v>191</v>
      </c>
      <c r="H54" s="16">
        <f t="shared" ref="H54:H58" si="36">SUM(I54:K54)</f>
        <v>1291</v>
      </c>
      <c r="I54" s="48">
        <v>665</v>
      </c>
      <c r="J54" s="3">
        <v>626</v>
      </c>
      <c r="K54" s="52" t="s">
        <v>191</v>
      </c>
      <c r="L54" s="17" t="s">
        <v>49</v>
      </c>
      <c r="M54" s="18"/>
      <c r="N54" s="18"/>
      <c r="O54" s="11"/>
    </row>
    <row r="55" spans="1:15" x14ac:dyDescent="0.3">
      <c r="A55" s="12" t="s">
        <v>144</v>
      </c>
      <c r="B55" s="1">
        <v>57</v>
      </c>
      <c r="C55" s="2" t="s">
        <v>191</v>
      </c>
      <c r="D55" s="15">
        <f t="shared" si="35"/>
        <v>4715</v>
      </c>
      <c r="E55" s="3">
        <v>1652</v>
      </c>
      <c r="F55" s="48">
        <v>3063</v>
      </c>
      <c r="G55" s="2" t="s">
        <v>191</v>
      </c>
      <c r="H55" s="16">
        <f t="shared" si="36"/>
        <v>4617</v>
      </c>
      <c r="I55" s="48">
        <v>2272</v>
      </c>
      <c r="J55" s="3">
        <v>2345</v>
      </c>
      <c r="K55" s="52" t="s">
        <v>191</v>
      </c>
      <c r="L55" s="17" t="s">
        <v>50</v>
      </c>
      <c r="M55" s="18"/>
      <c r="N55" s="18"/>
      <c r="O55" s="11"/>
    </row>
    <row r="56" spans="1:15" x14ac:dyDescent="0.3">
      <c r="A56" s="12" t="s">
        <v>145</v>
      </c>
      <c r="B56" s="1" t="s">
        <v>191</v>
      </c>
      <c r="C56" s="2" t="s">
        <v>191</v>
      </c>
      <c r="D56" s="15">
        <f t="shared" si="35"/>
        <v>2738</v>
      </c>
      <c r="E56" s="3">
        <v>10</v>
      </c>
      <c r="F56" s="48">
        <v>2728</v>
      </c>
      <c r="G56" s="2" t="s">
        <v>191</v>
      </c>
      <c r="H56" s="16">
        <f t="shared" si="36"/>
        <v>2958</v>
      </c>
      <c r="I56" s="48" t="s">
        <v>191</v>
      </c>
      <c r="J56" s="3">
        <v>2958</v>
      </c>
      <c r="K56" s="52" t="s">
        <v>191</v>
      </c>
      <c r="L56" s="17" t="s">
        <v>51</v>
      </c>
      <c r="M56" s="18"/>
      <c r="N56" s="18"/>
      <c r="O56" s="11"/>
    </row>
    <row r="57" spans="1:15" x14ac:dyDescent="0.3">
      <c r="A57" s="12" t="s">
        <v>146</v>
      </c>
      <c r="B57" s="1">
        <v>58</v>
      </c>
      <c r="C57" s="2" t="s">
        <v>191</v>
      </c>
      <c r="D57" s="15">
        <f t="shared" si="35"/>
        <v>65180</v>
      </c>
      <c r="E57" s="3">
        <v>1063</v>
      </c>
      <c r="F57" s="48">
        <v>64117</v>
      </c>
      <c r="G57" s="2" t="s">
        <v>191</v>
      </c>
      <c r="H57" s="16">
        <f t="shared" si="36"/>
        <v>62265</v>
      </c>
      <c r="I57" s="48">
        <v>554</v>
      </c>
      <c r="J57" s="3">
        <v>61711</v>
      </c>
      <c r="K57" s="52" t="s">
        <v>191</v>
      </c>
      <c r="L57" s="17" t="s">
        <v>52</v>
      </c>
      <c r="M57" s="18"/>
      <c r="N57" s="18"/>
      <c r="O57" s="11"/>
    </row>
    <row r="58" spans="1:15" x14ac:dyDescent="0.3">
      <c r="A58" s="12" t="s">
        <v>147</v>
      </c>
      <c r="B58" s="1">
        <v>31</v>
      </c>
      <c r="C58" s="2" t="s">
        <v>191</v>
      </c>
      <c r="D58" s="15">
        <f t="shared" si="35"/>
        <v>3854</v>
      </c>
      <c r="E58" s="3">
        <v>222</v>
      </c>
      <c r="F58" s="48">
        <v>3632</v>
      </c>
      <c r="G58" s="2" t="s">
        <v>191</v>
      </c>
      <c r="H58" s="16">
        <f t="shared" si="36"/>
        <v>3335</v>
      </c>
      <c r="I58" s="48">
        <v>124</v>
      </c>
      <c r="J58" s="3">
        <v>3211</v>
      </c>
      <c r="K58" s="52" t="s">
        <v>191</v>
      </c>
      <c r="L58" s="17" t="s">
        <v>53</v>
      </c>
      <c r="M58" s="18"/>
      <c r="N58" s="18"/>
      <c r="O58" s="11"/>
    </row>
    <row r="59" spans="1:15" x14ac:dyDescent="0.3">
      <c r="A59" s="91" t="s">
        <v>54</v>
      </c>
      <c r="B59" s="92">
        <f>SUM(B61:B63)</f>
        <v>4406</v>
      </c>
      <c r="C59" s="84">
        <f t="shared" ref="C59" si="37">SUM(C61:C63)</f>
        <v>0</v>
      </c>
      <c r="D59" s="84">
        <f>SUM(D61:D63)</f>
        <v>1008549</v>
      </c>
      <c r="E59" s="85">
        <f>SUM(E61:E63)</f>
        <v>55619</v>
      </c>
      <c r="F59" s="84">
        <f t="shared" ref="F59:H59" si="38">SUM(F61:F63)</f>
        <v>917637</v>
      </c>
      <c r="G59" s="85">
        <f t="shared" si="38"/>
        <v>35293</v>
      </c>
      <c r="H59" s="84">
        <f t="shared" si="38"/>
        <v>341018</v>
      </c>
      <c r="I59" s="85">
        <f t="shared" ref="I59:K59" si="39">SUM(I61:I63)</f>
        <v>38323</v>
      </c>
      <c r="J59" s="84">
        <f t="shared" si="39"/>
        <v>298357</v>
      </c>
      <c r="K59" s="88">
        <f t="shared" si="39"/>
        <v>4338</v>
      </c>
      <c r="L59" s="83" t="s">
        <v>55</v>
      </c>
      <c r="M59" s="83"/>
      <c r="N59" s="83"/>
      <c r="O59" s="11"/>
    </row>
    <row r="60" spans="1:15" x14ac:dyDescent="0.3">
      <c r="A60" s="91"/>
      <c r="B60" s="92"/>
      <c r="C60" s="84"/>
      <c r="D60" s="84"/>
      <c r="E60" s="85"/>
      <c r="F60" s="84"/>
      <c r="G60" s="85"/>
      <c r="H60" s="84"/>
      <c r="I60" s="85"/>
      <c r="J60" s="84"/>
      <c r="K60" s="88"/>
      <c r="L60" s="83"/>
      <c r="M60" s="83"/>
      <c r="N60" s="83"/>
      <c r="O60" s="11"/>
    </row>
    <row r="61" spans="1:15" x14ac:dyDescent="0.3">
      <c r="A61" s="12" t="s">
        <v>148</v>
      </c>
      <c r="B61" s="1">
        <v>1964</v>
      </c>
      <c r="C61" s="2" t="s">
        <v>191</v>
      </c>
      <c r="D61" s="15">
        <f t="shared" ref="D61:D63" si="40">SUM(E61:G61)</f>
        <v>281624</v>
      </c>
      <c r="E61" s="3">
        <v>16381</v>
      </c>
      <c r="F61" s="48">
        <v>265243</v>
      </c>
      <c r="G61" s="3" t="s">
        <v>191</v>
      </c>
      <c r="H61" s="16">
        <f t="shared" ref="H61:H63" si="41">SUM(I61:K61)</f>
        <v>102246</v>
      </c>
      <c r="I61" s="48">
        <v>4616</v>
      </c>
      <c r="J61" s="3">
        <v>97630</v>
      </c>
      <c r="K61" s="52" t="s">
        <v>191</v>
      </c>
      <c r="L61" s="17" t="s">
        <v>56</v>
      </c>
      <c r="M61" s="18"/>
      <c r="N61" s="18"/>
      <c r="O61" s="11"/>
    </row>
    <row r="62" spans="1:15" x14ac:dyDescent="0.3">
      <c r="A62" s="12" t="s">
        <v>149</v>
      </c>
      <c r="B62" s="45" t="s">
        <v>191</v>
      </c>
      <c r="C62" s="2" t="s">
        <v>191</v>
      </c>
      <c r="D62" s="15">
        <f t="shared" si="40"/>
        <v>472545</v>
      </c>
      <c r="E62" s="3">
        <v>30173</v>
      </c>
      <c r="F62" s="49">
        <v>407079</v>
      </c>
      <c r="G62" s="3">
        <v>35293</v>
      </c>
      <c r="H62" s="16">
        <f t="shared" si="41"/>
        <v>192535</v>
      </c>
      <c r="I62" s="49">
        <v>29293</v>
      </c>
      <c r="J62" s="3">
        <v>158904</v>
      </c>
      <c r="K62" s="53">
        <v>4338</v>
      </c>
      <c r="L62" s="17" t="s">
        <v>57</v>
      </c>
      <c r="M62" s="18"/>
      <c r="N62" s="18"/>
      <c r="O62" s="11"/>
    </row>
    <row r="63" spans="1:15" x14ac:dyDescent="0.3">
      <c r="A63" s="12" t="s">
        <v>150</v>
      </c>
      <c r="B63" s="1">
        <v>2442</v>
      </c>
      <c r="C63" s="2" t="s">
        <v>191</v>
      </c>
      <c r="D63" s="15">
        <f t="shared" si="40"/>
        <v>254380</v>
      </c>
      <c r="E63" s="3">
        <v>9065</v>
      </c>
      <c r="F63" s="48">
        <v>245315</v>
      </c>
      <c r="G63" s="2" t="s">
        <v>191</v>
      </c>
      <c r="H63" s="16">
        <f t="shared" si="41"/>
        <v>46237</v>
      </c>
      <c r="I63" s="48">
        <v>4414</v>
      </c>
      <c r="J63" s="3">
        <v>41823</v>
      </c>
      <c r="K63" s="52" t="s">
        <v>191</v>
      </c>
      <c r="L63" s="17" t="s">
        <v>58</v>
      </c>
      <c r="M63" s="18"/>
      <c r="N63" s="18"/>
      <c r="O63" s="11"/>
    </row>
    <row r="64" spans="1:15" x14ac:dyDescent="0.3">
      <c r="A64" s="91" t="s">
        <v>59</v>
      </c>
      <c r="B64" s="92">
        <f>SUM(B66:B70)</f>
        <v>1032</v>
      </c>
      <c r="C64" s="84">
        <f t="shared" ref="C64" si="42">SUM(C66:C70)</f>
        <v>0</v>
      </c>
      <c r="D64" s="84">
        <f>SUM(D66:D70)</f>
        <v>353543</v>
      </c>
      <c r="E64" s="85">
        <f>SUM(E66:E70)</f>
        <v>14545</v>
      </c>
      <c r="F64" s="84">
        <f t="shared" ref="F64:H64" si="43">SUM(F66:F70)</f>
        <v>324511</v>
      </c>
      <c r="G64" s="85">
        <f t="shared" si="43"/>
        <v>14487</v>
      </c>
      <c r="H64" s="84">
        <f t="shared" si="43"/>
        <v>325860</v>
      </c>
      <c r="I64" s="85">
        <f t="shared" ref="I64:K64" si="44">SUM(I66:I70)</f>
        <v>15204</v>
      </c>
      <c r="J64" s="84">
        <f t="shared" si="44"/>
        <v>291052</v>
      </c>
      <c r="K64" s="88">
        <f t="shared" si="44"/>
        <v>19604</v>
      </c>
      <c r="L64" s="83" t="s">
        <v>60</v>
      </c>
      <c r="M64" s="83"/>
      <c r="N64" s="83"/>
      <c r="O64" s="11"/>
    </row>
    <row r="65" spans="1:15" x14ac:dyDescent="0.3">
      <c r="A65" s="91"/>
      <c r="B65" s="92"/>
      <c r="C65" s="84"/>
      <c r="D65" s="84"/>
      <c r="E65" s="85"/>
      <c r="F65" s="84"/>
      <c r="G65" s="85"/>
      <c r="H65" s="84"/>
      <c r="I65" s="85"/>
      <c r="J65" s="84"/>
      <c r="K65" s="88"/>
      <c r="L65" s="83"/>
      <c r="M65" s="83"/>
      <c r="N65" s="83"/>
      <c r="O65" s="11"/>
    </row>
    <row r="66" spans="1:15" x14ac:dyDescent="0.3">
      <c r="A66" s="12" t="s">
        <v>151</v>
      </c>
      <c r="B66" s="1">
        <v>13</v>
      </c>
      <c r="C66" s="2" t="s">
        <v>191</v>
      </c>
      <c r="D66" s="15">
        <f t="shared" ref="D66:D70" si="45">SUM(E66:G66)</f>
        <v>102648</v>
      </c>
      <c r="E66" s="3">
        <v>2866</v>
      </c>
      <c r="F66" s="48">
        <v>99782</v>
      </c>
      <c r="G66" s="2" t="s">
        <v>191</v>
      </c>
      <c r="H66" s="16">
        <f t="shared" ref="H66:H70" si="46">SUM(I66:K66)</f>
        <v>74729</v>
      </c>
      <c r="I66" s="48">
        <v>2126</v>
      </c>
      <c r="J66" s="3">
        <v>72603</v>
      </c>
      <c r="K66" s="52" t="s">
        <v>191</v>
      </c>
      <c r="L66" s="17" t="s">
        <v>61</v>
      </c>
      <c r="M66" s="18"/>
      <c r="N66" s="18"/>
      <c r="O66" s="11"/>
    </row>
    <row r="67" spans="1:15" x14ac:dyDescent="0.3">
      <c r="A67" s="12" t="s">
        <v>152</v>
      </c>
      <c r="B67" s="1">
        <v>304</v>
      </c>
      <c r="C67" s="2" t="s">
        <v>191</v>
      </c>
      <c r="D67" s="15">
        <f t="shared" si="45"/>
        <v>87026</v>
      </c>
      <c r="E67" s="3">
        <v>5178</v>
      </c>
      <c r="F67" s="48">
        <v>74253</v>
      </c>
      <c r="G67" s="3">
        <v>7595</v>
      </c>
      <c r="H67" s="16">
        <f t="shared" si="46"/>
        <v>91088</v>
      </c>
      <c r="I67" s="48">
        <v>3907</v>
      </c>
      <c r="J67" s="3">
        <v>72978</v>
      </c>
      <c r="K67" s="52">
        <v>14203</v>
      </c>
      <c r="L67" s="17" t="s">
        <v>62</v>
      </c>
      <c r="M67" s="18"/>
      <c r="N67" s="18"/>
      <c r="O67" s="11"/>
    </row>
    <row r="68" spans="1:15" x14ac:dyDescent="0.3">
      <c r="A68" s="12" t="s">
        <v>153</v>
      </c>
      <c r="B68" s="1">
        <v>107</v>
      </c>
      <c r="C68" s="2" t="s">
        <v>191</v>
      </c>
      <c r="D68" s="15">
        <f t="shared" si="45"/>
        <v>56323</v>
      </c>
      <c r="E68" s="3">
        <v>1139</v>
      </c>
      <c r="F68" s="48">
        <v>51467</v>
      </c>
      <c r="G68" s="3">
        <v>3717</v>
      </c>
      <c r="H68" s="16">
        <f t="shared" si="46"/>
        <v>42986</v>
      </c>
      <c r="I68" s="48">
        <v>1149</v>
      </c>
      <c r="J68" s="3">
        <v>38318</v>
      </c>
      <c r="K68" s="52">
        <v>3519</v>
      </c>
      <c r="L68" s="17" t="s">
        <v>63</v>
      </c>
      <c r="M68" s="18"/>
      <c r="N68" s="18"/>
      <c r="O68" s="11"/>
    </row>
    <row r="69" spans="1:15" x14ac:dyDescent="0.3">
      <c r="A69" s="12" t="s">
        <v>154</v>
      </c>
      <c r="B69" s="1">
        <v>496</v>
      </c>
      <c r="C69" s="2" t="s">
        <v>191</v>
      </c>
      <c r="D69" s="15">
        <f t="shared" si="45"/>
        <v>55644</v>
      </c>
      <c r="E69" s="3">
        <v>3088</v>
      </c>
      <c r="F69" s="48">
        <v>52286</v>
      </c>
      <c r="G69" s="3">
        <v>270</v>
      </c>
      <c r="H69" s="16">
        <f t="shared" si="46"/>
        <v>88484</v>
      </c>
      <c r="I69" s="48">
        <v>3805</v>
      </c>
      <c r="J69" s="3">
        <v>84679</v>
      </c>
      <c r="K69" s="52" t="s">
        <v>191</v>
      </c>
      <c r="L69" s="17" t="s">
        <v>64</v>
      </c>
      <c r="M69" s="18"/>
      <c r="N69" s="18"/>
      <c r="O69" s="11"/>
    </row>
    <row r="70" spans="1:15" x14ac:dyDescent="0.3">
      <c r="A70" s="12" t="s">
        <v>155</v>
      </c>
      <c r="B70" s="1">
        <v>112</v>
      </c>
      <c r="C70" s="2" t="s">
        <v>191</v>
      </c>
      <c r="D70" s="15">
        <f t="shared" si="45"/>
        <v>51902</v>
      </c>
      <c r="E70" s="3">
        <v>2274</v>
      </c>
      <c r="F70" s="48">
        <v>46723</v>
      </c>
      <c r="G70" s="3">
        <v>2905</v>
      </c>
      <c r="H70" s="16">
        <f t="shared" si="46"/>
        <v>28573</v>
      </c>
      <c r="I70" s="48">
        <v>4217</v>
      </c>
      <c r="J70" s="3">
        <v>22474</v>
      </c>
      <c r="K70" s="52">
        <v>1882</v>
      </c>
      <c r="L70" s="17" t="s">
        <v>65</v>
      </c>
      <c r="M70" s="18"/>
      <c r="N70" s="18"/>
      <c r="O70" s="11"/>
    </row>
    <row r="71" spans="1:15" x14ac:dyDescent="0.3">
      <c r="A71" s="91" t="s">
        <v>66</v>
      </c>
      <c r="B71" s="92">
        <f>SUM(B73:B80)</f>
        <v>3492</v>
      </c>
      <c r="C71" s="84">
        <f t="shared" ref="C71" si="47">SUM(C73:C80)</f>
        <v>0</v>
      </c>
      <c r="D71" s="84">
        <f>SUM(D73:D80)</f>
        <v>56728</v>
      </c>
      <c r="E71" s="85">
        <f>SUM(E73:E80)</f>
        <v>823</v>
      </c>
      <c r="F71" s="84">
        <f t="shared" ref="F71:H71" si="48">SUM(F73:F80)</f>
        <v>55885</v>
      </c>
      <c r="G71" s="85">
        <f t="shared" si="48"/>
        <v>20</v>
      </c>
      <c r="H71" s="84">
        <f t="shared" si="48"/>
        <v>32474</v>
      </c>
      <c r="I71" s="85">
        <f t="shared" ref="I71:K71" si="49">SUM(I73:I80)</f>
        <v>1815</v>
      </c>
      <c r="J71" s="84">
        <f t="shared" si="49"/>
        <v>30495</v>
      </c>
      <c r="K71" s="88">
        <f t="shared" si="49"/>
        <v>164</v>
      </c>
      <c r="L71" s="83" t="s">
        <v>67</v>
      </c>
      <c r="M71" s="83"/>
      <c r="N71" s="83"/>
      <c r="O71" s="11"/>
    </row>
    <row r="72" spans="1:15" x14ac:dyDescent="0.3">
      <c r="A72" s="91"/>
      <c r="B72" s="92"/>
      <c r="C72" s="84"/>
      <c r="D72" s="84"/>
      <c r="E72" s="85"/>
      <c r="F72" s="84"/>
      <c r="G72" s="85"/>
      <c r="H72" s="84"/>
      <c r="I72" s="85"/>
      <c r="J72" s="84"/>
      <c r="K72" s="88"/>
      <c r="L72" s="83"/>
      <c r="M72" s="83"/>
      <c r="N72" s="83"/>
      <c r="O72" s="11"/>
    </row>
    <row r="73" spans="1:15" x14ac:dyDescent="0.3">
      <c r="A73" s="26" t="s">
        <v>68</v>
      </c>
      <c r="B73" s="1" t="s">
        <v>191</v>
      </c>
      <c r="C73" s="49" t="s">
        <v>191</v>
      </c>
      <c r="D73" s="15">
        <f t="shared" ref="D73:D80" si="50">SUM(E73:G73)</f>
        <v>0</v>
      </c>
      <c r="E73" s="3" t="s">
        <v>191</v>
      </c>
      <c r="F73" s="48" t="s">
        <v>191</v>
      </c>
      <c r="G73" s="48" t="s">
        <v>191</v>
      </c>
      <c r="H73" s="16">
        <f t="shared" ref="H73:H80" si="51">SUM(I73:K73)</f>
        <v>0</v>
      </c>
      <c r="I73" s="48" t="s">
        <v>191</v>
      </c>
      <c r="J73" s="3" t="s">
        <v>191</v>
      </c>
      <c r="K73" s="52" t="s">
        <v>191</v>
      </c>
      <c r="L73" s="17" t="s">
        <v>69</v>
      </c>
      <c r="M73" s="18"/>
      <c r="N73" s="18"/>
      <c r="O73" s="11"/>
    </row>
    <row r="74" spans="1:15" x14ac:dyDescent="0.3">
      <c r="A74" s="26" t="s">
        <v>70</v>
      </c>
      <c r="B74" s="45" t="s">
        <v>191</v>
      </c>
      <c r="C74" s="49" t="s">
        <v>191</v>
      </c>
      <c r="D74" s="15">
        <f t="shared" si="50"/>
        <v>168</v>
      </c>
      <c r="E74" s="3">
        <v>8</v>
      </c>
      <c r="F74" s="49">
        <v>160</v>
      </c>
      <c r="G74" s="49" t="s">
        <v>191</v>
      </c>
      <c r="H74" s="16">
        <f t="shared" si="51"/>
        <v>189</v>
      </c>
      <c r="I74" s="49">
        <v>9</v>
      </c>
      <c r="J74" s="3">
        <v>180</v>
      </c>
      <c r="K74" s="53" t="s">
        <v>191</v>
      </c>
      <c r="L74" s="17" t="s">
        <v>71</v>
      </c>
      <c r="M74" s="18"/>
      <c r="N74" s="18"/>
      <c r="O74" s="11"/>
    </row>
    <row r="75" spans="1:15" x14ac:dyDescent="0.3">
      <c r="A75" s="26" t="s">
        <v>72</v>
      </c>
      <c r="B75" s="45" t="s">
        <v>191</v>
      </c>
      <c r="C75" s="49" t="s">
        <v>191</v>
      </c>
      <c r="D75" s="15">
        <f t="shared" si="50"/>
        <v>104</v>
      </c>
      <c r="E75" s="2" t="s">
        <v>191</v>
      </c>
      <c r="F75" s="49">
        <v>104</v>
      </c>
      <c r="G75" s="49" t="s">
        <v>191</v>
      </c>
      <c r="H75" s="16">
        <f t="shared" si="51"/>
        <v>0</v>
      </c>
      <c r="I75" s="49" t="s">
        <v>191</v>
      </c>
      <c r="J75" s="2" t="s">
        <v>191</v>
      </c>
      <c r="K75" s="53" t="s">
        <v>191</v>
      </c>
      <c r="L75" s="17" t="s">
        <v>73</v>
      </c>
      <c r="M75" s="18"/>
      <c r="N75" s="18"/>
      <c r="O75" s="11"/>
    </row>
    <row r="76" spans="1:15" x14ac:dyDescent="0.3">
      <c r="A76" s="26" t="s">
        <v>74</v>
      </c>
      <c r="B76" s="45" t="s">
        <v>191</v>
      </c>
      <c r="C76" s="49" t="s">
        <v>191</v>
      </c>
      <c r="D76" s="15">
        <f t="shared" si="50"/>
        <v>0</v>
      </c>
      <c r="E76" s="2" t="s">
        <v>191</v>
      </c>
      <c r="F76" s="49" t="s">
        <v>191</v>
      </c>
      <c r="G76" s="49" t="s">
        <v>191</v>
      </c>
      <c r="H76" s="16">
        <f t="shared" si="51"/>
        <v>0</v>
      </c>
      <c r="I76" s="49" t="s">
        <v>191</v>
      </c>
      <c r="J76" s="2" t="s">
        <v>191</v>
      </c>
      <c r="K76" s="53" t="s">
        <v>191</v>
      </c>
      <c r="L76" s="17" t="s">
        <v>75</v>
      </c>
      <c r="M76" s="18"/>
      <c r="N76" s="18"/>
      <c r="O76" s="11"/>
    </row>
    <row r="77" spans="1:15" x14ac:dyDescent="0.3">
      <c r="A77" s="26" t="s">
        <v>76</v>
      </c>
      <c r="B77" s="1">
        <v>186</v>
      </c>
      <c r="C77" s="49" t="s">
        <v>191</v>
      </c>
      <c r="D77" s="15">
        <f t="shared" si="50"/>
        <v>24906</v>
      </c>
      <c r="E77" s="3">
        <v>55</v>
      </c>
      <c r="F77" s="48">
        <v>24831</v>
      </c>
      <c r="G77" s="48">
        <v>20</v>
      </c>
      <c r="H77" s="16">
        <f t="shared" si="51"/>
        <v>8347</v>
      </c>
      <c r="I77" s="48">
        <v>648</v>
      </c>
      <c r="J77" s="3">
        <v>7685</v>
      </c>
      <c r="K77" s="52">
        <v>14</v>
      </c>
      <c r="L77" s="17" t="s">
        <v>77</v>
      </c>
      <c r="M77" s="18"/>
      <c r="N77" s="18"/>
      <c r="O77" s="11"/>
    </row>
    <row r="78" spans="1:15" x14ac:dyDescent="0.3">
      <c r="A78" s="26" t="s">
        <v>78</v>
      </c>
      <c r="B78" s="1">
        <v>3122</v>
      </c>
      <c r="C78" s="49" t="s">
        <v>191</v>
      </c>
      <c r="D78" s="15">
        <f t="shared" si="50"/>
        <v>22355</v>
      </c>
      <c r="E78" s="3">
        <v>385</v>
      </c>
      <c r="F78" s="48">
        <v>21970</v>
      </c>
      <c r="G78" s="49" t="s">
        <v>191</v>
      </c>
      <c r="H78" s="16">
        <f t="shared" si="51"/>
        <v>17069</v>
      </c>
      <c r="I78" s="48">
        <v>679</v>
      </c>
      <c r="J78" s="3">
        <v>16240</v>
      </c>
      <c r="K78" s="52">
        <v>150</v>
      </c>
      <c r="L78" s="17" t="s">
        <v>79</v>
      </c>
      <c r="M78" s="18"/>
      <c r="N78" s="18"/>
      <c r="O78" s="11"/>
    </row>
    <row r="79" spans="1:15" x14ac:dyDescent="0.3">
      <c r="A79" s="26" t="s">
        <v>80</v>
      </c>
      <c r="B79" s="1" t="s">
        <v>191</v>
      </c>
      <c r="C79" s="49" t="s">
        <v>191</v>
      </c>
      <c r="D79" s="15">
        <f t="shared" si="50"/>
        <v>0</v>
      </c>
      <c r="E79" s="3" t="s">
        <v>191</v>
      </c>
      <c r="F79" s="48" t="s">
        <v>191</v>
      </c>
      <c r="G79" s="49" t="s">
        <v>191</v>
      </c>
      <c r="H79" s="16">
        <f t="shared" si="51"/>
        <v>0</v>
      </c>
      <c r="I79" s="48" t="s">
        <v>191</v>
      </c>
      <c r="J79" s="3" t="s">
        <v>191</v>
      </c>
      <c r="K79" s="52" t="s">
        <v>191</v>
      </c>
      <c r="L79" s="17" t="s">
        <v>81</v>
      </c>
      <c r="M79" s="18"/>
      <c r="N79" s="18"/>
      <c r="O79" s="11"/>
    </row>
    <row r="80" spans="1:15" x14ac:dyDescent="0.3">
      <c r="A80" s="26" t="s">
        <v>82</v>
      </c>
      <c r="B80" s="1">
        <v>184</v>
      </c>
      <c r="C80" s="49" t="s">
        <v>191</v>
      </c>
      <c r="D80" s="15">
        <f t="shared" si="50"/>
        <v>9195</v>
      </c>
      <c r="E80" s="3">
        <v>375</v>
      </c>
      <c r="F80" s="48">
        <v>8820</v>
      </c>
      <c r="G80" s="49" t="s">
        <v>191</v>
      </c>
      <c r="H80" s="16">
        <f t="shared" si="51"/>
        <v>6869</v>
      </c>
      <c r="I80" s="48">
        <v>479</v>
      </c>
      <c r="J80" s="3">
        <v>6390</v>
      </c>
      <c r="K80" s="52" t="s">
        <v>191</v>
      </c>
      <c r="L80" s="17" t="s">
        <v>83</v>
      </c>
      <c r="M80" s="18"/>
      <c r="N80" s="18"/>
      <c r="O80" s="11"/>
    </row>
    <row r="81" spans="1:15" x14ac:dyDescent="0.3">
      <c r="A81" s="91" t="s">
        <v>84</v>
      </c>
      <c r="B81" s="92">
        <f>SUM(B83:B87)</f>
        <v>346</v>
      </c>
      <c r="C81" s="84">
        <f t="shared" ref="C81" si="52">SUM(C83:C87)</f>
        <v>0</v>
      </c>
      <c r="D81" s="84">
        <f>SUM(D83:D87)</f>
        <v>412650</v>
      </c>
      <c r="E81" s="85">
        <f>SUM(E83:E87)</f>
        <v>4783</v>
      </c>
      <c r="F81" s="84">
        <f t="shared" ref="F81:H81" si="53">SUM(F83:F87)</f>
        <v>407472</v>
      </c>
      <c r="G81" s="85">
        <f t="shared" si="53"/>
        <v>395</v>
      </c>
      <c r="H81" s="84">
        <f t="shared" si="53"/>
        <v>82297</v>
      </c>
      <c r="I81" s="85">
        <f t="shared" ref="I81:K81" si="54">SUM(I83:I87)</f>
        <v>7264</v>
      </c>
      <c r="J81" s="84">
        <f t="shared" si="54"/>
        <v>64213</v>
      </c>
      <c r="K81" s="88">
        <f t="shared" si="54"/>
        <v>10820</v>
      </c>
      <c r="L81" s="83" t="s">
        <v>85</v>
      </c>
      <c r="M81" s="83"/>
      <c r="N81" s="83"/>
      <c r="O81" s="11"/>
    </row>
    <row r="82" spans="1:15" x14ac:dyDescent="0.3">
      <c r="A82" s="91"/>
      <c r="B82" s="92"/>
      <c r="C82" s="84"/>
      <c r="D82" s="84"/>
      <c r="E82" s="85"/>
      <c r="F82" s="84"/>
      <c r="G82" s="85"/>
      <c r="H82" s="84"/>
      <c r="I82" s="85"/>
      <c r="J82" s="84"/>
      <c r="K82" s="88"/>
      <c r="L82" s="83"/>
      <c r="M82" s="83"/>
      <c r="N82" s="83"/>
      <c r="O82" s="11"/>
    </row>
    <row r="83" spans="1:15" x14ac:dyDescent="0.3">
      <c r="A83" s="12" t="s">
        <v>156</v>
      </c>
      <c r="B83" s="1">
        <v>12</v>
      </c>
      <c r="C83" s="2" t="s">
        <v>191</v>
      </c>
      <c r="D83" s="15">
        <f t="shared" ref="D83:D87" si="55">SUM(E83:G83)</f>
        <v>344605</v>
      </c>
      <c r="E83" s="3">
        <v>3575</v>
      </c>
      <c r="F83" s="48">
        <v>341030</v>
      </c>
      <c r="G83" s="49" t="s">
        <v>191</v>
      </c>
      <c r="H83" s="16">
        <f t="shared" ref="H83:H87" si="56">SUM(I83:K83)</f>
        <v>28891</v>
      </c>
      <c r="I83" s="48">
        <v>3983</v>
      </c>
      <c r="J83" s="3">
        <v>24908</v>
      </c>
      <c r="K83" s="52" t="s">
        <v>191</v>
      </c>
      <c r="L83" s="17" t="s">
        <v>86</v>
      </c>
      <c r="M83" s="18"/>
      <c r="N83" s="18"/>
      <c r="O83" s="11"/>
    </row>
    <row r="84" spans="1:15" x14ac:dyDescent="0.3">
      <c r="A84" s="12" t="s">
        <v>157</v>
      </c>
      <c r="B84" s="1">
        <v>20</v>
      </c>
      <c r="C84" s="2" t="s">
        <v>191</v>
      </c>
      <c r="D84" s="15">
        <f t="shared" si="55"/>
        <v>1975</v>
      </c>
      <c r="E84" s="3">
        <v>655</v>
      </c>
      <c r="F84" s="48">
        <v>1320</v>
      </c>
      <c r="G84" s="49" t="s">
        <v>191</v>
      </c>
      <c r="H84" s="16">
        <f t="shared" si="56"/>
        <v>14155</v>
      </c>
      <c r="I84" s="48">
        <v>2355</v>
      </c>
      <c r="J84" s="3">
        <v>11800</v>
      </c>
      <c r="K84" s="52" t="s">
        <v>191</v>
      </c>
      <c r="L84" s="17" t="s">
        <v>87</v>
      </c>
      <c r="M84" s="18"/>
      <c r="N84" s="18"/>
      <c r="O84" s="11"/>
    </row>
    <row r="85" spans="1:15" x14ac:dyDescent="0.3">
      <c r="A85" s="12" t="s">
        <v>158</v>
      </c>
      <c r="B85" s="1">
        <v>4</v>
      </c>
      <c r="C85" s="2" t="s">
        <v>191</v>
      </c>
      <c r="D85" s="15">
        <f t="shared" si="55"/>
        <v>63600</v>
      </c>
      <c r="E85" s="3">
        <v>388</v>
      </c>
      <c r="F85" s="48">
        <v>63212</v>
      </c>
      <c r="G85" s="49" t="s">
        <v>191</v>
      </c>
      <c r="H85" s="16">
        <f t="shared" si="56"/>
        <v>10946</v>
      </c>
      <c r="I85" s="48">
        <v>350</v>
      </c>
      <c r="J85" s="3">
        <v>10596</v>
      </c>
      <c r="K85" s="52" t="s">
        <v>191</v>
      </c>
      <c r="L85" s="17" t="s">
        <v>88</v>
      </c>
      <c r="M85" s="18"/>
      <c r="N85" s="18"/>
      <c r="O85" s="11"/>
    </row>
    <row r="86" spans="1:15" x14ac:dyDescent="0.3">
      <c r="A86" s="12" t="s">
        <v>159</v>
      </c>
      <c r="B86" s="1">
        <v>34</v>
      </c>
      <c r="C86" s="2" t="s">
        <v>191</v>
      </c>
      <c r="D86" s="15">
        <f t="shared" si="55"/>
        <v>686</v>
      </c>
      <c r="E86" s="3">
        <v>100</v>
      </c>
      <c r="F86" s="48">
        <v>586</v>
      </c>
      <c r="G86" s="49" t="s">
        <v>191</v>
      </c>
      <c r="H86" s="16">
        <f t="shared" si="56"/>
        <v>3309</v>
      </c>
      <c r="I86" s="48">
        <v>100</v>
      </c>
      <c r="J86" s="3">
        <v>3209</v>
      </c>
      <c r="K86" s="52" t="s">
        <v>191</v>
      </c>
      <c r="L86" s="17" t="s">
        <v>89</v>
      </c>
      <c r="M86" s="18"/>
      <c r="N86" s="18"/>
      <c r="O86" s="11"/>
    </row>
    <row r="87" spans="1:15" x14ac:dyDescent="0.3">
      <c r="A87" s="12" t="s">
        <v>160</v>
      </c>
      <c r="B87" s="1">
        <v>276</v>
      </c>
      <c r="C87" s="2" t="s">
        <v>191</v>
      </c>
      <c r="D87" s="15">
        <f t="shared" si="55"/>
        <v>1784</v>
      </c>
      <c r="E87" s="3">
        <v>65</v>
      </c>
      <c r="F87" s="48">
        <v>1324</v>
      </c>
      <c r="G87" s="48">
        <v>395</v>
      </c>
      <c r="H87" s="16">
        <f t="shared" si="56"/>
        <v>24996</v>
      </c>
      <c r="I87" s="48">
        <v>476</v>
      </c>
      <c r="J87" s="3">
        <v>13700</v>
      </c>
      <c r="K87" s="52">
        <v>10820</v>
      </c>
      <c r="L87" s="17" t="s">
        <v>90</v>
      </c>
      <c r="M87" s="18"/>
      <c r="N87" s="18"/>
      <c r="O87" s="11"/>
    </row>
    <row r="88" spans="1:15" x14ac:dyDescent="0.3">
      <c r="A88" s="91" t="s">
        <v>91</v>
      </c>
      <c r="B88" s="92">
        <f>SUM(B90:B102)</f>
        <v>4368</v>
      </c>
      <c r="C88" s="84">
        <f t="shared" ref="C88" si="57">SUM(C90:C102)</f>
        <v>0</v>
      </c>
      <c r="D88" s="84">
        <f>SUM(D90:D102)</f>
        <v>107103</v>
      </c>
      <c r="E88" s="85">
        <f>SUM(E90:E102)</f>
        <v>6657</v>
      </c>
      <c r="F88" s="84">
        <f t="shared" ref="F88:H88" si="58">SUM(F90:F102)</f>
        <v>100446</v>
      </c>
      <c r="G88" s="85">
        <f t="shared" si="58"/>
        <v>0</v>
      </c>
      <c r="H88" s="84">
        <f t="shared" si="58"/>
        <v>148222</v>
      </c>
      <c r="I88" s="85">
        <f t="shared" ref="I88:K88" si="59">SUM(I90:I102)</f>
        <v>13680</v>
      </c>
      <c r="J88" s="84">
        <f t="shared" si="59"/>
        <v>134542</v>
      </c>
      <c r="K88" s="88">
        <f t="shared" si="59"/>
        <v>0</v>
      </c>
      <c r="L88" s="83" t="s">
        <v>92</v>
      </c>
      <c r="M88" s="83"/>
      <c r="N88" s="83"/>
      <c r="O88" s="11"/>
    </row>
    <row r="89" spans="1:15" x14ac:dyDescent="0.3">
      <c r="A89" s="91"/>
      <c r="B89" s="92"/>
      <c r="C89" s="84"/>
      <c r="D89" s="84"/>
      <c r="E89" s="85"/>
      <c r="F89" s="84"/>
      <c r="G89" s="85"/>
      <c r="H89" s="84"/>
      <c r="I89" s="85"/>
      <c r="J89" s="84"/>
      <c r="K89" s="88"/>
      <c r="L89" s="83"/>
      <c r="M89" s="83"/>
      <c r="N89" s="83"/>
      <c r="O89" s="11"/>
    </row>
    <row r="90" spans="1:15" x14ac:dyDescent="0.3">
      <c r="A90" s="12" t="s">
        <v>161</v>
      </c>
      <c r="B90" s="1">
        <v>209</v>
      </c>
      <c r="C90" s="2" t="s">
        <v>191</v>
      </c>
      <c r="D90" s="15">
        <f t="shared" ref="D90:D102" si="60">SUM(E90:G90)</f>
        <v>1562</v>
      </c>
      <c r="E90" s="3">
        <v>352</v>
      </c>
      <c r="F90" s="48">
        <v>1210</v>
      </c>
      <c r="G90" s="49" t="s">
        <v>191</v>
      </c>
      <c r="H90" s="16">
        <f t="shared" ref="H90:H102" si="61">SUM(I90:K90)</f>
        <v>1543</v>
      </c>
      <c r="I90" s="48">
        <v>743</v>
      </c>
      <c r="J90" s="3">
        <v>800</v>
      </c>
      <c r="K90" s="52" t="s">
        <v>191</v>
      </c>
      <c r="L90" s="17" t="s">
        <v>93</v>
      </c>
      <c r="M90" s="18"/>
      <c r="N90" s="18"/>
      <c r="O90" s="11"/>
    </row>
    <row r="91" spans="1:15" x14ac:dyDescent="0.3">
      <c r="A91" s="12" t="s">
        <v>162</v>
      </c>
      <c r="B91" s="1">
        <v>127</v>
      </c>
      <c r="C91" s="2" t="s">
        <v>191</v>
      </c>
      <c r="D91" s="15">
        <f t="shared" si="60"/>
        <v>970</v>
      </c>
      <c r="E91" s="3">
        <v>140</v>
      </c>
      <c r="F91" s="48">
        <v>830</v>
      </c>
      <c r="G91" s="49" t="s">
        <v>191</v>
      </c>
      <c r="H91" s="16">
        <f t="shared" si="61"/>
        <v>7746</v>
      </c>
      <c r="I91" s="48">
        <v>226</v>
      </c>
      <c r="J91" s="3">
        <v>7520</v>
      </c>
      <c r="K91" s="52" t="s">
        <v>191</v>
      </c>
      <c r="L91" s="17" t="s">
        <v>94</v>
      </c>
      <c r="M91" s="18"/>
      <c r="N91" s="18"/>
      <c r="O91" s="11"/>
    </row>
    <row r="92" spans="1:15" x14ac:dyDescent="0.3">
      <c r="A92" s="12" t="s">
        <v>163</v>
      </c>
      <c r="B92" s="1">
        <v>60</v>
      </c>
      <c r="C92" s="2" t="s">
        <v>191</v>
      </c>
      <c r="D92" s="15">
        <f t="shared" si="60"/>
        <v>1347</v>
      </c>
      <c r="E92" s="3">
        <v>361</v>
      </c>
      <c r="F92" s="48">
        <v>986</v>
      </c>
      <c r="G92" s="49" t="s">
        <v>191</v>
      </c>
      <c r="H92" s="16">
        <f t="shared" si="61"/>
        <v>5155</v>
      </c>
      <c r="I92" s="48">
        <v>1687</v>
      </c>
      <c r="J92" s="3">
        <v>3468</v>
      </c>
      <c r="K92" s="52" t="s">
        <v>191</v>
      </c>
      <c r="L92" s="17" t="s">
        <v>95</v>
      </c>
      <c r="M92" s="18"/>
      <c r="N92" s="18"/>
      <c r="O92" s="11"/>
    </row>
    <row r="93" spans="1:15" x14ac:dyDescent="0.3">
      <c r="A93" s="12" t="s">
        <v>164</v>
      </c>
      <c r="B93" s="1">
        <v>187</v>
      </c>
      <c r="C93" s="2" t="s">
        <v>191</v>
      </c>
      <c r="D93" s="15">
        <f t="shared" si="60"/>
        <v>6287</v>
      </c>
      <c r="E93" s="3">
        <v>367</v>
      </c>
      <c r="F93" s="48">
        <v>5920</v>
      </c>
      <c r="G93" s="49" t="s">
        <v>191</v>
      </c>
      <c r="H93" s="16">
        <f t="shared" si="61"/>
        <v>11824</v>
      </c>
      <c r="I93" s="48">
        <v>744</v>
      </c>
      <c r="J93" s="3">
        <v>11080</v>
      </c>
      <c r="K93" s="52" t="s">
        <v>191</v>
      </c>
      <c r="L93" s="17" t="s">
        <v>96</v>
      </c>
      <c r="M93" s="18"/>
      <c r="N93" s="18"/>
      <c r="O93" s="11"/>
    </row>
    <row r="94" spans="1:15" x14ac:dyDescent="0.3">
      <c r="A94" s="12" t="s">
        <v>165</v>
      </c>
      <c r="B94" s="1">
        <v>7</v>
      </c>
      <c r="C94" s="2" t="s">
        <v>191</v>
      </c>
      <c r="D94" s="15">
        <f t="shared" si="60"/>
        <v>3840</v>
      </c>
      <c r="E94" s="2">
        <v>1090</v>
      </c>
      <c r="F94" s="48">
        <v>2750</v>
      </c>
      <c r="G94" s="49" t="s">
        <v>191</v>
      </c>
      <c r="H94" s="16">
        <f t="shared" si="61"/>
        <v>4388</v>
      </c>
      <c r="I94" s="48">
        <v>806</v>
      </c>
      <c r="J94" s="3">
        <v>3582</v>
      </c>
      <c r="K94" s="52" t="s">
        <v>191</v>
      </c>
      <c r="L94" s="17" t="s">
        <v>97</v>
      </c>
      <c r="M94" s="18"/>
      <c r="N94" s="18"/>
      <c r="O94" s="11"/>
    </row>
    <row r="95" spans="1:15" x14ac:dyDescent="0.3">
      <c r="A95" s="12" t="s">
        <v>166</v>
      </c>
      <c r="B95" s="1">
        <v>43</v>
      </c>
      <c r="C95" s="2" t="s">
        <v>191</v>
      </c>
      <c r="D95" s="15">
        <f t="shared" si="60"/>
        <v>8412</v>
      </c>
      <c r="E95" s="3">
        <v>433</v>
      </c>
      <c r="F95" s="48">
        <v>7979</v>
      </c>
      <c r="G95" s="49" t="s">
        <v>191</v>
      </c>
      <c r="H95" s="16">
        <f t="shared" si="61"/>
        <v>7926</v>
      </c>
      <c r="I95" s="48">
        <v>431</v>
      </c>
      <c r="J95" s="3">
        <v>7495</v>
      </c>
      <c r="K95" s="52" t="s">
        <v>191</v>
      </c>
      <c r="L95" s="17" t="s">
        <v>98</v>
      </c>
      <c r="M95" s="18"/>
      <c r="N95" s="18"/>
      <c r="O95" s="11"/>
    </row>
    <row r="96" spans="1:15" x14ac:dyDescent="0.3">
      <c r="A96" s="12" t="s">
        <v>167</v>
      </c>
      <c r="B96" s="1">
        <v>533</v>
      </c>
      <c r="C96" s="2" t="s">
        <v>191</v>
      </c>
      <c r="D96" s="15">
        <f t="shared" si="60"/>
        <v>11809</v>
      </c>
      <c r="E96" s="3">
        <v>1060</v>
      </c>
      <c r="F96" s="48">
        <v>10749</v>
      </c>
      <c r="G96" s="49" t="s">
        <v>191</v>
      </c>
      <c r="H96" s="16">
        <f t="shared" si="61"/>
        <v>11145</v>
      </c>
      <c r="I96" s="48">
        <v>1075</v>
      </c>
      <c r="J96" s="3">
        <v>10070</v>
      </c>
      <c r="K96" s="52" t="s">
        <v>191</v>
      </c>
      <c r="L96" s="17" t="s">
        <v>99</v>
      </c>
      <c r="M96" s="18"/>
      <c r="N96" s="18"/>
      <c r="O96" s="11"/>
    </row>
    <row r="97" spans="1:15" x14ac:dyDescent="0.3">
      <c r="A97" s="12" t="s">
        <v>168</v>
      </c>
      <c r="B97" s="1">
        <v>41</v>
      </c>
      <c r="C97" s="2" t="s">
        <v>191</v>
      </c>
      <c r="D97" s="15">
        <f t="shared" si="60"/>
        <v>1882</v>
      </c>
      <c r="E97" s="3">
        <v>386</v>
      </c>
      <c r="F97" s="48">
        <v>1496</v>
      </c>
      <c r="G97" s="49" t="s">
        <v>191</v>
      </c>
      <c r="H97" s="16">
        <f t="shared" si="61"/>
        <v>8371</v>
      </c>
      <c r="I97" s="48">
        <v>825</v>
      </c>
      <c r="J97" s="3">
        <v>7546</v>
      </c>
      <c r="K97" s="52" t="s">
        <v>191</v>
      </c>
      <c r="L97" s="17" t="s">
        <v>100</v>
      </c>
      <c r="M97" s="18"/>
      <c r="N97" s="18"/>
      <c r="O97" s="11"/>
    </row>
    <row r="98" spans="1:15" x14ac:dyDescent="0.3">
      <c r="A98" s="12" t="s">
        <v>169</v>
      </c>
      <c r="B98" s="1">
        <v>225</v>
      </c>
      <c r="C98" s="2" t="s">
        <v>191</v>
      </c>
      <c r="D98" s="15">
        <f t="shared" si="60"/>
        <v>1175</v>
      </c>
      <c r="E98" s="3">
        <v>95</v>
      </c>
      <c r="F98" s="48">
        <v>1080</v>
      </c>
      <c r="G98" s="49" t="s">
        <v>191</v>
      </c>
      <c r="H98" s="16">
        <f t="shared" si="61"/>
        <v>2521</v>
      </c>
      <c r="I98" s="48">
        <v>207</v>
      </c>
      <c r="J98" s="3">
        <v>2314</v>
      </c>
      <c r="K98" s="52" t="s">
        <v>191</v>
      </c>
      <c r="L98" s="17" t="s">
        <v>101</v>
      </c>
      <c r="M98" s="18"/>
      <c r="N98" s="18"/>
      <c r="O98" s="11"/>
    </row>
    <row r="99" spans="1:15" x14ac:dyDescent="0.3">
      <c r="A99" s="12" t="s">
        <v>170</v>
      </c>
      <c r="B99" s="1">
        <v>2452</v>
      </c>
      <c r="C99" s="2" t="s">
        <v>191</v>
      </c>
      <c r="D99" s="15">
        <f t="shared" si="60"/>
        <v>50617</v>
      </c>
      <c r="E99" s="3">
        <v>1040</v>
      </c>
      <c r="F99" s="48">
        <v>49577</v>
      </c>
      <c r="G99" s="49" t="s">
        <v>191</v>
      </c>
      <c r="H99" s="16">
        <f t="shared" si="61"/>
        <v>49793</v>
      </c>
      <c r="I99" s="48">
        <v>3493</v>
      </c>
      <c r="J99" s="3">
        <v>46300</v>
      </c>
      <c r="K99" s="52" t="s">
        <v>191</v>
      </c>
      <c r="L99" s="17" t="s">
        <v>102</v>
      </c>
      <c r="M99" s="18"/>
      <c r="N99" s="18"/>
      <c r="O99" s="11"/>
    </row>
    <row r="100" spans="1:15" x14ac:dyDescent="0.3">
      <c r="A100" s="12" t="s">
        <v>171</v>
      </c>
      <c r="B100" s="1">
        <v>96</v>
      </c>
      <c r="C100" s="2" t="s">
        <v>191</v>
      </c>
      <c r="D100" s="15">
        <f t="shared" si="60"/>
        <v>1959</v>
      </c>
      <c r="E100" s="3">
        <v>213</v>
      </c>
      <c r="F100" s="48">
        <v>1746</v>
      </c>
      <c r="G100" s="49" t="s">
        <v>191</v>
      </c>
      <c r="H100" s="16">
        <f t="shared" si="61"/>
        <v>2134</v>
      </c>
      <c r="I100" s="48">
        <v>565</v>
      </c>
      <c r="J100" s="3">
        <v>1569</v>
      </c>
      <c r="K100" s="52" t="s">
        <v>191</v>
      </c>
      <c r="L100" s="17" t="s">
        <v>103</v>
      </c>
      <c r="M100" s="18"/>
      <c r="N100" s="18"/>
      <c r="O100" s="11"/>
    </row>
    <row r="101" spans="1:15" x14ac:dyDescent="0.3">
      <c r="A101" s="12" t="s">
        <v>172</v>
      </c>
      <c r="B101" s="1">
        <v>339</v>
      </c>
      <c r="C101" s="2" t="s">
        <v>191</v>
      </c>
      <c r="D101" s="15">
        <f t="shared" si="60"/>
        <v>12233</v>
      </c>
      <c r="E101" s="3">
        <v>1120</v>
      </c>
      <c r="F101" s="48">
        <v>11113</v>
      </c>
      <c r="G101" s="49" t="s">
        <v>191</v>
      </c>
      <c r="H101" s="16">
        <f t="shared" si="61"/>
        <v>30586</v>
      </c>
      <c r="I101" s="48">
        <v>2878</v>
      </c>
      <c r="J101" s="3">
        <v>27708</v>
      </c>
      <c r="K101" s="52" t="s">
        <v>191</v>
      </c>
      <c r="L101" s="17" t="s">
        <v>104</v>
      </c>
      <c r="M101" s="18"/>
      <c r="N101" s="18"/>
      <c r="O101" s="11"/>
    </row>
    <row r="102" spans="1:15" x14ac:dyDescent="0.3">
      <c r="A102" s="12" t="s">
        <v>173</v>
      </c>
      <c r="B102" s="1">
        <v>49</v>
      </c>
      <c r="C102" s="2" t="s">
        <v>191</v>
      </c>
      <c r="D102" s="15">
        <f t="shared" si="60"/>
        <v>5010</v>
      </c>
      <c r="E102" s="2" t="s">
        <v>191</v>
      </c>
      <c r="F102" s="48">
        <v>5010</v>
      </c>
      <c r="G102" s="49" t="s">
        <v>191</v>
      </c>
      <c r="H102" s="16">
        <f t="shared" si="61"/>
        <v>5090</v>
      </c>
      <c r="I102" s="48" t="s">
        <v>191</v>
      </c>
      <c r="J102" s="3">
        <v>5090</v>
      </c>
      <c r="K102" s="52" t="s">
        <v>191</v>
      </c>
      <c r="L102" s="17" t="s">
        <v>105</v>
      </c>
      <c r="M102" s="18"/>
      <c r="N102" s="18"/>
      <c r="O102" s="11"/>
    </row>
    <row r="103" spans="1:15" x14ac:dyDescent="0.3">
      <c r="A103" s="91" t="s">
        <v>106</v>
      </c>
      <c r="B103" s="92">
        <f>SUM(B105:B108)</f>
        <v>248</v>
      </c>
      <c r="C103" s="84">
        <f t="shared" ref="C103" si="62">SUM(C105:C108)</f>
        <v>2</v>
      </c>
      <c r="D103" s="84">
        <f>SUM(D105:D108)</f>
        <v>1096017</v>
      </c>
      <c r="E103" s="85">
        <f>SUM(E105:E108)</f>
        <v>41625</v>
      </c>
      <c r="F103" s="84">
        <f t="shared" ref="F103:H103" si="63">SUM(F105:F108)</f>
        <v>1021520</v>
      </c>
      <c r="G103" s="85">
        <f t="shared" si="63"/>
        <v>32872</v>
      </c>
      <c r="H103" s="84">
        <f t="shared" si="63"/>
        <v>358459</v>
      </c>
      <c r="I103" s="85">
        <f t="shared" ref="I103:K103" si="64">SUM(I105:I108)</f>
        <v>33409</v>
      </c>
      <c r="J103" s="84">
        <f t="shared" si="64"/>
        <v>313399</v>
      </c>
      <c r="K103" s="88">
        <f t="shared" si="64"/>
        <v>11651</v>
      </c>
      <c r="L103" s="83" t="s">
        <v>107</v>
      </c>
      <c r="M103" s="83"/>
      <c r="N103" s="83"/>
      <c r="O103" s="11"/>
    </row>
    <row r="104" spans="1:15" x14ac:dyDescent="0.3">
      <c r="A104" s="91"/>
      <c r="B104" s="92"/>
      <c r="C104" s="84"/>
      <c r="D104" s="84"/>
      <c r="E104" s="85"/>
      <c r="F104" s="84"/>
      <c r="G104" s="85"/>
      <c r="H104" s="84"/>
      <c r="I104" s="85"/>
      <c r="J104" s="84"/>
      <c r="K104" s="88"/>
      <c r="L104" s="83"/>
      <c r="M104" s="83"/>
      <c r="N104" s="83"/>
      <c r="O104" s="11"/>
    </row>
    <row r="105" spans="1:15" x14ac:dyDescent="0.3">
      <c r="A105" s="12" t="s">
        <v>174</v>
      </c>
      <c r="B105" s="1">
        <v>96</v>
      </c>
      <c r="C105" s="2" t="s">
        <v>191</v>
      </c>
      <c r="D105" s="15">
        <f t="shared" ref="D105:D108" si="65">SUM(E105:G105)</f>
        <v>364888</v>
      </c>
      <c r="E105" s="3">
        <v>10351</v>
      </c>
      <c r="F105" s="48">
        <v>345605</v>
      </c>
      <c r="G105" s="48">
        <v>8932</v>
      </c>
      <c r="H105" s="16">
        <f t="shared" ref="H105:H108" si="66">SUM(I105:K105)</f>
        <v>128556</v>
      </c>
      <c r="I105" s="48">
        <v>13999</v>
      </c>
      <c r="J105" s="3">
        <v>113832</v>
      </c>
      <c r="K105" s="52">
        <v>725</v>
      </c>
      <c r="L105" s="17" t="s">
        <v>108</v>
      </c>
      <c r="M105" s="18"/>
      <c r="N105" s="18"/>
      <c r="O105" s="11"/>
    </row>
    <row r="106" spans="1:15" x14ac:dyDescent="0.3">
      <c r="A106" s="12" t="s">
        <v>175</v>
      </c>
      <c r="B106" s="45">
        <v>3</v>
      </c>
      <c r="C106" s="2" t="s">
        <v>191</v>
      </c>
      <c r="D106" s="15">
        <f t="shared" si="65"/>
        <v>70583</v>
      </c>
      <c r="E106" s="3">
        <v>1900</v>
      </c>
      <c r="F106" s="49">
        <v>55381</v>
      </c>
      <c r="G106" s="48">
        <v>13302</v>
      </c>
      <c r="H106" s="16">
        <f t="shared" si="66"/>
        <v>49512</v>
      </c>
      <c r="I106" s="49">
        <v>1430</v>
      </c>
      <c r="J106" s="3">
        <v>42152</v>
      </c>
      <c r="K106" s="53">
        <v>5930</v>
      </c>
      <c r="L106" s="17" t="s">
        <v>109</v>
      </c>
      <c r="M106" s="18"/>
      <c r="N106" s="18"/>
      <c r="O106" s="11"/>
    </row>
    <row r="107" spans="1:15" x14ac:dyDescent="0.3">
      <c r="A107" s="12" t="s">
        <v>176</v>
      </c>
      <c r="B107" s="1">
        <v>115</v>
      </c>
      <c r="C107" s="2">
        <v>2</v>
      </c>
      <c r="D107" s="15">
        <f t="shared" si="65"/>
        <v>468555</v>
      </c>
      <c r="E107" s="3">
        <v>7178</v>
      </c>
      <c r="F107" s="48">
        <v>453427</v>
      </c>
      <c r="G107" s="48">
        <v>7950</v>
      </c>
      <c r="H107" s="16">
        <f t="shared" si="66"/>
        <v>89374</v>
      </c>
      <c r="I107" s="48">
        <v>5196</v>
      </c>
      <c r="J107" s="3">
        <v>80883</v>
      </c>
      <c r="K107" s="52">
        <v>3295</v>
      </c>
      <c r="L107" s="17" t="s">
        <v>110</v>
      </c>
      <c r="M107" s="18"/>
      <c r="N107" s="18"/>
      <c r="O107" s="11"/>
    </row>
    <row r="108" spans="1:15" ht="15" thickBot="1" x14ac:dyDescent="0.35">
      <c r="A108" s="27" t="s">
        <v>177</v>
      </c>
      <c r="B108" s="46">
        <v>34</v>
      </c>
      <c r="C108" s="47" t="s">
        <v>191</v>
      </c>
      <c r="D108" s="28">
        <f t="shared" si="65"/>
        <v>191991</v>
      </c>
      <c r="E108" s="50">
        <v>22196</v>
      </c>
      <c r="F108" s="51">
        <v>167107</v>
      </c>
      <c r="G108" s="51">
        <v>2688</v>
      </c>
      <c r="H108" s="29">
        <f t="shared" si="66"/>
        <v>91017</v>
      </c>
      <c r="I108" s="51">
        <v>12784</v>
      </c>
      <c r="J108" s="50">
        <v>76532</v>
      </c>
      <c r="K108" s="54">
        <v>1701</v>
      </c>
      <c r="L108" s="30" t="s">
        <v>111</v>
      </c>
      <c r="M108" s="31"/>
      <c r="N108" s="31"/>
      <c r="O108" s="11"/>
    </row>
    <row r="109" spans="1:15" x14ac:dyDescent="0.3">
      <c r="A109" s="32"/>
      <c r="B109" s="33"/>
      <c r="C109" s="33"/>
      <c r="M109" s="93"/>
      <c r="N109" s="93"/>
    </row>
    <row r="110" spans="1:15" x14ac:dyDescent="0.3">
      <c r="A110" s="33"/>
      <c r="B110" s="33"/>
      <c r="C110" s="33"/>
      <c r="L110" s="33"/>
      <c r="M110" s="33"/>
      <c r="N110" s="33"/>
    </row>
    <row r="111" spans="1:15" x14ac:dyDescent="0.3">
      <c r="A111" s="34"/>
      <c r="B111" s="34"/>
      <c r="C111" s="34"/>
      <c r="D111" s="35"/>
      <c r="E111" s="35"/>
      <c r="F111" s="35"/>
      <c r="G111" s="35"/>
      <c r="L111" s="35"/>
      <c r="M111" s="35"/>
      <c r="N111" s="35"/>
    </row>
    <row r="112" spans="1:15" x14ac:dyDescent="0.3">
      <c r="A112" s="34"/>
      <c r="B112" s="34"/>
      <c r="C112" s="34"/>
      <c r="D112" s="35"/>
      <c r="E112" s="35"/>
      <c r="F112" s="35"/>
      <c r="G112" s="35"/>
      <c r="L112" s="35"/>
      <c r="M112" s="35"/>
      <c r="N112" s="35"/>
    </row>
    <row r="113" spans="1:14" x14ac:dyDescent="0.3">
      <c r="A113" s="94"/>
      <c r="B113" s="94"/>
      <c r="C113" s="94"/>
      <c r="D113" s="94"/>
      <c r="E113" s="94"/>
      <c r="F113" s="94"/>
      <c r="G113" s="94"/>
      <c r="J113" s="2" t="s">
        <v>191</v>
      </c>
      <c r="L113" s="94"/>
      <c r="M113" s="94"/>
      <c r="N113" s="94"/>
    </row>
    <row r="114" spans="1:14" x14ac:dyDescent="0.3">
      <c r="A114" s="94"/>
      <c r="B114" s="94"/>
      <c r="C114" s="94"/>
      <c r="D114" s="94"/>
      <c r="E114" s="94"/>
      <c r="F114" s="94"/>
      <c r="G114" s="94"/>
      <c r="L114" s="94"/>
      <c r="M114" s="94"/>
      <c r="N114" s="94"/>
    </row>
    <row r="115" spans="1:14" x14ac:dyDescent="0.3">
      <c r="A115" s="11"/>
      <c r="B115" s="11"/>
      <c r="C115" s="11"/>
    </row>
    <row r="116" spans="1:14" x14ac:dyDescent="0.3">
      <c r="A116" s="11"/>
      <c r="B116" s="11"/>
      <c r="C116" s="11"/>
    </row>
    <row r="117" spans="1:14" x14ac:dyDescent="0.3">
      <c r="A117" s="11"/>
      <c r="B117" s="11"/>
      <c r="C117" s="11"/>
    </row>
    <row r="118" spans="1:14" x14ac:dyDescent="0.3">
      <c r="A118" s="11"/>
      <c r="B118" s="11"/>
      <c r="C118" s="11"/>
    </row>
    <row r="119" spans="1:14" x14ac:dyDescent="0.3">
      <c r="A119" s="11"/>
      <c r="B119" s="11"/>
      <c r="C119" s="11"/>
    </row>
    <row r="120" spans="1:14" x14ac:dyDescent="0.3">
      <c r="A120" s="11"/>
      <c r="B120" s="11"/>
      <c r="C120" s="11"/>
    </row>
    <row r="121" spans="1:14" x14ac:dyDescent="0.3">
      <c r="A121" s="11"/>
      <c r="B121" s="11"/>
      <c r="C121" s="11"/>
    </row>
    <row r="122" spans="1:14" x14ac:dyDescent="0.3">
      <c r="A122" s="11"/>
      <c r="B122" s="11"/>
      <c r="C122" s="11"/>
    </row>
    <row r="123" spans="1:14" x14ac:dyDescent="0.3">
      <c r="A123" s="36"/>
      <c r="B123" s="36"/>
      <c r="C123" s="36"/>
    </row>
    <row r="124" spans="1:14" s="11" customFormat="1" x14ac:dyDescent="0.3">
      <c r="A124" s="101"/>
      <c r="B124" s="101"/>
      <c r="C124" s="101"/>
      <c r="D124" s="101"/>
      <c r="E124" s="101"/>
      <c r="F124" s="101"/>
      <c r="G124" s="101"/>
      <c r="H124" s="101"/>
      <c r="I124" s="102"/>
      <c r="J124" s="102"/>
      <c r="K124" s="102"/>
    </row>
    <row r="125" spans="1:14" s="11" customFormat="1" x14ac:dyDescent="0.3">
      <c r="A125" s="101"/>
      <c r="B125" s="101"/>
      <c r="C125" s="101"/>
      <c r="D125" s="101"/>
      <c r="E125" s="101"/>
      <c r="F125" s="101"/>
      <c r="G125" s="101"/>
      <c r="H125" s="101"/>
      <c r="I125" s="102"/>
      <c r="J125" s="102"/>
      <c r="K125" s="102"/>
    </row>
    <row r="126" spans="1:14" s="11" customFormat="1" x14ac:dyDescent="0.3">
      <c r="A126" s="101"/>
      <c r="B126" s="101"/>
      <c r="C126" s="101"/>
      <c r="D126" s="101"/>
      <c r="E126" s="101"/>
      <c r="F126" s="101"/>
      <c r="G126" s="101"/>
      <c r="H126" s="101"/>
      <c r="I126" s="102"/>
      <c r="J126" s="102"/>
      <c r="K126" s="102"/>
    </row>
    <row r="127" spans="1:14" s="11" customFormat="1" x14ac:dyDescent="0.3">
      <c r="A127" s="37"/>
      <c r="B127" s="37"/>
      <c r="C127" s="37"/>
      <c r="H127" s="103"/>
      <c r="I127" s="103"/>
      <c r="J127" s="103"/>
      <c r="K127" s="103"/>
    </row>
    <row r="128" spans="1:14" s="11" customFormat="1" x14ac:dyDescent="0.3">
      <c r="A128" s="104"/>
      <c r="B128" s="38"/>
      <c r="C128" s="38"/>
      <c r="D128" s="100"/>
      <c r="E128" s="100"/>
      <c r="F128" s="100"/>
      <c r="G128" s="100"/>
      <c r="H128" s="100"/>
      <c r="I128" s="100"/>
      <c r="J128" s="100"/>
      <c r="K128" s="100"/>
    </row>
    <row r="129" spans="1:11" s="11" customFormat="1" x14ac:dyDescent="0.3">
      <c r="A129" s="104"/>
      <c r="B129" s="38"/>
      <c r="C129" s="38"/>
      <c r="D129" s="100"/>
      <c r="E129" s="100"/>
      <c r="F129" s="100"/>
      <c r="G129" s="100"/>
      <c r="H129" s="100"/>
      <c r="I129" s="100"/>
      <c r="J129" s="100"/>
      <c r="K129" s="100"/>
    </row>
    <row r="130" spans="1:11" s="11" customFormat="1" x14ac:dyDescent="0.3">
      <c r="A130" s="104"/>
      <c r="B130" s="38"/>
      <c r="C130" s="38"/>
      <c r="D130" s="100"/>
      <c r="E130" s="100"/>
      <c r="F130" s="100"/>
      <c r="G130" s="100"/>
      <c r="H130" s="100"/>
      <c r="I130" s="100"/>
      <c r="J130" s="100"/>
      <c r="K130" s="100"/>
    </row>
    <row r="131" spans="1:11" s="11" customFormat="1" x14ac:dyDescent="0.3">
      <c r="A131" s="104"/>
      <c r="B131" s="38"/>
      <c r="C131" s="38"/>
      <c r="D131" s="39"/>
      <c r="E131" s="39"/>
      <c r="F131" s="39"/>
      <c r="G131" s="39"/>
      <c r="H131" s="39"/>
      <c r="I131" s="39"/>
      <c r="J131" s="39"/>
      <c r="K131" s="39"/>
    </row>
    <row r="132" spans="1:11" s="11" customFormat="1" x14ac:dyDescent="0.3">
      <c r="A132" s="40"/>
      <c r="B132" s="40"/>
      <c r="C132" s="40"/>
    </row>
    <row r="133" spans="1:11" s="11" customFormat="1" x14ac:dyDescent="0.3">
      <c r="A133" s="41"/>
      <c r="B133" s="41"/>
      <c r="C133" s="41"/>
    </row>
    <row r="134" spans="1:11" s="11" customFormat="1" x14ac:dyDescent="0.3">
      <c r="A134" s="99"/>
      <c r="B134" s="42"/>
      <c r="C134" s="42"/>
      <c r="D134" s="98"/>
      <c r="E134" s="98"/>
      <c r="F134" s="98"/>
      <c r="G134" s="98"/>
      <c r="H134" s="98"/>
      <c r="I134" s="98"/>
      <c r="J134" s="98"/>
      <c r="K134" s="98"/>
    </row>
    <row r="135" spans="1:11" s="11" customFormat="1" x14ac:dyDescent="0.3">
      <c r="A135" s="99"/>
      <c r="B135" s="42"/>
      <c r="C135" s="42"/>
      <c r="D135" s="98"/>
      <c r="E135" s="98"/>
      <c r="F135" s="98"/>
      <c r="G135" s="98"/>
      <c r="H135" s="98"/>
      <c r="I135" s="98"/>
      <c r="J135" s="98"/>
      <c r="K135" s="98"/>
    </row>
    <row r="136" spans="1:11" s="11" customFormat="1" x14ac:dyDescent="0.3">
      <c r="A136" s="99"/>
      <c r="B136" s="42"/>
      <c r="C136" s="42"/>
      <c r="D136" s="98"/>
      <c r="E136" s="98"/>
      <c r="F136" s="98"/>
      <c r="G136" s="98"/>
      <c r="H136" s="98"/>
      <c r="I136" s="98"/>
      <c r="J136" s="98"/>
      <c r="K136" s="98"/>
    </row>
    <row r="137" spans="1:11" s="11" customFormat="1" x14ac:dyDescent="0.3">
      <c r="A137" s="41"/>
      <c r="B137" s="41"/>
      <c r="C137" s="41"/>
      <c r="H137" s="10"/>
      <c r="I137" s="10"/>
    </row>
    <row r="138" spans="1:11" s="11" customFormat="1" x14ac:dyDescent="0.3">
      <c r="A138" s="41"/>
      <c r="B138" s="41"/>
      <c r="C138" s="41"/>
      <c r="H138" s="10"/>
      <c r="I138" s="10"/>
    </row>
    <row r="139" spans="1:11" s="11" customFormat="1" x14ac:dyDescent="0.3">
      <c r="A139" s="41"/>
      <c r="B139" s="41"/>
      <c r="C139" s="41"/>
      <c r="H139" s="10"/>
      <c r="I139" s="10"/>
    </row>
    <row r="140" spans="1:11" s="11" customFormat="1" x14ac:dyDescent="0.3">
      <c r="A140" s="41"/>
      <c r="B140" s="41"/>
      <c r="C140" s="41"/>
      <c r="H140" s="10"/>
      <c r="I140" s="10"/>
    </row>
    <row r="141" spans="1:11" s="11" customFormat="1" x14ac:dyDescent="0.3">
      <c r="A141" s="41"/>
      <c r="B141" s="41"/>
      <c r="C141" s="41"/>
      <c r="H141" s="10"/>
      <c r="I141" s="10"/>
    </row>
    <row r="142" spans="1:11" s="11" customFormat="1" x14ac:dyDescent="0.3">
      <c r="A142" s="41"/>
      <c r="B142" s="41"/>
      <c r="C142" s="41"/>
      <c r="H142" s="10"/>
      <c r="I142" s="10"/>
    </row>
    <row r="143" spans="1:11" s="11" customFormat="1" x14ac:dyDescent="0.3">
      <c r="A143" s="99"/>
      <c r="B143" s="42"/>
      <c r="C143" s="42"/>
    </row>
    <row r="144" spans="1:11" s="11" customFormat="1" x14ac:dyDescent="0.3">
      <c r="A144" s="99"/>
      <c r="B144" s="42"/>
      <c r="C144" s="42"/>
    </row>
    <row r="145" spans="1:9" s="11" customFormat="1" x14ac:dyDescent="0.3">
      <c r="A145" s="41"/>
      <c r="B145" s="41"/>
      <c r="C145" s="41"/>
      <c r="H145" s="10"/>
      <c r="I145" s="10"/>
    </row>
    <row r="146" spans="1:9" s="11" customFormat="1" x14ac:dyDescent="0.3">
      <c r="A146" s="41"/>
      <c r="B146" s="41"/>
      <c r="C146" s="41"/>
      <c r="H146" s="10"/>
      <c r="I146" s="10"/>
    </row>
    <row r="147" spans="1:9" s="11" customFormat="1" x14ac:dyDescent="0.3">
      <c r="A147" s="41"/>
      <c r="B147" s="41"/>
      <c r="C147" s="41"/>
      <c r="H147" s="10"/>
      <c r="I147" s="10"/>
    </row>
    <row r="148" spans="1:9" s="11" customFormat="1" x14ac:dyDescent="0.3">
      <c r="A148" s="41"/>
      <c r="B148" s="41"/>
      <c r="C148" s="41"/>
      <c r="H148" s="10"/>
      <c r="I148" s="10"/>
    </row>
    <row r="149" spans="1:9" s="11" customFormat="1" x14ac:dyDescent="0.3">
      <c r="A149" s="41"/>
      <c r="B149" s="41"/>
      <c r="C149" s="41"/>
      <c r="H149" s="10"/>
      <c r="I149" s="10"/>
    </row>
    <row r="150" spans="1:9" s="11" customFormat="1" x14ac:dyDescent="0.3">
      <c r="A150" s="41"/>
      <c r="B150" s="41"/>
      <c r="C150" s="41"/>
      <c r="H150" s="10"/>
      <c r="I150" s="10"/>
    </row>
    <row r="151" spans="1:9" s="11" customFormat="1" x14ac:dyDescent="0.3">
      <c r="A151" s="41"/>
      <c r="B151" s="41"/>
      <c r="C151" s="41"/>
      <c r="H151" s="10"/>
      <c r="I151" s="10"/>
    </row>
    <row r="152" spans="1:9" s="11" customFormat="1" x14ac:dyDescent="0.3">
      <c r="A152" s="41"/>
      <c r="B152" s="41"/>
      <c r="C152" s="41"/>
      <c r="H152" s="10"/>
      <c r="I152" s="10"/>
    </row>
    <row r="153" spans="1:9" s="11" customFormat="1" x14ac:dyDescent="0.3">
      <c r="A153" s="41"/>
      <c r="B153" s="41"/>
      <c r="C153" s="41"/>
      <c r="H153" s="10"/>
      <c r="I153" s="10"/>
    </row>
    <row r="154" spans="1:9" s="11" customFormat="1" x14ac:dyDescent="0.3">
      <c r="A154" s="41"/>
      <c r="B154" s="41"/>
      <c r="C154" s="41"/>
      <c r="H154" s="10"/>
      <c r="I154" s="10"/>
    </row>
    <row r="155" spans="1:9" s="11" customFormat="1" x14ac:dyDescent="0.3">
      <c r="A155" s="41"/>
      <c r="B155" s="41"/>
      <c r="C155" s="41"/>
      <c r="H155" s="10"/>
      <c r="I155" s="10"/>
    </row>
    <row r="156" spans="1:9" s="11" customFormat="1" x14ac:dyDescent="0.3">
      <c r="A156" s="105"/>
      <c r="B156" s="43"/>
      <c r="C156" s="43"/>
    </row>
    <row r="157" spans="1:9" s="11" customFormat="1" x14ac:dyDescent="0.3">
      <c r="A157" s="105"/>
      <c r="B157" s="43"/>
      <c r="C157" s="43"/>
    </row>
    <row r="158" spans="1:9" s="11" customFormat="1" x14ac:dyDescent="0.3">
      <c r="A158" s="41"/>
      <c r="B158" s="41"/>
      <c r="C158" s="41"/>
      <c r="H158" s="10"/>
      <c r="I158" s="10"/>
    </row>
    <row r="159" spans="1:9" s="11" customFormat="1" x14ac:dyDescent="0.3">
      <c r="A159" s="41"/>
      <c r="B159" s="41"/>
      <c r="C159" s="41"/>
      <c r="H159" s="10"/>
      <c r="I159" s="10"/>
    </row>
    <row r="160" spans="1:9" s="11" customFormat="1" x14ac:dyDescent="0.3">
      <c r="A160" s="41"/>
      <c r="B160" s="41"/>
      <c r="C160" s="41"/>
      <c r="H160" s="10"/>
      <c r="I160" s="10"/>
    </row>
    <row r="161" spans="1:9" s="11" customFormat="1" x14ac:dyDescent="0.3">
      <c r="A161" s="41"/>
      <c r="B161" s="41"/>
      <c r="C161" s="41"/>
      <c r="H161" s="10"/>
      <c r="I161" s="10"/>
    </row>
    <row r="162" spans="1:9" s="11" customFormat="1" x14ac:dyDescent="0.3">
      <c r="A162" s="105"/>
      <c r="B162" s="43"/>
      <c r="C162" s="43"/>
    </row>
    <row r="163" spans="1:9" s="11" customFormat="1" x14ac:dyDescent="0.3">
      <c r="A163" s="105"/>
      <c r="B163" s="43"/>
      <c r="C163" s="43"/>
    </row>
    <row r="164" spans="1:9" s="11" customFormat="1" x14ac:dyDescent="0.3">
      <c r="A164" s="41"/>
      <c r="B164" s="41"/>
      <c r="C164" s="41"/>
      <c r="H164" s="10"/>
      <c r="I164" s="10"/>
    </row>
    <row r="165" spans="1:9" s="11" customFormat="1" x14ac:dyDescent="0.3">
      <c r="A165" s="41"/>
      <c r="B165" s="41"/>
      <c r="C165" s="41"/>
      <c r="H165" s="10"/>
      <c r="I165" s="10"/>
    </row>
    <row r="166" spans="1:9" s="11" customFormat="1" x14ac:dyDescent="0.3">
      <c r="A166" s="41"/>
      <c r="B166" s="41"/>
      <c r="C166" s="41"/>
      <c r="H166" s="10"/>
      <c r="I166" s="10"/>
    </row>
    <row r="167" spans="1:9" s="11" customFormat="1" x14ac:dyDescent="0.3">
      <c r="A167" s="41"/>
      <c r="B167" s="41"/>
      <c r="C167" s="41"/>
      <c r="H167" s="10"/>
      <c r="I167" s="10"/>
    </row>
    <row r="168" spans="1:9" s="11" customFormat="1" x14ac:dyDescent="0.3">
      <c r="A168" s="41"/>
      <c r="B168" s="41"/>
      <c r="C168" s="41"/>
      <c r="H168" s="10"/>
      <c r="I168" s="10"/>
    </row>
    <row r="169" spans="1:9" s="11" customFormat="1" x14ac:dyDescent="0.3">
      <c r="A169" s="105"/>
      <c r="B169" s="43"/>
      <c r="C169" s="43"/>
    </row>
    <row r="170" spans="1:9" s="11" customFormat="1" x14ac:dyDescent="0.3">
      <c r="A170" s="105"/>
      <c r="B170" s="43"/>
      <c r="C170" s="43"/>
    </row>
    <row r="171" spans="1:9" s="11" customFormat="1" x14ac:dyDescent="0.3">
      <c r="A171" s="41"/>
      <c r="B171" s="41"/>
      <c r="C171" s="41"/>
      <c r="H171" s="10"/>
      <c r="I171" s="10"/>
    </row>
    <row r="172" spans="1:9" s="11" customFormat="1" x14ac:dyDescent="0.3">
      <c r="A172" s="41"/>
      <c r="B172" s="41"/>
      <c r="C172" s="41"/>
      <c r="H172" s="10"/>
      <c r="I172" s="10"/>
    </row>
    <row r="173" spans="1:9" s="11" customFormat="1" x14ac:dyDescent="0.3">
      <c r="A173" s="41"/>
      <c r="B173" s="41"/>
      <c r="C173" s="41"/>
      <c r="H173" s="10"/>
      <c r="I173" s="10"/>
    </row>
    <row r="174" spans="1:9" s="11" customFormat="1" x14ac:dyDescent="0.3">
      <c r="A174" s="41"/>
      <c r="B174" s="41"/>
      <c r="C174" s="41"/>
      <c r="H174" s="10"/>
      <c r="I174" s="10"/>
    </row>
    <row r="175" spans="1:9" s="11" customFormat="1" x14ac:dyDescent="0.3">
      <c r="A175" s="41"/>
      <c r="B175" s="41"/>
      <c r="C175" s="41"/>
      <c r="H175" s="10"/>
      <c r="I175" s="10"/>
    </row>
    <row r="176" spans="1:9" s="11" customFormat="1" x14ac:dyDescent="0.3">
      <c r="A176" s="105"/>
      <c r="B176" s="43"/>
      <c r="C176" s="43"/>
    </row>
    <row r="177" spans="1:9" s="11" customFormat="1" x14ac:dyDescent="0.3">
      <c r="A177" s="105"/>
      <c r="B177" s="43"/>
      <c r="C177" s="43"/>
    </row>
    <row r="178" spans="1:9" s="11" customFormat="1" x14ac:dyDescent="0.3">
      <c r="A178" s="41"/>
      <c r="B178" s="41"/>
      <c r="C178" s="41"/>
      <c r="H178" s="10"/>
      <c r="I178" s="10"/>
    </row>
    <row r="179" spans="1:9" s="11" customFormat="1" x14ac:dyDescent="0.3">
      <c r="A179" s="41"/>
      <c r="B179" s="41"/>
      <c r="C179" s="41"/>
      <c r="H179" s="10"/>
      <c r="I179" s="10"/>
    </row>
    <row r="180" spans="1:9" s="11" customFormat="1" x14ac:dyDescent="0.3">
      <c r="A180" s="41"/>
      <c r="B180" s="41"/>
      <c r="C180" s="41"/>
      <c r="H180" s="10"/>
      <c r="I180" s="10"/>
    </row>
    <row r="181" spans="1:9" s="11" customFormat="1" x14ac:dyDescent="0.3">
      <c r="A181" s="41"/>
      <c r="B181" s="41"/>
      <c r="C181" s="41"/>
      <c r="H181" s="10"/>
      <c r="I181" s="10"/>
    </row>
    <row r="182" spans="1:9" s="11" customFormat="1" x14ac:dyDescent="0.3">
      <c r="A182" s="41"/>
      <c r="B182" s="41"/>
      <c r="C182" s="41"/>
      <c r="H182" s="10"/>
      <c r="I182" s="10"/>
    </row>
    <row r="183" spans="1:9" s="11" customFormat="1" x14ac:dyDescent="0.3">
      <c r="A183" s="105"/>
      <c r="B183" s="43"/>
      <c r="C183" s="43"/>
    </row>
    <row r="184" spans="1:9" s="11" customFormat="1" x14ac:dyDescent="0.3">
      <c r="A184" s="105"/>
      <c r="B184" s="43"/>
      <c r="C184" s="43"/>
    </row>
    <row r="185" spans="1:9" s="11" customFormat="1" x14ac:dyDescent="0.3">
      <c r="A185" s="41"/>
      <c r="B185" s="41"/>
      <c r="C185" s="41"/>
      <c r="H185" s="10"/>
      <c r="I185" s="10"/>
    </row>
    <row r="186" spans="1:9" s="11" customFormat="1" x14ac:dyDescent="0.3">
      <c r="A186" s="41"/>
      <c r="B186" s="41"/>
      <c r="C186" s="41"/>
      <c r="H186" s="10"/>
      <c r="I186" s="10"/>
    </row>
    <row r="187" spans="1:9" s="11" customFormat="1" x14ac:dyDescent="0.3">
      <c r="A187" s="41"/>
      <c r="B187" s="41"/>
      <c r="C187" s="41"/>
      <c r="H187" s="10"/>
      <c r="I187" s="10"/>
    </row>
    <row r="188" spans="1:9" s="11" customFormat="1" x14ac:dyDescent="0.3">
      <c r="A188" s="105"/>
      <c r="B188" s="43"/>
      <c r="C188" s="43"/>
    </row>
    <row r="189" spans="1:9" s="11" customFormat="1" x14ac:dyDescent="0.3">
      <c r="A189" s="105"/>
      <c r="B189" s="43"/>
      <c r="C189" s="43"/>
    </row>
    <row r="190" spans="1:9" s="11" customFormat="1" x14ac:dyDescent="0.3">
      <c r="A190" s="41"/>
      <c r="B190" s="41"/>
      <c r="C190" s="41"/>
      <c r="H190" s="10"/>
      <c r="I190" s="10"/>
    </row>
    <row r="191" spans="1:9" s="11" customFormat="1" x14ac:dyDescent="0.3">
      <c r="A191" s="41"/>
      <c r="B191" s="41"/>
      <c r="C191" s="41"/>
      <c r="H191" s="10"/>
      <c r="I191" s="10"/>
    </row>
    <row r="192" spans="1:9" s="11" customFormat="1" x14ac:dyDescent="0.3">
      <c r="A192" s="41"/>
      <c r="B192" s="41"/>
      <c r="C192" s="41"/>
      <c r="H192" s="10"/>
      <c r="I192" s="10"/>
    </row>
    <row r="193" spans="1:9" s="11" customFormat="1" x14ac:dyDescent="0.3">
      <c r="A193" s="41"/>
      <c r="B193" s="41"/>
      <c r="C193" s="41"/>
      <c r="H193" s="10"/>
      <c r="I193" s="10"/>
    </row>
    <row r="194" spans="1:9" s="11" customFormat="1" x14ac:dyDescent="0.3">
      <c r="A194" s="41"/>
      <c r="B194" s="41"/>
      <c r="C194" s="41"/>
      <c r="H194" s="10"/>
      <c r="I194" s="10"/>
    </row>
    <row r="195" spans="1:9" s="11" customFormat="1" x14ac:dyDescent="0.3">
      <c r="A195" s="105"/>
      <c r="B195" s="43"/>
      <c r="C195" s="43"/>
    </row>
    <row r="196" spans="1:9" s="11" customFormat="1" x14ac:dyDescent="0.3">
      <c r="A196" s="105"/>
      <c r="B196" s="43"/>
      <c r="C196" s="43"/>
    </row>
    <row r="197" spans="1:9" s="11" customFormat="1" x14ac:dyDescent="0.3">
      <c r="A197" s="41"/>
      <c r="B197" s="41"/>
      <c r="C197" s="41"/>
      <c r="H197" s="10"/>
      <c r="I197" s="10"/>
    </row>
    <row r="198" spans="1:9" s="11" customFormat="1" x14ac:dyDescent="0.3">
      <c r="A198" s="41"/>
      <c r="B198" s="41"/>
      <c r="C198" s="41"/>
      <c r="H198" s="10"/>
      <c r="I198" s="10"/>
    </row>
    <row r="199" spans="1:9" s="11" customFormat="1" x14ac:dyDescent="0.3">
      <c r="A199" s="41"/>
      <c r="B199" s="41"/>
      <c r="C199" s="41"/>
      <c r="H199" s="10"/>
      <c r="I199" s="10"/>
    </row>
    <row r="200" spans="1:9" s="11" customFormat="1" x14ac:dyDescent="0.3">
      <c r="A200" s="41"/>
      <c r="B200" s="41"/>
      <c r="C200" s="41"/>
      <c r="H200" s="10"/>
      <c r="I200" s="10"/>
    </row>
    <row r="201" spans="1:9" s="11" customFormat="1" x14ac:dyDescent="0.3">
      <c r="A201" s="41"/>
      <c r="B201" s="41"/>
      <c r="C201" s="41"/>
      <c r="H201" s="10"/>
      <c r="I201" s="10"/>
    </row>
    <row r="202" spans="1:9" s="11" customFormat="1" x14ac:dyDescent="0.3">
      <c r="A202" s="41"/>
      <c r="B202" s="41"/>
      <c r="C202" s="41"/>
      <c r="H202" s="10"/>
      <c r="I202" s="10"/>
    </row>
    <row r="203" spans="1:9" s="11" customFormat="1" x14ac:dyDescent="0.3">
      <c r="A203" s="41"/>
      <c r="B203" s="41"/>
      <c r="C203" s="41"/>
      <c r="H203" s="10"/>
      <c r="I203" s="10"/>
    </row>
    <row r="204" spans="1:9" s="11" customFormat="1" x14ac:dyDescent="0.3">
      <c r="A204" s="41"/>
      <c r="B204" s="41"/>
      <c r="C204" s="41"/>
      <c r="H204" s="10"/>
      <c r="I204" s="10"/>
    </row>
    <row r="205" spans="1:9" s="11" customFormat="1" x14ac:dyDescent="0.3">
      <c r="A205" s="105"/>
      <c r="B205" s="43"/>
      <c r="C205" s="43"/>
    </row>
    <row r="206" spans="1:9" s="11" customFormat="1" x14ac:dyDescent="0.3">
      <c r="A206" s="105"/>
      <c r="B206" s="43"/>
      <c r="C206" s="43"/>
    </row>
    <row r="207" spans="1:9" s="11" customFormat="1" x14ac:dyDescent="0.3">
      <c r="A207" s="41"/>
      <c r="B207" s="41"/>
      <c r="C207" s="41"/>
      <c r="H207" s="10"/>
      <c r="I207" s="10"/>
    </row>
    <row r="208" spans="1:9" s="11" customFormat="1" x14ac:dyDescent="0.3">
      <c r="A208" s="41"/>
      <c r="B208" s="41"/>
      <c r="C208" s="41"/>
      <c r="H208" s="10"/>
      <c r="I208" s="10"/>
    </row>
    <row r="209" spans="1:9" s="11" customFormat="1" x14ac:dyDescent="0.3">
      <c r="A209" s="41"/>
      <c r="B209" s="41"/>
      <c r="C209" s="41"/>
      <c r="H209" s="10"/>
      <c r="I209" s="10"/>
    </row>
    <row r="210" spans="1:9" s="11" customFormat="1" x14ac:dyDescent="0.3">
      <c r="A210" s="41"/>
      <c r="B210" s="41"/>
      <c r="C210" s="41"/>
      <c r="H210" s="10"/>
      <c r="I210" s="10"/>
    </row>
    <row r="211" spans="1:9" s="11" customFormat="1" x14ac:dyDescent="0.3">
      <c r="A211" s="41"/>
      <c r="B211" s="41"/>
      <c r="C211" s="41"/>
      <c r="H211" s="10"/>
      <c r="I211" s="10"/>
    </row>
    <row r="212" spans="1:9" s="11" customFormat="1" x14ac:dyDescent="0.3">
      <c r="A212" s="105"/>
      <c r="B212" s="43"/>
      <c r="C212" s="43"/>
    </row>
    <row r="213" spans="1:9" s="11" customFormat="1" x14ac:dyDescent="0.3">
      <c r="A213" s="105"/>
      <c r="B213" s="43"/>
      <c r="C213" s="43"/>
    </row>
    <row r="214" spans="1:9" s="11" customFormat="1" x14ac:dyDescent="0.3">
      <c r="A214" s="41"/>
      <c r="B214" s="41"/>
      <c r="C214" s="41"/>
      <c r="H214" s="10"/>
      <c r="I214" s="10"/>
    </row>
    <row r="215" spans="1:9" s="11" customFormat="1" x14ac:dyDescent="0.3">
      <c r="A215" s="41"/>
      <c r="B215" s="41"/>
      <c r="C215" s="41"/>
      <c r="H215" s="10"/>
      <c r="I215" s="10"/>
    </row>
    <row r="216" spans="1:9" s="11" customFormat="1" x14ac:dyDescent="0.3">
      <c r="A216" s="41"/>
      <c r="B216" s="41"/>
      <c r="C216" s="41"/>
      <c r="H216" s="10"/>
      <c r="I216" s="10"/>
    </row>
    <row r="217" spans="1:9" s="11" customFormat="1" x14ac:dyDescent="0.3">
      <c r="A217" s="41"/>
      <c r="B217" s="41"/>
      <c r="C217" s="41"/>
      <c r="H217" s="10"/>
      <c r="I217" s="10"/>
    </row>
    <row r="218" spans="1:9" s="11" customFormat="1" x14ac:dyDescent="0.3">
      <c r="A218" s="41"/>
      <c r="B218" s="41"/>
      <c r="C218" s="41"/>
      <c r="H218" s="10"/>
      <c r="I218" s="10"/>
    </row>
    <row r="219" spans="1:9" s="11" customFormat="1" x14ac:dyDescent="0.3">
      <c r="A219" s="41"/>
      <c r="B219" s="41"/>
      <c r="C219" s="41"/>
      <c r="H219" s="10"/>
      <c r="I219" s="10"/>
    </row>
    <row r="220" spans="1:9" s="11" customFormat="1" x14ac:dyDescent="0.3">
      <c r="A220" s="41"/>
      <c r="B220" s="41"/>
      <c r="C220" s="41"/>
      <c r="H220" s="10"/>
      <c r="I220" s="10"/>
    </row>
    <row r="221" spans="1:9" s="11" customFormat="1" x14ac:dyDescent="0.3">
      <c r="A221" s="41"/>
      <c r="B221" s="41"/>
      <c r="C221" s="41"/>
      <c r="H221" s="10"/>
      <c r="I221" s="10"/>
    </row>
    <row r="222" spans="1:9" s="11" customFormat="1" x14ac:dyDescent="0.3">
      <c r="A222" s="41"/>
      <c r="B222" s="41"/>
      <c r="C222" s="41"/>
      <c r="H222" s="10"/>
      <c r="I222" s="10"/>
    </row>
    <row r="223" spans="1:9" s="11" customFormat="1" x14ac:dyDescent="0.3">
      <c r="A223" s="41"/>
      <c r="B223" s="41"/>
      <c r="C223" s="41"/>
      <c r="H223" s="10"/>
      <c r="I223" s="10"/>
    </row>
    <row r="224" spans="1:9" s="11" customFormat="1" x14ac:dyDescent="0.3">
      <c r="A224" s="41"/>
      <c r="B224" s="41"/>
      <c r="C224" s="41"/>
      <c r="H224" s="10"/>
      <c r="I224" s="10"/>
    </row>
    <row r="225" spans="1:9" s="11" customFormat="1" x14ac:dyDescent="0.3">
      <c r="A225" s="41"/>
      <c r="B225" s="41"/>
      <c r="C225" s="41"/>
      <c r="H225" s="10"/>
      <c r="I225" s="10"/>
    </row>
    <row r="226" spans="1:9" s="11" customFormat="1" x14ac:dyDescent="0.3">
      <c r="A226" s="41"/>
      <c r="B226" s="41"/>
      <c r="C226" s="41"/>
      <c r="H226" s="10"/>
      <c r="I226" s="10"/>
    </row>
    <row r="227" spans="1:9" s="11" customFormat="1" x14ac:dyDescent="0.3">
      <c r="A227" s="105"/>
      <c r="B227" s="43"/>
      <c r="C227" s="43"/>
    </row>
    <row r="228" spans="1:9" s="11" customFormat="1" x14ac:dyDescent="0.3">
      <c r="A228" s="105"/>
      <c r="B228" s="43"/>
      <c r="C228" s="43"/>
    </row>
    <row r="229" spans="1:9" s="11" customFormat="1" x14ac:dyDescent="0.3">
      <c r="A229" s="41"/>
      <c r="B229" s="41"/>
      <c r="C229" s="41"/>
      <c r="H229" s="10"/>
      <c r="I229" s="10"/>
    </row>
    <row r="230" spans="1:9" s="11" customFormat="1" x14ac:dyDescent="0.3">
      <c r="A230" s="41"/>
      <c r="B230" s="41"/>
      <c r="C230" s="41"/>
      <c r="H230" s="10"/>
      <c r="I230" s="10"/>
    </row>
    <row r="231" spans="1:9" s="11" customFormat="1" x14ac:dyDescent="0.3">
      <c r="A231" s="41"/>
      <c r="B231" s="41"/>
      <c r="C231" s="41"/>
      <c r="H231" s="10"/>
      <c r="I231" s="10"/>
    </row>
    <row r="232" spans="1:9" s="11" customFormat="1" x14ac:dyDescent="0.3">
      <c r="A232" s="41"/>
      <c r="B232" s="41"/>
      <c r="C232" s="41"/>
      <c r="H232" s="10"/>
      <c r="I232" s="10"/>
    </row>
    <row r="233" spans="1:9" s="11" customFormat="1" x14ac:dyDescent="0.3">
      <c r="A233" s="41"/>
      <c r="B233" s="41"/>
      <c r="C233" s="41"/>
    </row>
    <row r="234" spans="1:9" x14ac:dyDescent="0.3">
      <c r="A234" s="44"/>
      <c r="B234" s="44"/>
      <c r="C234" s="44"/>
    </row>
  </sheetData>
  <mergeCells count="208">
    <mergeCell ref="K18:K19"/>
    <mergeCell ref="B32:B33"/>
    <mergeCell ref="B8:B9"/>
    <mergeCell ref="A10:A11"/>
    <mergeCell ref="I38:I39"/>
    <mergeCell ref="J38:J39"/>
    <mergeCell ref="K38:K39"/>
    <mergeCell ref="C38:C39"/>
    <mergeCell ref="E38:E39"/>
    <mergeCell ref="F38:F39"/>
    <mergeCell ref="G38:G39"/>
    <mergeCell ref="H38:H39"/>
    <mergeCell ref="E10:E11"/>
    <mergeCell ref="J18:J19"/>
    <mergeCell ref="F10:F11"/>
    <mergeCell ref="G10:G11"/>
    <mergeCell ref="H10:H11"/>
    <mergeCell ref="D8:D9"/>
    <mergeCell ref="E8:E9"/>
    <mergeCell ref="F8:F9"/>
    <mergeCell ref="G8:G9"/>
    <mergeCell ref="B71:B72"/>
    <mergeCell ref="B64:B65"/>
    <mergeCell ref="D71:D72"/>
    <mergeCell ref="E71:E72"/>
    <mergeCell ref="F71:F72"/>
    <mergeCell ref="G71:G72"/>
    <mergeCell ref="C59:C60"/>
    <mergeCell ref="D38:D39"/>
    <mergeCell ref="B38:B39"/>
    <mergeCell ref="A205:A206"/>
    <mergeCell ref="B103:B104"/>
    <mergeCell ref="A212:A213"/>
    <mergeCell ref="A227:A228"/>
    <mergeCell ref="A183:A184"/>
    <mergeCell ref="A188:A189"/>
    <mergeCell ref="A195:A196"/>
    <mergeCell ref="A169:A170"/>
    <mergeCell ref="A176:A177"/>
    <mergeCell ref="A156:A157"/>
    <mergeCell ref="A162:A163"/>
    <mergeCell ref="H128:I130"/>
    <mergeCell ref="J128:K130"/>
    <mergeCell ref="D130:E130"/>
    <mergeCell ref="F130:G130"/>
    <mergeCell ref="J64:J65"/>
    <mergeCell ref="K64:K65"/>
    <mergeCell ref="J45:J46"/>
    <mergeCell ref="K45:K46"/>
    <mergeCell ref="K52:K53"/>
    <mergeCell ref="A124:H126"/>
    <mergeCell ref="I124:K126"/>
    <mergeCell ref="H127:K127"/>
    <mergeCell ref="A128:A131"/>
    <mergeCell ref="D128:G129"/>
    <mergeCell ref="A81:A82"/>
    <mergeCell ref="E103:E104"/>
    <mergeCell ref="F103:F104"/>
    <mergeCell ref="K71:K72"/>
    <mergeCell ref="I88:I89"/>
    <mergeCell ref="H81:H82"/>
    <mergeCell ref="I81:I82"/>
    <mergeCell ref="F88:F89"/>
    <mergeCell ref="G88:G89"/>
    <mergeCell ref="H88:H89"/>
    <mergeCell ref="I134:I136"/>
    <mergeCell ref="J134:J136"/>
    <mergeCell ref="A143:A144"/>
    <mergeCell ref="H134:H136"/>
    <mergeCell ref="D134:D136"/>
    <mergeCell ref="E134:E136"/>
    <mergeCell ref="F134:F136"/>
    <mergeCell ref="G134:G136"/>
    <mergeCell ref="K134:K136"/>
    <mergeCell ref="A134:A136"/>
    <mergeCell ref="M109:N109"/>
    <mergeCell ref="A113:G113"/>
    <mergeCell ref="L113:N113"/>
    <mergeCell ref="C103:C104"/>
    <mergeCell ref="A103:A104"/>
    <mergeCell ref="D103:D104"/>
    <mergeCell ref="A114:G114"/>
    <mergeCell ref="L114:N114"/>
    <mergeCell ref="C5:C7"/>
    <mergeCell ref="C32:C33"/>
    <mergeCell ref="C8:C9"/>
    <mergeCell ref="C64:C65"/>
    <mergeCell ref="C71:C72"/>
    <mergeCell ref="B10:B11"/>
    <mergeCell ref="C45:C46"/>
    <mergeCell ref="A71:A72"/>
    <mergeCell ref="A64:A65"/>
    <mergeCell ref="A59:A60"/>
    <mergeCell ref="B59:B60"/>
    <mergeCell ref="A32:A33"/>
    <mergeCell ref="B18:B19"/>
    <mergeCell ref="A18:A19"/>
    <mergeCell ref="A38:A39"/>
    <mergeCell ref="B88:B89"/>
    <mergeCell ref="L81:N82"/>
    <mergeCell ref="A88:A89"/>
    <mergeCell ref="D88:D89"/>
    <mergeCell ref="H103:H104"/>
    <mergeCell ref="I103:I104"/>
    <mergeCell ref="J103:J104"/>
    <mergeCell ref="G103:G104"/>
    <mergeCell ref="L103:N104"/>
    <mergeCell ref="K103:K104"/>
    <mergeCell ref="J88:J89"/>
    <mergeCell ref="K88:K89"/>
    <mergeCell ref="L88:N89"/>
    <mergeCell ref="E88:E89"/>
    <mergeCell ref="B81:B82"/>
    <mergeCell ref="D81:D82"/>
    <mergeCell ref="E81:E82"/>
    <mergeCell ref="F81:F82"/>
    <mergeCell ref="G81:G82"/>
    <mergeCell ref="C81:C82"/>
    <mergeCell ref="J81:J82"/>
    <mergeCell ref="K81:K82"/>
    <mergeCell ref="C88:C89"/>
    <mergeCell ref="L71:N72"/>
    <mergeCell ref="H71:H72"/>
    <mergeCell ref="I71:I72"/>
    <mergeCell ref="J71:J72"/>
    <mergeCell ref="L59:N60"/>
    <mergeCell ref="D64:D65"/>
    <mergeCell ref="E64:E65"/>
    <mergeCell ref="F64:F65"/>
    <mergeCell ref="G64:G65"/>
    <mergeCell ref="H64:H65"/>
    <mergeCell ref="I64:I65"/>
    <mergeCell ref="D59:D60"/>
    <mergeCell ref="L64:N65"/>
    <mergeCell ref="I59:I60"/>
    <mergeCell ref="J59:J60"/>
    <mergeCell ref="K59:K60"/>
    <mergeCell ref="E59:E60"/>
    <mergeCell ref="F59:F60"/>
    <mergeCell ref="G59:G60"/>
    <mergeCell ref="H59:H60"/>
    <mergeCell ref="L45:N46"/>
    <mergeCell ref="A52:A53"/>
    <mergeCell ref="D52:D53"/>
    <mergeCell ref="E52:E53"/>
    <mergeCell ref="F52:F53"/>
    <mergeCell ref="G52:G53"/>
    <mergeCell ref="L52:N53"/>
    <mergeCell ref="H52:H53"/>
    <mergeCell ref="I52:I53"/>
    <mergeCell ref="J52:J53"/>
    <mergeCell ref="B52:B53"/>
    <mergeCell ref="C52:C53"/>
    <mergeCell ref="A45:A46"/>
    <mergeCell ref="D45:D46"/>
    <mergeCell ref="E45:E46"/>
    <mergeCell ref="F45:F46"/>
    <mergeCell ref="G45:G46"/>
    <mergeCell ref="H45:H46"/>
    <mergeCell ref="I45:I46"/>
    <mergeCell ref="B45:B46"/>
    <mergeCell ref="L38:N39"/>
    <mergeCell ref="D18:D19"/>
    <mergeCell ref="E18:E19"/>
    <mergeCell ref="F18:F19"/>
    <mergeCell ref="G18:G19"/>
    <mergeCell ref="H18:H19"/>
    <mergeCell ref="C18:C19"/>
    <mergeCell ref="D10:D11"/>
    <mergeCell ref="L18:N19"/>
    <mergeCell ref="D32:D33"/>
    <mergeCell ref="E32:E33"/>
    <mergeCell ref="F32:F33"/>
    <mergeCell ref="G32:G33"/>
    <mergeCell ref="L32:N33"/>
    <mergeCell ref="H32:H33"/>
    <mergeCell ref="I32:I33"/>
    <mergeCell ref="J32:J33"/>
    <mergeCell ref="K32:K33"/>
    <mergeCell ref="L10:N11"/>
    <mergeCell ref="I18:I19"/>
    <mergeCell ref="K10:K11"/>
    <mergeCell ref="I10:I11"/>
    <mergeCell ref="J10:J11"/>
    <mergeCell ref="C10:C11"/>
    <mergeCell ref="I4:K4"/>
    <mergeCell ref="A5:A7"/>
    <mergeCell ref="A8:A9"/>
    <mergeCell ref="B5:B7"/>
    <mergeCell ref="B2:J2"/>
    <mergeCell ref="B3:J3"/>
    <mergeCell ref="L8:N9"/>
    <mergeCell ref="H8:H9"/>
    <mergeCell ref="I8:I9"/>
    <mergeCell ref="J8:J9"/>
    <mergeCell ref="K8:K9"/>
    <mergeCell ref="J6:J7"/>
    <mergeCell ref="K6:K7"/>
    <mergeCell ref="M4:N4"/>
    <mergeCell ref="L5:N7"/>
    <mergeCell ref="D5:G5"/>
    <mergeCell ref="H5:K5"/>
    <mergeCell ref="D6:D7"/>
    <mergeCell ref="E6:E7"/>
    <mergeCell ref="F6:F7"/>
    <mergeCell ref="G6:G7"/>
    <mergeCell ref="H6:H7"/>
    <mergeCell ref="I6:I7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D15:D17 E10:G11 I10:K11 D20:D26 E18:G19 D28:D31 E27:G27 D34:D37 E32:G33 D40:D44 E38:G39 D47:D51 E45:G46 D54:D58 E52:G53 D61:D63 E59:G60 D66:D70 E64:G65 E71:G72 D83:D87 E81:G82 D90:D102 E88:G89 D105:D108 E103:G104 I18:K19 I27:K27 I32:K33 I38:K39 I45:K46 I52:K53 I59:K60 I64:K65 I71:K72 I81:K82 I88:K89 I103:K104" formula="1"/>
    <ignoredError sqref="B27:C27 B38:C39 B52:C53 B81:C82 B103:C104 B88:C89 B71:C72 B59:C60 B45:C46 B32:C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2020-05-25T12:39:51Z</dcterms:modified>
</cp:coreProperties>
</file>