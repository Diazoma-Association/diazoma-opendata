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8_{26A1A3B4-9642-4D5E-8F0D-B9B32851583B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03" i="1" l="1"/>
  <c r="O88" i="1"/>
  <c r="O81" i="1"/>
  <c r="O71" i="1"/>
  <c r="O64" i="1"/>
  <c r="O59" i="1"/>
  <c r="O52" i="1"/>
  <c r="O45" i="1"/>
  <c r="O38" i="1"/>
  <c r="O32" i="1"/>
  <c r="O27" i="1"/>
  <c r="O18" i="1"/>
  <c r="O10" i="1"/>
  <c r="B10" i="1"/>
  <c r="O8" i="1" l="1"/>
  <c r="B18" i="1"/>
  <c r="C27" i="1"/>
  <c r="D27" i="1"/>
  <c r="E27" i="1"/>
  <c r="F27" i="1"/>
  <c r="G27" i="1"/>
  <c r="H27" i="1"/>
  <c r="I27" i="1"/>
  <c r="J27" i="1"/>
  <c r="K27" i="1"/>
  <c r="L27" i="1"/>
  <c r="M27" i="1"/>
  <c r="N27" i="1"/>
  <c r="P27" i="1"/>
  <c r="Q27" i="1"/>
  <c r="R27" i="1"/>
  <c r="S27" i="1"/>
  <c r="T27" i="1"/>
  <c r="U27" i="1"/>
  <c r="V27" i="1"/>
  <c r="W27" i="1"/>
  <c r="X27" i="1"/>
  <c r="Y27" i="1"/>
  <c r="Z27" i="1"/>
  <c r="AA27" i="1"/>
  <c r="B27" i="1"/>
  <c r="C18" i="1"/>
  <c r="D18" i="1"/>
  <c r="E18" i="1"/>
  <c r="F18" i="1"/>
  <c r="G18" i="1"/>
  <c r="H18" i="1"/>
  <c r="I18" i="1"/>
  <c r="J18" i="1"/>
  <c r="K18" i="1"/>
  <c r="L18" i="1"/>
  <c r="M18" i="1"/>
  <c r="N18" i="1"/>
  <c r="P18" i="1"/>
  <c r="Q18" i="1"/>
  <c r="R18" i="1"/>
  <c r="S18" i="1"/>
  <c r="T18" i="1"/>
  <c r="U18" i="1"/>
  <c r="V18" i="1"/>
  <c r="W18" i="1"/>
  <c r="X18" i="1"/>
  <c r="Y18" i="1"/>
  <c r="Z18" i="1"/>
  <c r="AA18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N103" i="1"/>
  <c r="AA88" i="1"/>
  <c r="Z88" i="1"/>
  <c r="Y88" i="1"/>
  <c r="X88" i="1"/>
  <c r="W88" i="1"/>
  <c r="V88" i="1"/>
  <c r="U88" i="1"/>
  <c r="T88" i="1"/>
  <c r="S88" i="1"/>
  <c r="R88" i="1"/>
  <c r="Q88" i="1"/>
  <c r="P88" i="1"/>
  <c r="N88" i="1"/>
  <c r="AA81" i="1"/>
  <c r="Z81" i="1"/>
  <c r="Y81" i="1"/>
  <c r="X81" i="1"/>
  <c r="W81" i="1"/>
  <c r="V81" i="1"/>
  <c r="U81" i="1"/>
  <c r="T81" i="1"/>
  <c r="S81" i="1"/>
  <c r="R81" i="1"/>
  <c r="Q81" i="1"/>
  <c r="P81" i="1"/>
  <c r="N81" i="1"/>
  <c r="AA71" i="1"/>
  <c r="Z71" i="1"/>
  <c r="Y71" i="1"/>
  <c r="X71" i="1"/>
  <c r="W71" i="1"/>
  <c r="V71" i="1"/>
  <c r="U71" i="1"/>
  <c r="T71" i="1"/>
  <c r="S71" i="1"/>
  <c r="R71" i="1"/>
  <c r="Q71" i="1"/>
  <c r="P71" i="1"/>
  <c r="N71" i="1"/>
  <c r="AA64" i="1"/>
  <c r="Z64" i="1"/>
  <c r="Y64" i="1"/>
  <c r="X64" i="1"/>
  <c r="W64" i="1"/>
  <c r="V64" i="1"/>
  <c r="U64" i="1"/>
  <c r="T64" i="1"/>
  <c r="S64" i="1"/>
  <c r="R64" i="1"/>
  <c r="Q64" i="1"/>
  <c r="P64" i="1"/>
  <c r="N64" i="1"/>
  <c r="AA59" i="1"/>
  <c r="Z59" i="1"/>
  <c r="Y59" i="1"/>
  <c r="X59" i="1"/>
  <c r="W59" i="1"/>
  <c r="V59" i="1"/>
  <c r="U59" i="1"/>
  <c r="T59" i="1"/>
  <c r="S59" i="1"/>
  <c r="R59" i="1"/>
  <c r="Q59" i="1"/>
  <c r="P59" i="1"/>
  <c r="N59" i="1"/>
  <c r="AA52" i="1"/>
  <c r="Z52" i="1"/>
  <c r="Y52" i="1"/>
  <c r="X52" i="1"/>
  <c r="W52" i="1"/>
  <c r="V52" i="1"/>
  <c r="U52" i="1"/>
  <c r="T52" i="1"/>
  <c r="S52" i="1"/>
  <c r="R52" i="1"/>
  <c r="Q52" i="1"/>
  <c r="P52" i="1"/>
  <c r="N52" i="1"/>
  <c r="AA45" i="1"/>
  <c r="Z45" i="1"/>
  <c r="Y45" i="1"/>
  <c r="X45" i="1"/>
  <c r="W45" i="1"/>
  <c r="V45" i="1"/>
  <c r="U45" i="1"/>
  <c r="T45" i="1"/>
  <c r="S45" i="1"/>
  <c r="R45" i="1"/>
  <c r="Q45" i="1"/>
  <c r="P45" i="1"/>
  <c r="N45" i="1"/>
  <c r="AA38" i="1"/>
  <c r="Z38" i="1"/>
  <c r="Y38" i="1"/>
  <c r="X38" i="1"/>
  <c r="W38" i="1"/>
  <c r="V38" i="1"/>
  <c r="U38" i="1"/>
  <c r="T38" i="1"/>
  <c r="S38" i="1"/>
  <c r="R38" i="1"/>
  <c r="Q38" i="1"/>
  <c r="P38" i="1"/>
  <c r="N38" i="1"/>
  <c r="AA32" i="1"/>
  <c r="Z32" i="1"/>
  <c r="Y32" i="1"/>
  <c r="X32" i="1"/>
  <c r="W32" i="1"/>
  <c r="V32" i="1"/>
  <c r="U32" i="1"/>
  <c r="T32" i="1"/>
  <c r="S32" i="1"/>
  <c r="R32" i="1"/>
  <c r="Q32" i="1"/>
  <c r="P32" i="1"/>
  <c r="N32" i="1"/>
  <c r="AA10" i="1"/>
  <c r="Z10" i="1"/>
  <c r="Y10" i="1"/>
  <c r="X10" i="1"/>
  <c r="W10" i="1"/>
  <c r="V10" i="1"/>
  <c r="U10" i="1"/>
  <c r="T10" i="1"/>
  <c r="S10" i="1"/>
  <c r="R10" i="1"/>
  <c r="Q10" i="1"/>
  <c r="P10" i="1"/>
  <c r="N10" i="1"/>
  <c r="G103" i="1"/>
  <c r="E103" i="1"/>
  <c r="F103" i="1"/>
  <c r="H103" i="1"/>
  <c r="I103" i="1"/>
  <c r="J103" i="1"/>
  <c r="K103" i="1"/>
  <c r="L103" i="1"/>
  <c r="M103" i="1"/>
  <c r="B103" i="1"/>
  <c r="C103" i="1"/>
  <c r="E88" i="1"/>
  <c r="F88" i="1"/>
  <c r="G88" i="1"/>
  <c r="H88" i="1"/>
  <c r="I88" i="1"/>
  <c r="J88" i="1"/>
  <c r="K88" i="1"/>
  <c r="L88" i="1"/>
  <c r="M88" i="1"/>
  <c r="B88" i="1"/>
  <c r="C88" i="1"/>
  <c r="F81" i="1"/>
  <c r="G81" i="1"/>
  <c r="H81" i="1"/>
  <c r="I81" i="1"/>
  <c r="J81" i="1"/>
  <c r="K81" i="1"/>
  <c r="L81" i="1"/>
  <c r="M81" i="1"/>
  <c r="B81" i="1"/>
  <c r="C81" i="1"/>
  <c r="D81" i="1"/>
  <c r="E81" i="1"/>
  <c r="H71" i="1"/>
  <c r="I71" i="1"/>
  <c r="J71" i="1"/>
  <c r="K71" i="1"/>
  <c r="L71" i="1"/>
  <c r="M71" i="1"/>
  <c r="B71" i="1"/>
  <c r="C71" i="1"/>
  <c r="D71" i="1"/>
  <c r="E71" i="1"/>
  <c r="F71" i="1"/>
  <c r="G71" i="1"/>
  <c r="E64" i="1"/>
  <c r="F64" i="1"/>
  <c r="G64" i="1"/>
  <c r="H64" i="1"/>
  <c r="I64" i="1"/>
  <c r="J64" i="1"/>
  <c r="K64" i="1"/>
  <c r="L64" i="1"/>
  <c r="M64" i="1"/>
  <c r="B64" i="1"/>
  <c r="C64" i="1"/>
  <c r="F59" i="1"/>
  <c r="G59" i="1"/>
  <c r="H59" i="1"/>
  <c r="I59" i="1"/>
  <c r="J59" i="1"/>
  <c r="K59" i="1"/>
  <c r="L59" i="1"/>
  <c r="M59" i="1"/>
  <c r="B59" i="1"/>
  <c r="C59" i="1"/>
  <c r="D59" i="1"/>
  <c r="F52" i="1"/>
  <c r="G52" i="1"/>
  <c r="H52" i="1"/>
  <c r="I52" i="1"/>
  <c r="J52" i="1"/>
  <c r="K52" i="1"/>
  <c r="L52" i="1"/>
  <c r="M52" i="1"/>
  <c r="B52" i="1"/>
  <c r="C52" i="1"/>
  <c r="D52" i="1"/>
  <c r="E52" i="1"/>
  <c r="F45" i="1"/>
  <c r="G45" i="1"/>
  <c r="H45" i="1"/>
  <c r="I45" i="1"/>
  <c r="J45" i="1"/>
  <c r="K45" i="1"/>
  <c r="L45" i="1"/>
  <c r="M45" i="1"/>
  <c r="B45" i="1"/>
  <c r="C45" i="1"/>
  <c r="D45" i="1"/>
  <c r="F10" i="1"/>
  <c r="G10" i="1"/>
  <c r="H10" i="1"/>
  <c r="I10" i="1"/>
  <c r="J10" i="1"/>
  <c r="K10" i="1"/>
  <c r="L10" i="1"/>
  <c r="M10" i="1"/>
  <c r="C10" i="1"/>
  <c r="D10" i="1"/>
  <c r="E10" i="1"/>
  <c r="D32" i="1"/>
  <c r="E32" i="1"/>
  <c r="F32" i="1"/>
  <c r="G32" i="1"/>
  <c r="H32" i="1"/>
  <c r="I32" i="1"/>
  <c r="J32" i="1"/>
  <c r="K32" i="1"/>
  <c r="L32" i="1"/>
  <c r="M32" i="1"/>
  <c r="B32" i="1"/>
  <c r="C32" i="1"/>
  <c r="D38" i="1"/>
  <c r="E38" i="1"/>
  <c r="F38" i="1"/>
  <c r="G38" i="1"/>
  <c r="H38" i="1"/>
  <c r="I38" i="1"/>
  <c r="J38" i="1"/>
  <c r="K38" i="1"/>
  <c r="L38" i="1"/>
  <c r="M38" i="1"/>
  <c r="C38" i="1"/>
  <c r="D103" i="1"/>
  <c r="D88" i="1"/>
  <c r="D64" i="1"/>
  <c r="E59" i="1"/>
  <c r="E45" i="1"/>
  <c r="B38" i="1"/>
  <c r="M8" i="1" l="1"/>
  <c r="I8" i="1"/>
  <c r="N8" i="1"/>
  <c r="Q8" i="1"/>
  <c r="S8" i="1"/>
  <c r="U8" i="1"/>
  <c r="W8" i="1"/>
  <c r="Y8" i="1"/>
  <c r="AA8" i="1"/>
  <c r="L8" i="1"/>
  <c r="J8" i="1"/>
  <c r="H8" i="1"/>
  <c r="F8" i="1"/>
  <c r="B8" i="1"/>
  <c r="E8" i="1"/>
  <c r="C8" i="1"/>
  <c r="D8" i="1"/>
  <c r="K8" i="1"/>
  <c r="G8" i="1"/>
  <c r="P8" i="1"/>
  <c r="R8" i="1"/>
  <c r="T8" i="1"/>
  <c r="V8" i="1"/>
  <c r="X8" i="1"/>
  <c r="Z8" i="1"/>
</calcChain>
</file>

<file path=xl/sharedStrings.xml><?xml version="1.0" encoding="utf-8"?>
<sst xmlns="http://schemas.openxmlformats.org/spreadsheetml/2006/main" count="701" uniqueCount="198">
  <si>
    <t xml:space="preserve">Περιφέρειες και Περιφερειακές Ενότητες      </t>
  </si>
  <si>
    <t>Regions and Regional Unities (NUTS 2)</t>
  </si>
  <si>
    <t>Αριθμός Κεφαλών Heads</t>
  </si>
  <si>
    <t>Βάρος Weight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</si>
  <si>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</si>
  <si>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</si>
  <si>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</si>
  <si>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</si>
  <si>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</si>
  <si>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</si>
  <si>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</si>
  <si>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</si>
  <si>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</si>
  <si>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</si>
  <si>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</si>
  <si>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</si>
  <si>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</si>
  <si>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</si>
  <si>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</si>
  <si>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</si>
  <si>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</si>
  <si>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</si>
  <si>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</si>
  <si>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</si>
  <si>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</si>
  <si>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</si>
  <si>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</si>
  <si>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</si>
  <si>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</si>
  <si>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</si>
  <si>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</si>
  <si>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</si>
  <si>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</si>
  <si>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</si>
  <si>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</si>
  <si>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</si>
  <si>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</si>
  <si>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</si>
  <si>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</si>
  <si>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</si>
  <si>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</si>
  <si>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</si>
  <si>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</si>
  <si>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</si>
  <si>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</si>
  <si>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</si>
  <si>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</si>
  <si>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</si>
  <si>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</si>
  <si>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</si>
  <si>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</si>
  <si>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</si>
  <si>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</si>
  <si>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</si>
  <si>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</si>
  <si>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</si>
  <si>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</si>
  <si>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</si>
  <si>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</si>
  <si>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</si>
  <si>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</si>
  <si>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</si>
  <si>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</si>
  <si>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</si>
  <si>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</si>
  <si>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</si>
  <si>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</si>
  <si>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</si>
  <si>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</si>
  <si>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</si>
  <si>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</si>
  <si>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</si>
  <si>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</si>
  <si>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</si>
  <si>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</si>
  <si>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</si>
  <si>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</si>
  <si>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</si>
  <si>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</si>
  <si>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</si>
  <si>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</si>
  <si>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</si>
  <si>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</si>
  <si>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</si>
  <si>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</si>
  <si>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</si>
  <si>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</si>
  <si>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</si>
  <si>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</si>
  <si>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</si>
  <si>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</si>
  <si>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</si>
  <si>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</si>
  <si>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</si>
  <si>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</si>
  <si>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</si>
  <si>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</si>
  <si>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</si>
  <si>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</si>
  <si>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</si>
  <si>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</si>
  <si>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</si>
  <si>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</si>
  <si>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</si>
  <si>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</si>
  <si>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</si>
  <si>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</si>
  <si>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</si>
  <si>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</si>
  <si>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</si>
  <si>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</si>
  <si>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</si>
  <si>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</si>
  <si>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</si>
  <si>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</si>
  <si>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</si>
  <si>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</si>
  <si>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</si>
  <si>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</si>
  <si>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</si>
  <si>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</si>
  <si>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</si>
  <si>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</si>
  <si>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</si>
  <si>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</si>
  <si>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</si>
  <si>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</si>
  <si>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</si>
  <si>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</si>
  <si>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</si>
  <si>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</si>
  <si>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</si>
  <si>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</si>
  <si>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</si>
  <si>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</si>
  <si>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</si>
  <si>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</si>
  <si>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</si>
  <si>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</si>
  <si>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</si>
  <si>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</si>
  <si>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</si>
  <si>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</si>
  <si>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</si>
  <si>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</si>
  <si>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</si>
  <si>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</si>
  <si>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</si>
  <si>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</si>
  <si>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</si>
  <si>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</si>
  <si>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</si>
  <si>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</si>
  <si>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</si>
  <si>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</si>
  <si>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</si>
  <si>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</si>
  <si>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</si>
  <si>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</si>
  <si>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</si>
  <si>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</si>
  <si>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</si>
  <si>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</si>
  <si>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</si>
  <si>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</si>
  <si>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</si>
  <si>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</si>
  <si>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</si>
  <si>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</si>
  <si>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</si>
  <si>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</si>
  <si>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</si>
  <si>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</si>
  <si>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</si>
  <si>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</si>
  <si>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</si>
  <si>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</si>
  <si>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</si>
  <si>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Αρνιά
Lambs</t>
  </si>
  <si>
    <t>Μοσχάρια κάτω του έτους
Calves less than 1 year</t>
  </si>
  <si>
    <t>Χοιρίδια
Piglets</t>
  </si>
  <si>
    <t>Δαμάλια και βόδια
Heifers and oxen</t>
  </si>
  <si>
    <t>Βιτούλια και αίγες
Goats (1 year and over)</t>
  </si>
  <si>
    <t>Χοίροι
Pigs</t>
  </si>
  <si>
    <t>Πουλερικά
 Poultry</t>
  </si>
  <si>
    <t>Κουνέλια
Rabbits</t>
  </si>
  <si>
    <t>Region of Western Macedonia</t>
  </si>
  <si>
    <t>Περιφέρεια Δυτικής Μακεδονίας</t>
  </si>
  <si>
    <t>Μοσχάρια 1 -2 ετών
Calves 1 - 2 year</t>
  </si>
  <si>
    <t>Βουβαλίδια
Buffaloes
(less than 1 year old)</t>
  </si>
  <si>
    <t>Βουβάλια και βουβαλοδαμάλια
Buffaloes 
(1 year and over)</t>
  </si>
  <si>
    <t>Ζυγούρια και πρόβατα
Sheep 
(1 year and over)</t>
  </si>
  <si>
    <t>Κατσίκια 
Goat kids</t>
  </si>
  <si>
    <t>―</t>
  </si>
  <si>
    <t>Βάρος σε τόννους</t>
  </si>
  <si>
    <t>Weight in tons</t>
  </si>
  <si>
    <t>Πίνακας 7β. Παραγωγή κρέατος (αναλυτικά) κατά είδος σφάγιου, περιφέρεια και περιφερειακή ενότητα, 2018</t>
  </si>
  <si>
    <t>Table 7b. Meat production (analytical), by kind of animal,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</si>
</sst>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wrapText="1" indent="1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8" fillId="0" borderId="2" xfId="0" applyNumberFormat="1" applyFont="1" applyBorder="1" applyAlignment="1">
      <alignment horizontal="right" vertical="top" wrapText="1"/>
    </xf>
    <xf numFmtId="3" fontId="8" fillId="0" borderId="0" xfId="0" applyNumberFormat="1" applyFont="1" applyBorder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3" fontId="8" fillId="0" borderId="20" xfId="0" applyNumberFormat="1" applyFont="1" applyBorder="1" applyAlignment="1">
      <alignment horizontal="right" vertical="top" wrapText="1"/>
    </xf>
    <xf numFmtId="3" fontId="8" fillId="0" borderId="24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right" vertical="top" wrapText="1"/>
    </xf>
    <xf numFmtId="3" fontId="8" fillId="0" borderId="22" xfId="0" applyNumberFormat="1" applyFont="1" applyBorder="1" applyAlignment="1">
      <alignment horizontal="right" vertical="top" wrapText="1"/>
    </xf>
    <xf numFmtId="3" fontId="8" fillId="0" borderId="1" xfId="0" applyNumberFormat="1" applyFont="1" applyBorder="1" applyAlignment="1">
      <alignment horizontal="right" vertical="top" wrapText="1"/>
    </xf>
    <xf numFmtId="3" fontId="8" fillId="0" borderId="4" xfId="0" applyNumberFormat="1" applyFont="1" applyBorder="1" applyAlignment="1">
      <alignment horizontal="right" vertical="top" wrapText="1"/>
    </xf>
    <xf numFmtId="3" fontId="8" fillId="0" borderId="25" xfId="0" applyNumberFormat="1" applyFont="1" applyBorder="1" applyAlignment="1">
      <alignment horizontal="right" vertical="top" wrapText="1"/>
    </xf>
    <xf numFmtId="3" fontId="0" fillId="0" borderId="0" xfId="0" applyNumberFormat="1" applyFont="1"/>
    <xf numFmtId="0" fontId="7" fillId="0" borderId="1" xfId="0" applyFont="1" applyBorder="1" applyAlignment="1">
      <alignment horizont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3" fontId="2" fillId="0" borderId="3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3" fontId="2" fillId="0" borderId="21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21" xfId="0" applyNumberFormat="1" applyFont="1" applyBorder="1" applyAlignment="1">
      <alignment vertical="center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3" fontId="2" fillId="0" borderId="8" xfId="0" applyNumberFormat="1" applyFont="1" applyBorder="1" applyAlignment="1">
      <alignment horizontal="right" vertical="center"/>
    </xf>
    <xf numFmtId="3" fontId="2" fillId="0" borderId="20" xfId="0" applyNumberFormat="1" applyFont="1" applyBorder="1" applyAlignment="1">
      <alignment horizontal="right" vertical="center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17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49" fontId="2" fillId="0" borderId="16" xfId="0" applyNumberFormat="1" applyFont="1" applyFill="1" applyBorder="1" applyAlignment="1" applyProtection="1">
      <alignment horizontal="left" vertical="center" wrapText="1"/>
    </xf>
    <xf numFmtId="3" fontId="2" fillId="0" borderId="19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8"/>
  <sheetViews>
    <sheetView showGridLines="0" tabSelected="1" zoomScaleNormal="100" workbookViewId="0">
      <selection activeCell="L8" sqref="L8:L9"/>
    </sheetView>
  </sheetViews>
  <sheetFormatPr defaultRowHeight="14.4" x14ac:dyDescent="0.3"/>
  <cols>
    <col min="1" max="1" width="43.109375" style="1" bestFit="1" customWidth="1"/>
    <col min="2" max="2" width="9.109375" style="1" customWidth="1"/>
    <col min="3" max="3" width="6.77734375" style="1" bestFit="1" customWidth="1"/>
    <col min="4" max="4" width="8.5546875" style="1" bestFit="1" customWidth="1"/>
    <col min="5" max="5" width="6.77734375" style="1" bestFit="1" customWidth="1"/>
    <col min="6" max="6" width="8.33203125" style="1" customWidth="1"/>
    <col min="7" max="7" width="7.5546875" style="1" customWidth="1"/>
    <col min="8" max="8" width="8.5546875" style="1" bestFit="1" customWidth="1"/>
    <col min="9" max="9" width="6.77734375" style="1" bestFit="1" customWidth="1"/>
    <col min="10" max="10" width="8.5546875" style="1" bestFit="1" customWidth="1"/>
    <col min="11" max="11" width="6.77734375" style="1" bestFit="1" customWidth="1"/>
    <col min="12" max="12" width="9.109375" style="1" bestFit="1" customWidth="1"/>
    <col min="13" max="13" width="6.77734375" style="1" bestFit="1" customWidth="1"/>
    <col min="14" max="14" width="8.5546875" style="1" bestFit="1" customWidth="1"/>
    <col min="15" max="15" width="6.77734375" style="1" bestFit="1" customWidth="1"/>
    <col min="16" max="16" width="9.109375" style="1" bestFit="1" customWidth="1"/>
    <col min="17" max="17" width="6.77734375" style="1" bestFit="1" customWidth="1"/>
    <col min="18" max="18" width="8.5546875" style="1" bestFit="1" customWidth="1"/>
    <col min="19" max="19" width="6.77734375" style="1" bestFit="1" customWidth="1"/>
    <col min="20" max="20" width="8.5546875" style="1" bestFit="1" customWidth="1"/>
    <col min="21" max="21" width="6.77734375" style="1" bestFit="1" customWidth="1"/>
    <col min="22" max="22" width="9.109375" style="1" bestFit="1" customWidth="1"/>
    <col min="23" max="23" width="6.77734375" style="1" bestFit="1" customWidth="1"/>
    <col min="24" max="24" width="11.109375" style="1" bestFit="1" customWidth="1"/>
    <col min="25" max="25" width="7.5546875" style="1" bestFit="1" customWidth="1"/>
    <col min="26" max="26" width="9.109375" style="1" bestFit="1" customWidth="1"/>
    <col min="27" max="27" width="6.77734375" style="1" bestFit="1" customWidth="1"/>
    <col min="28" max="28" width="22.33203125" style="1" bestFit="1" customWidth="1"/>
    <col min="29" max="29" width="10.88671875" style="1" customWidth="1"/>
    <col min="30" max="30" width="5.109375" style="1" bestFit="1" customWidth="1"/>
    <col min="31" max="16384" width="8.88671875" style="1"/>
  </cols>
  <sheetData>
    <row r="1" spans="1:30" ht="19.95" customHeight="1" x14ac:dyDescent="0.3">
      <c r="P1" s="2"/>
    </row>
    <row r="2" spans="1:30" ht="18" x14ac:dyDescent="0.3">
      <c r="A2" s="34"/>
      <c r="B2" s="36" t="s">
        <v>196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30" ht="18" x14ac:dyDescent="0.3">
      <c r="B3" s="36" t="s">
        <v>197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30" x14ac:dyDescent="0.3"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30" ht="15" thickBot="1" x14ac:dyDescent="0.35">
      <c r="A5" s="23" t="s">
        <v>194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C5" s="35" t="s">
        <v>195</v>
      </c>
      <c r="AD5" s="35"/>
    </row>
    <row r="6" spans="1:30" ht="97.05" customHeight="1" x14ac:dyDescent="0.3">
      <c r="A6" s="51" t="s">
        <v>0</v>
      </c>
      <c r="B6" s="50" t="s">
        <v>179</v>
      </c>
      <c r="C6" s="46"/>
      <c r="D6" s="45" t="s">
        <v>188</v>
      </c>
      <c r="E6" s="46"/>
      <c r="F6" s="45" t="s">
        <v>181</v>
      </c>
      <c r="G6" s="46"/>
      <c r="H6" s="45" t="s">
        <v>189</v>
      </c>
      <c r="I6" s="46"/>
      <c r="J6" s="45" t="s">
        <v>190</v>
      </c>
      <c r="K6" s="47"/>
      <c r="L6" s="45" t="s">
        <v>178</v>
      </c>
      <c r="M6" s="47"/>
      <c r="N6" s="59" t="s">
        <v>191</v>
      </c>
      <c r="O6" s="59"/>
      <c r="P6" s="45" t="s">
        <v>192</v>
      </c>
      <c r="Q6" s="46"/>
      <c r="R6" s="45" t="s">
        <v>182</v>
      </c>
      <c r="S6" s="47"/>
      <c r="T6" s="45" t="s">
        <v>180</v>
      </c>
      <c r="U6" s="47"/>
      <c r="V6" s="45" t="s">
        <v>183</v>
      </c>
      <c r="W6" s="47"/>
      <c r="X6" s="45" t="s">
        <v>184</v>
      </c>
      <c r="Y6" s="47"/>
      <c r="Z6" s="45" t="s">
        <v>185</v>
      </c>
      <c r="AA6" s="58"/>
      <c r="AB6" s="39" t="s">
        <v>1</v>
      </c>
      <c r="AC6" s="39"/>
      <c r="AD6" s="39"/>
    </row>
    <row r="7" spans="1:30" s="10" customFormat="1" ht="43.2" x14ac:dyDescent="0.3">
      <c r="A7" s="52"/>
      <c r="B7" s="6" t="s">
        <v>2</v>
      </c>
      <c r="C7" s="7" t="s">
        <v>3</v>
      </c>
      <c r="D7" s="7" t="s">
        <v>2</v>
      </c>
      <c r="E7" s="7" t="s">
        <v>3</v>
      </c>
      <c r="F7" s="7" t="s">
        <v>2</v>
      </c>
      <c r="G7" s="7" t="s">
        <v>3</v>
      </c>
      <c r="H7" s="7" t="s">
        <v>2</v>
      </c>
      <c r="I7" s="7" t="s">
        <v>3</v>
      </c>
      <c r="J7" s="7" t="s">
        <v>2</v>
      </c>
      <c r="K7" s="7" t="s">
        <v>3</v>
      </c>
      <c r="L7" s="7" t="s">
        <v>2</v>
      </c>
      <c r="M7" s="7" t="s">
        <v>3</v>
      </c>
      <c r="N7" s="8" t="s">
        <v>2</v>
      </c>
      <c r="O7" s="7" t="s">
        <v>3</v>
      </c>
      <c r="P7" s="7" t="s">
        <v>2</v>
      </c>
      <c r="Q7" s="7" t="s">
        <v>3</v>
      </c>
      <c r="R7" s="7" t="s">
        <v>2</v>
      </c>
      <c r="S7" s="7" t="s">
        <v>3</v>
      </c>
      <c r="T7" s="7" t="s">
        <v>2</v>
      </c>
      <c r="U7" s="7" t="s">
        <v>3</v>
      </c>
      <c r="V7" s="7" t="s">
        <v>2</v>
      </c>
      <c r="W7" s="7" t="s">
        <v>3</v>
      </c>
      <c r="X7" s="7" t="s">
        <v>2</v>
      </c>
      <c r="Y7" s="7" t="s">
        <v>3</v>
      </c>
      <c r="Z7" s="7" t="s">
        <v>2</v>
      </c>
      <c r="AA7" s="9" t="s">
        <v>3</v>
      </c>
      <c r="AB7" s="40"/>
      <c r="AC7" s="40"/>
      <c r="AD7" s="40"/>
    </row>
    <row r="8" spans="1:30" x14ac:dyDescent="0.3">
      <c r="A8" s="61" t="s">
        <v>4</v>
      </c>
      <c r="B8" s="56">
        <f>SUM(B10,B18,B27,B32,B38,B45,B52,B59,B64,B71,B81,B88,B103)</f>
        <v>55908</v>
      </c>
      <c r="C8" s="48">
        <f>SUM(C10,C18,C27,C32,C38,C45,C52,C59,C64,C71,C81,C88,C103)</f>
        <v>8336.8639999999996</v>
      </c>
      <c r="D8" s="48">
        <f>SUM(D10,D18,D27,D32,D38,D45,D52,D59,D64,D71,D81,D88,D103)</f>
        <v>92543</v>
      </c>
      <c r="E8" s="48">
        <f>SUM(E10,E18,E27,E32,E38,E45,E52,E59,E64,E71,E81,E88,E103)</f>
        <v>24706.417000000005</v>
      </c>
      <c r="F8" s="48">
        <f t="shared" ref="F8:AA8" si="0">SUM(F10,F18,F27,F32,F38,F45,F52,F59,F64,F71,F81,F88,F103)</f>
        <v>33644</v>
      </c>
      <c r="G8" s="48">
        <f t="shared" si="0"/>
        <v>9358.7390000000014</v>
      </c>
      <c r="H8" s="48">
        <f t="shared" si="0"/>
        <v>1921</v>
      </c>
      <c r="I8" s="48">
        <f>SUM(I10,I18,I27,I32,I38,I45,I52,I59,I64,I71,I81,I88,I103)</f>
        <v>710.92899999999997</v>
      </c>
      <c r="J8" s="48">
        <f t="shared" si="0"/>
        <v>224</v>
      </c>
      <c r="K8" s="48">
        <f t="shared" si="0"/>
        <v>89.215999999999994</v>
      </c>
      <c r="L8" s="48">
        <f t="shared" si="0"/>
        <v>4168900</v>
      </c>
      <c r="M8" s="48">
        <f>SUM(M10,M18,M27,M32,M38,M45,M52,M59,M64,M71,M81,M88,M103)</f>
        <v>41149.025000000001</v>
      </c>
      <c r="N8" s="48">
        <f t="shared" si="0"/>
        <v>552469</v>
      </c>
      <c r="O8" s="48">
        <f>SUM(O10,O18,O27,O32,O38,O45,O52,O59,O64,O71,O81,O88,O103)</f>
        <v>11266.839</v>
      </c>
      <c r="P8" s="48">
        <f t="shared" si="0"/>
        <v>1638530</v>
      </c>
      <c r="Q8" s="48">
        <f t="shared" si="0"/>
        <v>15394.461000000001</v>
      </c>
      <c r="R8" s="48">
        <f t="shared" si="0"/>
        <v>243905</v>
      </c>
      <c r="S8" s="48">
        <f t="shared" si="0"/>
        <v>4813.3909999999996</v>
      </c>
      <c r="T8" s="48">
        <f t="shared" si="0"/>
        <v>226100</v>
      </c>
      <c r="U8" s="48">
        <f t="shared" si="0"/>
        <v>4122.4279999999999</v>
      </c>
      <c r="V8" s="48">
        <f t="shared" si="0"/>
        <v>1046082</v>
      </c>
      <c r="W8" s="48">
        <f t="shared" si="0"/>
        <v>75773.553999999989</v>
      </c>
      <c r="X8" s="48">
        <f t="shared" si="0"/>
        <v>143822766</v>
      </c>
      <c r="Y8" s="48">
        <f t="shared" si="0"/>
        <v>244339.37099999998</v>
      </c>
      <c r="Z8" s="48">
        <f t="shared" si="0"/>
        <v>1506961</v>
      </c>
      <c r="AA8" s="62">
        <f t="shared" si="0"/>
        <v>2685.1179999999999</v>
      </c>
      <c r="AB8" s="53" t="s">
        <v>5</v>
      </c>
      <c r="AC8" s="53"/>
      <c r="AD8" s="53"/>
    </row>
    <row r="9" spans="1:30" x14ac:dyDescent="0.3">
      <c r="A9" s="55"/>
      <c r="B9" s="5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41"/>
      <c r="AB9" s="54"/>
      <c r="AC9" s="54"/>
      <c r="AD9" s="54"/>
    </row>
    <row r="10" spans="1:30" x14ac:dyDescent="0.3">
      <c r="A10" s="55" t="s">
        <v>6</v>
      </c>
      <c r="B10" s="49">
        <f>SUM(B12:B17)</f>
        <v>12562</v>
      </c>
      <c r="C10" s="38">
        <f t="shared" ref="C10:E10" si="1">SUM(C12:C17)</f>
        <v>1458.3319999999999</v>
      </c>
      <c r="D10" s="38">
        <f t="shared" si="1"/>
        <v>10306</v>
      </c>
      <c r="E10" s="38">
        <f t="shared" si="1"/>
        <v>2784.9430000000002</v>
      </c>
      <c r="F10" s="38">
        <f t="shared" ref="F10:H10" si="2">SUM(F12:F17)</f>
        <v>1753</v>
      </c>
      <c r="G10" s="38">
        <f t="shared" si="2"/>
        <v>544.59299999999996</v>
      </c>
      <c r="H10" s="38">
        <f t="shared" si="2"/>
        <v>1</v>
      </c>
      <c r="I10" s="37">
        <f t="shared" ref="I10:AA10" si="3">SUM(I12:I17)</f>
        <v>0.28999999999999998</v>
      </c>
      <c r="J10" s="38">
        <f t="shared" si="3"/>
        <v>0</v>
      </c>
      <c r="K10" s="37">
        <f t="shared" si="3"/>
        <v>0</v>
      </c>
      <c r="L10" s="38">
        <f t="shared" si="3"/>
        <v>149369</v>
      </c>
      <c r="M10" s="38">
        <f t="shared" si="3"/>
        <v>1369.056</v>
      </c>
      <c r="N10" s="38">
        <f t="shared" si="3"/>
        <v>18223</v>
      </c>
      <c r="O10" s="38">
        <f>SUM(O12:O17)</f>
        <v>333.36700000000002</v>
      </c>
      <c r="P10" s="37">
        <f t="shared" si="3"/>
        <v>100767</v>
      </c>
      <c r="Q10" s="38">
        <f t="shared" si="3"/>
        <v>893.00299999999993</v>
      </c>
      <c r="R10" s="38">
        <f t="shared" si="3"/>
        <v>17954</v>
      </c>
      <c r="S10" s="37">
        <f t="shared" si="3"/>
        <v>325.15300000000002</v>
      </c>
      <c r="T10" s="38">
        <f t="shared" si="3"/>
        <v>20656</v>
      </c>
      <c r="U10" s="37">
        <f t="shared" si="3"/>
        <v>351.73599999999999</v>
      </c>
      <c r="V10" s="38">
        <f t="shared" si="3"/>
        <v>30324</v>
      </c>
      <c r="W10" s="37">
        <f t="shared" si="3"/>
        <v>2151.9009999999998</v>
      </c>
      <c r="X10" s="38">
        <f t="shared" si="3"/>
        <v>493982</v>
      </c>
      <c r="Y10" s="37">
        <f t="shared" si="3"/>
        <v>889.92899999999986</v>
      </c>
      <c r="Z10" s="38">
        <f t="shared" si="3"/>
        <v>43962</v>
      </c>
      <c r="AA10" s="41">
        <f t="shared" si="3"/>
        <v>77.677999999999997</v>
      </c>
      <c r="AB10" s="54" t="s">
        <v>7</v>
      </c>
      <c r="AC10" s="54"/>
      <c r="AD10" s="54"/>
    </row>
    <row r="11" spans="1:30" x14ac:dyDescent="0.3">
      <c r="A11" s="55"/>
      <c r="B11" s="49"/>
      <c r="C11" s="38"/>
      <c r="D11" s="38"/>
      <c r="E11" s="38"/>
      <c r="F11" s="38"/>
      <c r="G11" s="38"/>
      <c r="H11" s="38"/>
      <c r="I11" s="37"/>
      <c r="J11" s="38"/>
      <c r="K11" s="37"/>
      <c r="L11" s="38"/>
      <c r="M11" s="38"/>
      <c r="N11" s="38"/>
      <c r="O11" s="38"/>
      <c r="P11" s="37"/>
      <c r="Q11" s="38"/>
      <c r="R11" s="38"/>
      <c r="S11" s="37"/>
      <c r="T11" s="38"/>
      <c r="U11" s="37"/>
      <c r="V11" s="38"/>
      <c r="W11" s="37"/>
      <c r="X11" s="38"/>
      <c r="Y11" s="37"/>
      <c r="Z11" s="38"/>
      <c r="AA11" s="41"/>
      <c r="AB11" s="54"/>
      <c r="AC11" s="54"/>
      <c r="AD11" s="54"/>
    </row>
    <row r="12" spans="1:30" x14ac:dyDescent="0.3">
      <c r="A12" s="11" t="s">
        <v>8</v>
      </c>
      <c r="B12" s="27">
        <v>1512</v>
      </c>
      <c r="C12" s="25">
        <v>300.49400000000003</v>
      </c>
      <c r="D12" s="24">
        <v>1641</v>
      </c>
      <c r="E12" s="25">
        <v>392.65300000000002</v>
      </c>
      <c r="F12" s="24">
        <v>523</v>
      </c>
      <c r="G12" s="25">
        <v>154.01</v>
      </c>
      <c r="H12" s="24">
        <v>1</v>
      </c>
      <c r="I12" s="25">
        <v>0.28999999999999998</v>
      </c>
      <c r="J12" s="24" t="s">
        <v>193</v>
      </c>
      <c r="K12" s="25" t="s">
        <v>193</v>
      </c>
      <c r="L12" s="24">
        <v>26077</v>
      </c>
      <c r="M12" s="25">
        <v>234.95699999999999</v>
      </c>
      <c r="N12" s="24">
        <v>4062</v>
      </c>
      <c r="O12" s="25">
        <v>72.867999999999995</v>
      </c>
      <c r="P12" s="24">
        <v>12726</v>
      </c>
      <c r="Q12" s="25">
        <v>108.426</v>
      </c>
      <c r="R12" s="24">
        <v>3553</v>
      </c>
      <c r="S12" s="25">
        <v>61.640999999999998</v>
      </c>
      <c r="T12" s="24">
        <v>107</v>
      </c>
      <c r="U12" s="25">
        <v>1.927</v>
      </c>
      <c r="V12" s="24">
        <v>789</v>
      </c>
      <c r="W12" s="25">
        <v>44.628</v>
      </c>
      <c r="X12" s="24">
        <v>62809</v>
      </c>
      <c r="Y12" s="25">
        <v>84.912999999999997</v>
      </c>
      <c r="Z12" s="24">
        <v>7920</v>
      </c>
      <c r="AA12" s="28">
        <v>10.946</v>
      </c>
      <c r="AB12" s="12" t="s">
        <v>9</v>
      </c>
      <c r="AC12" s="13"/>
      <c r="AD12" s="13"/>
    </row>
    <row r="13" spans="1:30" x14ac:dyDescent="0.3">
      <c r="A13" s="11" t="s">
        <v>10</v>
      </c>
      <c r="B13" s="27">
        <v>4860</v>
      </c>
      <c r="C13" s="25">
        <v>524.46500000000003</v>
      </c>
      <c r="D13" s="24">
        <v>161</v>
      </c>
      <c r="E13" s="25">
        <v>32.380000000000003</v>
      </c>
      <c r="F13" s="24">
        <v>110</v>
      </c>
      <c r="G13" s="25">
        <v>27.5</v>
      </c>
      <c r="H13" s="24" t="s">
        <v>193</v>
      </c>
      <c r="I13" s="25" t="s">
        <v>193</v>
      </c>
      <c r="J13" s="24" t="s">
        <v>193</v>
      </c>
      <c r="K13" s="25" t="s">
        <v>193</v>
      </c>
      <c r="L13" s="24">
        <v>32933</v>
      </c>
      <c r="M13" s="25">
        <v>296.584</v>
      </c>
      <c r="N13" s="24">
        <v>1770</v>
      </c>
      <c r="O13" s="25">
        <v>34.292000000000002</v>
      </c>
      <c r="P13" s="24">
        <v>23217</v>
      </c>
      <c r="Q13" s="25">
        <v>202.54300000000001</v>
      </c>
      <c r="R13" s="24">
        <v>1374</v>
      </c>
      <c r="S13" s="25">
        <v>29.126999999999999</v>
      </c>
      <c r="T13" s="24">
        <v>4226</v>
      </c>
      <c r="U13" s="25">
        <v>71.932000000000002</v>
      </c>
      <c r="V13" s="24">
        <v>17979</v>
      </c>
      <c r="W13" s="25">
        <v>1433.7360000000001</v>
      </c>
      <c r="X13" s="24">
        <v>9778</v>
      </c>
      <c r="Y13" s="25">
        <v>15.555</v>
      </c>
      <c r="Z13" s="24">
        <v>271</v>
      </c>
      <c r="AA13" s="28">
        <v>0.45200000000000001</v>
      </c>
      <c r="AB13" s="12" t="s">
        <v>11</v>
      </c>
      <c r="AC13" s="13"/>
      <c r="AD13" s="13"/>
    </row>
    <row r="14" spans="1:30" x14ac:dyDescent="0.3">
      <c r="A14" s="11" t="s">
        <v>12</v>
      </c>
      <c r="B14" s="27">
        <v>351</v>
      </c>
      <c r="C14" s="25">
        <v>72.625</v>
      </c>
      <c r="D14" s="24">
        <v>3123</v>
      </c>
      <c r="E14" s="25">
        <v>829.61</v>
      </c>
      <c r="F14" s="24">
        <v>670</v>
      </c>
      <c r="G14" s="25">
        <v>185.083</v>
      </c>
      <c r="H14" s="24" t="s">
        <v>193</v>
      </c>
      <c r="I14" s="25" t="s">
        <v>193</v>
      </c>
      <c r="J14" s="24" t="s">
        <v>193</v>
      </c>
      <c r="K14" s="25" t="s">
        <v>193</v>
      </c>
      <c r="L14" s="24">
        <v>22277</v>
      </c>
      <c r="M14" s="25">
        <v>203.00700000000001</v>
      </c>
      <c r="N14" s="24">
        <v>2220</v>
      </c>
      <c r="O14" s="25">
        <v>43.555999999999997</v>
      </c>
      <c r="P14" s="24">
        <v>15079</v>
      </c>
      <c r="Q14" s="25">
        <v>140.40799999999999</v>
      </c>
      <c r="R14" s="24">
        <v>4482</v>
      </c>
      <c r="S14" s="25">
        <v>81.957999999999998</v>
      </c>
      <c r="T14" s="24">
        <v>202</v>
      </c>
      <c r="U14" s="25">
        <v>3.823</v>
      </c>
      <c r="V14" s="24">
        <v>8799</v>
      </c>
      <c r="W14" s="25">
        <v>533.93700000000001</v>
      </c>
      <c r="X14" s="24">
        <v>385486</v>
      </c>
      <c r="Y14" s="25">
        <v>739.97799999999995</v>
      </c>
      <c r="Z14" s="24">
        <v>34996</v>
      </c>
      <c r="AA14" s="28">
        <v>64.989999999999995</v>
      </c>
      <c r="AB14" s="12" t="s">
        <v>13</v>
      </c>
      <c r="AC14" s="13"/>
      <c r="AD14" s="13"/>
    </row>
    <row r="15" spans="1:30" x14ac:dyDescent="0.3">
      <c r="A15" s="11" t="s">
        <v>14</v>
      </c>
      <c r="B15" s="27">
        <v>1</v>
      </c>
      <c r="C15" s="25">
        <v>0.13500000000000001</v>
      </c>
      <c r="D15" s="24" t="s">
        <v>193</v>
      </c>
      <c r="E15" s="25" t="s">
        <v>193</v>
      </c>
      <c r="F15" s="24" t="s">
        <v>193</v>
      </c>
      <c r="G15" s="25" t="s">
        <v>193</v>
      </c>
      <c r="H15" s="24" t="s">
        <v>193</v>
      </c>
      <c r="I15" s="25" t="s">
        <v>193</v>
      </c>
      <c r="J15" s="24" t="s">
        <v>193</v>
      </c>
      <c r="K15" s="25" t="s">
        <v>193</v>
      </c>
      <c r="L15" s="24">
        <v>195</v>
      </c>
      <c r="M15" s="25">
        <v>1.56</v>
      </c>
      <c r="N15" s="24">
        <v>52</v>
      </c>
      <c r="O15" s="25">
        <v>0.88500000000000001</v>
      </c>
      <c r="P15" s="24">
        <v>147</v>
      </c>
      <c r="Q15" s="25">
        <v>1.323</v>
      </c>
      <c r="R15" s="24">
        <v>32</v>
      </c>
      <c r="S15" s="25">
        <v>0.57599999999999996</v>
      </c>
      <c r="T15" s="24">
        <v>2</v>
      </c>
      <c r="U15" s="25">
        <v>3.5999999999999997E-2</v>
      </c>
      <c r="V15" s="24" t="s">
        <v>193</v>
      </c>
      <c r="W15" s="25" t="s">
        <v>193</v>
      </c>
      <c r="X15" s="24">
        <v>1900</v>
      </c>
      <c r="Y15" s="25">
        <v>3.23</v>
      </c>
      <c r="Z15" s="24" t="s">
        <v>193</v>
      </c>
      <c r="AA15" s="28" t="s">
        <v>193</v>
      </c>
      <c r="AB15" s="12" t="s">
        <v>15</v>
      </c>
      <c r="AC15" s="13"/>
      <c r="AD15" s="13"/>
    </row>
    <row r="16" spans="1:30" x14ac:dyDescent="0.3">
      <c r="A16" s="11" t="s">
        <v>16</v>
      </c>
      <c r="B16" s="27">
        <v>1677</v>
      </c>
      <c r="C16" s="25">
        <v>226.678</v>
      </c>
      <c r="D16" s="24">
        <v>1200</v>
      </c>
      <c r="E16" s="25">
        <v>276</v>
      </c>
      <c r="F16" s="24">
        <v>450</v>
      </c>
      <c r="G16" s="25">
        <v>178</v>
      </c>
      <c r="H16" s="24" t="s">
        <v>193</v>
      </c>
      <c r="I16" s="25" t="s">
        <v>193</v>
      </c>
      <c r="J16" s="24" t="s">
        <v>193</v>
      </c>
      <c r="K16" s="25" t="s">
        <v>193</v>
      </c>
      <c r="L16" s="24">
        <v>30699</v>
      </c>
      <c r="M16" s="25">
        <v>275.096</v>
      </c>
      <c r="N16" s="24">
        <v>6594</v>
      </c>
      <c r="O16" s="25">
        <v>111.322</v>
      </c>
      <c r="P16" s="24">
        <v>32062</v>
      </c>
      <c r="Q16" s="25">
        <v>273.952</v>
      </c>
      <c r="R16" s="24">
        <v>7221</v>
      </c>
      <c r="S16" s="25">
        <v>126.724</v>
      </c>
      <c r="T16" s="24">
        <v>5702</v>
      </c>
      <c r="U16" s="25">
        <v>86.608000000000004</v>
      </c>
      <c r="V16" s="24">
        <v>2420</v>
      </c>
      <c r="W16" s="25">
        <v>117</v>
      </c>
      <c r="X16" s="24">
        <v>10490</v>
      </c>
      <c r="Y16" s="25">
        <v>18.169</v>
      </c>
      <c r="Z16" s="24">
        <v>15</v>
      </c>
      <c r="AA16" s="28">
        <v>3.4000000000000002E-2</v>
      </c>
      <c r="AB16" s="12" t="s">
        <v>17</v>
      </c>
      <c r="AC16" s="13"/>
      <c r="AD16" s="13"/>
    </row>
    <row r="17" spans="1:30" x14ac:dyDescent="0.3">
      <c r="A17" s="11" t="s">
        <v>18</v>
      </c>
      <c r="B17" s="27">
        <v>4161</v>
      </c>
      <c r="C17" s="25">
        <v>333.935</v>
      </c>
      <c r="D17" s="24">
        <v>4181</v>
      </c>
      <c r="E17" s="25">
        <v>1254.3</v>
      </c>
      <c r="F17" s="24" t="s">
        <v>193</v>
      </c>
      <c r="G17" s="25" t="s">
        <v>193</v>
      </c>
      <c r="H17" s="24" t="s">
        <v>193</v>
      </c>
      <c r="I17" s="25" t="s">
        <v>193</v>
      </c>
      <c r="J17" s="24" t="s">
        <v>193</v>
      </c>
      <c r="K17" s="25" t="s">
        <v>193</v>
      </c>
      <c r="L17" s="24">
        <v>37188</v>
      </c>
      <c r="M17" s="25">
        <v>357.85199999999998</v>
      </c>
      <c r="N17" s="24">
        <v>3525</v>
      </c>
      <c r="O17" s="25">
        <v>70.444000000000003</v>
      </c>
      <c r="P17" s="24">
        <v>17536</v>
      </c>
      <c r="Q17" s="25">
        <v>166.351</v>
      </c>
      <c r="R17" s="24">
        <v>1292</v>
      </c>
      <c r="S17" s="25">
        <v>25.126999999999999</v>
      </c>
      <c r="T17" s="24">
        <v>10417</v>
      </c>
      <c r="U17" s="25">
        <v>187.41</v>
      </c>
      <c r="V17" s="24">
        <v>337</v>
      </c>
      <c r="W17" s="25">
        <v>22.6</v>
      </c>
      <c r="X17" s="24">
        <v>23519</v>
      </c>
      <c r="Y17" s="25">
        <v>28.084</v>
      </c>
      <c r="Z17" s="24">
        <v>760</v>
      </c>
      <c r="AA17" s="28">
        <v>1.256</v>
      </c>
      <c r="AB17" s="12" t="s">
        <v>19</v>
      </c>
      <c r="AC17" s="13"/>
      <c r="AD17" s="13"/>
    </row>
    <row r="18" spans="1:30" x14ac:dyDescent="0.3">
      <c r="A18" s="55" t="s">
        <v>20</v>
      </c>
      <c r="B18" s="49">
        <f>SUM(B20:B26)</f>
        <v>4954</v>
      </c>
      <c r="C18" s="38">
        <f t="shared" ref="C18:AA18" si="4">SUM(C20:C26)</f>
        <v>1000.3480000000001</v>
      </c>
      <c r="D18" s="38">
        <f t="shared" si="4"/>
        <v>29674</v>
      </c>
      <c r="E18" s="38">
        <f t="shared" si="4"/>
        <v>8381.098</v>
      </c>
      <c r="F18" s="38">
        <f t="shared" si="4"/>
        <v>11869</v>
      </c>
      <c r="G18" s="38">
        <f t="shared" si="4"/>
        <v>3176.5969999999998</v>
      </c>
      <c r="H18" s="38">
        <f t="shared" si="4"/>
        <v>1359</v>
      </c>
      <c r="I18" s="38">
        <f t="shared" si="4"/>
        <v>516.53300000000002</v>
      </c>
      <c r="J18" s="38">
        <f t="shared" si="4"/>
        <v>200</v>
      </c>
      <c r="K18" s="38">
        <f t="shared" si="4"/>
        <v>80</v>
      </c>
      <c r="L18" s="38">
        <f t="shared" si="4"/>
        <v>344629</v>
      </c>
      <c r="M18" s="38">
        <f t="shared" si="4"/>
        <v>3372.768</v>
      </c>
      <c r="N18" s="38">
        <f t="shared" si="4"/>
        <v>47948</v>
      </c>
      <c r="O18" s="38">
        <f>SUM(O20:O26)</f>
        <v>1039.58</v>
      </c>
      <c r="P18" s="38">
        <f t="shared" si="4"/>
        <v>202089</v>
      </c>
      <c r="Q18" s="38">
        <f t="shared" si="4"/>
        <v>1779.4580000000001</v>
      </c>
      <c r="R18" s="38">
        <f t="shared" si="4"/>
        <v>19069</v>
      </c>
      <c r="S18" s="38">
        <f t="shared" si="4"/>
        <v>365.82000000000005</v>
      </c>
      <c r="T18" s="38">
        <f t="shared" si="4"/>
        <v>27933</v>
      </c>
      <c r="U18" s="38">
        <f t="shared" si="4"/>
        <v>503.435</v>
      </c>
      <c r="V18" s="38">
        <f t="shared" si="4"/>
        <v>238369</v>
      </c>
      <c r="W18" s="38">
        <f t="shared" si="4"/>
        <v>14409.270999999999</v>
      </c>
      <c r="X18" s="38">
        <f t="shared" si="4"/>
        <v>22619565</v>
      </c>
      <c r="Y18" s="38">
        <f t="shared" si="4"/>
        <v>42003.68</v>
      </c>
      <c r="Z18" s="38">
        <f t="shared" si="4"/>
        <v>179918</v>
      </c>
      <c r="AA18" s="41">
        <f t="shared" si="4"/>
        <v>344.86699999999996</v>
      </c>
      <c r="AB18" s="60" t="s">
        <v>21</v>
      </c>
      <c r="AC18" s="60"/>
      <c r="AD18" s="60"/>
    </row>
    <row r="19" spans="1:30" x14ac:dyDescent="0.3">
      <c r="A19" s="55"/>
      <c r="B19" s="49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41"/>
      <c r="AB19" s="60"/>
      <c r="AC19" s="60"/>
      <c r="AD19" s="60"/>
    </row>
    <row r="20" spans="1:30" x14ac:dyDescent="0.3">
      <c r="A20" s="11" t="s">
        <v>22</v>
      </c>
      <c r="B20" s="27">
        <v>560</v>
      </c>
      <c r="C20" s="25">
        <v>89.213999999999999</v>
      </c>
      <c r="D20" s="24">
        <v>5308</v>
      </c>
      <c r="E20" s="25">
        <v>1398.011</v>
      </c>
      <c r="F20" s="24">
        <v>5698</v>
      </c>
      <c r="G20" s="25">
        <v>1384.796</v>
      </c>
      <c r="H20" s="24">
        <v>12</v>
      </c>
      <c r="I20" s="25">
        <v>4.0679999999999996</v>
      </c>
      <c r="J20" s="24" t="s">
        <v>193</v>
      </c>
      <c r="K20" s="25" t="s">
        <v>193</v>
      </c>
      <c r="L20" s="24">
        <v>95734</v>
      </c>
      <c r="M20" s="25">
        <v>964.697</v>
      </c>
      <c r="N20" s="24">
        <v>9135</v>
      </c>
      <c r="O20" s="25">
        <v>197.57599999999999</v>
      </c>
      <c r="P20" s="24">
        <v>65805</v>
      </c>
      <c r="Q20" s="25">
        <v>538.23099999999999</v>
      </c>
      <c r="R20" s="24">
        <v>3187</v>
      </c>
      <c r="S20" s="25">
        <v>57.603999999999999</v>
      </c>
      <c r="T20" s="24">
        <v>490</v>
      </c>
      <c r="U20" s="25">
        <v>8.82</v>
      </c>
      <c r="V20" s="24">
        <v>34093</v>
      </c>
      <c r="W20" s="25">
        <v>2319.3389999999999</v>
      </c>
      <c r="X20" s="24">
        <v>4039980</v>
      </c>
      <c r="Y20" s="25">
        <v>8016.0810000000001</v>
      </c>
      <c r="Z20" s="24" t="s">
        <v>193</v>
      </c>
      <c r="AA20" s="28" t="s">
        <v>193</v>
      </c>
      <c r="AB20" s="12" t="s">
        <v>23</v>
      </c>
      <c r="AC20" s="13"/>
      <c r="AD20" s="13"/>
    </row>
    <row r="21" spans="1:30" x14ac:dyDescent="0.3">
      <c r="A21" s="11" t="s">
        <v>24</v>
      </c>
      <c r="B21" s="27">
        <v>239</v>
      </c>
      <c r="C21" s="25">
        <v>35.911999999999999</v>
      </c>
      <c r="D21" s="24">
        <v>12503</v>
      </c>
      <c r="E21" s="25">
        <v>3749.7570000000001</v>
      </c>
      <c r="F21" s="24">
        <v>2584</v>
      </c>
      <c r="G21" s="25">
        <v>775.67899999999997</v>
      </c>
      <c r="H21" s="24">
        <v>31</v>
      </c>
      <c r="I21" s="25">
        <v>12.385</v>
      </c>
      <c r="J21" s="24" t="s">
        <v>193</v>
      </c>
      <c r="K21" s="25" t="s">
        <v>193</v>
      </c>
      <c r="L21" s="24">
        <v>8586</v>
      </c>
      <c r="M21" s="25">
        <v>100.721</v>
      </c>
      <c r="N21" s="24">
        <v>2382</v>
      </c>
      <c r="O21" s="25">
        <v>40.817999999999998</v>
      </c>
      <c r="P21" s="24">
        <v>6814</v>
      </c>
      <c r="Q21" s="25">
        <v>67.715999999999994</v>
      </c>
      <c r="R21" s="24">
        <v>1626</v>
      </c>
      <c r="S21" s="25">
        <v>36.975999999999999</v>
      </c>
      <c r="T21" s="24">
        <v>25638</v>
      </c>
      <c r="U21" s="25">
        <v>461.65800000000002</v>
      </c>
      <c r="V21" s="24">
        <v>71899</v>
      </c>
      <c r="W21" s="25">
        <v>3954.1179999999999</v>
      </c>
      <c r="X21" s="24">
        <v>26190</v>
      </c>
      <c r="Y21" s="25">
        <v>63.052999999999997</v>
      </c>
      <c r="Z21" s="24">
        <v>85</v>
      </c>
      <c r="AA21" s="28">
        <v>0.14399999999999999</v>
      </c>
      <c r="AB21" s="12" t="s">
        <v>25</v>
      </c>
      <c r="AC21" s="13"/>
      <c r="AD21" s="13"/>
    </row>
    <row r="22" spans="1:30" x14ac:dyDescent="0.3">
      <c r="A22" s="11" t="s">
        <v>26</v>
      </c>
      <c r="B22" s="27">
        <v>404</v>
      </c>
      <c r="C22" s="25">
        <v>79.2</v>
      </c>
      <c r="D22" s="24">
        <v>2510</v>
      </c>
      <c r="E22" s="25">
        <v>642</v>
      </c>
      <c r="F22" s="24">
        <v>640</v>
      </c>
      <c r="G22" s="25">
        <v>183</v>
      </c>
      <c r="H22" s="24" t="s">
        <v>193</v>
      </c>
      <c r="I22" s="25" t="s">
        <v>193</v>
      </c>
      <c r="J22" s="24" t="s">
        <v>193</v>
      </c>
      <c r="K22" s="25" t="s">
        <v>193</v>
      </c>
      <c r="L22" s="24">
        <v>56078</v>
      </c>
      <c r="M22" s="25">
        <v>556.6</v>
      </c>
      <c r="N22" s="24">
        <v>7753</v>
      </c>
      <c r="O22" s="25">
        <v>178.327</v>
      </c>
      <c r="P22" s="24">
        <v>17159</v>
      </c>
      <c r="Q22" s="25">
        <v>167.65100000000001</v>
      </c>
      <c r="R22" s="24">
        <v>3275</v>
      </c>
      <c r="S22" s="25">
        <v>61.933999999999997</v>
      </c>
      <c r="T22" s="24">
        <v>85</v>
      </c>
      <c r="U22" s="25">
        <v>1.7</v>
      </c>
      <c r="V22" s="24">
        <v>15070</v>
      </c>
      <c r="W22" s="25">
        <v>758.005</v>
      </c>
      <c r="X22" s="24">
        <v>4495</v>
      </c>
      <c r="Y22" s="25">
        <v>6.89</v>
      </c>
      <c r="Z22" s="24" t="s">
        <v>193</v>
      </c>
      <c r="AA22" s="28" t="s">
        <v>193</v>
      </c>
      <c r="AB22" s="12" t="s">
        <v>27</v>
      </c>
      <c r="AC22" s="13"/>
      <c r="AD22" s="13"/>
    </row>
    <row r="23" spans="1:30" x14ac:dyDescent="0.3">
      <c r="A23" s="11" t="s">
        <v>28</v>
      </c>
      <c r="B23" s="27">
        <v>347</v>
      </c>
      <c r="C23" s="25">
        <v>66.346000000000004</v>
      </c>
      <c r="D23" s="24">
        <v>4694</v>
      </c>
      <c r="E23" s="25">
        <v>1323.64</v>
      </c>
      <c r="F23" s="24">
        <v>1762</v>
      </c>
      <c r="G23" s="25">
        <v>443.48899999999998</v>
      </c>
      <c r="H23" s="24" t="s">
        <v>193</v>
      </c>
      <c r="I23" s="25" t="s">
        <v>193</v>
      </c>
      <c r="J23" s="24" t="s">
        <v>193</v>
      </c>
      <c r="K23" s="25" t="s">
        <v>193</v>
      </c>
      <c r="L23" s="24">
        <v>78319</v>
      </c>
      <c r="M23" s="25">
        <v>710.29</v>
      </c>
      <c r="N23" s="24">
        <v>10936</v>
      </c>
      <c r="O23" s="25">
        <v>226.05699999999999</v>
      </c>
      <c r="P23" s="24">
        <v>21857</v>
      </c>
      <c r="Q23" s="25">
        <v>179.47800000000001</v>
      </c>
      <c r="R23" s="24">
        <v>1902</v>
      </c>
      <c r="S23" s="25">
        <v>35.177999999999997</v>
      </c>
      <c r="T23" s="24">
        <v>785</v>
      </c>
      <c r="U23" s="25">
        <v>14.462</v>
      </c>
      <c r="V23" s="24">
        <v>32146</v>
      </c>
      <c r="W23" s="25">
        <v>2332.8739999999998</v>
      </c>
      <c r="X23" s="24">
        <v>408040</v>
      </c>
      <c r="Y23" s="25">
        <v>617.06399999999996</v>
      </c>
      <c r="Z23" s="24">
        <v>41050</v>
      </c>
      <c r="AA23" s="28">
        <v>82.194999999999993</v>
      </c>
      <c r="AB23" s="12" t="s">
        <v>29</v>
      </c>
      <c r="AC23" s="13"/>
      <c r="AD23" s="13"/>
    </row>
    <row r="24" spans="1:30" x14ac:dyDescent="0.3">
      <c r="A24" s="11" t="s">
        <v>30</v>
      </c>
      <c r="B24" s="29">
        <v>36</v>
      </c>
      <c r="C24" s="25">
        <v>4.8860000000000001</v>
      </c>
      <c r="D24" s="26">
        <v>1000</v>
      </c>
      <c r="E24" s="25">
        <v>250</v>
      </c>
      <c r="F24" s="26">
        <v>107</v>
      </c>
      <c r="G24" s="25">
        <v>32</v>
      </c>
      <c r="H24" s="26" t="s">
        <v>193</v>
      </c>
      <c r="I24" s="25" t="s">
        <v>193</v>
      </c>
      <c r="J24" s="26" t="s">
        <v>193</v>
      </c>
      <c r="K24" s="25" t="s">
        <v>193</v>
      </c>
      <c r="L24" s="26">
        <v>11001</v>
      </c>
      <c r="M24" s="25">
        <v>96.77</v>
      </c>
      <c r="N24" s="26">
        <v>2103</v>
      </c>
      <c r="O24" s="25">
        <v>47.35</v>
      </c>
      <c r="P24" s="26">
        <v>2433</v>
      </c>
      <c r="Q24" s="25">
        <v>20.055</v>
      </c>
      <c r="R24" s="26">
        <v>325</v>
      </c>
      <c r="S24" s="25">
        <v>7.2030000000000003</v>
      </c>
      <c r="T24" s="26">
        <v>114</v>
      </c>
      <c r="U24" s="25">
        <v>2.012</v>
      </c>
      <c r="V24" s="26">
        <v>54142</v>
      </c>
      <c r="W24" s="25">
        <v>3209.4650000000001</v>
      </c>
      <c r="X24" s="26">
        <v>15494850</v>
      </c>
      <c r="Y24" s="25">
        <v>27895.363000000001</v>
      </c>
      <c r="Z24" s="26">
        <v>5675</v>
      </c>
      <c r="AA24" s="28">
        <v>9.61</v>
      </c>
      <c r="AB24" s="12" t="s">
        <v>31</v>
      </c>
      <c r="AC24" s="13"/>
      <c r="AD24" s="13"/>
    </row>
    <row r="25" spans="1:30" x14ac:dyDescent="0.3">
      <c r="A25" s="11" t="s">
        <v>32</v>
      </c>
      <c r="B25" s="27">
        <v>3188</v>
      </c>
      <c r="C25" s="25">
        <v>689.47900000000004</v>
      </c>
      <c r="D25" s="24">
        <v>3174</v>
      </c>
      <c r="E25" s="25">
        <v>878.62</v>
      </c>
      <c r="F25" s="24">
        <v>835</v>
      </c>
      <c r="G25" s="25">
        <v>267.2</v>
      </c>
      <c r="H25" s="24">
        <v>1316</v>
      </c>
      <c r="I25" s="25">
        <v>500.08</v>
      </c>
      <c r="J25" s="24">
        <v>200</v>
      </c>
      <c r="K25" s="25">
        <v>80</v>
      </c>
      <c r="L25" s="24">
        <v>56727</v>
      </c>
      <c r="M25" s="25">
        <v>589.56399999999996</v>
      </c>
      <c r="N25" s="24">
        <v>11734</v>
      </c>
      <c r="O25" s="25">
        <v>246.029</v>
      </c>
      <c r="P25" s="24">
        <v>38999</v>
      </c>
      <c r="Q25" s="25">
        <v>400.16500000000002</v>
      </c>
      <c r="R25" s="24">
        <v>6267</v>
      </c>
      <c r="S25" s="25">
        <v>111.89700000000001</v>
      </c>
      <c r="T25" s="24">
        <v>496</v>
      </c>
      <c r="U25" s="25">
        <v>9.1150000000000002</v>
      </c>
      <c r="V25" s="24">
        <v>22784</v>
      </c>
      <c r="W25" s="25">
        <v>1367.96</v>
      </c>
      <c r="X25" s="24">
        <v>2106658</v>
      </c>
      <c r="Y25" s="25">
        <v>4409.9759999999997</v>
      </c>
      <c r="Z25" s="24">
        <v>132980</v>
      </c>
      <c r="AA25" s="28">
        <v>252.66200000000001</v>
      </c>
      <c r="AB25" s="12" t="s">
        <v>33</v>
      </c>
      <c r="AC25" s="13"/>
      <c r="AD25" s="13"/>
    </row>
    <row r="26" spans="1:30" x14ac:dyDescent="0.3">
      <c r="A26" s="11" t="s">
        <v>34</v>
      </c>
      <c r="B26" s="27">
        <v>180</v>
      </c>
      <c r="C26" s="25">
        <v>35.311</v>
      </c>
      <c r="D26" s="24">
        <v>485</v>
      </c>
      <c r="E26" s="25">
        <v>139.07</v>
      </c>
      <c r="F26" s="24">
        <v>243</v>
      </c>
      <c r="G26" s="25">
        <v>90.433000000000007</v>
      </c>
      <c r="H26" s="24" t="s">
        <v>193</v>
      </c>
      <c r="I26" s="25" t="s">
        <v>193</v>
      </c>
      <c r="J26" s="24" t="s">
        <v>193</v>
      </c>
      <c r="K26" s="25" t="s">
        <v>193</v>
      </c>
      <c r="L26" s="24">
        <v>38184</v>
      </c>
      <c r="M26" s="25">
        <v>354.12599999999998</v>
      </c>
      <c r="N26" s="24">
        <v>3905</v>
      </c>
      <c r="O26" s="25">
        <v>103.423</v>
      </c>
      <c r="P26" s="24">
        <v>49022</v>
      </c>
      <c r="Q26" s="25">
        <v>406.16199999999998</v>
      </c>
      <c r="R26" s="24">
        <v>2487</v>
      </c>
      <c r="S26" s="25">
        <v>55.027999999999999</v>
      </c>
      <c r="T26" s="24">
        <v>325</v>
      </c>
      <c r="U26" s="25">
        <v>5.6680000000000001</v>
      </c>
      <c r="V26" s="24">
        <v>8235</v>
      </c>
      <c r="W26" s="25">
        <v>467.51</v>
      </c>
      <c r="X26" s="24">
        <v>539352</v>
      </c>
      <c r="Y26" s="25">
        <v>995.25300000000004</v>
      </c>
      <c r="Z26" s="24">
        <v>128</v>
      </c>
      <c r="AA26" s="28">
        <v>0.25600000000000001</v>
      </c>
      <c r="AB26" s="12" t="s">
        <v>35</v>
      </c>
      <c r="AC26" s="13"/>
      <c r="AD26" s="13"/>
    </row>
    <row r="27" spans="1:30" ht="24" customHeight="1" x14ac:dyDescent="0.3">
      <c r="A27" s="14" t="s">
        <v>187</v>
      </c>
      <c r="B27" s="15">
        <f>SUM(B28:B31)</f>
        <v>8660</v>
      </c>
      <c r="C27" s="16">
        <f t="shared" ref="C27:AA27" si="5">SUM(C28:C31)</f>
        <v>1182.894</v>
      </c>
      <c r="D27" s="16">
        <f t="shared" si="5"/>
        <v>10812</v>
      </c>
      <c r="E27" s="16">
        <f t="shared" si="5"/>
        <v>2715.2139999999999</v>
      </c>
      <c r="F27" s="16">
        <f t="shared" si="5"/>
        <v>6100</v>
      </c>
      <c r="G27" s="16">
        <f t="shared" si="5"/>
        <v>1843.809</v>
      </c>
      <c r="H27" s="16">
        <f t="shared" si="5"/>
        <v>0</v>
      </c>
      <c r="I27" s="16">
        <f t="shared" si="5"/>
        <v>0</v>
      </c>
      <c r="J27" s="16">
        <f t="shared" si="5"/>
        <v>0</v>
      </c>
      <c r="K27" s="16">
        <f t="shared" si="5"/>
        <v>0</v>
      </c>
      <c r="L27" s="16">
        <f t="shared" si="5"/>
        <v>133639</v>
      </c>
      <c r="M27" s="16">
        <f t="shared" si="5"/>
        <v>1224.039</v>
      </c>
      <c r="N27" s="16">
        <f t="shared" si="5"/>
        <v>27245</v>
      </c>
      <c r="O27" s="16">
        <f>SUM(O28:O31)</f>
        <v>560.41599999999994</v>
      </c>
      <c r="P27" s="16">
        <f t="shared" si="5"/>
        <v>54850</v>
      </c>
      <c r="Q27" s="16">
        <f t="shared" si="5"/>
        <v>493.45299999999997</v>
      </c>
      <c r="R27" s="16">
        <f t="shared" si="5"/>
        <v>15269</v>
      </c>
      <c r="S27" s="16">
        <f t="shared" si="5"/>
        <v>294.56299999999999</v>
      </c>
      <c r="T27" s="16">
        <f t="shared" si="5"/>
        <v>1181</v>
      </c>
      <c r="U27" s="16">
        <f t="shared" si="5"/>
        <v>21.160000000000004</v>
      </c>
      <c r="V27" s="16">
        <f t="shared" si="5"/>
        <v>44026</v>
      </c>
      <c r="W27" s="16">
        <f t="shared" si="5"/>
        <v>2833.0600000000004</v>
      </c>
      <c r="X27" s="16">
        <f t="shared" si="5"/>
        <v>101879</v>
      </c>
      <c r="Y27" s="16">
        <f t="shared" si="5"/>
        <v>180.107</v>
      </c>
      <c r="Z27" s="16">
        <f t="shared" si="5"/>
        <v>8154</v>
      </c>
      <c r="AA27" s="17">
        <f t="shared" si="5"/>
        <v>16.256999999999998</v>
      </c>
      <c r="AB27" s="18" t="s">
        <v>186</v>
      </c>
      <c r="AC27" s="13"/>
      <c r="AD27" s="13"/>
    </row>
    <row r="28" spans="1:30" x14ac:dyDescent="0.3">
      <c r="A28" s="11" t="s">
        <v>36</v>
      </c>
      <c r="B28" s="27">
        <v>171</v>
      </c>
      <c r="C28" s="25">
        <v>30.940999999999999</v>
      </c>
      <c r="D28" s="24">
        <v>1916</v>
      </c>
      <c r="E28" s="25">
        <v>509.41899999999998</v>
      </c>
      <c r="F28" s="24">
        <v>844</v>
      </c>
      <c r="G28" s="25">
        <v>261.55900000000003</v>
      </c>
      <c r="H28" s="24" t="s">
        <v>193</v>
      </c>
      <c r="I28" s="25" t="s">
        <v>193</v>
      </c>
      <c r="J28" s="24" t="s">
        <v>193</v>
      </c>
      <c r="K28" s="25" t="s">
        <v>193</v>
      </c>
      <c r="L28" s="24">
        <v>63978</v>
      </c>
      <c r="M28" s="25">
        <v>567.41999999999996</v>
      </c>
      <c r="N28" s="24">
        <v>6314</v>
      </c>
      <c r="O28" s="25">
        <v>167.142</v>
      </c>
      <c r="P28" s="24">
        <v>17004</v>
      </c>
      <c r="Q28" s="25">
        <v>158.233</v>
      </c>
      <c r="R28" s="24">
        <v>1191</v>
      </c>
      <c r="S28" s="25">
        <v>24.459</v>
      </c>
      <c r="T28" s="24">
        <v>644</v>
      </c>
      <c r="U28" s="25">
        <v>11.36</v>
      </c>
      <c r="V28" s="24">
        <v>38850</v>
      </c>
      <c r="W28" s="25">
        <v>2502.0520000000001</v>
      </c>
      <c r="X28" s="24">
        <v>27783</v>
      </c>
      <c r="Y28" s="25">
        <v>42.86</v>
      </c>
      <c r="Z28" s="24">
        <v>6426</v>
      </c>
      <c r="AA28" s="28">
        <v>12.750999999999999</v>
      </c>
      <c r="AB28" s="12" t="s">
        <v>37</v>
      </c>
      <c r="AC28" s="13"/>
      <c r="AD28" s="13"/>
    </row>
    <row r="29" spans="1:30" x14ac:dyDescent="0.3">
      <c r="A29" s="11" t="s">
        <v>38</v>
      </c>
      <c r="B29" s="27">
        <v>162</v>
      </c>
      <c r="C29" s="25">
        <v>22.3</v>
      </c>
      <c r="D29" s="24">
        <v>514</v>
      </c>
      <c r="E29" s="25">
        <v>122.16500000000001</v>
      </c>
      <c r="F29" s="24">
        <v>267</v>
      </c>
      <c r="G29" s="25">
        <v>89.3</v>
      </c>
      <c r="H29" s="24" t="s">
        <v>193</v>
      </c>
      <c r="I29" s="25" t="s">
        <v>193</v>
      </c>
      <c r="J29" s="24" t="s">
        <v>193</v>
      </c>
      <c r="K29" s="25" t="s">
        <v>193</v>
      </c>
      <c r="L29" s="24">
        <v>40248</v>
      </c>
      <c r="M29" s="25">
        <v>362.91</v>
      </c>
      <c r="N29" s="24">
        <v>5752</v>
      </c>
      <c r="O29" s="25">
        <v>127.864</v>
      </c>
      <c r="P29" s="24">
        <v>16429</v>
      </c>
      <c r="Q29" s="25">
        <v>118.804</v>
      </c>
      <c r="R29" s="24">
        <v>1555</v>
      </c>
      <c r="S29" s="25">
        <v>31.79</v>
      </c>
      <c r="T29" s="24">
        <v>347</v>
      </c>
      <c r="U29" s="25">
        <v>6.2460000000000004</v>
      </c>
      <c r="V29" s="24">
        <v>1593</v>
      </c>
      <c r="W29" s="25">
        <v>92.48</v>
      </c>
      <c r="X29" s="24">
        <v>20207</v>
      </c>
      <c r="Y29" s="25">
        <v>40.414000000000001</v>
      </c>
      <c r="Z29" s="24">
        <v>400</v>
      </c>
      <c r="AA29" s="28">
        <v>0.8</v>
      </c>
      <c r="AB29" s="12" t="s">
        <v>39</v>
      </c>
      <c r="AC29" s="13"/>
      <c r="AD29" s="13"/>
    </row>
    <row r="30" spans="1:30" x14ac:dyDescent="0.3">
      <c r="A30" s="11" t="s">
        <v>40</v>
      </c>
      <c r="B30" s="27">
        <v>64</v>
      </c>
      <c r="C30" s="25">
        <v>9.3729999999999993</v>
      </c>
      <c r="D30" s="24">
        <v>451</v>
      </c>
      <c r="E30" s="25">
        <v>103.73</v>
      </c>
      <c r="F30" s="24">
        <v>109</v>
      </c>
      <c r="G30" s="25">
        <v>28.95</v>
      </c>
      <c r="H30" s="24" t="s">
        <v>193</v>
      </c>
      <c r="I30" s="25" t="s">
        <v>193</v>
      </c>
      <c r="J30" s="24" t="s">
        <v>193</v>
      </c>
      <c r="K30" s="25" t="s">
        <v>193</v>
      </c>
      <c r="L30" s="24">
        <v>12237</v>
      </c>
      <c r="M30" s="25">
        <v>122.21899999999999</v>
      </c>
      <c r="N30" s="24">
        <v>1921</v>
      </c>
      <c r="O30" s="25">
        <v>39.808</v>
      </c>
      <c r="P30" s="24">
        <v>5738</v>
      </c>
      <c r="Q30" s="25">
        <v>58.436</v>
      </c>
      <c r="R30" s="24">
        <v>444</v>
      </c>
      <c r="S30" s="25">
        <v>8.7880000000000003</v>
      </c>
      <c r="T30" s="24">
        <v>40</v>
      </c>
      <c r="U30" s="25">
        <v>0.73299999999999998</v>
      </c>
      <c r="V30" s="24">
        <v>913</v>
      </c>
      <c r="W30" s="25">
        <v>89.71</v>
      </c>
      <c r="X30" s="24">
        <v>5333</v>
      </c>
      <c r="Y30" s="25">
        <v>9.7050000000000001</v>
      </c>
      <c r="Z30" s="24">
        <v>23</v>
      </c>
      <c r="AA30" s="28">
        <v>4.5999999999999999E-2</v>
      </c>
      <c r="AB30" s="12" t="s">
        <v>41</v>
      </c>
      <c r="AC30" s="13"/>
      <c r="AD30" s="13"/>
    </row>
    <row r="31" spans="1:30" x14ac:dyDescent="0.3">
      <c r="A31" s="11" t="s">
        <v>42</v>
      </c>
      <c r="B31" s="27">
        <v>8263</v>
      </c>
      <c r="C31" s="25">
        <v>1120.28</v>
      </c>
      <c r="D31" s="24">
        <v>7931</v>
      </c>
      <c r="E31" s="25">
        <v>1979.9</v>
      </c>
      <c r="F31" s="24">
        <v>4880</v>
      </c>
      <c r="G31" s="25">
        <v>1464</v>
      </c>
      <c r="H31" s="24" t="s">
        <v>193</v>
      </c>
      <c r="I31" s="25" t="s">
        <v>193</v>
      </c>
      <c r="J31" s="24" t="s">
        <v>193</v>
      </c>
      <c r="K31" s="25" t="s">
        <v>193</v>
      </c>
      <c r="L31" s="24">
        <v>17176</v>
      </c>
      <c r="M31" s="25">
        <v>171.49</v>
      </c>
      <c r="N31" s="24">
        <v>13258</v>
      </c>
      <c r="O31" s="25">
        <v>225.602</v>
      </c>
      <c r="P31" s="24">
        <v>15679</v>
      </c>
      <c r="Q31" s="25">
        <v>157.97999999999999</v>
      </c>
      <c r="R31" s="24">
        <v>12079</v>
      </c>
      <c r="S31" s="25">
        <v>229.52600000000001</v>
      </c>
      <c r="T31" s="24">
        <v>150</v>
      </c>
      <c r="U31" s="25">
        <v>2.8210000000000002</v>
      </c>
      <c r="V31" s="24">
        <v>2670</v>
      </c>
      <c r="W31" s="25">
        <v>148.81800000000001</v>
      </c>
      <c r="X31" s="24">
        <v>48556</v>
      </c>
      <c r="Y31" s="25">
        <v>87.128</v>
      </c>
      <c r="Z31" s="24">
        <v>1305</v>
      </c>
      <c r="AA31" s="28">
        <v>2.66</v>
      </c>
      <c r="AB31" s="12" t="s">
        <v>43</v>
      </c>
      <c r="AC31" s="13"/>
      <c r="AD31" s="13"/>
    </row>
    <row r="32" spans="1:30" x14ac:dyDescent="0.3">
      <c r="A32" s="55" t="s">
        <v>44</v>
      </c>
      <c r="B32" s="49">
        <f>SUM(B34:B37)</f>
        <v>2020</v>
      </c>
      <c r="C32" s="38">
        <f>SUM(C34:C37)</f>
        <v>183.48500000000001</v>
      </c>
      <c r="D32" s="38">
        <f t="shared" ref="D32:AA32" si="6">SUM(D34:D37)</f>
        <v>2470</v>
      </c>
      <c r="E32" s="38">
        <f t="shared" si="6"/>
        <v>394.93200000000002</v>
      </c>
      <c r="F32" s="38">
        <f t="shared" si="6"/>
        <v>1950</v>
      </c>
      <c r="G32" s="38">
        <f t="shared" si="6"/>
        <v>371.61799999999999</v>
      </c>
      <c r="H32" s="38">
        <f t="shared" si="6"/>
        <v>0</v>
      </c>
      <c r="I32" s="37">
        <f t="shared" si="6"/>
        <v>0</v>
      </c>
      <c r="J32" s="38">
        <f t="shared" si="6"/>
        <v>0</v>
      </c>
      <c r="K32" s="37">
        <f t="shared" si="6"/>
        <v>0</v>
      </c>
      <c r="L32" s="38">
        <f t="shared" si="6"/>
        <v>279275</v>
      </c>
      <c r="M32" s="38">
        <f t="shared" si="6"/>
        <v>2869.248</v>
      </c>
      <c r="N32" s="38">
        <f t="shared" si="6"/>
        <v>30977</v>
      </c>
      <c r="O32" s="38">
        <f>SUM(O34:O37)</f>
        <v>670.48400000000004</v>
      </c>
      <c r="P32" s="37">
        <f t="shared" si="6"/>
        <v>46050</v>
      </c>
      <c r="Q32" s="38">
        <f t="shared" si="6"/>
        <v>462.57799999999997</v>
      </c>
      <c r="R32" s="38">
        <f t="shared" si="6"/>
        <v>4137</v>
      </c>
      <c r="S32" s="37">
        <f t="shared" si="6"/>
        <v>85.563000000000002</v>
      </c>
      <c r="T32" s="38">
        <f t="shared" si="6"/>
        <v>24830</v>
      </c>
      <c r="U32" s="37">
        <f t="shared" si="6"/>
        <v>443.51100000000002</v>
      </c>
      <c r="V32" s="38">
        <f t="shared" si="6"/>
        <v>159883</v>
      </c>
      <c r="W32" s="37">
        <f t="shared" si="6"/>
        <v>11036.477999999999</v>
      </c>
      <c r="X32" s="38">
        <f t="shared" si="6"/>
        <v>77028218</v>
      </c>
      <c r="Y32" s="37">
        <f t="shared" si="6"/>
        <v>116644.35599999999</v>
      </c>
      <c r="Z32" s="38">
        <f t="shared" si="6"/>
        <v>95673</v>
      </c>
      <c r="AA32" s="41">
        <f t="shared" si="6"/>
        <v>268.89599999999996</v>
      </c>
      <c r="AB32" s="63" t="s">
        <v>45</v>
      </c>
      <c r="AC32" s="63"/>
      <c r="AD32" s="63"/>
    </row>
    <row r="33" spans="1:30" x14ac:dyDescent="0.3">
      <c r="A33" s="55"/>
      <c r="B33" s="49"/>
      <c r="C33" s="38"/>
      <c r="D33" s="38"/>
      <c r="E33" s="38"/>
      <c r="F33" s="38"/>
      <c r="G33" s="38"/>
      <c r="H33" s="38"/>
      <c r="I33" s="37"/>
      <c r="J33" s="38"/>
      <c r="K33" s="37"/>
      <c r="L33" s="38"/>
      <c r="M33" s="38"/>
      <c r="N33" s="38"/>
      <c r="O33" s="38"/>
      <c r="P33" s="37"/>
      <c r="Q33" s="38"/>
      <c r="R33" s="38"/>
      <c r="S33" s="37"/>
      <c r="T33" s="38"/>
      <c r="U33" s="37"/>
      <c r="V33" s="38"/>
      <c r="W33" s="37"/>
      <c r="X33" s="38"/>
      <c r="Y33" s="37"/>
      <c r="Z33" s="38"/>
      <c r="AA33" s="41"/>
      <c r="AB33" s="63"/>
      <c r="AC33" s="63"/>
      <c r="AD33" s="63"/>
    </row>
    <row r="34" spans="1:30" x14ac:dyDescent="0.3">
      <c r="A34" s="11" t="s">
        <v>46</v>
      </c>
      <c r="B34" s="27">
        <v>25</v>
      </c>
      <c r="C34" s="25">
        <v>3.75</v>
      </c>
      <c r="D34" s="24">
        <v>127</v>
      </c>
      <c r="E34" s="25">
        <v>25.591999999999999</v>
      </c>
      <c r="F34" s="24">
        <v>103</v>
      </c>
      <c r="G34" s="25">
        <v>31.35</v>
      </c>
      <c r="H34" s="24" t="s">
        <v>193</v>
      </c>
      <c r="I34" s="25" t="s">
        <v>193</v>
      </c>
      <c r="J34" s="24" t="s">
        <v>193</v>
      </c>
      <c r="K34" s="25" t="s">
        <v>193</v>
      </c>
      <c r="L34" s="24">
        <v>26337</v>
      </c>
      <c r="M34" s="25">
        <v>243.10499999999999</v>
      </c>
      <c r="N34" s="24">
        <v>3980</v>
      </c>
      <c r="O34" s="25">
        <v>78.308000000000007</v>
      </c>
      <c r="P34" s="24">
        <v>12153</v>
      </c>
      <c r="Q34" s="25">
        <v>120.04</v>
      </c>
      <c r="R34" s="24">
        <v>1342</v>
      </c>
      <c r="S34" s="25">
        <v>26.164000000000001</v>
      </c>
      <c r="T34" s="24">
        <v>20400</v>
      </c>
      <c r="U34" s="25">
        <v>367.6</v>
      </c>
      <c r="V34" s="24">
        <v>30000</v>
      </c>
      <c r="W34" s="25">
        <v>2580</v>
      </c>
      <c r="X34" s="24">
        <v>58626629</v>
      </c>
      <c r="Y34" s="25">
        <v>94250.255999999994</v>
      </c>
      <c r="Z34" s="24">
        <v>93739</v>
      </c>
      <c r="AA34" s="28">
        <v>266.08999999999997</v>
      </c>
      <c r="AB34" s="12" t="s">
        <v>47</v>
      </c>
      <c r="AC34" s="13"/>
      <c r="AD34" s="13"/>
    </row>
    <row r="35" spans="1:30" x14ac:dyDescent="0.3">
      <c r="A35" s="11" t="s">
        <v>48</v>
      </c>
      <c r="B35" s="27">
        <v>22</v>
      </c>
      <c r="C35" s="25">
        <v>6.28</v>
      </c>
      <c r="D35" s="24" t="s">
        <v>193</v>
      </c>
      <c r="E35" s="25" t="s">
        <v>193</v>
      </c>
      <c r="F35" s="24" t="s">
        <v>193</v>
      </c>
      <c r="G35" s="25" t="s">
        <v>193</v>
      </c>
      <c r="H35" s="24" t="s">
        <v>193</v>
      </c>
      <c r="I35" s="25" t="s">
        <v>193</v>
      </c>
      <c r="J35" s="24" t="s">
        <v>193</v>
      </c>
      <c r="K35" s="25" t="s">
        <v>193</v>
      </c>
      <c r="L35" s="24">
        <v>2346</v>
      </c>
      <c r="M35" s="25">
        <v>26.324999999999999</v>
      </c>
      <c r="N35" s="24">
        <v>255</v>
      </c>
      <c r="O35" s="25">
        <v>6.1390000000000002</v>
      </c>
      <c r="P35" s="24">
        <v>1326</v>
      </c>
      <c r="Q35" s="25">
        <v>13.371</v>
      </c>
      <c r="R35" s="24">
        <v>101</v>
      </c>
      <c r="S35" s="25">
        <v>2.2909999999999999</v>
      </c>
      <c r="T35" s="24" t="s">
        <v>193</v>
      </c>
      <c r="U35" s="25" t="s">
        <v>193</v>
      </c>
      <c r="V35" s="24">
        <v>310</v>
      </c>
      <c r="W35" s="25">
        <v>15.292999999999999</v>
      </c>
      <c r="X35" s="24">
        <v>18009660</v>
      </c>
      <c r="Y35" s="25">
        <v>21615.86</v>
      </c>
      <c r="Z35" s="24">
        <v>596</v>
      </c>
      <c r="AA35" s="28">
        <v>0.6</v>
      </c>
      <c r="AB35" s="12" t="s">
        <v>49</v>
      </c>
      <c r="AC35" s="13"/>
      <c r="AD35" s="13"/>
    </row>
    <row r="36" spans="1:30" x14ac:dyDescent="0.3">
      <c r="A36" s="11" t="s">
        <v>50</v>
      </c>
      <c r="B36" s="27">
        <v>510</v>
      </c>
      <c r="C36" s="25">
        <v>71.33</v>
      </c>
      <c r="D36" s="24">
        <v>678</v>
      </c>
      <c r="E36" s="25">
        <v>149.16</v>
      </c>
      <c r="F36" s="24">
        <v>11</v>
      </c>
      <c r="G36" s="25">
        <v>2.5299999999999998</v>
      </c>
      <c r="H36" s="24" t="s">
        <v>193</v>
      </c>
      <c r="I36" s="25" t="s">
        <v>193</v>
      </c>
      <c r="J36" s="24" t="s">
        <v>193</v>
      </c>
      <c r="K36" s="25" t="s">
        <v>193</v>
      </c>
      <c r="L36" s="24">
        <v>77159</v>
      </c>
      <c r="M36" s="25">
        <v>764.55799999999999</v>
      </c>
      <c r="N36" s="24">
        <v>7220</v>
      </c>
      <c r="O36" s="25">
        <v>183.90799999999999</v>
      </c>
      <c r="P36" s="24">
        <v>12140</v>
      </c>
      <c r="Q36" s="25">
        <v>102.82299999999999</v>
      </c>
      <c r="R36" s="24">
        <v>663</v>
      </c>
      <c r="S36" s="25">
        <v>14.837</v>
      </c>
      <c r="T36" s="24">
        <v>125</v>
      </c>
      <c r="U36" s="25">
        <v>2.2949999999999999</v>
      </c>
      <c r="V36" s="24">
        <v>73</v>
      </c>
      <c r="W36" s="25">
        <v>6.0549999999999997</v>
      </c>
      <c r="X36" s="24">
        <v>21069</v>
      </c>
      <c r="Y36" s="25">
        <v>36.555</v>
      </c>
      <c r="Z36" s="24">
        <v>338</v>
      </c>
      <c r="AA36" s="28">
        <v>0.55600000000000005</v>
      </c>
      <c r="AB36" s="12" t="s">
        <v>51</v>
      </c>
      <c r="AC36" s="13"/>
      <c r="AD36" s="13"/>
    </row>
    <row r="37" spans="1:30" x14ac:dyDescent="0.3">
      <c r="A37" s="11" t="s">
        <v>52</v>
      </c>
      <c r="B37" s="27">
        <v>1463</v>
      </c>
      <c r="C37" s="25">
        <v>102.125</v>
      </c>
      <c r="D37" s="24">
        <v>1665</v>
      </c>
      <c r="E37" s="25">
        <v>220.18</v>
      </c>
      <c r="F37" s="24">
        <v>1836</v>
      </c>
      <c r="G37" s="25">
        <v>337.738</v>
      </c>
      <c r="H37" s="24" t="s">
        <v>193</v>
      </c>
      <c r="I37" s="25" t="s">
        <v>193</v>
      </c>
      <c r="J37" s="24" t="s">
        <v>193</v>
      </c>
      <c r="K37" s="25" t="s">
        <v>193</v>
      </c>
      <c r="L37" s="24">
        <v>173433</v>
      </c>
      <c r="M37" s="25">
        <v>1835.26</v>
      </c>
      <c r="N37" s="24">
        <v>19522</v>
      </c>
      <c r="O37" s="25">
        <v>402.12900000000002</v>
      </c>
      <c r="P37" s="24">
        <v>20431</v>
      </c>
      <c r="Q37" s="25">
        <v>226.34399999999999</v>
      </c>
      <c r="R37" s="24">
        <v>2031</v>
      </c>
      <c r="S37" s="25">
        <v>42.271000000000001</v>
      </c>
      <c r="T37" s="24">
        <v>4305</v>
      </c>
      <c r="U37" s="25">
        <v>73.616</v>
      </c>
      <c r="V37" s="24">
        <v>129500</v>
      </c>
      <c r="W37" s="25">
        <v>8435.1299999999992</v>
      </c>
      <c r="X37" s="24">
        <v>370860</v>
      </c>
      <c r="Y37" s="25">
        <v>741.68499999999995</v>
      </c>
      <c r="Z37" s="24">
        <v>1000</v>
      </c>
      <c r="AA37" s="28">
        <v>1.65</v>
      </c>
      <c r="AB37" s="12" t="s">
        <v>53</v>
      </c>
      <c r="AC37" s="13"/>
      <c r="AD37" s="13"/>
    </row>
    <row r="38" spans="1:30" x14ac:dyDescent="0.3">
      <c r="A38" s="55" t="s">
        <v>54</v>
      </c>
      <c r="B38" s="49">
        <f>SUM(B40:B44)</f>
        <v>10786</v>
      </c>
      <c r="C38" s="38">
        <f>SUM(C40:C44)</f>
        <v>1979.5830000000001</v>
      </c>
      <c r="D38" s="38">
        <f t="shared" ref="D38:K38" si="7">SUM(D40:D44)</f>
        <v>15533</v>
      </c>
      <c r="E38" s="38">
        <f t="shared" si="7"/>
        <v>4299.6170000000002</v>
      </c>
      <c r="F38" s="38">
        <f t="shared" si="7"/>
        <v>2225</v>
      </c>
      <c r="G38" s="38">
        <f t="shared" si="7"/>
        <v>709.09299999999996</v>
      </c>
      <c r="H38" s="38">
        <f t="shared" si="7"/>
        <v>0</v>
      </c>
      <c r="I38" s="37">
        <f t="shared" si="7"/>
        <v>0</v>
      </c>
      <c r="J38" s="38">
        <f t="shared" si="7"/>
        <v>24</v>
      </c>
      <c r="K38" s="37">
        <f t="shared" si="7"/>
        <v>9.2159999999999993</v>
      </c>
      <c r="L38" s="38">
        <f t="shared" ref="L38:P38" si="8">SUM(L40:L44)</f>
        <v>707505</v>
      </c>
      <c r="M38" s="38">
        <f t="shared" si="8"/>
        <v>6372.9629999999997</v>
      </c>
      <c r="N38" s="38">
        <f t="shared" si="8"/>
        <v>98108</v>
      </c>
      <c r="O38" s="38">
        <f>SUM(O40:O44)</f>
        <v>2035.192</v>
      </c>
      <c r="P38" s="37">
        <f t="shared" si="8"/>
        <v>181545</v>
      </c>
      <c r="Q38" s="38">
        <f t="shared" ref="Q38:AA38" si="9">SUM(Q40:Q44)</f>
        <v>1566.9070000000002</v>
      </c>
      <c r="R38" s="38">
        <f t="shared" si="9"/>
        <v>18720</v>
      </c>
      <c r="S38" s="37">
        <f t="shared" si="9"/>
        <v>371.29</v>
      </c>
      <c r="T38" s="38">
        <f t="shared" si="9"/>
        <v>87100</v>
      </c>
      <c r="U38" s="37">
        <f t="shared" si="9"/>
        <v>1674.1859999999999</v>
      </c>
      <c r="V38" s="38">
        <f t="shared" si="9"/>
        <v>105856</v>
      </c>
      <c r="W38" s="37">
        <f t="shared" si="9"/>
        <v>12660.708999999999</v>
      </c>
      <c r="X38" s="38">
        <f t="shared" si="9"/>
        <v>540322</v>
      </c>
      <c r="Y38" s="37">
        <f t="shared" si="9"/>
        <v>973.07900000000006</v>
      </c>
      <c r="Z38" s="38">
        <f t="shared" si="9"/>
        <v>33565</v>
      </c>
      <c r="AA38" s="41">
        <f t="shared" si="9"/>
        <v>56.198999999999998</v>
      </c>
      <c r="AB38" s="63" t="s">
        <v>55</v>
      </c>
      <c r="AC38" s="63"/>
      <c r="AD38" s="63"/>
    </row>
    <row r="39" spans="1:30" x14ac:dyDescent="0.3">
      <c r="A39" s="55"/>
      <c r="B39" s="49"/>
      <c r="C39" s="38"/>
      <c r="D39" s="38"/>
      <c r="E39" s="38"/>
      <c r="F39" s="38"/>
      <c r="G39" s="38"/>
      <c r="H39" s="38"/>
      <c r="I39" s="37"/>
      <c r="J39" s="38"/>
      <c r="K39" s="37"/>
      <c r="L39" s="38"/>
      <c r="M39" s="38"/>
      <c r="N39" s="38"/>
      <c r="O39" s="38"/>
      <c r="P39" s="37"/>
      <c r="Q39" s="38"/>
      <c r="R39" s="38"/>
      <c r="S39" s="37"/>
      <c r="T39" s="38"/>
      <c r="U39" s="37"/>
      <c r="V39" s="38"/>
      <c r="W39" s="37"/>
      <c r="X39" s="38"/>
      <c r="Y39" s="37"/>
      <c r="Z39" s="38"/>
      <c r="AA39" s="41"/>
      <c r="AB39" s="63"/>
      <c r="AC39" s="63"/>
      <c r="AD39" s="63"/>
    </row>
    <row r="40" spans="1:30" x14ac:dyDescent="0.3">
      <c r="A40" s="11" t="s">
        <v>56</v>
      </c>
      <c r="B40" s="27">
        <v>6682</v>
      </c>
      <c r="C40" s="25">
        <v>1289.548</v>
      </c>
      <c r="D40" s="24">
        <v>1649</v>
      </c>
      <c r="E40" s="25">
        <v>493.92899999999997</v>
      </c>
      <c r="F40" s="24">
        <v>459</v>
      </c>
      <c r="G40" s="25">
        <v>161.22999999999999</v>
      </c>
      <c r="H40" s="24" t="s">
        <v>193</v>
      </c>
      <c r="I40" s="25" t="s">
        <v>193</v>
      </c>
      <c r="J40" s="24" t="s">
        <v>193</v>
      </c>
      <c r="K40" s="25" t="s">
        <v>193</v>
      </c>
      <c r="L40" s="24">
        <v>506686</v>
      </c>
      <c r="M40" s="25">
        <v>4335.7820000000002</v>
      </c>
      <c r="N40" s="24">
        <v>66272</v>
      </c>
      <c r="O40" s="25">
        <v>1237.4839999999999</v>
      </c>
      <c r="P40" s="24">
        <v>105827</v>
      </c>
      <c r="Q40" s="25">
        <v>835.98699999999997</v>
      </c>
      <c r="R40" s="24">
        <v>11137</v>
      </c>
      <c r="S40" s="25">
        <v>200.02500000000001</v>
      </c>
      <c r="T40" s="24">
        <v>75619</v>
      </c>
      <c r="U40" s="25">
        <v>1504.81</v>
      </c>
      <c r="V40" s="24">
        <v>1791</v>
      </c>
      <c r="W40" s="25">
        <v>123.48</v>
      </c>
      <c r="X40" s="24">
        <v>79064</v>
      </c>
      <c r="Y40" s="25">
        <v>238.46199999999999</v>
      </c>
      <c r="Z40" s="24">
        <v>2845</v>
      </c>
      <c r="AA40" s="28">
        <v>7.1719999999999997</v>
      </c>
      <c r="AB40" s="12" t="s">
        <v>57</v>
      </c>
      <c r="AC40" s="13"/>
      <c r="AD40" s="13"/>
    </row>
    <row r="41" spans="1:30" x14ac:dyDescent="0.3">
      <c r="A41" s="11" t="s">
        <v>58</v>
      </c>
      <c r="B41" s="27">
        <v>560</v>
      </c>
      <c r="C41" s="25">
        <v>94.813000000000002</v>
      </c>
      <c r="D41" s="24">
        <v>2658</v>
      </c>
      <c r="E41" s="25">
        <v>807.87</v>
      </c>
      <c r="F41" s="24">
        <v>512</v>
      </c>
      <c r="G41" s="25">
        <v>150.863</v>
      </c>
      <c r="H41" s="24" t="s">
        <v>193</v>
      </c>
      <c r="I41" s="25" t="s">
        <v>193</v>
      </c>
      <c r="J41" s="24" t="s">
        <v>193</v>
      </c>
      <c r="K41" s="25" t="s">
        <v>193</v>
      </c>
      <c r="L41" s="24">
        <v>92951</v>
      </c>
      <c r="M41" s="25">
        <v>958.83699999999999</v>
      </c>
      <c r="N41" s="24">
        <v>12276</v>
      </c>
      <c r="O41" s="25">
        <v>278.24</v>
      </c>
      <c r="P41" s="24">
        <v>14040</v>
      </c>
      <c r="Q41" s="25">
        <v>135.34100000000001</v>
      </c>
      <c r="R41" s="24">
        <v>1130</v>
      </c>
      <c r="S41" s="25">
        <v>22.902999999999999</v>
      </c>
      <c r="T41" s="24">
        <v>5960</v>
      </c>
      <c r="U41" s="25">
        <v>86.271000000000001</v>
      </c>
      <c r="V41" s="24">
        <v>23626</v>
      </c>
      <c r="W41" s="25">
        <v>1421.634</v>
      </c>
      <c r="X41" s="24">
        <v>230898</v>
      </c>
      <c r="Y41" s="25">
        <v>286.02800000000002</v>
      </c>
      <c r="Z41" s="24">
        <v>14060</v>
      </c>
      <c r="AA41" s="28">
        <v>20.079000000000001</v>
      </c>
      <c r="AB41" s="12" t="s">
        <v>59</v>
      </c>
      <c r="AC41" s="13"/>
      <c r="AD41" s="13"/>
    </row>
    <row r="42" spans="1:30" x14ac:dyDescent="0.3">
      <c r="A42" s="11" t="s">
        <v>60</v>
      </c>
      <c r="B42" s="27">
        <v>1580</v>
      </c>
      <c r="C42" s="25">
        <v>293.30099999999999</v>
      </c>
      <c r="D42" s="24">
        <v>2630</v>
      </c>
      <c r="E42" s="25">
        <v>685.04</v>
      </c>
      <c r="F42" s="24">
        <v>193</v>
      </c>
      <c r="G42" s="25">
        <v>54.19</v>
      </c>
      <c r="H42" s="24" t="s">
        <v>193</v>
      </c>
      <c r="I42" s="25" t="s">
        <v>193</v>
      </c>
      <c r="J42" s="24" t="s">
        <v>193</v>
      </c>
      <c r="K42" s="25" t="s">
        <v>193</v>
      </c>
      <c r="L42" s="24">
        <v>35241</v>
      </c>
      <c r="M42" s="25">
        <v>352.25299999999999</v>
      </c>
      <c r="N42" s="24">
        <v>7496</v>
      </c>
      <c r="O42" s="25">
        <v>217.35599999999999</v>
      </c>
      <c r="P42" s="24">
        <v>36196</v>
      </c>
      <c r="Q42" s="25">
        <v>371.39400000000001</v>
      </c>
      <c r="R42" s="24">
        <v>1690</v>
      </c>
      <c r="S42" s="25">
        <v>41.25</v>
      </c>
      <c r="T42" s="24">
        <v>80</v>
      </c>
      <c r="U42" s="25">
        <v>1.44</v>
      </c>
      <c r="V42" s="24">
        <v>11834</v>
      </c>
      <c r="W42" s="25">
        <v>746.38499999999999</v>
      </c>
      <c r="X42" s="24">
        <v>1630</v>
      </c>
      <c r="Y42" s="25">
        <v>2.734</v>
      </c>
      <c r="Z42" s="24" t="s">
        <v>193</v>
      </c>
      <c r="AA42" s="28" t="s">
        <v>193</v>
      </c>
      <c r="AB42" s="12" t="s">
        <v>61</v>
      </c>
      <c r="AC42" s="13"/>
      <c r="AD42" s="13"/>
    </row>
    <row r="43" spans="1:30" x14ac:dyDescent="0.3">
      <c r="A43" s="11" t="s">
        <v>62</v>
      </c>
      <c r="B43" s="27" t="s">
        <v>193</v>
      </c>
      <c r="C43" s="25" t="s">
        <v>193</v>
      </c>
      <c r="D43" s="24" t="s">
        <v>193</v>
      </c>
      <c r="E43" s="25" t="s">
        <v>193</v>
      </c>
      <c r="F43" s="24" t="s">
        <v>193</v>
      </c>
      <c r="G43" s="25" t="s">
        <v>193</v>
      </c>
      <c r="H43" s="24" t="s">
        <v>193</v>
      </c>
      <c r="I43" s="25" t="s">
        <v>193</v>
      </c>
      <c r="J43" s="24" t="s">
        <v>193</v>
      </c>
      <c r="K43" s="25" t="s">
        <v>193</v>
      </c>
      <c r="L43" s="24">
        <v>229</v>
      </c>
      <c r="M43" s="25">
        <v>2.0609999999999999</v>
      </c>
      <c r="N43" s="24">
        <v>1</v>
      </c>
      <c r="O43" s="25">
        <v>2.5000000000000001E-2</v>
      </c>
      <c r="P43" s="24">
        <v>5210</v>
      </c>
      <c r="Q43" s="25">
        <v>51.411000000000001</v>
      </c>
      <c r="R43" s="24">
        <v>15</v>
      </c>
      <c r="S43" s="25">
        <v>0.3</v>
      </c>
      <c r="T43" s="24" t="s">
        <v>193</v>
      </c>
      <c r="U43" s="25" t="s">
        <v>193</v>
      </c>
      <c r="V43" s="24" t="s">
        <v>193</v>
      </c>
      <c r="W43" s="25" t="s">
        <v>193</v>
      </c>
      <c r="X43" s="24">
        <v>1330</v>
      </c>
      <c r="Y43" s="25">
        <v>1.5960000000000001</v>
      </c>
      <c r="Z43" s="24" t="s">
        <v>193</v>
      </c>
      <c r="AA43" s="28" t="s">
        <v>193</v>
      </c>
      <c r="AB43" s="12" t="s">
        <v>63</v>
      </c>
      <c r="AC43" s="13"/>
      <c r="AD43" s="13"/>
    </row>
    <row r="44" spans="1:30" x14ac:dyDescent="0.3">
      <c r="A44" s="11" t="s">
        <v>64</v>
      </c>
      <c r="B44" s="27">
        <v>1964</v>
      </c>
      <c r="C44" s="25">
        <v>301.92099999999999</v>
      </c>
      <c r="D44" s="24">
        <v>8596</v>
      </c>
      <c r="E44" s="25">
        <v>2312.7779999999998</v>
      </c>
      <c r="F44" s="24">
        <v>1061</v>
      </c>
      <c r="G44" s="25">
        <v>342.81</v>
      </c>
      <c r="H44" s="24" t="s">
        <v>193</v>
      </c>
      <c r="I44" s="25" t="s">
        <v>193</v>
      </c>
      <c r="J44" s="24">
        <v>24</v>
      </c>
      <c r="K44" s="25">
        <v>9.2159999999999993</v>
      </c>
      <c r="L44" s="24">
        <v>72398</v>
      </c>
      <c r="M44" s="25">
        <v>724.03</v>
      </c>
      <c r="N44" s="24">
        <v>12063</v>
      </c>
      <c r="O44" s="25">
        <v>302.08699999999999</v>
      </c>
      <c r="P44" s="24">
        <v>20272</v>
      </c>
      <c r="Q44" s="25">
        <v>172.774</v>
      </c>
      <c r="R44" s="24">
        <v>4748</v>
      </c>
      <c r="S44" s="25">
        <v>106.812</v>
      </c>
      <c r="T44" s="24">
        <v>5441</v>
      </c>
      <c r="U44" s="25">
        <v>81.665000000000006</v>
      </c>
      <c r="V44" s="24">
        <v>68605</v>
      </c>
      <c r="W44" s="25">
        <v>10369.209999999999</v>
      </c>
      <c r="X44" s="24">
        <v>227400</v>
      </c>
      <c r="Y44" s="25">
        <v>444.25900000000001</v>
      </c>
      <c r="Z44" s="24">
        <v>16660</v>
      </c>
      <c r="AA44" s="28">
        <v>28.948</v>
      </c>
      <c r="AB44" s="12" t="s">
        <v>65</v>
      </c>
      <c r="AC44" s="13"/>
      <c r="AD44" s="13"/>
    </row>
    <row r="45" spans="1:30" x14ac:dyDescent="0.3">
      <c r="A45" s="55" t="s">
        <v>66</v>
      </c>
      <c r="B45" s="49">
        <f t="shared" ref="B45:G45" si="10">SUM(B47:B51)</f>
        <v>1908</v>
      </c>
      <c r="C45" s="38">
        <f t="shared" si="10"/>
        <v>263.31200000000001</v>
      </c>
      <c r="D45" s="38">
        <f t="shared" si="10"/>
        <v>5169</v>
      </c>
      <c r="E45" s="38">
        <f t="shared" si="10"/>
        <v>1140.0999999999999</v>
      </c>
      <c r="F45" s="38">
        <f t="shared" si="10"/>
        <v>1508</v>
      </c>
      <c r="G45" s="38">
        <f t="shared" si="10"/>
        <v>512.64300000000003</v>
      </c>
      <c r="H45" s="38">
        <f t="shared" ref="H45:M45" si="11">SUM(H47:H51)</f>
        <v>0</v>
      </c>
      <c r="I45" s="37">
        <f t="shared" si="11"/>
        <v>0</v>
      </c>
      <c r="J45" s="38">
        <f t="shared" si="11"/>
        <v>0</v>
      </c>
      <c r="K45" s="37">
        <f t="shared" si="11"/>
        <v>0</v>
      </c>
      <c r="L45" s="38">
        <f t="shared" si="11"/>
        <v>263134</v>
      </c>
      <c r="M45" s="38">
        <f t="shared" si="11"/>
        <v>2794.1480000000001</v>
      </c>
      <c r="N45" s="38">
        <f>SUM(N47:N51)</f>
        <v>49770</v>
      </c>
      <c r="O45" s="38">
        <f>SUM(O47:O51)</f>
        <v>1303.7809999999999</v>
      </c>
      <c r="P45" s="37">
        <f>SUM(P47:P51)</f>
        <v>157286</v>
      </c>
      <c r="Q45" s="38">
        <f t="shared" ref="Q45:AA45" si="12">SUM(Q47:Q51)</f>
        <v>1640.73</v>
      </c>
      <c r="R45" s="38">
        <f t="shared" si="12"/>
        <v>33945</v>
      </c>
      <c r="S45" s="37">
        <f t="shared" si="12"/>
        <v>714.31100000000004</v>
      </c>
      <c r="T45" s="38">
        <f t="shared" si="12"/>
        <v>9589</v>
      </c>
      <c r="U45" s="37">
        <f t="shared" si="12"/>
        <v>186.803</v>
      </c>
      <c r="V45" s="38">
        <f t="shared" si="12"/>
        <v>172641</v>
      </c>
      <c r="W45" s="37">
        <f t="shared" si="12"/>
        <v>13623.880000000001</v>
      </c>
      <c r="X45" s="38">
        <f t="shared" si="12"/>
        <v>38917836</v>
      </c>
      <c r="Y45" s="37">
        <f t="shared" si="12"/>
        <v>76353.916000000012</v>
      </c>
      <c r="Z45" s="38">
        <f t="shared" si="12"/>
        <v>47961</v>
      </c>
      <c r="AA45" s="41">
        <f t="shared" si="12"/>
        <v>82.159000000000006</v>
      </c>
      <c r="AB45" s="63" t="s">
        <v>67</v>
      </c>
      <c r="AC45" s="63"/>
      <c r="AD45" s="63"/>
    </row>
    <row r="46" spans="1:30" x14ac:dyDescent="0.3">
      <c r="A46" s="55"/>
      <c r="B46" s="49"/>
      <c r="C46" s="38"/>
      <c r="D46" s="38"/>
      <c r="E46" s="38"/>
      <c r="F46" s="38"/>
      <c r="G46" s="38"/>
      <c r="H46" s="38"/>
      <c r="I46" s="37"/>
      <c r="J46" s="38"/>
      <c r="K46" s="37"/>
      <c r="L46" s="38"/>
      <c r="M46" s="38"/>
      <c r="N46" s="38"/>
      <c r="O46" s="38"/>
      <c r="P46" s="37"/>
      <c r="Q46" s="38"/>
      <c r="R46" s="38"/>
      <c r="S46" s="37"/>
      <c r="T46" s="38"/>
      <c r="U46" s="37"/>
      <c r="V46" s="38"/>
      <c r="W46" s="37"/>
      <c r="X46" s="38"/>
      <c r="Y46" s="37"/>
      <c r="Z46" s="38"/>
      <c r="AA46" s="41"/>
      <c r="AB46" s="63"/>
      <c r="AC46" s="63"/>
      <c r="AD46" s="63"/>
    </row>
    <row r="47" spans="1:30" x14ac:dyDescent="0.3">
      <c r="A47" s="11" t="s">
        <v>68</v>
      </c>
      <c r="B47" s="27">
        <v>446</v>
      </c>
      <c r="C47" s="25">
        <v>81.534999999999997</v>
      </c>
      <c r="D47" s="24">
        <v>2714</v>
      </c>
      <c r="E47" s="25">
        <v>658.36699999999996</v>
      </c>
      <c r="F47" s="24">
        <v>373</v>
      </c>
      <c r="G47" s="25">
        <v>155.61799999999999</v>
      </c>
      <c r="H47" s="24" t="s">
        <v>193</v>
      </c>
      <c r="I47" s="25" t="s">
        <v>193</v>
      </c>
      <c r="J47" s="24" t="s">
        <v>193</v>
      </c>
      <c r="K47" s="25" t="s">
        <v>193</v>
      </c>
      <c r="L47" s="24">
        <v>58780</v>
      </c>
      <c r="M47" s="25">
        <v>631.29600000000005</v>
      </c>
      <c r="N47" s="24">
        <v>11931</v>
      </c>
      <c r="O47" s="25">
        <v>299.786</v>
      </c>
      <c r="P47" s="24">
        <v>11945</v>
      </c>
      <c r="Q47" s="25">
        <v>120.532</v>
      </c>
      <c r="R47" s="24">
        <v>1668</v>
      </c>
      <c r="S47" s="25">
        <v>40.723999999999997</v>
      </c>
      <c r="T47" s="24">
        <v>2493</v>
      </c>
      <c r="U47" s="25">
        <v>44.887</v>
      </c>
      <c r="V47" s="24">
        <v>9237</v>
      </c>
      <c r="W47" s="25">
        <v>622.14</v>
      </c>
      <c r="X47" s="24">
        <v>64680</v>
      </c>
      <c r="Y47" s="25">
        <v>112.29</v>
      </c>
      <c r="Z47" s="24">
        <v>27523</v>
      </c>
      <c r="AA47" s="28">
        <v>45.168999999999997</v>
      </c>
      <c r="AB47" s="12" t="s">
        <v>69</v>
      </c>
      <c r="AC47" s="13"/>
      <c r="AD47" s="13"/>
    </row>
    <row r="48" spans="1:30" x14ac:dyDescent="0.3">
      <c r="A48" s="11" t="s">
        <v>70</v>
      </c>
      <c r="B48" s="27">
        <v>261</v>
      </c>
      <c r="C48" s="25">
        <v>37.601999999999997</v>
      </c>
      <c r="D48" s="24">
        <v>715</v>
      </c>
      <c r="E48" s="25">
        <v>175.351</v>
      </c>
      <c r="F48" s="24">
        <v>558</v>
      </c>
      <c r="G48" s="25">
        <v>206.524</v>
      </c>
      <c r="H48" s="24" t="s">
        <v>193</v>
      </c>
      <c r="I48" s="25" t="s">
        <v>193</v>
      </c>
      <c r="J48" s="24" t="s">
        <v>193</v>
      </c>
      <c r="K48" s="25" t="s">
        <v>193</v>
      </c>
      <c r="L48" s="24">
        <v>49621</v>
      </c>
      <c r="M48" s="25">
        <v>564.31399999999996</v>
      </c>
      <c r="N48" s="24">
        <v>25819</v>
      </c>
      <c r="O48" s="25">
        <v>740.99699999999996</v>
      </c>
      <c r="P48" s="24">
        <v>30052</v>
      </c>
      <c r="Q48" s="25">
        <v>320.923</v>
      </c>
      <c r="R48" s="24">
        <v>24526</v>
      </c>
      <c r="S48" s="25">
        <v>489.94900000000001</v>
      </c>
      <c r="T48" s="24">
        <v>571</v>
      </c>
      <c r="U48" s="25">
        <v>11.42</v>
      </c>
      <c r="V48" s="24">
        <v>3956</v>
      </c>
      <c r="W48" s="25">
        <v>319.685</v>
      </c>
      <c r="X48" s="24">
        <v>8032994</v>
      </c>
      <c r="Y48" s="25">
        <v>16022.897999999999</v>
      </c>
      <c r="Z48" s="24">
        <v>220</v>
      </c>
      <c r="AA48" s="28">
        <v>0.22</v>
      </c>
      <c r="AB48" s="12" t="s">
        <v>71</v>
      </c>
      <c r="AC48" s="13"/>
      <c r="AD48" s="13"/>
    </row>
    <row r="49" spans="1:30" x14ac:dyDescent="0.3">
      <c r="A49" s="11" t="s">
        <v>72</v>
      </c>
      <c r="B49" s="27">
        <v>518</v>
      </c>
      <c r="C49" s="25">
        <v>69.38</v>
      </c>
      <c r="D49" s="24">
        <v>497</v>
      </c>
      <c r="E49" s="25">
        <v>105.07</v>
      </c>
      <c r="F49" s="24">
        <v>131</v>
      </c>
      <c r="G49" s="25">
        <v>43.304000000000002</v>
      </c>
      <c r="H49" s="24" t="s">
        <v>193</v>
      </c>
      <c r="I49" s="25" t="s">
        <v>193</v>
      </c>
      <c r="J49" s="24" t="s">
        <v>193</v>
      </c>
      <c r="K49" s="25" t="s">
        <v>193</v>
      </c>
      <c r="L49" s="24">
        <v>116248</v>
      </c>
      <c r="M49" s="25">
        <v>1233.1189999999999</v>
      </c>
      <c r="N49" s="24">
        <v>4891</v>
      </c>
      <c r="O49" s="25">
        <v>143.58500000000001</v>
      </c>
      <c r="P49" s="24">
        <v>97394</v>
      </c>
      <c r="Q49" s="25">
        <v>1023.485</v>
      </c>
      <c r="R49" s="24">
        <v>4132</v>
      </c>
      <c r="S49" s="25">
        <v>107.80500000000001</v>
      </c>
      <c r="T49" s="24">
        <v>6483</v>
      </c>
      <c r="U49" s="25">
        <v>129.66</v>
      </c>
      <c r="V49" s="24">
        <v>158286</v>
      </c>
      <c r="W49" s="25">
        <v>12605.34</v>
      </c>
      <c r="X49" s="24">
        <v>26431154</v>
      </c>
      <c r="Y49" s="25">
        <v>53625.012999999999</v>
      </c>
      <c r="Z49" s="24">
        <v>7505</v>
      </c>
      <c r="AA49" s="28">
        <v>14.584</v>
      </c>
      <c r="AB49" s="12" t="s">
        <v>73</v>
      </c>
      <c r="AC49" s="13"/>
      <c r="AD49" s="13"/>
    </row>
    <row r="50" spans="1:30" x14ac:dyDescent="0.3">
      <c r="A50" s="11" t="s">
        <v>74</v>
      </c>
      <c r="B50" s="27">
        <v>256</v>
      </c>
      <c r="C50" s="25">
        <v>24.617999999999999</v>
      </c>
      <c r="D50" s="24">
        <v>237</v>
      </c>
      <c r="E50" s="25">
        <v>51.35</v>
      </c>
      <c r="F50" s="24">
        <v>44</v>
      </c>
      <c r="G50" s="25">
        <v>8.9</v>
      </c>
      <c r="H50" s="24" t="s">
        <v>193</v>
      </c>
      <c r="I50" s="25" t="s">
        <v>193</v>
      </c>
      <c r="J50" s="24" t="s">
        <v>193</v>
      </c>
      <c r="K50" s="25" t="s">
        <v>193</v>
      </c>
      <c r="L50" s="24">
        <v>7923</v>
      </c>
      <c r="M50" s="25">
        <v>88.935000000000002</v>
      </c>
      <c r="N50" s="24">
        <v>1164</v>
      </c>
      <c r="O50" s="25">
        <v>25.936</v>
      </c>
      <c r="P50" s="24">
        <v>7758</v>
      </c>
      <c r="Q50" s="25">
        <v>82.959000000000003</v>
      </c>
      <c r="R50" s="24">
        <v>1118</v>
      </c>
      <c r="S50" s="25">
        <v>25.864999999999998</v>
      </c>
      <c r="T50" s="24">
        <v>6</v>
      </c>
      <c r="U50" s="25">
        <v>0.11600000000000001</v>
      </c>
      <c r="V50" s="24">
        <v>712</v>
      </c>
      <c r="W50" s="25">
        <v>47.015000000000001</v>
      </c>
      <c r="X50" s="24">
        <v>10054</v>
      </c>
      <c r="Y50" s="25">
        <v>24.004999999999999</v>
      </c>
      <c r="Z50" s="24">
        <v>4473</v>
      </c>
      <c r="AA50" s="28">
        <v>7.9379999999999997</v>
      </c>
      <c r="AB50" s="12" t="s">
        <v>75</v>
      </c>
      <c r="AC50" s="13"/>
      <c r="AD50" s="13"/>
    </row>
    <row r="51" spans="1:30" x14ac:dyDescent="0.3">
      <c r="A51" s="11" t="s">
        <v>76</v>
      </c>
      <c r="B51" s="27">
        <v>427</v>
      </c>
      <c r="C51" s="25">
        <v>50.177</v>
      </c>
      <c r="D51" s="24">
        <v>1006</v>
      </c>
      <c r="E51" s="25">
        <v>149.96199999999999</v>
      </c>
      <c r="F51" s="24">
        <v>402</v>
      </c>
      <c r="G51" s="25">
        <v>98.296999999999997</v>
      </c>
      <c r="H51" s="24" t="s">
        <v>193</v>
      </c>
      <c r="I51" s="25" t="s">
        <v>193</v>
      </c>
      <c r="J51" s="24" t="s">
        <v>193</v>
      </c>
      <c r="K51" s="25" t="s">
        <v>193</v>
      </c>
      <c r="L51" s="24">
        <v>30562</v>
      </c>
      <c r="M51" s="25">
        <v>276.48399999999998</v>
      </c>
      <c r="N51" s="24">
        <v>5965</v>
      </c>
      <c r="O51" s="25">
        <v>93.477000000000004</v>
      </c>
      <c r="P51" s="24">
        <v>10137</v>
      </c>
      <c r="Q51" s="25">
        <v>92.831000000000003</v>
      </c>
      <c r="R51" s="24">
        <v>2501</v>
      </c>
      <c r="S51" s="25">
        <v>49.968000000000004</v>
      </c>
      <c r="T51" s="24">
        <v>36</v>
      </c>
      <c r="U51" s="25">
        <v>0.72</v>
      </c>
      <c r="V51" s="24">
        <v>450</v>
      </c>
      <c r="W51" s="25">
        <v>29.7</v>
      </c>
      <c r="X51" s="24">
        <v>4378954</v>
      </c>
      <c r="Y51" s="25">
        <v>6569.71</v>
      </c>
      <c r="Z51" s="24">
        <v>8240</v>
      </c>
      <c r="AA51" s="28">
        <v>14.247999999999999</v>
      </c>
      <c r="AB51" s="12" t="s">
        <v>77</v>
      </c>
      <c r="AC51" s="13"/>
      <c r="AD51" s="13"/>
    </row>
    <row r="52" spans="1:30" x14ac:dyDescent="0.3">
      <c r="A52" s="55" t="s">
        <v>78</v>
      </c>
      <c r="B52" s="49">
        <f t="shared" ref="B52:E52" si="13">SUM(B54:B58)</f>
        <v>637</v>
      </c>
      <c r="C52" s="38">
        <f t="shared" si="13"/>
        <v>98.179000000000002</v>
      </c>
      <c r="D52" s="38">
        <f t="shared" si="13"/>
        <v>222</v>
      </c>
      <c r="E52" s="38">
        <f t="shared" si="13"/>
        <v>52.737000000000002</v>
      </c>
      <c r="F52" s="38">
        <f t="shared" ref="F52:I52" si="14">SUM(F54:F58)</f>
        <v>203</v>
      </c>
      <c r="G52" s="38">
        <f t="shared" si="14"/>
        <v>61.058000000000007</v>
      </c>
      <c r="H52" s="38">
        <f t="shared" si="14"/>
        <v>0</v>
      </c>
      <c r="I52" s="37">
        <f t="shared" si="14"/>
        <v>0</v>
      </c>
      <c r="J52" s="38">
        <f t="shared" ref="J52:M52" si="15">SUM(J54:J58)</f>
        <v>0</v>
      </c>
      <c r="K52" s="37">
        <f t="shared" si="15"/>
        <v>0</v>
      </c>
      <c r="L52" s="38">
        <f t="shared" si="15"/>
        <v>63657</v>
      </c>
      <c r="M52" s="38">
        <f t="shared" si="15"/>
        <v>643.31399999999996</v>
      </c>
      <c r="N52" s="38">
        <f>SUM(N54:N58)</f>
        <v>7077</v>
      </c>
      <c r="O52" s="38">
        <f>SUM(O54:O58)</f>
        <v>191.59199999999998</v>
      </c>
      <c r="P52" s="37">
        <f>SUM(P54:P58)</f>
        <v>49094</v>
      </c>
      <c r="Q52" s="38">
        <f t="shared" ref="Q52:AA52" si="16">SUM(Q54:Q58)</f>
        <v>491.73099999999994</v>
      </c>
      <c r="R52" s="38">
        <f t="shared" si="16"/>
        <v>6202</v>
      </c>
      <c r="S52" s="37">
        <f t="shared" si="16"/>
        <v>188.59800000000001</v>
      </c>
      <c r="T52" s="38">
        <f t="shared" si="16"/>
        <v>1185</v>
      </c>
      <c r="U52" s="37">
        <f t="shared" si="16"/>
        <v>18.512999999999998</v>
      </c>
      <c r="V52" s="38">
        <f t="shared" si="16"/>
        <v>563</v>
      </c>
      <c r="W52" s="37">
        <f t="shared" si="16"/>
        <v>19.354999999999997</v>
      </c>
      <c r="X52" s="38">
        <f t="shared" si="16"/>
        <v>43784</v>
      </c>
      <c r="Y52" s="37">
        <f t="shared" si="16"/>
        <v>55.841999999999999</v>
      </c>
      <c r="Z52" s="38">
        <f t="shared" si="16"/>
        <v>22032</v>
      </c>
      <c r="AA52" s="41">
        <f t="shared" si="16"/>
        <v>27.385999999999999</v>
      </c>
      <c r="AB52" s="63" t="s">
        <v>79</v>
      </c>
      <c r="AC52" s="63"/>
      <c r="AD52" s="63"/>
    </row>
    <row r="53" spans="1:30" x14ac:dyDescent="0.3">
      <c r="A53" s="55"/>
      <c r="B53" s="49"/>
      <c r="C53" s="38"/>
      <c r="D53" s="38"/>
      <c r="E53" s="38"/>
      <c r="F53" s="38"/>
      <c r="G53" s="38"/>
      <c r="H53" s="38"/>
      <c r="I53" s="37"/>
      <c r="J53" s="38"/>
      <c r="K53" s="37"/>
      <c r="L53" s="38"/>
      <c r="M53" s="38"/>
      <c r="N53" s="38"/>
      <c r="O53" s="38"/>
      <c r="P53" s="37"/>
      <c r="Q53" s="38"/>
      <c r="R53" s="38"/>
      <c r="S53" s="37"/>
      <c r="T53" s="38"/>
      <c r="U53" s="37"/>
      <c r="V53" s="38"/>
      <c r="W53" s="37"/>
      <c r="X53" s="38"/>
      <c r="Y53" s="37"/>
      <c r="Z53" s="38"/>
      <c r="AA53" s="41"/>
      <c r="AB53" s="63"/>
      <c r="AC53" s="63"/>
      <c r="AD53" s="63"/>
    </row>
    <row r="54" spans="1:30" x14ac:dyDescent="0.3">
      <c r="A54" s="11" t="s">
        <v>80</v>
      </c>
      <c r="B54" s="27">
        <v>63</v>
      </c>
      <c r="C54" s="25">
        <v>11.27</v>
      </c>
      <c r="D54" s="24">
        <v>2</v>
      </c>
      <c r="E54" s="25">
        <v>0.64</v>
      </c>
      <c r="F54" s="24">
        <v>10</v>
      </c>
      <c r="G54" s="25">
        <v>3.37</v>
      </c>
      <c r="H54" s="24" t="s">
        <v>193</v>
      </c>
      <c r="I54" s="25" t="s">
        <v>193</v>
      </c>
      <c r="J54" s="24" t="s">
        <v>193</v>
      </c>
      <c r="K54" s="25" t="s">
        <v>193</v>
      </c>
      <c r="L54" s="24">
        <v>290</v>
      </c>
      <c r="M54" s="25">
        <v>2.6949999999999998</v>
      </c>
      <c r="N54" s="24">
        <v>86</v>
      </c>
      <c r="O54" s="25">
        <v>1.633</v>
      </c>
      <c r="P54" s="24">
        <v>1103</v>
      </c>
      <c r="Q54" s="25">
        <v>9.2859999999999996</v>
      </c>
      <c r="R54" s="24">
        <v>13</v>
      </c>
      <c r="S54" s="25">
        <v>0.246</v>
      </c>
      <c r="T54" s="24">
        <v>2</v>
      </c>
      <c r="U54" s="25">
        <v>0.03</v>
      </c>
      <c r="V54" s="24">
        <v>4</v>
      </c>
      <c r="W54" s="25">
        <v>0.24</v>
      </c>
      <c r="X54" s="24">
        <v>4184</v>
      </c>
      <c r="Y54" s="25">
        <v>5.9020000000000001</v>
      </c>
      <c r="Z54" s="24">
        <v>106</v>
      </c>
      <c r="AA54" s="28">
        <v>0.16200000000000001</v>
      </c>
      <c r="AB54" s="12" t="s">
        <v>81</v>
      </c>
      <c r="AC54" s="13"/>
      <c r="AD54" s="13"/>
    </row>
    <row r="55" spans="1:30" x14ac:dyDescent="0.3">
      <c r="A55" s="11" t="s">
        <v>82</v>
      </c>
      <c r="B55" s="27">
        <v>16</v>
      </c>
      <c r="C55" s="25">
        <v>3.2</v>
      </c>
      <c r="D55" s="24">
        <v>91</v>
      </c>
      <c r="E55" s="25">
        <v>22.556000000000001</v>
      </c>
      <c r="F55" s="24">
        <v>60</v>
      </c>
      <c r="G55" s="25">
        <v>18</v>
      </c>
      <c r="H55" s="24" t="s">
        <v>193</v>
      </c>
      <c r="I55" s="25" t="s">
        <v>193</v>
      </c>
      <c r="J55" s="24" t="s">
        <v>193</v>
      </c>
      <c r="K55" s="25" t="s">
        <v>193</v>
      </c>
      <c r="L55" s="24">
        <v>1271</v>
      </c>
      <c r="M55" s="25">
        <v>15.252000000000001</v>
      </c>
      <c r="N55" s="24">
        <v>170</v>
      </c>
      <c r="O55" s="25">
        <v>5.1289999999999996</v>
      </c>
      <c r="P55" s="24">
        <v>2445</v>
      </c>
      <c r="Q55" s="25">
        <v>29.114999999999998</v>
      </c>
      <c r="R55" s="24">
        <v>151</v>
      </c>
      <c r="S55" s="25">
        <v>4.5510000000000002</v>
      </c>
      <c r="T55" s="24">
        <v>101</v>
      </c>
      <c r="U55" s="25">
        <v>1.788</v>
      </c>
      <c r="V55" s="24">
        <v>520</v>
      </c>
      <c r="W55" s="25">
        <v>17.204999999999998</v>
      </c>
      <c r="X55" s="24">
        <v>26365</v>
      </c>
      <c r="Y55" s="25">
        <v>33.482999999999997</v>
      </c>
      <c r="Z55" s="24">
        <v>16025</v>
      </c>
      <c r="AA55" s="28">
        <v>18.673999999999999</v>
      </c>
      <c r="AB55" s="12" t="s">
        <v>83</v>
      </c>
      <c r="AC55" s="13"/>
      <c r="AD55" s="13"/>
    </row>
    <row r="56" spans="1:30" x14ac:dyDescent="0.3">
      <c r="A56" s="11" t="s">
        <v>84</v>
      </c>
      <c r="B56" s="27">
        <v>1</v>
      </c>
      <c r="C56" s="25">
        <v>0.22</v>
      </c>
      <c r="D56" s="24" t="s">
        <v>193</v>
      </c>
      <c r="E56" s="25" t="s">
        <v>193</v>
      </c>
      <c r="F56" s="24" t="s">
        <v>193</v>
      </c>
      <c r="G56" s="25" t="s">
        <v>193</v>
      </c>
      <c r="H56" s="24" t="s">
        <v>193</v>
      </c>
      <c r="I56" s="25" t="s">
        <v>193</v>
      </c>
      <c r="J56" s="24" t="s">
        <v>193</v>
      </c>
      <c r="K56" s="25" t="s">
        <v>193</v>
      </c>
      <c r="L56" s="24">
        <v>2220</v>
      </c>
      <c r="M56" s="25">
        <v>21.978000000000002</v>
      </c>
      <c r="N56" s="24">
        <v>275</v>
      </c>
      <c r="O56" s="25">
        <v>5.2249999999999996</v>
      </c>
      <c r="P56" s="24">
        <v>3230</v>
      </c>
      <c r="Q56" s="25">
        <v>29.716000000000001</v>
      </c>
      <c r="R56" s="24">
        <v>330</v>
      </c>
      <c r="S56" s="25">
        <v>6.27</v>
      </c>
      <c r="T56" s="24">
        <v>115</v>
      </c>
      <c r="U56" s="25">
        <v>2.1850000000000001</v>
      </c>
      <c r="V56" s="24">
        <v>5</v>
      </c>
      <c r="W56" s="25">
        <v>0.2</v>
      </c>
      <c r="X56" s="24">
        <v>1060</v>
      </c>
      <c r="Y56" s="25">
        <v>1.6879999999999999</v>
      </c>
      <c r="Z56" s="24">
        <v>160</v>
      </c>
      <c r="AA56" s="28">
        <v>0.28799999999999998</v>
      </c>
      <c r="AB56" s="12" t="s">
        <v>85</v>
      </c>
      <c r="AC56" s="13"/>
      <c r="AD56" s="13"/>
    </row>
    <row r="57" spans="1:30" x14ac:dyDescent="0.3">
      <c r="A57" s="11" t="s">
        <v>86</v>
      </c>
      <c r="B57" s="27">
        <v>547</v>
      </c>
      <c r="C57" s="25">
        <v>82.459000000000003</v>
      </c>
      <c r="D57" s="24">
        <v>129</v>
      </c>
      <c r="E57" s="25">
        <v>29.541</v>
      </c>
      <c r="F57" s="24">
        <v>133</v>
      </c>
      <c r="G57" s="25">
        <v>39.688000000000002</v>
      </c>
      <c r="H57" s="24" t="s">
        <v>193</v>
      </c>
      <c r="I57" s="25" t="s">
        <v>193</v>
      </c>
      <c r="J57" s="24" t="s">
        <v>193</v>
      </c>
      <c r="K57" s="25" t="s">
        <v>193</v>
      </c>
      <c r="L57" s="24">
        <v>59500</v>
      </c>
      <c r="M57" s="25">
        <v>599.99</v>
      </c>
      <c r="N57" s="24">
        <v>6546</v>
      </c>
      <c r="O57" s="25">
        <v>179.60499999999999</v>
      </c>
      <c r="P57" s="24">
        <v>41935</v>
      </c>
      <c r="Q57" s="25">
        <v>420.27</v>
      </c>
      <c r="R57" s="24">
        <v>5708</v>
      </c>
      <c r="S57" s="25">
        <v>177.53100000000001</v>
      </c>
      <c r="T57" s="24">
        <v>967</v>
      </c>
      <c r="U57" s="25">
        <v>14.51</v>
      </c>
      <c r="V57" s="24">
        <v>34</v>
      </c>
      <c r="W57" s="25">
        <v>1.71</v>
      </c>
      <c r="X57" s="24">
        <v>11249</v>
      </c>
      <c r="Y57" s="25">
        <v>12.946999999999999</v>
      </c>
      <c r="Z57" s="24">
        <v>5741</v>
      </c>
      <c r="AA57" s="28">
        <v>8.2620000000000005</v>
      </c>
      <c r="AB57" s="12" t="s">
        <v>87</v>
      </c>
      <c r="AC57" s="13"/>
      <c r="AD57" s="13"/>
    </row>
    <row r="58" spans="1:30" x14ac:dyDescent="0.3">
      <c r="A58" s="11" t="s">
        <v>88</v>
      </c>
      <c r="B58" s="27">
        <v>10</v>
      </c>
      <c r="C58" s="25">
        <v>1.03</v>
      </c>
      <c r="D58" s="24" t="s">
        <v>193</v>
      </c>
      <c r="E58" s="25" t="s">
        <v>193</v>
      </c>
      <c r="F58" s="24" t="s">
        <v>193</v>
      </c>
      <c r="G58" s="25" t="s">
        <v>193</v>
      </c>
      <c r="H58" s="24" t="s">
        <v>193</v>
      </c>
      <c r="I58" s="25" t="s">
        <v>193</v>
      </c>
      <c r="J58" s="24" t="s">
        <v>193</v>
      </c>
      <c r="K58" s="25" t="s">
        <v>193</v>
      </c>
      <c r="L58" s="24">
        <v>376</v>
      </c>
      <c r="M58" s="25">
        <v>3.399</v>
      </c>
      <c r="N58" s="24" t="s">
        <v>193</v>
      </c>
      <c r="O58" s="25" t="s">
        <v>193</v>
      </c>
      <c r="P58" s="24">
        <v>381</v>
      </c>
      <c r="Q58" s="25">
        <v>3.3439999999999999</v>
      </c>
      <c r="R58" s="24" t="s">
        <v>193</v>
      </c>
      <c r="S58" s="25" t="s">
        <v>193</v>
      </c>
      <c r="T58" s="24" t="s">
        <v>193</v>
      </c>
      <c r="U58" s="25" t="s">
        <v>193</v>
      </c>
      <c r="V58" s="24" t="s">
        <v>193</v>
      </c>
      <c r="W58" s="25" t="s">
        <v>193</v>
      </c>
      <c r="X58" s="24">
        <v>926</v>
      </c>
      <c r="Y58" s="25">
        <v>1.8220000000000001</v>
      </c>
      <c r="Z58" s="24" t="s">
        <v>193</v>
      </c>
      <c r="AA58" s="28" t="s">
        <v>193</v>
      </c>
      <c r="AB58" s="12" t="s">
        <v>89</v>
      </c>
      <c r="AC58" s="13"/>
      <c r="AD58" s="13"/>
    </row>
    <row r="59" spans="1:30" x14ac:dyDescent="0.3">
      <c r="A59" s="55" t="s">
        <v>90</v>
      </c>
      <c r="B59" s="49">
        <f t="shared" ref="B59:G59" si="17">SUM(B61:B63)</f>
        <v>8879</v>
      </c>
      <c r="C59" s="38">
        <f t="shared" si="17"/>
        <v>1270.3620000000001</v>
      </c>
      <c r="D59" s="38">
        <f t="shared" si="17"/>
        <v>6325</v>
      </c>
      <c r="E59" s="38">
        <f t="shared" si="17"/>
        <v>1793.2400000000002</v>
      </c>
      <c r="F59" s="38">
        <f t="shared" si="17"/>
        <v>3131</v>
      </c>
      <c r="G59" s="38">
        <f t="shared" si="17"/>
        <v>659.27499999999986</v>
      </c>
      <c r="H59" s="38">
        <f t="shared" ref="H59:AA59" si="18">SUM(H61:H63)</f>
        <v>0</v>
      </c>
      <c r="I59" s="37">
        <f t="shared" si="18"/>
        <v>0</v>
      </c>
      <c r="J59" s="38">
        <f t="shared" si="18"/>
        <v>0</v>
      </c>
      <c r="K59" s="37">
        <f t="shared" si="18"/>
        <v>0</v>
      </c>
      <c r="L59" s="38">
        <f t="shared" si="18"/>
        <v>765540</v>
      </c>
      <c r="M59" s="38">
        <f t="shared" si="18"/>
        <v>7823.0309999999999</v>
      </c>
      <c r="N59" s="38">
        <f t="shared" si="18"/>
        <v>90210</v>
      </c>
      <c r="O59" s="38">
        <f>SUM(O61:O63)</f>
        <v>1784.992</v>
      </c>
      <c r="P59" s="37">
        <f t="shared" si="18"/>
        <v>230725</v>
      </c>
      <c r="Q59" s="38">
        <f t="shared" si="18"/>
        <v>2054.9840000000004</v>
      </c>
      <c r="R59" s="38">
        <f t="shared" si="18"/>
        <v>47925</v>
      </c>
      <c r="S59" s="37">
        <f t="shared" si="18"/>
        <v>898.09199999999998</v>
      </c>
      <c r="T59" s="38">
        <f t="shared" si="18"/>
        <v>21295</v>
      </c>
      <c r="U59" s="37">
        <f t="shared" si="18"/>
        <v>327.5</v>
      </c>
      <c r="V59" s="38">
        <f t="shared" si="18"/>
        <v>108903</v>
      </c>
      <c r="W59" s="37">
        <f t="shared" si="18"/>
        <v>6842.6540000000005</v>
      </c>
      <c r="X59" s="38">
        <f t="shared" si="18"/>
        <v>607206</v>
      </c>
      <c r="Y59" s="37">
        <f t="shared" si="18"/>
        <v>1022.39</v>
      </c>
      <c r="Z59" s="38">
        <f t="shared" si="18"/>
        <v>189461</v>
      </c>
      <c r="AA59" s="41">
        <f t="shared" si="18"/>
        <v>305.084</v>
      </c>
      <c r="AB59" s="63" t="s">
        <v>91</v>
      </c>
      <c r="AC59" s="63"/>
      <c r="AD59" s="63"/>
    </row>
    <row r="60" spans="1:30" x14ac:dyDescent="0.3">
      <c r="A60" s="55"/>
      <c r="B60" s="49"/>
      <c r="C60" s="38"/>
      <c r="D60" s="38"/>
      <c r="E60" s="38"/>
      <c r="F60" s="38"/>
      <c r="G60" s="38"/>
      <c r="H60" s="38"/>
      <c r="I60" s="37"/>
      <c r="J60" s="38"/>
      <c r="K60" s="37"/>
      <c r="L60" s="38"/>
      <c r="M60" s="38"/>
      <c r="N60" s="38"/>
      <c r="O60" s="38"/>
      <c r="P60" s="37"/>
      <c r="Q60" s="38"/>
      <c r="R60" s="38"/>
      <c r="S60" s="37"/>
      <c r="T60" s="38"/>
      <c r="U60" s="37"/>
      <c r="V60" s="38"/>
      <c r="W60" s="37"/>
      <c r="X60" s="38"/>
      <c r="Y60" s="37"/>
      <c r="Z60" s="38"/>
      <c r="AA60" s="41"/>
      <c r="AB60" s="63"/>
      <c r="AC60" s="63"/>
      <c r="AD60" s="63"/>
    </row>
    <row r="61" spans="1:30" x14ac:dyDescent="0.3">
      <c r="A61" s="11" t="s">
        <v>92</v>
      </c>
      <c r="B61" s="27">
        <v>356</v>
      </c>
      <c r="C61" s="25">
        <v>39.725000000000001</v>
      </c>
      <c r="D61" s="24">
        <v>241</v>
      </c>
      <c r="E61" s="25">
        <v>42.115000000000002</v>
      </c>
      <c r="F61" s="24">
        <v>241</v>
      </c>
      <c r="G61" s="25">
        <v>53.3</v>
      </c>
      <c r="H61" s="24" t="s">
        <v>193</v>
      </c>
      <c r="I61" s="25" t="s">
        <v>193</v>
      </c>
      <c r="J61" s="24" t="s">
        <v>193</v>
      </c>
      <c r="K61" s="25" t="s">
        <v>193</v>
      </c>
      <c r="L61" s="24">
        <v>255502</v>
      </c>
      <c r="M61" s="25">
        <v>2800.15</v>
      </c>
      <c r="N61" s="24">
        <v>19489</v>
      </c>
      <c r="O61" s="25">
        <v>455.77</v>
      </c>
      <c r="P61" s="24">
        <v>67473</v>
      </c>
      <c r="Q61" s="25">
        <v>608.11300000000006</v>
      </c>
      <c r="R61" s="24">
        <v>12608</v>
      </c>
      <c r="S61" s="25">
        <v>237.88499999999999</v>
      </c>
      <c r="T61" s="24">
        <v>530</v>
      </c>
      <c r="U61" s="25">
        <v>8.8490000000000002</v>
      </c>
      <c r="V61" s="24">
        <v>570</v>
      </c>
      <c r="W61" s="25">
        <v>41.389000000000003</v>
      </c>
      <c r="X61" s="24">
        <v>98985</v>
      </c>
      <c r="Y61" s="25">
        <v>179.14599999999999</v>
      </c>
      <c r="Z61" s="24">
        <v>19755</v>
      </c>
      <c r="AA61" s="28">
        <v>37.527999999999999</v>
      </c>
      <c r="AB61" s="12" t="s">
        <v>93</v>
      </c>
      <c r="AC61" s="13"/>
      <c r="AD61" s="13"/>
    </row>
    <row r="62" spans="1:30" x14ac:dyDescent="0.3">
      <c r="A62" s="11" t="s">
        <v>94</v>
      </c>
      <c r="B62" s="27">
        <v>6289</v>
      </c>
      <c r="C62" s="25">
        <v>703.99099999999999</v>
      </c>
      <c r="D62" s="24">
        <v>2250</v>
      </c>
      <c r="E62" s="25">
        <v>389.22500000000002</v>
      </c>
      <c r="F62" s="24">
        <v>2743</v>
      </c>
      <c r="G62" s="25">
        <v>538.93499999999995</v>
      </c>
      <c r="H62" s="24" t="s">
        <v>193</v>
      </c>
      <c r="I62" s="25" t="s">
        <v>193</v>
      </c>
      <c r="J62" s="24" t="s">
        <v>193</v>
      </c>
      <c r="K62" s="25" t="s">
        <v>193</v>
      </c>
      <c r="L62" s="24">
        <v>367564</v>
      </c>
      <c r="M62" s="25">
        <v>3579.0909999999999</v>
      </c>
      <c r="N62" s="24">
        <v>63326</v>
      </c>
      <c r="O62" s="25">
        <v>1156.597</v>
      </c>
      <c r="P62" s="24">
        <v>138677</v>
      </c>
      <c r="Q62" s="25">
        <v>1199.2170000000001</v>
      </c>
      <c r="R62" s="24">
        <v>31678</v>
      </c>
      <c r="S62" s="25">
        <v>582.01400000000001</v>
      </c>
      <c r="T62" s="24">
        <v>18708</v>
      </c>
      <c r="U62" s="25">
        <v>277.62700000000001</v>
      </c>
      <c r="V62" s="24">
        <v>56443</v>
      </c>
      <c r="W62" s="25">
        <v>3426.29</v>
      </c>
      <c r="X62" s="24">
        <v>334769</v>
      </c>
      <c r="Y62" s="25">
        <v>514.6</v>
      </c>
      <c r="Z62" s="24">
        <v>96795</v>
      </c>
      <c r="AA62" s="28">
        <v>145.91900000000001</v>
      </c>
      <c r="AB62" s="12" t="s">
        <v>95</v>
      </c>
      <c r="AC62" s="13"/>
      <c r="AD62" s="13"/>
    </row>
    <row r="63" spans="1:30" x14ac:dyDescent="0.3">
      <c r="A63" s="11" t="s">
        <v>96</v>
      </c>
      <c r="B63" s="27">
        <v>2234</v>
      </c>
      <c r="C63" s="25">
        <v>526.64599999999996</v>
      </c>
      <c r="D63" s="24">
        <v>3834</v>
      </c>
      <c r="E63" s="25">
        <v>1361.9</v>
      </c>
      <c r="F63" s="24">
        <v>147</v>
      </c>
      <c r="G63" s="25">
        <v>67.040000000000006</v>
      </c>
      <c r="H63" s="24" t="s">
        <v>193</v>
      </c>
      <c r="I63" s="25" t="s">
        <v>193</v>
      </c>
      <c r="J63" s="24" t="s">
        <v>193</v>
      </c>
      <c r="K63" s="25" t="s">
        <v>193</v>
      </c>
      <c r="L63" s="24">
        <v>142474</v>
      </c>
      <c r="M63" s="25">
        <v>1443.79</v>
      </c>
      <c r="N63" s="24">
        <v>7395</v>
      </c>
      <c r="O63" s="25">
        <v>172.625</v>
      </c>
      <c r="P63" s="24">
        <v>24575</v>
      </c>
      <c r="Q63" s="25">
        <v>247.654</v>
      </c>
      <c r="R63" s="24">
        <v>3639</v>
      </c>
      <c r="S63" s="25">
        <v>78.192999999999998</v>
      </c>
      <c r="T63" s="24">
        <v>2057</v>
      </c>
      <c r="U63" s="25">
        <v>41.024000000000001</v>
      </c>
      <c r="V63" s="24">
        <v>51890</v>
      </c>
      <c r="W63" s="25">
        <v>3374.9749999999999</v>
      </c>
      <c r="X63" s="24">
        <v>173452</v>
      </c>
      <c r="Y63" s="25">
        <v>328.64400000000001</v>
      </c>
      <c r="Z63" s="24">
        <v>72911</v>
      </c>
      <c r="AA63" s="28">
        <v>121.637</v>
      </c>
      <c r="AB63" s="12" t="s">
        <v>97</v>
      </c>
      <c r="AC63" s="13"/>
      <c r="AD63" s="13"/>
    </row>
    <row r="64" spans="1:30" x14ac:dyDescent="0.3">
      <c r="A64" s="55" t="s">
        <v>98</v>
      </c>
      <c r="B64" s="49">
        <f t="shared" ref="B64:F64" si="19">SUM(B66:B70)</f>
        <v>985</v>
      </c>
      <c r="C64" s="38">
        <f t="shared" si="19"/>
        <v>170.5</v>
      </c>
      <c r="D64" s="38">
        <f t="shared" si="19"/>
        <v>3538</v>
      </c>
      <c r="E64" s="38">
        <f t="shared" si="19"/>
        <v>1008.5409999999999</v>
      </c>
      <c r="F64" s="38">
        <f t="shared" si="19"/>
        <v>2371</v>
      </c>
      <c r="G64" s="38">
        <f t="shared" ref="G64:AA64" si="20">SUM(G66:G70)</f>
        <v>709.048</v>
      </c>
      <c r="H64" s="38">
        <f t="shared" si="20"/>
        <v>0</v>
      </c>
      <c r="I64" s="37">
        <f t="shared" si="20"/>
        <v>0</v>
      </c>
      <c r="J64" s="38">
        <f t="shared" si="20"/>
        <v>0</v>
      </c>
      <c r="K64" s="37">
        <f t="shared" si="20"/>
        <v>0</v>
      </c>
      <c r="L64" s="38">
        <f t="shared" si="20"/>
        <v>542830</v>
      </c>
      <c r="M64" s="38">
        <f t="shared" si="20"/>
        <v>5468.7960000000003</v>
      </c>
      <c r="N64" s="38">
        <f t="shared" si="20"/>
        <v>53258</v>
      </c>
      <c r="O64" s="38">
        <f>SUM(O66:O70)</f>
        <v>1020.365</v>
      </c>
      <c r="P64" s="37">
        <f t="shared" si="20"/>
        <v>245907</v>
      </c>
      <c r="Q64" s="38">
        <f t="shared" si="20"/>
        <v>2494.2539999999999</v>
      </c>
      <c r="R64" s="38">
        <f t="shared" si="20"/>
        <v>17562</v>
      </c>
      <c r="S64" s="37">
        <f t="shared" si="20"/>
        <v>337.89299999999997</v>
      </c>
      <c r="T64" s="38">
        <f t="shared" si="20"/>
        <v>7232</v>
      </c>
      <c r="U64" s="37">
        <f t="shared" si="20"/>
        <v>142.876</v>
      </c>
      <c r="V64" s="38">
        <f t="shared" si="20"/>
        <v>103571</v>
      </c>
      <c r="W64" s="37">
        <f t="shared" si="20"/>
        <v>6658.0119999999997</v>
      </c>
      <c r="X64" s="38">
        <f t="shared" si="20"/>
        <v>645199</v>
      </c>
      <c r="Y64" s="37">
        <f t="shared" si="20"/>
        <v>1076.1119999999999</v>
      </c>
      <c r="Z64" s="38">
        <f t="shared" si="20"/>
        <v>72354</v>
      </c>
      <c r="AA64" s="41">
        <f t="shared" si="20"/>
        <v>150.98599999999999</v>
      </c>
      <c r="AB64" s="63" t="s">
        <v>99</v>
      </c>
      <c r="AC64" s="63"/>
      <c r="AD64" s="63"/>
    </row>
    <row r="65" spans="1:30" x14ac:dyDescent="0.3">
      <c r="A65" s="55"/>
      <c r="B65" s="49"/>
      <c r="C65" s="38"/>
      <c r="D65" s="38"/>
      <c r="E65" s="38"/>
      <c r="F65" s="38"/>
      <c r="G65" s="38"/>
      <c r="H65" s="38"/>
      <c r="I65" s="37"/>
      <c r="J65" s="38"/>
      <c r="K65" s="37"/>
      <c r="L65" s="38"/>
      <c r="M65" s="38"/>
      <c r="N65" s="38"/>
      <c r="O65" s="38"/>
      <c r="P65" s="37"/>
      <c r="Q65" s="38"/>
      <c r="R65" s="38"/>
      <c r="S65" s="37"/>
      <c r="T65" s="38"/>
      <c r="U65" s="37"/>
      <c r="V65" s="38"/>
      <c r="W65" s="37"/>
      <c r="X65" s="38"/>
      <c r="Y65" s="37"/>
      <c r="Z65" s="38"/>
      <c r="AA65" s="41"/>
      <c r="AB65" s="63"/>
      <c r="AC65" s="63"/>
      <c r="AD65" s="63"/>
    </row>
    <row r="66" spans="1:30" x14ac:dyDescent="0.3">
      <c r="A66" s="11" t="s">
        <v>100</v>
      </c>
      <c r="B66" s="27">
        <v>81</v>
      </c>
      <c r="C66" s="25">
        <v>17.399999999999999</v>
      </c>
      <c r="D66" s="24">
        <v>380</v>
      </c>
      <c r="E66" s="25">
        <v>144.4</v>
      </c>
      <c r="F66" s="24">
        <v>40</v>
      </c>
      <c r="G66" s="25">
        <v>12</v>
      </c>
      <c r="H66" s="24" t="s">
        <v>193</v>
      </c>
      <c r="I66" s="25" t="s">
        <v>193</v>
      </c>
      <c r="J66" s="24" t="s">
        <v>193</v>
      </c>
      <c r="K66" s="25" t="s">
        <v>193</v>
      </c>
      <c r="L66" s="24">
        <v>29878</v>
      </c>
      <c r="M66" s="25">
        <v>349.79599999999999</v>
      </c>
      <c r="N66" s="24">
        <v>5330</v>
      </c>
      <c r="O66" s="25">
        <v>130.88300000000001</v>
      </c>
      <c r="P66" s="24">
        <v>9547</v>
      </c>
      <c r="Q66" s="25">
        <v>102.953</v>
      </c>
      <c r="R66" s="24">
        <v>2148</v>
      </c>
      <c r="S66" s="25">
        <v>47.78</v>
      </c>
      <c r="T66" s="24">
        <v>215</v>
      </c>
      <c r="U66" s="25">
        <v>4.2779999999999996</v>
      </c>
      <c r="V66" s="24">
        <v>1042</v>
      </c>
      <c r="W66" s="25">
        <v>67.22</v>
      </c>
      <c r="X66" s="24">
        <v>101418</v>
      </c>
      <c r="Y66" s="25">
        <v>162.47</v>
      </c>
      <c r="Z66" s="24">
        <v>5398</v>
      </c>
      <c r="AA66" s="28">
        <v>10.355</v>
      </c>
      <c r="AB66" s="12" t="s">
        <v>101</v>
      </c>
      <c r="AC66" s="13"/>
      <c r="AD66" s="13"/>
    </row>
    <row r="67" spans="1:30" x14ac:dyDescent="0.3">
      <c r="A67" s="11" t="s">
        <v>102</v>
      </c>
      <c r="B67" s="27">
        <v>35</v>
      </c>
      <c r="C67" s="25">
        <v>4.03</v>
      </c>
      <c r="D67" s="24">
        <v>43</v>
      </c>
      <c r="E67" s="25">
        <v>11.04</v>
      </c>
      <c r="F67" s="24">
        <v>76</v>
      </c>
      <c r="G67" s="25">
        <v>23</v>
      </c>
      <c r="H67" s="24" t="s">
        <v>193</v>
      </c>
      <c r="I67" s="25" t="s">
        <v>193</v>
      </c>
      <c r="J67" s="24" t="s">
        <v>193</v>
      </c>
      <c r="K67" s="25" t="s">
        <v>193</v>
      </c>
      <c r="L67" s="24">
        <v>48340</v>
      </c>
      <c r="M67" s="25">
        <v>471.90199999999999</v>
      </c>
      <c r="N67" s="24">
        <v>3215</v>
      </c>
      <c r="O67" s="25">
        <v>57.472999999999999</v>
      </c>
      <c r="P67" s="24">
        <v>22317</v>
      </c>
      <c r="Q67" s="25">
        <v>232.15799999999999</v>
      </c>
      <c r="R67" s="24">
        <v>1913</v>
      </c>
      <c r="S67" s="25">
        <v>34.817</v>
      </c>
      <c r="T67" s="24">
        <v>661</v>
      </c>
      <c r="U67" s="25">
        <v>12.73</v>
      </c>
      <c r="V67" s="24">
        <v>11288</v>
      </c>
      <c r="W67" s="25">
        <v>915.54</v>
      </c>
      <c r="X67" s="24">
        <v>70595</v>
      </c>
      <c r="Y67" s="25">
        <v>148.78</v>
      </c>
      <c r="Z67" s="24">
        <v>7455</v>
      </c>
      <c r="AA67" s="28">
        <v>13.085000000000001</v>
      </c>
      <c r="AB67" s="12" t="s">
        <v>103</v>
      </c>
      <c r="AC67" s="13"/>
      <c r="AD67" s="13"/>
    </row>
    <row r="68" spans="1:30" x14ac:dyDescent="0.3">
      <c r="A68" s="11" t="s">
        <v>104</v>
      </c>
      <c r="B68" s="27">
        <v>42</v>
      </c>
      <c r="C68" s="25">
        <v>7.85</v>
      </c>
      <c r="D68" s="24">
        <v>594</v>
      </c>
      <c r="E68" s="25">
        <v>178.2</v>
      </c>
      <c r="F68" s="24">
        <v>1204</v>
      </c>
      <c r="G68" s="25">
        <v>413.798</v>
      </c>
      <c r="H68" s="24" t="s">
        <v>193</v>
      </c>
      <c r="I68" s="25" t="s">
        <v>193</v>
      </c>
      <c r="J68" s="24" t="s">
        <v>193</v>
      </c>
      <c r="K68" s="25" t="s">
        <v>193</v>
      </c>
      <c r="L68" s="24">
        <v>364541</v>
      </c>
      <c r="M68" s="25">
        <v>3645.1</v>
      </c>
      <c r="N68" s="24">
        <v>38507</v>
      </c>
      <c r="O68" s="25">
        <v>693.846</v>
      </c>
      <c r="P68" s="24">
        <v>75215</v>
      </c>
      <c r="Q68" s="25">
        <v>751.87599999999998</v>
      </c>
      <c r="R68" s="24">
        <v>9987</v>
      </c>
      <c r="S68" s="25">
        <v>181.101</v>
      </c>
      <c r="T68" s="24">
        <v>5227</v>
      </c>
      <c r="U68" s="25">
        <v>104.54</v>
      </c>
      <c r="V68" s="24">
        <v>73294</v>
      </c>
      <c r="W68" s="25">
        <v>4397.37</v>
      </c>
      <c r="X68" s="24">
        <v>223150</v>
      </c>
      <c r="Y68" s="25">
        <v>355.26499999999999</v>
      </c>
      <c r="Z68" s="24">
        <v>39810</v>
      </c>
      <c r="AA68" s="28">
        <v>91.308999999999997</v>
      </c>
      <c r="AB68" s="12" t="s">
        <v>105</v>
      </c>
      <c r="AC68" s="13"/>
      <c r="AD68" s="13"/>
    </row>
    <row r="69" spans="1:30" x14ac:dyDescent="0.3">
      <c r="A69" s="11" t="s">
        <v>106</v>
      </c>
      <c r="B69" s="27">
        <v>827</v>
      </c>
      <c r="C69" s="25">
        <v>141.22</v>
      </c>
      <c r="D69" s="24">
        <v>2096</v>
      </c>
      <c r="E69" s="25">
        <v>555.90099999999995</v>
      </c>
      <c r="F69" s="24">
        <v>51</v>
      </c>
      <c r="G69" s="25">
        <v>10.25</v>
      </c>
      <c r="H69" s="24" t="s">
        <v>193</v>
      </c>
      <c r="I69" s="25" t="s">
        <v>193</v>
      </c>
      <c r="J69" s="24" t="s">
        <v>193</v>
      </c>
      <c r="K69" s="25" t="s">
        <v>193</v>
      </c>
      <c r="L69" s="24">
        <v>75461</v>
      </c>
      <c r="M69" s="25">
        <v>754.92499999999995</v>
      </c>
      <c r="N69" s="24">
        <v>2373</v>
      </c>
      <c r="O69" s="25">
        <v>48.073</v>
      </c>
      <c r="P69" s="24">
        <v>113802</v>
      </c>
      <c r="Q69" s="25">
        <v>1139.154</v>
      </c>
      <c r="R69" s="24">
        <v>2297</v>
      </c>
      <c r="S69" s="25">
        <v>45.4</v>
      </c>
      <c r="T69" s="24">
        <v>1076</v>
      </c>
      <c r="U69" s="25">
        <v>20.367999999999999</v>
      </c>
      <c r="V69" s="24">
        <v>13409</v>
      </c>
      <c r="W69" s="25">
        <v>920.4</v>
      </c>
      <c r="X69" s="24">
        <v>181774</v>
      </c>
      <c r="Y69" s="25">
        <v>268.68099999999998</v>
      </c>
      <c r="Z69" s="24">
        <v>11081</v>
      </c>
      <c r="AA69" s="28">
        <v>20.097999999999999</v>
      </c>
      <c r="AB69" s="12" t="s">
        <v>107</v>
      </c>
      <c r="AC69" s="13"/>
      <c r="AD69" s="13"/>
    </row>
    <row r="70" spans="1:30" x14ac:dyDescent="0.3">
      <c r="A70" s="11" t="s">
        <v>108</v>
      </c>
      <c r="B70" s="27" t="s">
        <v>193</v>
      </c>
      <c r="C70" s="25" t="s">
        <v>193</v>
      </c>
      <c r="D70" s="24">
        <v>425</v>
      </c>
      <c r="E70" s="25">
        <v>119</v>
      </c>
      <c r="F70" s="24">
        <v>1000</v>
      </c>
      <c r="G70" s="25">
        <v>250</v>
      </c>
      <c r="H70" s="24" t="s">
        <v>193</v>
      </c>
      <c r="I70" s="25" t="s">
        <v>193</v>
      </c>
      <c r="J70" s="24" t="s">
        <v>193</v>
      </c>
      <c r="K70" s="25" t="s">
        <v>193</v>
      </c>
      <c r="L70" s="24">
        <v>24610</v>
      </c>
      <c r="M70" s="25">
        <v>247.07300000000001</v>
      </c>
      <c r="N70" s="24">
        <v>3833</v>
      </c>
      <c r="O70" s="25">
        <v>90.09</v>
      </c>
      <c r="P70" s="24">
        <v>25026</v>
      </c>
      <c r="Q70" s="25">
        <v>268.113</v>
      </c>
      <c r="R70" s="24">
        <v>1217</v>
      </c>
      <c r="S70" s="25">
        <v>28.795000000000002</v>
      </c>
      <c r="T70" s="24">
        <v>53</v>
      </c>
      <c r="U70" s="25">
        <v>0.96</v>
      </c>
      <c r="V70" s="24">
        <v>4538</v>
      </c>
      <c r="W70" s="25">
        <v>357.48200000000003</v>
      </c>
      <c r="X70" s="24">
        <v>68262</v>
      </c>
      <c r="Y70" s="25">
        <v>140.916</v>
      </c>
      <c r="Z70" s="24">
        <v>8610</v>
      </c>
      <c r="AA70" s="28">
        <v>16.138999999999999</v>
      </c>
      <c r="AB70" s="12" t="s">
        <v>109</v>
      </c>
      <c r="AC70" s="13"/>
      <c r="AD70" s="13"/>
    </row>
    <row r="71" spans="1:30" x14ac:dyDescent="0.3">
      <c r="A71" s="55" t="s">
        <v>110</v>
      </c>
      <c r="B71" s="49">
        <f t="shared" ref="B71:G71" si="21">SUM(B73:B80)</f>
        <v>308</v>
      </c>
      <c r="C71" s="38">
        <f t="shared" si="21"/>
        <v>46.494999999999997</v>
      </c>
      <c r="D71" s="38">
        <f t="shared" si="21"/>
        <v>1935</v>
      </c>
      <c r="E71" s="38">
        <f t="shared" si="21"/>
        <v>418.03</v>
      </c>
      <c r="F71" s="38">
        <f t="shared" si="21"/>
        <v>101</v>
      </c>
      <c r="G71" s="38">
        <f t="shared" si="21"/>
        <v>30.311</v>
      </c>
      <c r="H71" s="38">
        <f t="shared" ref="H71:M71" si="22">SUM(H73:H80)</f>
        <v>0</v>
      </c>
      <c r="I71" s="37">
        <f t="shared" si="22"/>
        <v>0</v>
      </c>
      <c r="J71" s="38">
        <f t="shared" si="22"/>
        <v>0</v>
      </c>
      <c r="K71" s="37">
        <f t="shared" si="22"/>
        <v>0</v>
      </c>
      <c r="L71" s="38">
        <f t="shared" si="22"/>
        <v>22591</v>
      </c>
      <c r="M71" s="38">
        <f t="shared" si="22"/>
        <v>219.73699999999999</v>
      </c>
      <c r="N71" s="38">
        <f t="shared" ref="N71:AA71" si="23">SUM(N73:N80)</f>
        <v>7182</v>
      </c>
      <c r="O71" s="38">
        <f>SUM(O73:O80)</f>
        <v>124.496</v>
      </c>
      <c r="P71" s="37">
        <f t="shared" si="23"/>
        <v>18906</v>
      </c>
      <c r="Q71" s="38">
        <f t="shared" si="23"/>
        <v>178.75900000000001</v>
      </c>
      <c r="R71" s="38">
        <f t="shared" si="23"/>
        <v>5507</v>
      </c>
      <c r="S71" s="37">
        <f t="shared" si="23"/>
        <v>98.825000000000003</v>
      </c>
      <c r="T71" s="38">
        <f t="shared" si="23"/>
        <v>1550</v>
      </c>
      <c r="U71" s="37">
        <f t="shared" si="23"/>
        <v>30</v>
      </c>
      <c r="V71" s="38">
        <f t="shared" si="23"/>
        <v>1573</v>
      </c>
      <c r="W71" s="37">
        <f t="shared" si="23"/>
        <v>98.64</v>
      </c>
      <c r="X71" s="38">
        <f t="shared" si="23"/>
        <v>1719716</v>
      </c>
      <c r="Y71" s="37">
        <f t="shared" si="23"/>
        <v>3100.1189999999997</v>
      </c>
      <c r="Z71" s="38">
        <f t="shared" si="23"/>
        <v>530</v>
      </c>
      <c r="AA71" s="41">
        <f t="shared" si="23"/>
        <v>1.2549999999999999</v>
      </c>
      <c r="AB71" s="63" t="s">
        <v>111</v>
      </c>
      <c r="AC71" s="63"/>
      <c r="AD71" s="63"/>
    </row>
    <row r="72" spans="1:30" x14ac:dyDescent="0.3">
      <c r="A72" s="55"/>
      <c r="B72" s="49"/>
      <c r="C72" s="38"/>
      <c r="D72" s="38"/>
      <c r="E72" s="38"/>
      <c r="F72" s="38"/>
      <c r="G72" s="38"/>
      <c r="H72" s="38"/>
      <c r="I72" s="37"/>
      <c r="J72" s="38"/>
      <c r="K72" s="37"/>
      <c r="L72" s="38"/>
      <c r="M72" s="38"/>
      <c r="N72" s="38"/>
      <c r="O72" s="38"/>
      <c r="P72" s="37"/>
      <c r="Q72" s="38"/>
      <c r="R72" s="38"/>
      <c r="S72" s="37"/>
      <c r="T72" s="38"/>
      <c r="U72" s="37"/>
      <c r="V72" s="38"/>
      <c r="W72" s="37"/>
      <c r="X72" s="38"/>
      <c r="Y72" s="37"/>
      <c r="Z72" s="38"/>
      <c r="AA72" s="41"/>
      <c r="AB72" s="63"/>
      <c r="AC72" s="63"/>
      <c r="AD72" s="63"/>
    </row>
    <row r="73" spans="1:30" x14ac:dyDescent="0.3">
      <c r="A73" s="19" t="s">
        <v>112</v>
      </c>
      <c r="B73" s="27" t="s">
        <v>193</v>
      </c>
      <c r="C73" s="25" t="s">
        <v>193</v>
      </c>
      <c r="D73" s="24" t="s">
        <v>193</v>
      </c>
      <c r="E73" s="25" t="s">
        <v>193</v>
      </c>
      <c r="F73" s="24" t="s">
        <v>193</v>
      </c>
      <c r="G73" s="25" t="s">
        <v>193</v>
      </c>
      <c r="H73" s="24" t="s">
        <v>193</v>
      </c>
      <c r="I73" s="25" t="s">
        <v>193</v>
      </c>
      <c r="J73" s="24" t="s">
        <v>193</v>
      </c>
      <c r="K73" s="25" t="s">
        <v>193</v>
      </c>
      <c r="L73" s="24" t="s">
        <v>193</v>
      </c>
      <c r="M73" s="25" t="s">
        <v>193</v>
      </c>
      <c r="N73" s="24" t="s">
        <v>193</v>
      </c>
      <c r="O73" s="25" t="s">
        <v>193</v>
      </c>
      <c r="P73" s="24" t="s">
        <v>193</v>
      </c>
      <c r="Q73" s="25" t="s">
        <v>193</v>
      </c>
      <c r="R73" s="24" t="s">
        <v>193</v>
      </c>
      <c r="S73" s="25" t="s">
        <v>193</v>
      </c>
      <c r="T73" s="24" t="s">
        <v>193</v>
      </c>
      <c r="U73" s="25" t="s">
        <v>193</v>
      </c>
      <c r="V73" s="24" t="s">
        <v>193</v>
      </c>
      <c r="W73" s="25" t="s">
        <v>193</v>
      </c>
      <c r="X73" s="24" t="s">
        <v>193</v>
      </c>
      <c r="Y73" s="25" t="s">
        <v>193</v>
      </c>
      <c r="Z73" s="24" t="s">
        <v>193</v>
      </c>
      <c r="AA73" s="28" t="s">
        <v>193</v>
      </c>
      <c r="AB73" s="12" t="s">
        <v>113</v>
      </c>
      <c r="AC73" s="13"/>
      <c r="AD73" s="13"/>
    </row>
    <row r="74" spans="1:30" x14ac:dyDescent="0.3">
      <c r="A74" s="19" t="s">
        <v>114</v>
      </c>
      <c r="B74" s="29" t="s">
        <v>193</v>
      </c>
      <c r="C74" s="25" t="s">
        <v>193</v>
      </c>
      <c r="D74" s="26" t="s">
        <v>193</v>
      </c>
      <c r="E74" s="25" t="s">
        <v>193</v>
      </c>
      <c r="F74" s="26" t="s">
        <v>193</v>
      </c>
      <c r="G74" s="25" t="s">
        <v>193</v>
      </c>
      <c r="H74" s="26" t="s">
        <v>193</v>
      </c>
      <c r="I74" s="25" t="s">
        <v>193</v>
      </c>
      <c r="J74" s="26" t="s">
        <v>193</v>
      </c>
      <c r="K74" s="25" t="s">
        <v>193</v>
      </c>
      <c r="L74" s="26">
        <v>7</v>
      </c>
      <c r="M74" s="25">
        <v>7.0000000000000007E-2</v>
      </c>
      <c r="N74" s="26" t="s">
        <v>193</v>
      </c>
      <c r="O74" s="25" t="s">
        <v>193</v>
      </c>
      <c r="P74" s="26">
        <v>9</v>
      </c>
      <c r="Q74" s="25">
        <v>0.09</v>
      </c>
      <c r="R74" s="26" t="s">
        <v>193</v>
      </c>
      <c r="S74" s="25" t="s">
        <v>193</v>
      </c>
      <c r="T74" s="26" t="s">
        <v>193</v>
      </c>
      <c r="U74" s="25" t="s">
        <v>193</v>
      </c>
      <c r="V74" s="26" t="s">
        <v>193</v>
      </c>
      <c r="W74" s="25" t="s">
        <v>193</v>
      </c>
      <c r="X74" s="26">
        <v>130</v>
      </c>
      <c r="Y74" s="25">
        <v>0.215</v>
      </c>
      <c r="Z74" s="26">
        <v>150</v>
      </c>
      <c r="AA74" s="28">
        <v>0.27500000000000002</v>
      </c>
      <c r="AB74" s="12" t="s">
        <v>115</v>
      </c>
      <c r="AC74" s="13"/>
      <c r="AD74" s="13"/>
    </row>
    <row r="75" spans="1:30" x14ac:dyDescent="0.3">
      <c r="A75" s="19" t="s">
        <v>116</v>
      </c>
      <c r="B75" s="29" t="s">
        <v>193</v>
      </c>
      <c r="C75" s="25" t="s">
        <v>193</v>
      </c>
      <c r="D75" s="26" t="s">
        <v>193</v>
      </c>
      <c r="E75" s="25" t="s">
        <v>193</v>
      </c>
      <c r="F75" s="26" t="s">
        <v>193</v>
      </c>
      <c r="G75" s="25" t="s">
        <v>193</v>
      </c>
      <c r="H75" s="26" t="s">
        <v>193</v>
      </c>
      <c r="I75" s="25" t="s">
        <v>193</v>
      </c>
      <c r="J75" s="26" t="s">
        <v>193</v>
      </c>
      <c r="K75" s="25" t="s">
        <v>193</v>
      </c>
      <c r="L75" s="26" t="s">
        <v>193</v>
      </c>
      <c r="M75" s="25" t="s">
        <v>193</v>
      </c>
      <c r="N75" s="26" t="s">
        <v>193</v>
      </c>
      <c r="O75" s="25" t="s">
        <v>193</v>
      </c>
      <c r="P75" s="26" t="s">
        <v>193</v>
      </c>
      <c r="Q75" s="25" t="s">
        <v>193</v>
      </c>
      <c r="R75" s="26" t="s">
        <v>193</v>
      </c>
      <c r="S75" s="25" t="s">
        <v>193</v>
      </c>
      <c r="T75" s="26" t="s">
        <v>193</v>
      </c>
      <c r="U75" s="25" t="s">
        <v>193</v>
      </c>
      <c r="V75" s="26" t="s">
        <v>193</v>
      </c>
      <c r="W75" s="25" t="s">
        <v>193</v>
      </c>
      <c r="X75" s="26" t="s">
        <v>193</v>
      </c>
      <c r="Y75" s="25" t="s">
        <v>193</v>
      </c>
      <c r="Z75" s="26" t="s">
        <v>193</v>
      </c>
      <c r="AA75" s="28" t="s">
        <v>193</v>
      </c>
      <c r="AB75" s="12" t="s">
        <v>117</v>
      </c>
      <c r="AC75" s="13"/>
      <c r="AD75" s="13"/>
    </row>
    <row r="76" spans="1:30" x14ac:dyDescent="0.3">
      <c r="A76" s="19" t="s">
        <v>118</v>
      </c>
      <c r="B76" s="29" t="s">
        <v>193</v>
      </c>
      <c r="C76" s="25" t="s">
        <v>193</v>
      </c>
      <c r="D76" s="26" t="s">
        <v>193</v>
      </c>
      <c r="E76" s="25" t="s">
        <v>193</v>
      </c>
      <c r="F76" s="26" t="s">
        <v>193</v>
      </c>
      <c r="G76" s="25" t="s">
        <v>193</v>
      </c>
      <c r="H76" s="26" t="s">
        <v>193</v>
      </c>
      <c r="I76" s="25" t="s">
        <v>193</v>
      </c>
      <c r="J76" s="26" t="s">
        <v>193</v>
      </c>
      <c r="K76" s="25" t="s">
        <v>193</v>
      </c>
      <c r="L76" s="26" t="s">
        <v>193</v>
      </c>
      <c r="M76" s="25" t="s">
        <v>193</v>
      </c>
      <c r="N76" s="26" t="s">
        <v>193</v>
      </c>
      <c r="O76" s="25" t="s">
        <v>193</v>
      </c>
      <c r="P76" s="26" t="s">
        <v>193</v>
      </c>
      <c r="Q76" s="25" t="s">
        <v>193</v>
      </c>
      <c r="R76" s="26" t="s">
        <v>193</v>
      </c>
      <c r="S76" s="25" t="s">
        <v>193</v>
      </c>
      <c r="T76" s="26" t="s">
        <v>193</v>
      </c>
      <c r="U76" s="25" t="s">
        <v>193</v>
      </c>
      <c r="V76" s="26" t="s">
        <v>193</v>
      </c>
      <c r="W76" s="25" t="s">
        <v>193</v>
      </c>
      <c r="X76" s="26" t="s">
        <v>193</v>
      </c>
      <c r="Y76" s="25" t="s">
        <v>193</v>
      </c>
      <c r="Z76" s="26" t="s">
        <v>193</v>
      </c>
      <c r="AA76" s="28" t="s">
        <v>193</v>
      </c>
      <c r="AB76" s="12" t="s">
        <v>119</v>
      </c>
      <c r="AC76" s="13"/>
      <c r="AD76" s="13"/>
    </row>
    <row r="77" spans="1:30" x14ac:dyDescent="0.3">
      <c r="A77" s="19" t="s">
        <v>120</v>
      </c>
      <c r="B77" s="27">
        <v>1</v>
      </c>
      <c r="C77" s="25">
        <v>0.13500000000000001</v>
      </c>
      <c r="D77" s="24" t="s">
        <v>193</v>
      </c>
      <c r="E77" s="25" t="s">
        <v>193</v>
      </c>
      <c r="F77" s="24" t="s">
        <v>193</v>
      </c>
      <c r="G77" s="25" t="s">
        <v>193</v>
      </c>
      <c r="H77" s="24" t="s">
        <v>193</v>
      </c>
      <c r="I77" s="25" t="s">
        <v>193</v>
      </c>
      <c r="J77" s="24" t="s">
        <v>193</v>
      </c>
      <c r="K77" s="25" t="s">
        <v>193</v>
      </c>
      <c r="L77" s="24">
        <v>3621</v>
      </c>
      <c r="M77" s="25">
        <v>33.512</v>
      </c>
      <c r="N77" s="24">
        <v>973</v>
      </c>
      <c r="O77" s="25">
        <v>17.515999999999998</v>
      </c>
      <c r="P77" s="24">
        <v>1810</v>
      </c>
      <c r="Q77" s="25">
        <v>17.364000000000001</v>
      </c>
      <c r="R77" s="24">
        <v>216</v>
      </c>
      <c r="S77" s="25">
        <v>4.1349999999999998</v>
      </c>
      <c r="T77" s="24" t="s">
        <v>193</v>
      </c>
      <c r="U77" s="25" t="s">
        <v>193</v>
      </c>
      <c r="V77" s="24" t="s">
        <v>193</v>
      </c>
      <c r="W77" s="25" t="s">
        <v>193</v>
      </c>
      <c r="X77" s="24">
        <v>1658426</v>
      </c>
      <c r="Y77" s="25">
        <v>2983.482</v>
      </c>
      <c r="Z77" s="24" t="s">
        <v>193</v>
      </c>
      <c r="AA77" s="28" t="s">
        <v>193</v>
      </c>
      <c r="AB77" s="12" t="s">
        <v>121</v>
      </c>
      <c r="AC77" s="13"/>
      <c r="AD77" s="13"/>
    </row>
    <row r="78" spans="1:30" x14ac:dyDescent="0.3">
      <c r="A78" s="19" t="s">
        <v>122</v>
      </c>
      <c r="B78" s="27">
        <v>307</v>
      </c>
      <c r="C78" s="25">
        <v>46.36</v>
      </c>
      <c r="D78" s="24">
        <v>1935</v>
      </c>
      <c r="E78" s="25">
        <v>418.03</v>
      </c>
      <c r="F78" s="24">
        <v>101</v>
      </c>
      <c r="G78" s="25">
        <v>30.311</v>
      </c>
      <c r="H78" s="24" t="s">
        <v>193</v>
      </c>
      <c r="I78" s="25" t="s">
        <v>193</v>
      </c>
      <c r="J78" s="24" t="s">
        <v>193</v>
      </c>
      <c r="K78" s="25" t="s">
        <v>193</v>
      </c>
      <c r="L78" s="24">
        <v>18345</v>
      </c>
      <c r="M78" s="25">
        <v>179.94499999999999</v>
      </c>
      <c r="N78" s="24">
        <v>6054</v>
      </c>
      <c r="O78" s="25">
        <v>104.49</v>
      </c>
      <c r="P78" s="24">
        <v>16590</v>
      </c>
      <c r="Q78" s="25">
        <v>156.255</v>
      </c>
      <c r="R78" s="24">
        <v>5152</v>
      </c>
      <c r="S78" s="25">
        <v>92.363</v>
      </c>
      <c r="T78" s="24">
        <v>1550</v>
      </c>
      <c r="U78" s="25">
        <v>30</v>
      </c>
      <c r="V78" s="24">
        <v>1520</v>
      </c>
      <c r="W78" s="25">
        <v>95.75</v>
      </c>
      <c r="X78" s="24">
        <v>58478</v>
      </c>
      <c r="Y78" s="25">
        <v>111.258</v>
      </c>
      <c r="Z78" s="24">
        <v>290</v>
      </c>
      <c r="AA78" s="28">
        <v>0.77</v>
      </c>
      <c r="AB78" s="12" t="s">
        <v>123</v>
      </c>
      <c r="AC78" s="13"/>
      <c r="AD78" s="13"/>
    </row>
    <row r="79" spans="1:30" x14ac:dyDescent="0.3">
      <c r="A79" s="19" t="s">
        <v>124</v>
      </c>
      <c r="B79" s="29" t="s">
        <v>193</v>
      </c>
      <c r="C79" s="25" t="s">
        <v>193</v>
      </c>
      <c r="D79" s="26" t="s">
        <v>193</v>
      </c>
      <c r="E79" s="25" t="s">
        <v>193</v>
      </c>
      <c r="F79" s="26" t="s">
        <v>193</v>
      </c>
      <c r="G79" s="25" t="s">
        <v>193</v>
      </c>
      <c r="H79" s="26" t="s">
        <v>193</v>
      </c>
      <c r="I79" s="25" t="s">
        <v>193</v>
      </c>
      <c r="J79" s="26" t="s">
        <v>193</v>
      </c>
      <c r="K79" s="25" t="s">
        <v>193</v>
      </c>
      <c r="L79" s="26" t="s">
        <v>193</v>
      </c>
      <c r="M79" s="25" t="s">
        <v>193</v>
      </c>
      <c r="N79" s="26" t="s">
        <v>193</v>
      </c>
      <c r="O79" s="25" t="s">
        <v>193</v>
      </c>
      <c r="P79" s="26" t="s">
        <v>193</v>
      </c>
      <c r="Q79" s="25" t="s">
        <v>193</v>
      </c>
      <c r="R79" s="26" t="s">
        <v>193</v>
      </c>
      <c r="S79" s="25" t="s">
        <v>193</v>
      </c>
      <c r="T79" s="26" t="s">
        <v>193</v>
      </c>
      <c r="U79" s="25" t="s">
        <v>193</v>
      </c>
      <c r="V79" s="26" t="s">
        <v>193</v>
      </c>
      <c r="W79" s="25" t="s">
        <v>193</v>
      </c>
      <c r="X79" s="26">
        <v>8</v>
      </c>
      <c r="Y79" s="25">
        <v>1.4999999999999999E-2</v>
      </c>
      <c r="Z79" s="26" t="s">
        <v>193</v>
      </c>
      <c r="AA79" s="28" t="s">
        <v>193</v>
      </c>
      <c r="AB79" s="12" t="s">
        <v>125</v>
      </c>
      <c r="AC79" s="13"/>
      <c r="AD79" s="13"/>
    </row>
    <row r="80" spans="1:30" x14ac:dyDescent="0.3">
      <c r="A80" s="19" t="s">
        <v>126</v>
      </c>
      <c r="B80" s="27" t="s">
        <v>193</v>
      </c>
      <c r="C80" s="25" t="s">
        <v>193</v>
      </c>
      <c r="D80" s="24" t="s">
        <v>193</v>
      </c>
      <c r="E80" s="25" t="s">
        <v>193</v>
      </c>
      <c r="F80" s="24" t="s">
        <v>193</v>
      </c>
      <c r="G80" s="25" t="s">
        <v>193</v>
      </c>
      <c r="H80" s="24" t="s">
        <v>193</v>
      </c>
      <c r="I80" s="25" t="s">
        <v>193</v>
      </c>
      <c r="J80" s="24" t="s">
        <v>193</v>
      </c>
      <c r="K80" s="25" t="s">
        <v>193</v>
      </c>
      <c r="L80" s="24">
        <v>618</v>
      </c>
      <c r="M80" s="25">
        <v>6.21</v>
      </c>
      <c r="N80" s="24">
        <v>155</v>
      </c>
      <c r="O80" s="25">
        <v>2.4900000000000002</v>
      </c>
      <c r="P80" s="24">
        <v>497</v>
      </c>
      <c r="Q80" s="25">
        <v>5.05</v>
      </c>
      <c r="R80" s="24">
        <v>139</v>
      </c>
      <c r="S80" s="25">
        <v>2.327</v>
      </c>
      <c r="T80" s="24" t="s">
        <v>193</v>
      </c>
      <c r="U80" s="25" t="s">
        <v>193</v>
      </c>
      <c r="V80" s="24">
        <v>53</v>
      </c>
      <c r="W80" s="25">
        <v>2.89</v>
      </c>
      <c r="X80" s="24">
        <v>2674</v>
      </c>
      <c r="Y80" s="25">
        <v>5.149</v>
      </c>
      <c r="Z80" s="24">
        <v>90</v>
      </c>
      <c r="AA80" s="28">
        <v>0.21</v>
      </c>
      <c r="AB80" s="12" t="s">
        <v>127</v>
      </c>
      <c r="AC80" s="13"/>
      <c r="AD80" s="13"/>
    </row>
    <row r="81" spans="1:30" x14ac:dyDescent="0.3">
      <c r="A81" s="55" t="s">
        <v>128</v>
      </c>
      <c r="B81" s="49">
        <f t="shared" ref="B81:E81" si="24">SUM(B83:B87)</f>
        <v>999</v>
      </c>
      <c r="C81" s="38">
        <f t="shared" si="24"/>
        <v>192.53100000000001</v>
      </c>
      <c r="D81" s="38">
        <f t="shared" si="24"/>
        <v>1982</v>
      </c>
      <c r="E81" s="38">
        <f t="shared" si="24"/>
        <v>533.29</v>
      </c>
      <c r="F81" s="38">
        <f t="shared" ref="F81:H81" si="25">SUM(F83:F87)</f>
        <v>345</v>
      </c>
      <c r="G81" s="38">
        <f t="shared" si="25"/>
        <v>103.78999999999999</v>
      </c>
      <c r="H81" s="38">
        <f t="shared" si="25"/>
        <v>0</v>
      </c>
      <c r="I81" s="37">
        <f t="shared" ref="I81:AA81" si="26">SUM(I83:I87)</f>
        <v>0</v>
      </c>
      <c r="J81" s="38">
        <f t="shared" si="26"/>
        <v>0</v>
      </c>
      <c r="K81" s="37">
        <f t="shared" si="26"/>
        <v>0</v>
      </c>
      <c r="L81" s="38">
        <f t="shared" si="26"/>
        <v>336019</v>
      </c>
      <c r="M81" s="38">
        <f t="shared" si="26"/>
        <v>3230.1910000000007</v>
      </c>
      <c r="N81" s="42">
        <f t="shared" si="26"/>
        <v>51495</v>
      </c>
      <c r="O81" s="42">
        <f>SUM(O83:O87)</f>
        <v>897.28000000000009</v>
      </c>
      <c r="P81" s="43">
        <f t="shared" si="26"/>
        <v>73543</v>
      </c>
      <c r="Q81" s="42">
        <f t="shared" si="26"/>
        <v>634.19100000000003</v>
      </c>
      <c r="R81" s="42">
        <f t="shared" si="26"/>
        <v>5939</v>
      </c>
      <c r="S81" s="43">
        <f t="shared" si="26"/>
        <v>109.785</v>
      </c>
      <c r="T81" s="42">
        <f t="shared" si="26"/>
        <v>1353</v>
      </c>
      <c r="U81" s="43">
        <f t="shared" si="26"/>
        <v>25.205000000000002</v>
      </c>
      <c r="V81" s="42">
        <f t="shared" si="26"/>
        <v>4011</v>
      </c>
      <c r="W81" s="43">
        <f t="shared" si="26"/>
        <v>237.62</v>
      </c>
      <c r="X81" s="42">
        <f t="shared" si="26"/>
        <v>290229</v>
      </c>
      <c r="Y81" s="43">
        <f t="shared" si="26"/>
        <v>570.83799999999997</v>
      </c>
      <c r="Z81" s="42">
        <f t="shared" si="26"/>
        <v>22635</v>
      </c>
      <c r="AA81" s="44">
        <f t="shared" si="26"/>
        <v>37.572000000000003</v>
      </c>
      <c r="AB81" s="63" t="s">
        <v>129</v>
      </c>
      <c r="AC81" s="63"/>
      <c r="AD81" s="63"/>
    </row>
    <row r="82" spans="1:30" x14ac:dyDescent="0.3">
      <c r="A82" s="55"/>
      <c r="B82" s="49"/>
      <c r="C82" s="38"/>
      <c r="D82" s="38"/>
      <c r="E82" s="38"/>
      <c r="F82" s="38"/>
      <c r="G82" s="38"/>
      <c r="H82" s="38"/>
      <c r="I82" s="37"/>
      <c r="J82" s="38"/>
      <c r="K82" s="37"/>
      <c r="L82" s="38"/>
      <c r="M82" s="38"/>
      <c r="N82" s="42"/>
      <c r="O82" s="42"/>
      <c r="P82" s="43"/>
      <c r="Q82" s="42"/>
      <c r="R82" s="42"/>
      <c r="S82" s="43"/>
      <c r="T82" s="42"/>
      <c r="U82" s="43"/>
      <c r="V82" s="42"/>
      <c r="W82" s="43"/>
      <c r="X82" s="42"/>
      <c r="Y82" s="43"/>
      <c r="Z82" s="42"/>
      <c r="AA82" s="44"/>
      <c r="AB82" s="63"/>
      <c r="AC82" s="63"/>
      <c r="AD82" s="63"/>
    </row>
    <row r="83" spans="1:30" x14ac:dyDescent="0.3">
      <c r="A83" s="11" t="s">
        <v>130</v>
      </c>
      <c r="B83" s="27">
        <v>347</v>
      </c>
      <c r="C83" s="25">
        <v>51.475000000000001</v>
      </c>
      <c r="D83" s="24">
        <v>1684</v>
      </c>
      <c r="E83" s="25">
        <v>441.56</v>
      </c>
      <c r="F83" s="24">
        <v>303</v>
      </c>
      <c r="G83" s="25">
        <v>90.71</v>
      </c>
      <c r="H83" s="24" t="s">
        <v>193</v>
      </c>
      <c r="I83" s="25" t="s">
        <v>193</v>
      </c>
      <c r="J83" s="24" t="s">
        <v>193</v>
      </c>
      <c r="K83" s="25" t="s">
        <v>193</v>
      </c>
      <c r="L83" s="24">
        <v>302293</v>
      </c>
      <c r="M83" s="25">
        <v>2896.8330000000001</v>
      </c>
      <c r="N83" s="24">
        <v>49364</v>
      </c>
      <c r="O83" s="25">
        <v>858.57399999999996</v>
      </c>
      <c r="P83" s="24">
        <v>31080</v>
      </c>
      <c r="Q83" s="25">
        <v>275.22800000000001</v>
      </c>
      <c r="R83" s="24">
        <v>2597</v>
      </c>
      <c r="S83" s="25">
        <v>49.024999999999999</v>
      </c>
      <c r="T83" s="24">
        <v>1033</v>
      </c>
      <c r="U83" s="25">
        <v>19.123000000000001</v>
      </c>
      <c r="V83" s="24">
        <v>2566</v>
      </c>
      <c r="W83" s="25">
        <v>153.00299999999999</v>
      </c>
      <c r="X83" s="24">
        <v>259552</v>
      </c>
      <c r="Y83" s="25">
        <v>518.72199999999998</v>
      </c>
      <c r="Z83" s="24">
        <v>2982</v>
      </c>
      <c r="AA83" s="28">
        <v>5.9640000000000004</v>
      </c>
      <c r="AB83" s="12" t="s">
        <v>131</v>
      </c>
      <c r="AC83" s="13"/>
      <c r="AD83" s="13"/>
    </row>
    <row r="84" spans="1:30" x14ac:dyDescent="0.3">
      <c r="A84" s="11" t="s">
        <v>132</v>
      </c>
      <c r="B84" s="27">
        <v>27</v>
      </c>
      <c r="C84" s="25">
        <v>4.05</v>
      </c>
      <c r="D84" s="24">
        <v>12</v>
      </c>
      <c r="E84" s="25">
        <v>3.036</v>
      </c>
      <c r="F84" s="24" t="s">
        <v>193</v>
      </c>
      <c r="G84" s="25" t="s">
        <v>193</v>
      </c>
      <c r="H84" s="24" t="s">
        <v>193</v>
      </c>
      <c r="I84" s="25" t="s">
        <v>193</v>
      </c>
      <c r="J84" s="24" t="s">
        <v>193</v>
      </c>
      <c r="K84" s="25" t="s">
        <v>193</v>
      </c>
      <c r="L84" s="24">
        <v>1390</v>
      </c>
      <c r="M84" s="25">
        <v>13.31</v>
      </c>
      <c r="N84" s="24">
        <v>376</v>
      </c>
      <c r="O84" s="25">
        <v>5.7679999999999998</v>
      </c>
      <c r="P84" s="24">
        <v>5482</v>
      </c>
      <c r="Q84" s="25">
        <v>48.04</v>
      </c>
      <c r="R84" s="24">
        <v>1266</v>
      </c>
      <c r="S84" s="25">
        <v>25.015999999999998</v>
      </c>
      <c r="T84" s="24">
        <v>126</v>
      </c>
      <c r="U84" s="25">
        <v>2.512</v>
      </c>
      <c r="V84" s="24">
        <v>244</v>
      </c>
      <c r="W84" s="25">
        <v>12.43</v>
      </c>
      <c r="X84" s="24">
        <v>10250</v>
      </c>
      <c r="Y84" s="25">
        <v>15.71</v>
      </c>
      <c r="Z84" s="24">
        <v>14680</v>
      </c>
      <c r="AA84" s="28">
        <v>22.02</v>
      </c>
      <c r="AB84" s="12" t="s">
        <v>133</v>
      </c>
      <c r="AC84" s="13"/>
      <c r="AD84" s="13"/>
    </row>
    <row r="85" spans="1:30" x14ac:dyDescent="0.3">
      <c r="A85" s="11" t="s">
        <v>134</v>
      </c>
      <c r="B85" s="27">
        <v>298</v>
      </c>
      <c r="C85" s="25">
        <v>47.64</v>
      </c>
      <c r="D85" s="24">
        <v>112</v>
      </c>
      <c r="E85" s="25">
        <v>34.58</v>
      </c>
      <c r="F85" s="24">
        <v>2</v>
      </c>
      <c r="G85" s="25">
        <v>0.64</v>
      </c>
      <c r="H85" s="24" t="s">
        <v>193</v>
      </c>
      <c r="I85" s="25" t="s">
        <v>193</v>
      </c>
      <c r="J85" s="24" t="s">
        <v>193</v>
      </c>
      <c r="K85" s="25" t="s">
        <v>193</v>
      </c>
      <c r="L85" s="24">
        <v>27592</v>
      </c>
      <c r="M85" s="25">
        <v>275.22000000000003</v>
      </c>
      <c r="N85" s="24">
        <v>1460</v>
      </c>
      <c r="O85" s="25">
        <v>27.58</v>
      </c>
      <c r="P85" s="24">
        <v>5352</v>
      </c>
      <c r="Q85" s="25">
        <v>48.673000000000002</v>
      </c>
      <c r="R85" s="24">
        <v>821</v>
      </c>
      <c r="S85" s="25">
        <v>15.523999999999999</v>
      </c>
      <c r="T85" s="24">
        <v>42</v>
      </c>
      <c r="U85" s="25">
        <v>0.82799999999999996</v>
      </c>
      <c r="V85" s="24">
        <v>862</v>
      </c>
      <c r="W85" s="25">
        <v>56.155000000000001</v>
      </c>
      <c r="X85" s="24">
        <v>3850</v>
      </c>
      <c r="Y85" s="25">
        <v>7.2850000000000001</v>
      </c>
      <c r="Z85" s="24" t="s">
        <v>193</v>
      </c>
      <c r="AA85" s="28" t="s">
        <v>193</v>
      </c>
      <c r="AB85" s="12" t="s">
        <v>135</v>
      </c>
      <c r="AC85" s="13"/>
      <c r="AD85" s="13"/>
    </row>
    <row r="86" spans="1:30" x14ac:dyDescent="0.3">
      <c r="A86" s="11" t="s">
        <v>136</v>
      </c>
      <c r="B86" s="27">
        <v>8</v>
      </c>
      <c r="C86" s="25">
        <v>1.1399999999999999</v>
      </c>
      <c r="D86" s="24" t="s">
        <v>193</v>
      </c>
      <c r="E86" s="25" t="s">
        <v>193</v>
      </c>
      <c r="F86" s="24" t="s">
        <v>193</v>
      </c>
      <c r="G86" s="25" t="s">
        <v>193</v>
      </c>
      <c r="H86" s="24" t="s">
        <v>193</v>
      </c>
      <c r="I86" s="25" t="s">
        <v>193</v>
      </c>
      <c r="J86" s="24" t="s">
        <v>193</v>
      </c>
      <c r="K86" s="25" t="s">
        <v>193</v>
      </c>
      <c r="L86" s="24">
        <v>440</v>
      </c>
      <c r="M86" s="25">
        <v>4.5970000000000004</v>
      </c>
      <c r="N86" s="24">
        <v>62</v>
      </c>
      <c r="O86" s="25">
        <v>1.147</v>
      </c>
      <c r="P86" s="24">
        <v>762</v>
      </c>
      <c r="Q86" s="25">
        <v>6.9539999999999997</v>
      </c>
      <c r="R86" s="24">
        <v>150</v>
      </c>
      <c r="S86" s="25">
        <v>2.42</v>
      </c>
      <c r="T86" s="24">
        <v>41</v>
      </c>
      <c r="U86" s="25">
        <v>0.78</v>
      </c>
      <c r="V86" s="24">
        <v>95</v>
      </c>
      <c r="W86" s="25">
        <v>3.87</v>
      </c>
      <c r="X86" s="24">
        <v>2097</v>
      </c>
      <c r="Y86" s="25">
        <v>4.133</v>
      </c>
      <c r="Z86" s="24">
        <v>1523</v>
      </c>
      <c r="AA86" s="28">
        <v>2.6880000000000002</v>
      </c>
      <c r="AB86" s="12" t="s">
        <v>137</v>
      </c>
      <c r="AC86" s="13"/>
      <c r="AD86" s="13"/>
    </row>
    <row r="87" spans="1:30" x14ac:dyDescent="0.3">
      <c r="A87" s="11" t="s">
        <v>138</v>
      </c>
      <c r="B87" s="27">
        <v>319</v>
      </c>
      <c r="C87" s="25">
        <v>88.225999999999999</v>
      </c>
      <c r="D87" s="24">
        <v>174</v>
      </c>
      <c r="E87" s="25">
        <v>54.113999999999997</v>
      </c>
      <c r="F87" s="24">
        <v>40</v>
      </c>
      <c r="G87" s="25">
        <v>12.44</v>
      </c>
      <c r="H87" s="24" t="s">
        <v>193</v>
      </c>
      <c r="I87" s="25" t="s">
        <v>193</v>
      </c>
      <c r="J87" s="24" t="s">
        <v>193</v>
      </c>
      <c r="K87" s="25" t="s">
        <v>193</v>
      </c>
      <c r="L87" s="24">
        <v>4304</v>
      </c>
      <c r="M87" s="25">
        <v>40.231000000000002</v>
      </c>
      <c r="N87" s="24">
        <v>233</v>
      </c>
      <c r="O87" s="25">
        <v>4.2110000000000003</v>
      </c>
      <c r="P87" s="24">
        <v>30867</v>
      </c>
      <c r="Q87" s="25">
        <v>255.29599999999999</v>
      </c>
      <c r="R87" s="24">
        <v>1105</v>
      </c>
      <c r="S87" s="25">
        <v>17.8</v>
      </c>
      <c r="T87" s="24">
        <v>111</v>
      </c>
      <c r="U87" s="25">
        <v>1.962</v>
      </c>
      <c r="V87" s="24">
        <v>244</v>
      </c>
      <c r="W87" s="25">
        <v>12.162000000000001</v>
      </c>
      <c r="X87" s="24">
        <v>14480</v>
      </c>
      <c r="Y87" s="25">
        <v>24.988</v>
      </c>
      <c r="Z87" s="24">
        <v>3450</v>
      </c>
      <c r="AA87" s="28">
        <v>6.9</v>
      </c>
      <c r="AB87" s="12" t="s">
        <v>139</v>
      </c>
      <c r="AC87" s="13"/>
      <c r="AD87" s="13"/>
    </row>
    <row r="88" spans="1:30" x14ac:dyDescent="0.3">
      <c r="A88" s="55" t="s">
        <v>140</v>
      </c>
      <c r="B88" s="49">
        <f t="shared" ref="B88:F88" si="27">SUM(B90:B102)</f>
        <v>3040</v>
      </c>
      <c r="C88" s="38">
        <f t="shared" si="27"/>
        <v>460.49300000000005</v>
      </c>
      <c r="D88" s="38">
        <f t="shared" si="27"/>
        <v>3912</v>
      </c>
      <c r="E88" s="38">
        <f t="shared" si="27"/>
        <v>1036.07</v>
      </c>
      <c r="F88" s="38">
        <f t="shared" si="27"/>
        <v>1815</v>
      </c>
      <c r="G88" s="38">
        <f t="shared" ref="G88:M88" si="28">SUM(G90:G102)</f>
        <v>583.46</v>
      </c>
      <c r="H88" s="38">
        <f t="shared" si="28"/>
        <v>0</v>
      </c>
      <c r="I88" s="37">
        <f t="shared" si="28"/>
        <v>0</v>
      </c>
      <c r="J88" s="38">
        <f t="shared" si="28"/>
        <v>0</v>
      </c>
      <c r="K88" s="37">
        <f t="shared" si="28"/>
        <v>0</v>
      </c>
      <c r="L88" s="38">
        <f t="shared" si="28"/>
        <v>144760</v>
      </c>
      <c r="M88" s="38">
        <f t="shared" si="28"/>
        <v>1387.9680000000001</v>
      </c>
      <c r="N88" s="38">
        <f>SUM(N90:N102)</f>
        <v>14591</v>
      </c>
      <c r="O88" s="38">
        <f>SUM(O90:O102)</f>
        <v>246.50799999999998</v>
      </c>
      <c r="P88" s="37">
        <f>SUM(P90:P102)</f>
        <v>150168</v>
      </c>
      <c r="Q88" s="38">
        <f t="shared" ref="Q88:AA88" si="29">SUM(Q90:Q102)</f>
        <v>1410.434</v>
      </c>
      <c r="R88" s="38">
        <f t="shared" si="29"/>
        <v>11745</v>
      </c>
      <c r="S88" s="37">
        <f t="shared" si="29"/>
        <v>205.12</v>
      </c>
      <c r="T88" s="38">
        <f t="shared" si="29"/>
        <v>9462</v>
      </c>
      <c r="U88" s="37">
        <f t="shared" si="29"/>
        <v>173.636</v>
      </c>
      <c r="V88" s="38">
        <f t="shared" si="29"/>
        <v>12278</v>
      </c>
      <c r="W88" s="37">
        <f t="shared" si="29"/>
        <v>760.14599999999996</v>
      </c>
      <c r="X88" s="38">
        <f t="shared" si="29"/>
        <v>108476</v>
      </c>
      <c r="Y88" s="37">
        <f t="shared" si="29"/>
        <v>184.09799999999996</v>
      </c>
      <c r="Z88" s="38">
        <f t="shared" si="29"/>
        <v>58077</v>
      </c>
      <c r="AA88" s="41">
        <f t="shared" si="29"/>
        <v>109.30600000000001</v>
      </c>
      <c r="AB88" s="63" t="s">
        <v>141</v>
      </c>
      <c r="AC88" s="63"/>
      <c r="AD88" s="63"/>
    </row>
    <row r="89" spans="1:30" x14ac:dyDescent="0.3">
      <c r="A89" s="55"/>
      <c r="B89" s="49"/>
      <c r="C89" s="38"/>
      <c r="D89" s="38"/>
      <c r="E89" s="38"/>
      <c r="F89" s="38"/>
      <c r="G89" s="38"/>
      <c r="H89" s="38"/>
      <c r="I89" s="37"/>
      <c r="J89" s="38"/>
      <c r="K89" s="37"/>
      <c r="L89" s="38"/>
      <c r="M89" s="38"/>
      <c r="N89" s="38"/>
      <c r="O89" s="38"/>
      <c r="P89" s="37"/>
      <c r="Q89" s="38"/>
      <c r="R89" s="38"/>
      <c r="S89" s="37"/>
      <c r="T89" s="38"/>
      <c r="U89" s="37"/>
      <c r="V89" s="38"/>
      <c r="W89" s="37"/>
      <c r="X89" s="38"/>
      <c r="Y89" s="37"/>
      <c r="Z89" s="38"/>
      <c r="AA89" s="41"/>
      <c r="AB89" s="63"/>
      <c r="AC89" s="63"/>
      <c r="AD89" s="63"/>
    </row>
    <row r="90" spans="1:30" x14ac:dyDescent="0.3">
      <c r="A90" s="11" t="s">
        <v>142</v>
      </c>
      <c r="B90" s="27">
        <v>313</v>
      </c>
      <c r="C90" s="25">
        <v>50.24</v>
      </c>
      <c r="D90" s="24">
        <v>228</v>
      </c>
      <c r="E90" s="25">
        <v>57</v>
      </c>
      <c r="F90" s="24">
        <v>241</v>
      </c>
      <c r="G90" s="25">
        <v>84.35</v>
      </c>
      <c r="H90" s="24" t="s">
        <v>193</v>
      </c>
      <c r="I90" s="25" t="s">
        <v>193</v>
      </c>
      <c r="J90" s="24" t="s">
        <v>193</v>
      </c>
      <c r="K90" s="25" t="s">
        <v>193</v>
      </c>
      <c r="L90" s="24">
        <v>2005</v>
      </c>
      <c r="M90" s="25">
        <v>18.184999999999999</v>
      </c>
      <c r="N90" s="24">
        <v>265</v>
      </c>
      <c r="O90" s="25">
        <v>4.95</v>
      </c>
      <c r="P90" s="24">
        <v>1241</v>
      </c>
      <c r="Q90" s="25">
        <v>11.204000000000001</v>
      </c>
      <c r="R90" s="24">
        <v>153</v>
      </c>
      <c r="S90" s="25">
        <v>2.8069999999999999</v>
      </c>
      <c r="T90" s="24">
        <v>124</v>
      </c>
      <c r="U90" s="25">
        <v>2.282</v>
      </c>
      <c r="V90" s="24">
        <v>757</v>
      </c>
      <c r="W90" s="25">
        <v>56.07</v>
      </c>
      <c r="X90" s="24">
        <v>6100</v>
      </c>
      <c r="Y90" s="25">
        <v>9.3249999999999993</v>
      </c>
      <c r="Z90" s="24">
        <v>4750</v>
      </c>
      <c r="AA90" s="28">
        <v>7.125</v>
      </c>
      <c r="AB90" s="12" t="s">
        <v>143</v>
      </c>
      <c r="AC90" s="13"/>
      <c r="AD90" s="13"/>
    </row>
    <row r="91" spans="1:30" x14ac:dyDescent="0.3">
      <c r="A91" s="11" t="s">
        <v>144</v>
      </c>
      <c r="B91" s="27">
        <v>236</v>
      </c>
      <c r="C91" s="25">
        <v>28.794</v>
      </c>
      <c r="D91" s="24">
        <v>243</v>
      </c>
      <c r="E91" s="25">
        <v>60.75</v>
      </c>
      <c r="F91" s="24">
        <v>20</v>
      </c>
      <c r="G91" s="25">
        <v>6</v>
      </c>
      <c r="H91" s="24" t="s">
        <v>193</v>
      </c>
      <c r="I91" s="25" t="s">
        <v>193</v>
      </c>
      <c r="J91" s="24" t="s">
        <v>193</v>
      </c>
      <c r="K91" s="25" t="s">
        <v>193</v>
      </c>
      <c r="L91" s="24">
        <v>23216</v>
      </c>
      <c r="M91" s="25">
        <v>232.05500000000001</v>
      </c>
      <c r="N91" s="24">
        <v>322</v>
      </c>
      <c r="O91" s="25">
        <v>6.26</v>
      </c>
      <c r="P91" s="24">
        <v>12448</v>
      </c>
      <c r="Q91" s="25">
        <v>124.43</v>
      </c>
      <c r="R91" s="24">
        <v>206</v>
      </c>
      <c r="S91" s="25">
        <v>4.0599999999999996</v>
      </c>
      <c r="T91" s="24">
        <v>204</v>
      </c>
      <c r="U91" s="25">
        <v>4.0650000000000004</v>
      </c>
      <c r="V91" s="24">
        <v>1019</v>
      </c>
      <c r="W91" s="25">
        <v>60.308</v>
      </c>
      <c r="X91" s="24">
        <v>6120</v>
      </c>
      <c r="Y91" s="25">
        <v>13.984999999999999</v>
      </c>
      <c r="Z91" s="24">
        <v>2423</v>
      </c>
      <c r="AA91" s="28">
        <v>3.218</v>
      </c>
      <c r="AB91" s="12" t="s">
        <v>145</v>
      </c>
      <c r="AC91" s="13"/>
      <c r="AD91" s="13"/>
    </row>
    <row r="92" spans="1:30" x14ac:dyDescent="0.3">
      <c r="A92" s="11" t="s">
        <v>146</v>
      </c>
      <c r="B92" s="27">
        <v>27</v>
      </c>
      <c r="C92" s="25">
        <v>3.31</v>
      </c>
      <c r="D92" s="24">
        <v>6</v>
      </c>
      <c r="E92" s="25">
        <v>1.36</v>
      </c>
      <c r="F92" s="24" t="s">
        <v>193</v>
      </c>
      <c r="G92" s="25" t="s">
        <v>193</v>
      </c>
      <c r="H92" s="24" t="s">
        <v>193</v>
      </c>
      <c r="I92" s="25" t="s">
        <v>193</v>
      </c>
      <c r="J92" s="24" t="s">
        <v>193</v>
      </c>
      <c r="K92" s="25" t="s">
        <v>193</v>
      </c>
      <c r="L92" s="24">
        <v>424</v>
      </c>
      <c r="M92" s="25">
        <v>3.9750000000000001</v>
      </c>
      <c r="N92" s="24">
        <v>152</v>
      </c>
      <c r="O92" s="25">
        <v>2.9550000000000001</v>
      </c>
      <c r="P92" s="24">
        <v>873</v>
      </c>
      <c r="Q92" s="25">
        <v>7.77</v>
      </c>
      <c r="R92" s="24">
        <v>201</v>
      </c>
      <c r="S92" s="25">
        <v>4.0060000000000002</v>
      </c>
      <c r="T92" s="24">
        <v>525</v>
      </c>
      <c r="U92" s="25">
        <v>9.516</v>
      </c>
      <c r="V92" s="24">
        <v>109</v>
      </c>
      <c r="W92" s="25">
        <v>6.9279999999999999</v>
      </c>
      <c r="X92" s="24">
        <v>6109</v>
      </c>
      <c r="Y92" s="25">
        <v>13.843999999999999</v>
      </c>
      <c r="Z92" s="24">
        <v>9445</v>
      </c>
      <c r="AA92" s="28">
        <v>26.24</v>
      </c>
      <c r="AB92" s="12" t="s">
        <v>147</v>
      </c>
      <c r="AC92" s="13"/>
      <c r="AD92" s="13"/>
    </row>
    <row r="93" spans="1:30" x14ac:dyDescent="0.3">
      <c r="A93" s="11" t="s">
        <v>148</v>
      </c>
      <c r="B93" s="27">
        <v>60</v>
      </c>
      <c r="C93" s="25">
        <v>8.02</v>
      </c>
      <c r="D93" s="24">
        <v>302</v>
      </c>
      <c r="E93" s="25">
        <v>85.08</v>
      </c>
      <c r="F93" s="24">
        <v>16</v>
      </c>
      <c r="G93" s="25">
        <v>5.53</v>
      </c>
      <c r="H93" s="24" t="s">
        <v>193</v>
      </c>
      <c r="I93" s="25" t="s">
        <v>193</v>
      </c>
      <c r="J93" s="24" t="s">
        <v>193</v>
      </c>
      <c r="K93" s="25" t="s">
        <v>193</v>
      </c>
      <c r="L93" s="24">
        <v>7555</v>
      </c>
      <c r="M93" s="25">
        <v>71.084999999999994</v>
      </c>
      <c r="N93" s="24">
        <v>530</v>
      </c>
      <c r="O93" s="25">
        <v>9.4949999999999992</v>
      </c>
      <c r="P93" s="24">
        <v>19710</v>
      </c>
      <c r="Q93" s="25">
        <v>186.19499999999999</v>
      </c>
      <c r="R93" s="24">
        <v>665</v>
      </c>
      <c r="S93" s="25">
        <v>11.59</v>
      </c>
      <c r="T93" s="24">
        <v>610</v>
      </c>
      <c r="U93" s="25">
        <v>11.526999999999999</v>
      </c>
      <c r="V93" s="24">
        <v>740</v>
      </c>
      <c r="W93" s="25">
        <v>39.409999999999997</v>
      </c>
      <c r="X93" s="24">
        <v>14500</v>
      </c>
      <c r="Y93" s="25">
        <v>24.286000000000001</v>
      </c>
      <c r="Z93" s="24">
        <v>12140</v>
      </c>
      <c r="AA93" s="28">
        <v>23.62</v>
      </c>
      <c r="AB93" s="12" t="s">
        <v>149</v>
      </c>
      <c r="AC93" s="13"/>
      <c r="AD93" s="13"/>
    </row>
    <row r="94" spans="1:30" x14ac:dyDescent="0.3">
      <c r="A94" s="11" t="s">
        <v>150</v>
      </c>
      <c r="B94" s="29">
        <v>1</v>
      </c>
      <c r="C94" s="25">
        <v>0.125</v>
      </c>
      <c r="D94" s="26" t="s">
        <v>193</v>
      </c>
      <c r="E94" s="25" t="s">
        <v>193</v>
      </c>
      <c r="F94" s="26" t="s">
        <v>193</v>
      </c>
      <c r="G94" s="25" t="s">
        <v>193</v>
      </c>
      <c r="H94" s="26" t="s">
        <v>193</v>
      </c>
      <c r="I94" s="25" t="s">
        <v>193</v>
      </c>
      <c r="J94" s="26" t="s">
        <v>193</v>
      </c>
      <c r="K94" s="25" t="s">
        <v>193</v>
      </c>
      <c r="L94" s="26">
        <v>3500</v>
      </c>
      <c r="M94" s="25">
        <v>31.5</v>
      </c>
      <c r="N94" s="26">
        <v>360</v>
      </c>
      <c r="O94" s="25">
        <v>5.5</v>
      </c>
      <c r="P94" s="26">
        <v>6208</v>
      </c>
      <c r="Q94" s="25">
        <v>55.851999999999997</v>
      </c>
      <c r="R94" s="26">
        <v>1202</v>
      </c>
      <c r="S94" s="25">
        <v>19.420999999999999</v>
      </c>
      <c r="T94" s="26">
        <v>1998</v>
      </c>
      <c r="U94" s="25">
        <v>35.290999999999997</v>
      </c>
      <c r="V94" s="26">
        <v>140</v>
      </c>
      <c r="W94" s="25">
        <v>8.89</v>
      </c>
      <c r="X94" s="26">
        <v>723</v>
      </c>
      <c r="Y94" s="25">
        <v>1.224</v>
      </c>
      <c r="Z94" s="26">
        <v>1795</v>
      </c>
      <c r="AA94" s="28">
        <v>3.516</v>
      </c>
      <c r="AB94" s="12" t="s">
        <v>151</v>
      </c>
      <c r="AC94" s="13"/>
      <c r="AD94" s="13"/>
    </row>
    <row r="95" spans="1:30" x14ac:dyDescent="0.3">
      <c r="A95" s="11" t="s">
        <v>152</v>
      </c>
      <c r="B95" s="27">
        <v>532</v>
      </c>
      <c r="C95" s="25">
        <v>84.66</v>
      </c>
      <c r="D95" s="24">
        <v>86</v>
      </c>
      <c r="E95" s="25">
        <v>21.44</v>
      </c>
      <c r="F95" s="24">
        <v>1</v>
      </c>
      <c r="G95" s="25">
        <v>0.35</v>
      </c>
      <c r="H95" s="24" t="s">
        <v>193</v>
      </c>
      <c r="I95" s="25" t="s">
        <v>193</v>
      </c>
      <c r="J95" s="24" t="s">
        <v>193</v>
      </c>
      <c r="K95" s="25" t="s">
        <v>193</v>
      </c>
      <c r="L95" s="24">
        <v>14350</v>
      </c>
      <c r="M95" s="25">
        <v>141.10499999999999</v>
      </c>
      <c r="N95" s="24">
        <v>3383</v>
      </c>
      <c r="O95" s="25">
        <v>56.332999999999998</v>
      </c>
      <c r="P95" s="24">
        <v>9330</v>
      </c>
      <c r="Q95" s="25">
        <v>80.558999999999997</v>
      </c>
      <c r="R95" s="24">
        <v>1332</v>
      </c>
      <c r="S95" s="25">
        <v>21.312000000000001</v>
      </c>
      <c r="T95" s="24">
        <v>475</v>
      </c>
      <c r="U95" s="25">
        <v>9.08</v>
      </c>
      <c r="V95" s="24">
        <v>1583</v>
      </c>
      <c r="W95" s="25">
        <v>94.343999999999994</v>
      </c>
      <c r="X95" s="24">
        <v>4450</v>
      </c>
      <c r="Y95" s="25">
        <v>6.8250000000000002</v>
      </c>
      <c r="Z95" s="24">
        <v>1800</v>
      </c>
      <c r="AA95" s="28">
        <v>2.88</v>
      </c>
      <c r="AB95" s="12" t="s">
        <v>153</v>
      </c>
      <c r="AC95" s="13"/>
      <c r="AD95" s="13"/>
    </row>
    <row r="96" spans="1:30" x14ac:dyDescent="0.3">
      <c r="A96" s="11" t="s">
        <v>154</v>
      </c>
      <c r="B96" s="27">
        <v>287</v>
      </c>
      <c r="C96" s="25">
        <v>49.225000000000001</v>
      </c>
      <c r="D96" s="24">
        <v>955</v>
      </c>
      <c r="E96" s="25">
        <v>279.2</v>
      </c>
      <c r="F96" s="24">
        <v>116</v>
      </c>
      <c r="G96" s="25">
        <v>39.86</v>
      </c>
      <c r="H96" s="24" t="s">
        <v>193</v>
      </c>
      <c r="I96" s="25" t="s">
        <v>193</v>
      </c>
      <c r="J96" s="24" t="s">
        <v>193</v>
      </c>
      <c r="K96" s="25" t="s">
        <v>193</v>
      </c>
      <c r="L96" s="24">
        <v>11333</v>
      </c>
      <c r="M96" s="25">
        <v>102.682</v>
      </c>
      <c r="N96" s="24">
        <v>410</v>
      </c>
      <c r="O96" s="25">
        <v>7.27</v>
      </c>
      <c r="P96" s="24">
        <v>10510</v>
      </c>
      <c r="Q96" s="25">
        <v>97.58</v>
      </c>
      <c r="R96" s="24">
        <v>360</v>
      </c>
      <c r="S96" s="25">
        <v>7.4020000000000001</v>
      </c>
      <c r="T96" s="24">
        <v>1637</v>
      </c>
      <c r="U96" s="25">
        <v>30.933</v>
      </c>
      <c r="V96" s="24">
        <v>2973</v>
      </c>
      <c r="W96" s="25">
        <v>174.23</v>
      </c>
      <c r="X96" s="24">
        <v>21916</v>
      </c>
      <c r="Y96" s="25">
        <v>37.863</v>
      </c>
      <c r="Z96" s="24">
        <v>3916</v>
      </c>
      <c r="AA96" s="28">
        <v>6.87</v>
      </c>
      <c r="AB96" s="12" t="s">
        <v>155</v>
      </c>
      <c r="AC96" s="13"/>
      <c r="AD96" s="13"/>
    </row>
    <row r="97" spans="1:30" x14ac:dyDescent="0.3">
      <c r="A97" s="11" t="s">
        <v>156</v>
      </c>
      <c r="B97" s="27">
        <v>48</v>
      </c>
      <c r="C97" s="25">
        <v>6.83</v>
      </c>
      <c r="D97" s="24">
        <v>13</v>
      </c>
      <c r="E97" s="25">
        <v>2.85</v>
      </c>
      <c r="F97" s="24" t="s">
        <v>193</v>
      </c>
      <c r="G97" s="25" t="s">
        <v>193</v>
      </c>
      <c r="H97" s="24" t="s">
        <v>193</v>
      </c>
      <c r="I97" s="25" t="s">
        <v>193</v>
      </c>
      <c r="J97" s="24" t="s">
        <v>193</v>
      </c>
      <c r="K97" s="25" t="s">
        <v>193</v>
      </c>
      <c r="L97" s="24">
        <v>1773</v>
      </c>
      <c r="M97" s="25">
        <v>17.710999999999999</v>
      </c>
      <c r="N97" s="24">
        <v>530</v>
      </c>
      <c r="O97" s="25">
        <v>8.85</v>
      </c>
      <c r="P97" s="24">
        <v>1932</v>
      </c>
      <c r="Q97" s="25">
        <v>19.167999999999999</v>
      </c>
      <c r="R97" s="24">
        <v>410</v>
      </c>
      <c r="S97" s="25">
        <v>7.0430000000000001</v>
      </c>
      <c r="T97" s="24">
        <v>102</v>
      </c>
      <c r="U97" s="25">
        <v>2.032</v>
      </c>
      <c r="V97" s="24">
        <v>369</v>
      </c>
      <c r="W97" s="25">
        <v>28.004999999999999</v>
      </c>
      <c r="X97" s="24">
        <v>1465</v>
      </c>
      <c r="Y97" s="25">
        <v>2.75</v>
      </c>
      <c r="Z97" s="24">
        <v>1580</v>
      </c>
      <c r="AA97" s="28">
        <v>2.7410000000000001</v>
      </c>
      <c r="AB97" s="12" t="s">
        <v>157</v>
      </c>
      <c r="AC97" s="13"/>
      <c r="AD97" s="13"/>
    </row>
    <row r="98" spans="1:30" x14ac:dyDescent="0.3">
      <c r="A98" s="11" t="s">
        <v>158</v>
      </c>
      <c r="B98" s="27">
        <v>72</v>
      </c>
      <c r="C98" s="25">
        <v>12.96</v>
      </c>
      <c r="D98" s="24">
        <v>39</v>
      </c>
      <c r="E98" s="25">
        <v>9.36</v>
      </c>
      <c r="F98" s="24" t="s">
        <v>193</v>
      </c>
      <c r="G98" s="25" t="s">
        <v>193</v>
      </c>
      <c r="H98" s="24" t="s">
        <v>193</v>
      </c>
      <c r="I98" s="25" t="s">
        <v>193</v>
      </c>
      <c r="J98" s="24" t="s">
        <v>193</v>
      </c>
      <c r="K98" s="25" t="s">
        <v>193</v>
      </c>
      <c r="L98" s="24">
        <v>1585</v>
      </c>
      <c r="M98" s="25">
        <v>15.85</v>
      </c>
      <c r="N98" s="24">
        <v>84</v>
      </c>
      <c r="O98" s="25">
        <v>1.26</v>
      </c>
      <c r="P98" s="24">
        <v>2450</v>
      </c>
      <c r="Q98" s="25">
        <v>24.5</v>
      </c>
      <c r="R98" s="24">
        <v>115</v>
      </c>
      <c r="S98" s="25">
        <v>1.7250000000000001</v>
      </c>
      <c r="T98" s="24">
        <v>50</v>
      </c>
      <c r="U98" s="25">
        <v>1</v>
      </c>
      <c r="V98" s="24">
        <v>245</v>
      </c>
      <c r="W98" s="25">
        <v>18.375</v>
      </c>
      <c r="X98" s="24">
        <v>2150</v>
      </c>
      <c r="Y98" s="25">
        <v>3.6549999999999998</v>
      </c>
      <c r="Z98" s="24">
        <v>874</v>
      </c>
      <c r="AA98" s="28">
        <v>1.6140000000000001</v>
      </c>
      <c r="AB98" s="12" t="s">
        <v>159</v>
      </c>
      <c r="AC98" s="13"/>
      <c r="AD98" s="13"/>
    </row>
    <row r="99" spans="1:30" x14ac:dyDescent="0.3">
      <c r="A99" s="11" t="s">
        <v>160</v>
      </c>
      <c r="B99" s="27">
        <v>1075</v>
      </c>
      <c r="C99" s="25">
        <v>148.17400000000001</v>
      </c>
      <c r="D99" s="24">
        <v>1352</v>
      </c>
      <c r="E99" s="25">
        <v>333.51499999999999</v>
      </c>
      <c r="F99" s="24">
        <v>874</v>
      </c>
      <c r="G99" s="25">
        <v>268.17</v>
      </c>
      <c r="H99" s="24" t="s">
        <v>193</v>
      </c>
      <c r="I99" s="25" t="s">
        <v>193</v>
      </c>
      <c r="J99" s="24" t="s">
        <v>193</v>
      </c>
      <c r="K99" s="25" t="s">
        <v>193</v>
      </c>
      <c r="L99" s="24">
        <v>57539</v>
      </c>
      <c r="M99" s="25">
        <v>544.01199999999994</v>
      </c>
      <c r="N99" s="24">
        <v>6974</v>
      </c>
      <c r="O99" s="25">
        <v>115.898</v>
      </c>
      <c r="P99" s="24">
        <v>61855</v>
      </c>
      <c r="Q99" s="25">
        <v>578.24599999999998</v>
      </c>
      <c r="R99" s="24">
        <v>5003</v>
      </c>
      <c r="S99" s="25">
        <v>87.557000000000002</v>
      </c>
      <c r="T99" s="24">
        <v>441</v>
      </c>
      <c r="U99" s="25">
        <v>7.9829999999999997</v>
      </c>
      <c r="V99" s="24">
        <v>3313</v>
      </c>
      <c r="W99" s="25">
        <v>204.53700000000001</v>
      </c>
      <c r="X99" s="24">
        <v>25064</v>
      </c>
      <c r="Y99" s="25">
        <v>38.21</v>
      </c>
      <c r="Z99" s="24">
        <v>13845</v>
      </c>
      <c r="AA99" s="28">
        <v>21.138999999999999</v>
      </c>
      <c r="AB99" s="12" t="s">
        <v>161</v>
      </c>
      <c r="AC99" s="13"/>
      <c r="AD99" s="13"/>
    </row>
    <row r="100" spans="1:30" x14ac:dyDescent="0.3">
      <c r="A100" s="11" t="s">
        <v>162</v>
      </c>
      <c r="B100" s="27">
        <v>155</v>
      </c>
      <c r="C100" s="25">
        <v>27.92</v>
      </c>
      <c r="D100" s="24">
        <v>72</v>
      </c>
      <c r="E100" s="25">
        <v>18</v>
      </c>
      <c r="F100" s="24">
        <v>272</v>
      </c>
      <c r="G100" s="25">
        <v>95.2</v>
      </c>
      <c r="H100" s="24" t="s">
        <v>193</v>
      </c>
      <c r="I100" s="25" t="s">
        <v>193</v>
      </c>
      <c r="J100" s="24" t="s">
        <v>193</v>
      </c>
      <c r="K100" s="25" t="s">
        <v>193</v>
      </c>
      <c r="L100" s="24">
        <v>2091</v>
      </c>
      <c r="M100" s="25">
        <v>20.91</v>
      </c>
      <c r="N100" s="24">
        <v>377</v>
      </c>
      <c r="O100" s="25">
        <v>6.7110000000000003</v>
      </c>
      <c r="P100" s="24">
        <v>2319</v>
      </c>
      <c r="Q100" s="25">
        <v>22.18</v>
      </c>
      <c r="R100" s="24">
        <v>336</v>
      </c>
      <c r="S100" s="25">
        <v>6.048</v>
      </c>
      <c r="T100" s="24">
        <v>89</v>
      </c>
      <c r="U100" s="25">
        <v>1.6910000000000001</v>
      </c>
      <c r="V100" s="24">
        <v>56</v>
      </c>
      <c r="W100" s="25">
        <v>2.52</v>
      </c>
      <c r="X100" s="24">
        <v>4850</v>
      </c>
      <c r="Y100" s="25">
        <v>7.29</v>
      </c>
      <c r="Z100" s="24" t="s">
        <v>193</v>
      </c>
      <c r="AA100" s="28" t="s">
        <v>193</v>
      </c>
      <c r="AB100" s="12" t="s">
        <v>163</v>
      </c>
      <c r="AC100" s="13"/>
      <c r="AD100" s="13"/>
    </row>
    <row r="101" spans="1:30" x14ac:dyDescent="0.3">
      <c r="A101" s="11" t="s">
        <v>164</v>
      </c>
      <c r="B101" s="27">
        <v>21</v>
      </c>
      <c r="C101" s="25">
        <v>2.98</v>
      </c>
      <c r="D101" s="24">
        <v>451</v>
      </c>
      <c r="E101" s="25">
        <v>126.265</v>
      </c>
      <c r="F101" s="24">
        <v>245</v>
      </c>
      <c r="G101" s="25">
        <v>73.5</v>
      </c>
      <c r="H101" s="24" t="s">
        <v>193</v>
      </c>
      <c r="I101" s="25" t="s">
        <v>193</v>
      </c>
      <c r="J101" s="24" t="s">
        <v>193</v>
      </c>
      <c r="K101" s="25" t="s">
        <v>193</v>
      </c>
      <c r="L101" s="24">
        <v>5549</v>
      </c>
      <c r="M101" s="25">
        <v>50.497999999999998</v>
      </c>
      <c r="N101" s="24">
        <v>864</v>
      </c>
      <c r="O101" s="25">
        <v>14.956</v>
      </c>
      <c r="P101" s="24">
        <v>10844</v>
      </c>
      <c r="Q101" s="25">
        <v>98.27</v>
      </c>
      <c r="R101" s="24">
        <v>1609</v>
      </c>
      <c r="S101" s="25">
        <v>29.292000000000002</v>
      </c>
      <c r="T101" s="24">
        <v>3012</v>
      </c>
      <c r="U101" s="25">
        <v>54.335999999999999</v>
      </c>
      <c r="V101" s="24">
        <v>522</v>
      </c>
      <c r="W101" s="25">
        <v>33.048999999999999</v>
      </c>
      <c r="X101" s="24">
        <v>11879</v>
      </c>
      <c r="Y101" s="25">
        <v>19.835999999999999</v>
      </c>
      <c r="Z101" s="24">
        <v>2309</v>
      </c>
      <c r="AA101" s="28">
        <v>4.1829999999999998</v>
      </c>
      <c r="AB101" s="12" t="s">
        <v>165</v>
      </c>
      <c r="AC101" s="13"/>
      <c r="AD101" s="13"/>
    </row>
    <row r="102" spans="1:30" x14ac:dyDescent="0.3">
      <c r="A102" s="11" t="s">
        <v>166</v>
      </c>
      <c r="B102" s="27">
        <v>213</v>
      </c>
      <c r="C102" s="25">
        <v>37.255000000000003</v>
      </c>
      <c r="D102" s="24">
        <v>165</v>
      </c>
      <c r="E102" s="25">
        <v>41.25</v>
      </c>
      <c r="F102" s="24">
        <v>30</v>
      </c>
      <c r="G102" s="25">
        <v>10.5</v>
      </c>
      <c r="H102" s="24" t="s">
        <v>193</v>
      </c>
      <c r="I102" s="25" t="s">
        <v>193</v>
      </c>
      <c r="J102" s="24" t="s">
        <v>193</v>
      </c>
      <c r="K102" s="25" t="s">
        <v>193</v>
      </c>
      <c r="L102" s="24">
        <v>13840</v>
      </c>
      <c r="M102" s="25">
        <v>138.4</v>
      </c>
      <c r="N102" s="24">
        <v>340</v>
      </c>
      <c r="O102" s="25">
        <v>6.07</v>
      </c>
      <c r="P102" s="24">
        <v>10448</v>
      </c>
      <c r="Q102" s="25">
        <v>104.48</v>
      </c>
      <c r="R102" s="24">
        <v>153</v>
      </c>
      <c r="S102" s="25">
        <v>2.8570000000000002</v>
      </c>
      <c r="T102" s="24">
        <v>195</v>
      </c>
      <c r="U102" s="25">
        <v>3.9</v>
      </c>
      <c r="V102" s="24">
        <v>452</v>
      </c>
      <c r="W102" s="25">
        <v>33.479999999999997</v>
      </c>
      <c r="X102" s="24">
        <v>3150</v>
      </c>
      <c r="Y102" s="25">
        <v>5.0049999999999999</v>
      </c>
      <c r="Z102" s="24">
        <v>3200</v>
      </c>
      <c r="AA102" s="28">
        <v>6.16</v>
      </c>
      <c r="AB102" s="12" t="s">
        <v>167</v>
      </c>
      <c r="AC102" s="13"/>
      <c r="AD102" s="13"/>
    </row>
    <row r="103" spans="1:30" x14ac:dyDescent="0.3">
      <c r="A103" s="55" t="s">
        <v>168</v>
      </c>
      <c r="B103" s="49">
        <f t="shared" ref="B103:G103" si="30">SUM(B105:B108)</f>
        <v>170</v>
      </c>
      <c r="C103" s="38">
        <f t="shared" si="30"/>
        <v>30.35</v>
      </c>
      <c r="D103" s="38">
        <f t="shared" si="30"/>
        <v>665</v>
      </c>
      <c r="E103" s="38">
        <f t="shared" si="30"/>
        <v>148.60499999999999</v>
      </c>
      <c r="F103" s="38">
        <f t="shared" si="30"/>
        <v>273</v>
      </c>
      <c r="G103" s="38">
        <f t="shared" si="30"/>
        <v>53.444000000000003</v>
      </c>
      <c r="H103" s="38">
        <f t="shared" ref="H103:M103" si="31">SUM(H105:H108)</f>
        <v>561</v>
      </c>
      <c r="I103" s="37">
        <f t="shared" si="31"/>
        <v>194.10599999999999</v>
      </c>
      <c r="J103" s="38">
        <f t="shared" si="31"/>
        <v>0</v>
      </c>
      <c r="K103" s="37">
        <f t="shared" si="31"/>
        <v>0</v>
      </c>
      <c r="L103" s="38">
        <f t="shared" si="31"/>
        <v>415952</v>
      </c>
      <c r="M103" s="38">
        <f t="shared" si="31"/>
        <v>4373.7660000000005</v>
      </c>
      <c r="N103" s="38">
        <f>SUM(N105:N108)</f>
        <v>56385</v>
      </c>
      <c r="O103" s="38">
        <f>SUM(O105:O108)</f>
        <v>1058.7860000000001</v>
      </c>
      <c r="P103" s="37">
        <f t="shared" ref="P103:AA103" si="32">SUM(P105:P108)</f>
        <v>127600</v>
      </c>
      <c r="Q103" s="38">
        <f t="shared" si="32"/>
        <v>1293.979</v>
      </c>
      <c r="R103" s="38">
        <f t="shared" si="32"/>
        <v>39931</v>
      </c>
      <c r="S103" s="37">
        <f t="shared" si="32"/>
        <v>818.37799999999993</v>
      </c>
      <c r="T103" s="38">
        <f t="shared" si="32"/>
        <v>12734</v>
      </c>
      <c r="U103" s="37">
        <f t="shared" si="32"/>
        <v>223.86699999999999</v>
      </c>
      <c r="V103" s="38">
        <f t="shared" si="32"/>
        <v>64084</v>
      </c>
      <c r="W103" s="37">
        <f t="shared" si="32"/>
        <v>4441.8280000000004</v>
      </c>
      <c r="X103" s="38">
        <f t="shared" si="32"/>
        <v>706354</v>
      </c>
      <c r="Y103" s="37">
        <f t="shared" si="32"/>
        <v>1284.905</v>
      </c>
      <c r="Z103" s="38">
        <f t="shared" si="32"/>
        <v>732639</v>
      </c>
      <c r="AA103" s="41">
        <f t="shared" si="32"/>
        <v>1207.473</v>
      </c>
      <c r="AB103" s="63" t="s">
        <v>169</v>
      </c>
      <c r="AC103" s="63"/>
      <c r="AD103" s="63"/>
    </row>
    <row r="104" spans="1:30" x14ac:dyDescent="0.3">
      <c r="A104" s="55"/>
      <c r="B104" s="49"/>
      <c r="C104" s="38"/>
      <c r="D104" s="38"/>
      <c r="E104" s="38"/>
      <c r="F104" s="38"/>
      <c r="G104" s="38"/>
      <c r="H104" s="38"/>
      <c r="I104" s="37"/>
      <c r="J104" s="38"/>
      <c r="K104" s="37"/>
      <c r="L104" s="38"/>
      <c r="M104" s="38"/>
      <c r="N104" s="38"/>
      <c r="O104" s="38"/>
      <c r="P104" s="37"/>
      <c r="Q104" s="38"/>
      <c r="R104" s="38"/>
      <c r="S104" s="37"/>
      <c r="T104" s="38"/>
      <c r="U104" s="37"/>
      <c r="V104" s="38"/>
      <c r="W104" s="37"/>
      <c r="X104" s="38"/>
      <c r="Y104" s="37"/>
      <c r="Z104" s="38"/>
      <c r="AA104" s="41"/>
      <c r="AB104" s="63"/>
      <c r="AC104" s="63"/>
      <c r="AD104" s="63"/>
    </row>
    <row r="105" spans="1:30" x14ac:dyDescent="0.3">
      <c r="A105" s="11" t="s">
        <v>170</v>
      </c>
      <c r="B105" s="27">
        <v>105</v>
      </c>
      <c r="C105" s="25">
        <v>17.788</v>
      </c>
      <c r="D105" s="24">
        <v>572</v>
      </c>
      <c r="E105" s="25">
        <v>124.3</v>
      </c>
      <c r="F105" s="24">
        <v>153</v>
      </c>
      <c r="G105" s="25">
        <v>30.54</v>
      </c>
      <c r="H105" s="24" t="s">
        <v>193</v>
      </c>
      <c r="I105" s="25" t="s">
        <v>193</v>
      </c>
      <c r="J105" s="24" t="s">
        <v>193</v>
      </c>
      <c r="K105" s="25" t="s">
        <v>193</v>
      </c>
      <c r="L105" s="24">
        <v>98822</v>
      </c>
      <c r="M105" s="25">
        <v>1012.419</v>
      </c>
      <c r="N105" s="24">
        <v>12934</v>
      </c>
      <c r="O105" s="25">
        <v>271.74299999999999</v>
      </c>
      <c r="P105" s="24">
        <v>20807</v>
      </c>
      <c r="Q105" s="25">
        <v>209.767</v>
      </c>
      <c r="R105" s="24">
        <v>4381</v>
      </c>
      <c r="S105" s="25">
        <v>85.92</v>
      </c>
      <c r="T105" s="24">
        <v>1397</v>
      </c>
      <c r="U105" s="25">
        <v>26.134</v>
      </c>
      <c r="V105" s="24">
        <v>7012</v>
      </c>
      <c r="W105" s="25">
        <v>352.49599999999998</v>
      </c>
      <c r="X105" s="24">
        <v>377721</v>
      </c>
      <c r="Y105" s="25">
        <v>589.56299999999999</v>
      </c>
      <c r="Z105" s="24">
        <v>408083</v>
      </c>
      <c r="AA105" s="28">
        <v>612.35299999999995</v>
      </c>
      <c r="AB105" s="12" t="s">
        <v>171</v>
      </c>
      <c r="AC105" s="13"/>
      <c r="AD105" s="13"/>
    </row>
    <row r="106" spans="1:30" x14ac:dyDescent="0.3">
      <c r="A106" s="11" t="s">
        <v>172</v>
      </c>
      <c r="B106" s="29" t="s">
        <v>193</v>
      </c>
      <c r="C106" s="25" t="s">
        <v>193</v>
      </c>
      <c r="D106" s="26" t="s">
        <v>193</v>
      </c>
      <c r="E106" s="25" t="s">
        <v>193</v>
      </c>
      <c r="F106" s="26">
        <v>30</v>
      </c>
      <c r="G106" s="25">
        <v>1.5</v>
      </c>
      <c r="H106" s="26" t="s">
        <v>193</v>
      </c>
      <c r="I106" s="25" t="s">
        <v>193</v>
      </c>
      <c r="J106" s="26" t="s">
        <v>193</v>
      </c>
      <c r="K106" s="25" t="s">
        <v>193</v>
      </c>
      <c r="L106" s="26">
        <v>35167</v>
      </c>
      <c r="M106" s="25">
        <v>351.64</v>
      </c>
      <c r="N106" s="26">
        <v>13624</v>
      </c>
      <c r="O106" s="25">
        <v>294.61099999999999</v>
      </c>
      <c r="P106" s="26">
        <v>16557</v>
      </c>
      <c r="Q106" s="25">
        <v>162.285</v>
      </c>
      <c r="R106" s="26">
        <v>23173</v>
      </c>
      <c r="S106" s="25">
        <v>522.12199999999996</v>
      </c>
      <c r="T106" s="26">
        <v>225</v>
      </c>
      <c r="U106" s="25">
        <v>3.81</v>
      </c>
      <c r="V106" s="26">
        <v>1675</v>
      </c>
      <c r="W106" s="25">
        <v>98.248000000000005</v>
      </c>
      <c r="X106" s="26">
        <v>6190</v>
      </c>
      <c r="Y106" s="25">
        <v>10.395</v>
      </c>
      <c r="Z106" s="26">
        <v>22255</v>
      </c>
      <c r="AA106" s="28">
        <v>34.277999999999999</v>
      </c>
      <c r="AB106" s="12" t="s">
        <v>173</v>
      </c>
      <c r="AC106" s="13"/>
      <c r="AD106" s="13"/>
    </row>
    <row r="107" spans="1:30" x14ac:dyDescent="0.3">
      <c r="A107" s="11" t="s">
        <v>174</v>
      </c>
      <c r="B107" s="27">
        <v>8</v>
      </c>
      <c r="C107" s="25">
        <v>1.2190000000000001</v>
      </c>
      <c r="D107" s="24">
        <v>4</v>
      </c>
      <c r="E107" s="25">
        <v>1.05</v>
      </c>
      <c r="F107" s="24" t="s">
        <v>193</v>
      </c>
      <c r="G107" s="25" t="s">
        <v>193</v>
      </c>
      <c r="H107" s="24" t="s">
        <v>193</v>
      </c>
      <c r="I107" s="25" t="s">
        <v>193</v>
      </c>
      <c r="J107" s="24" t="s">
        <v>193</v>
      </c>
      <c r="K107" s="25" t="s">
        <v>193</v>
      </c>
      <c r="L107" s="24">
        <v>195671</v>
      </c>
      <c r="M107" s="25">
        <v>2094.643</v>
      </c>
      <c r="N107" s="24">
        <v>19157</v>
      </c>
      <c r="O107" s="25">
        <v>322.33199999999999</v>
      </c>
      <c r="P107" s="24">
        <v>59525</v>
      </c>
      <c r="Q107" s="25">
        <v>612.18399999999997</v>
      </c>
      <c r="R107" s="24">
        <v>6106</v>
      </c>
      <c r="S107" s="25">
        <v>102.538</v>
      </c>
      <c r="T107" s="24">
        <v>6769</v>
      </c>
      <c r="U107" s="25">
        <v>115.029</v>
      </c>
      <c r="V107" s="24">
        <v>44111</v>
      </c>
      <c r="W107" s="25">
        <v>3328.4459999999999</v>
      </c>
      <c r="X107" s="24">
        <v>123736</v>
      </c>
      <c r="Y107" s="25">
        <v>302.91000000000003</v>
      </c>
      <c r="Z107" s="24">
        <v>92782</v>
      </c>
      <c r="AA107" s="28">
        <v>198.3</v>
      </c>
      <c r="AB107" s="12" t="s">
        <v>175</v>
      </c>
      <c r="AC107" s="13"/>
      <c r="AD107" s="13"/>
    </row>
    <row r="108" spans="1:30" ht="15" thickBot="1" x14ac:dyDescent="0.35">
      <c r="A108" s="20" t="s">
        <v>176</v>
      </c>
      <c r="B108" s="30">
        <v>57</v>
      </c>
      <c r="C108" s="31">
        <v>11.343</v>
      </c>
      <c r="D108" s="32">
        <v>89</v>
      </c>
      <c r="E108" s="31">
        <v>23.254999999999999</v>
      </c>
      <c r="F108" s="32">
        <v>90</v>
      </c>
      <c r="G108" s="31">
        <v>21.404</v>
      </c>
      <c r="H108" s="32">
        <v>561</v>
      </c>
      <c r="I108" s="31">
        <v>194.10599999999999</v>
      </c>
      <c r="J108" s="32" t="s">
        <v>193</v>
      </c>
      <c r="K108" s="31" t="s">
        <v>193</v>
      </c>
      <c r="L108" s="32">
        <v>86292</v>
      </c>
      <c r="M108" s="31">
        <v>915.06399999999996</v>
      </c>
      <c r="N108" s="32">
        <v>10670</v>
      </c>
      <c r="O108" s="31">
        <v>170.1</v>
      </c>
      <c r="P108" s="32">
        <v>30711</v>
      </c>
      <c r="Q108" s="31">
        <v>309.74299999999999</v>
      </c>
      <c r="R108" s="32">
        <v>6271</v>
      </c>
      <c r="S108" s="31">
        <v>107.798</v>
      </c>
      <c r="T108" s="32">
        <v>4343</v>
      </c>
      <c r="U108" s="31">
        <v>78.894000000000005</v>
      </c>
      <c r="V108" s="32">
        <v>11286</v>
      </c>
      <c r="W108" s="31">
        <v>662.63800000000003</v>
      </c>
      <c r="X108" s="32">
        <v>198707</v>
      </c>
      <c r="Y108" s="31">
        <v>382.03699999999998</v>
      </c>
      <c r="Z108" s="32">
        <v>209519</v>
      </c>
      <c r="AA108" s="33">
        <v>362.54199999999997</v>
      </c>
      <c r="AB108" s="21" t="s">
        <v>177</v>
      </c>
      <c r="AC108" s="22"/>
      <c r="AD108" s="22"/>
    </row>
  </sheetData>
  <mergeCells count="382">
    <mergeCell ref="AB32:AD33"/>
    <mergeCell ref="A103:A104"/>
    <mergeCell ref="AB103:AD104"/>
    <mergeCell ref="A64:A65"/>
    <mergeCell ref="AB64:AD65"/>
    <mergeCell ref="A71:A72"/>
    <mergeCell ref="AB71:AD72"/>
    <mergeCell ref="A81:A82"/>
    <mergeCell ref="AB81:AD82"/>
    <mergeCell ref="A52:A53"/>
    <mergeCell ref="AB52:AD53"/>
    <mergeCell ref="A59:A60"/>
    <mergeCell ref="AB59:AD60"/>
    <mergeCell ref="E59:E60"/>
    <mergeCell ref="B59:B60"/>
    <mergeCell ref="C59:C60"/>
    <mergeCell ref="D59:D60"/>
    <mergeCell ref="F59:F60"/>
    <mergeCell ref="H64:H65"/>
    <mergeCell ref="M59:M60"/>
    <mergeCell ref="A88:A89"/>
    <mergeCell ref="AB88:AD89"/>
    <mergeCell ref="A38:A39"/>
    <mergeCell ref="AB38:AD39"/>
    <mergeCell ref="B38:B39"/>
    <mergeCell ref="C38:C39"/>
    <mergeCell ref="A45:A46"/>
    <mergeCell ref="AB45:AD46"/>
    <mergeCell ref="F38:F39"/>
    <mergeCell ref="G38:G39"/>
    <mergeCell ref="A32:A33"/>
    <mergeCell ref="B32:B33"/>
    <mergeCell ref="L38:L39"/>
    <mergeCell ref="M38:M39"/>
    <mergeCell ref="H38:H39"/>
    <mergeCell ref="I38:I39"/>
    <mergeCell ref="C32:C33"/>
    <mergeCell ref="D32:D33"/>
    <mergeCell ref="E32:E33"/>
    <mergeCell ref="J38:J39"/>
    <mergeCell ref="K38:K39"/>
    <mergeCell ref="D38:D39"/>
    <mergeCell ref="E38:E39"/>
    <mergeCell ref="L32:L33"/>
    <mergeCell ref="M32:M33"/>
    <mergeCell ref="J32:J33"/>
    <mergeCell ref="K32:K33"/>
    <mergeCell ref="A18:A19"/>
    <mergeCell ref="AB18:AD19"/>
    <mergeCell ref="A8:A9"/>
    <mergeCell ref="H18:H19"/>
    <mergeCell ref="I18:I19"/>
    <mergeCell ref="J18:J19"/>
    <mergeCell ref="K18:K19"/>
    <mergeCell ref="H10:H11"/>
    <mergeCell ref="B10:B11"/>
    <mergeCell ref="C10:C11"/>
    <mergeCell ref="L18:L19"/>
    <mergeCell ref="M18:M19"/>
    <mergeCell ref="B18:B19"/>
    <mergeCell ref="C18:C19"/>
    <mergeCell ref="D18:D19"/>
    <mergeCell ref="E18:E19"/>
    <mergeCell ref="Z8:Z9"/>
    <mergeCell ref="AA8:AA9"/>
    <mergeCell ref="Z10:Z11"/>
    <mergeCell ref="AA10:AA11"/>
    <mergeCell ref="Z18:Z19"/>
    <mergeCell ref="AA18:AA19"/>
    <mergeCell ref="Y18:Y19"/>
    <mergeCell ref="B6:C6"/>
    <mergeCell ref="D6:E6"/>
    <mergeCell ref="H6:I6"/>
    <mergeCell ref="J6:K6"/>
    <mergeCell ref="L6:M6"/>
    <mergeCell ref="A6:A7"/>
    <mergeCell ref="AB8:AD9"/>
    <mergeCell ref="A10:A11"/>
    <mergeCell ref="AB10:AD11"/>
    <mergeCell ref="L10:L11"/>
    <mergeCell ref="M10:M11"/>
    <mergeCell ref="B8:B9"/>
    <mergeCell ref="C8:C9"/>
    <mergeCell ref="L8:L9"/>
    <mergeCell ref="M8:M9"/>
    <mergeCell ref="N8:N9"/>
    <mergeCell ref="O8:O9"/>
    <mergeCell ref="P8:P9"/>
    <mergeCell ref="N10:N11"/>
    <mergeCell ref="O10:O11"/>
    <mergeCell ref="P10:P11"/>
    <mergeCell ref="Z6:AA6"/>
    <mergeCell ref="N6:O6"/>
    <mergeCell ref="F6:G6"/>
    <mergeCell ref="K10:K11"/>
    <mergeCell ref="I8:I9"/>
    <mergeCell ref="J8:J9"/>
    <mergeCell ref="K8:K9"/>
    <mergeCell ref="D10:D11"/>
    <mergeCell ref="E10:E11"/>
    <mergeCell ref="D52:D53"/>
    <mergeCell ref="E52:E53"/>
    <mergeCell ref="L45:L46"/>
    <mergeCell ref="G32:G33"/>
    <mergeCell ref="H32:H33"/>
    <mergeCell ref="I32:I33"/>
    <mergeCell ref="F18:F19"/>
    <mergeCell ref="G18:G19"/>
    <mergeCell ref="D8:D9"/>
    <mergeCell ref="E8:E9"/>
    <mergeCell ref="F10:F11"/>
    <mergeCell ref="G10:G11"/>
    <mergeCell ref="H8:H9"/>
    <mergeCell ref="F8:F9"/>
    <mergeCell ref="G8:G9"/>
    <mergeCell ref="I10:I11"/>
    <mergeCell ref="J10:J11"/>
    <mergeCell ref="F32:F33"/>
    <mergeCell ref="M45:M46"/>
    <mergeCell ref="H52:H53"/>
    <mergeCell ref="B52:B53"/>
    <mergeCell ref="C52:C53"/>
    <mergeCell ref="E45:E46"/>
    <mergeCell ref="B45:B46"/>
    <mergeCell ref="C45:C46"/>
    <mergeCell ref="D45:D46"/>
    <mergeCell ref="F45:F46"/>
    <mergeCell ref="I52:I53"/>
    <mergeCell ref="J52:J53"/>
    <mergeCell ref="I45:I46"/>
    <mergeCell ref="J45:J46"/>
    <mergeCell ref="K45:K46"/>
    <mergeCell ref="K52:K53"/>
    <mergeCell ref="L52:L53"/>
    <mergeCell ref="M52:M53"/>
    <mergeCell ref="F52:F53"/>
    <mergeCell ref="G52:G53"/>
    <mergeCell ref="G45:G46"/>
    <mergeCell ref="H45:H46"/>
    <mergeCell ref="D64:D65"/>
    <mergeCell ref="B64:B65"/>
    <mergeCell ref="C64:C65"/>
    <mergeCell ref="E64:E65"/>
    <mergeCell ref="J59:J60"/>
    <mergeCell ref="K59:K60"/>
    <mergeCell ref="L59:L60"/>
    <mergeCell ref="G59:G60"/>
    <mergeCell ref="H59:H60"/>
    <mergeCell ref="I59:I60"/>
    <mergeCell ref="L64:L65"/>
    <mergeCell ref="M64:M65"/>
    <mergeCell ref="I71:I72"/>
    <mergeCell ref="J71:J72"/>
    <mergeCell ref="I64:I65"/>
    <mergeCell ref="J64:J65"/>
    <mergeCell ref="K64:K65"/>
    <mergeCell ref="F64:F65"/>
    <mergeCell ref="G64:G65"/>
    <mergeCell ref="K71:K72"/>
    <mergeCell ref="L71:L72"/>
    <mergeCell ref="M71:M72"/>
    <mergeCell ref="F71:F72"/>
    <mergeCell ref="G71:G72"/>
    <mergeCell ref="H71:H72"/>
    <mergeCell ref="B71:B72"/>
    <mergeCell ref="C71:C72"/>
    <mergeCell ref="D71:D72"/>
    <mergeCell ref="E71:E72"/>
    <mergeCell ref="M81:M82"/>
    <mergeCell ref="D88:D89"/>
    <mergeCell ref="B88:B89"/>
    <mergeCell ref="C88:C89"/>
    <mergeCell ref="E88:E89"/>
    <mergeCell ref="J81:J82"/>
    <mergeCell ref="K81:K82"/>
    <mergeCell ref="L81:L82"/>
    <mergeCell ref="G81:G82"/>
    <mergeCell ref="H81:H82"/>
    <mergeCell ref="I81:I82"/>
    <mergeCell ref="B81:B82"/>
    <mergeCell ref="C81:C82"/>
    <mergeCell ref="D81:D82"/>
    <mergeCell ref="E81:E82"/>
    <mergeCell ref="F81:F82"/>
    <mergeCell ref="L88:L89"/>
    <mergeCell ref="M88:M89"/>
    <mergeCell ref="B103:B104"/>
    <mergeCell ref="C103:C104"/>
    <mergeCell ref="E103:E104"/>
    <mergeCell ref="H103:H104"/>
    <mergeCell ref="I103:I104"/>
    <mergeCell ref="J103:J104"/>
    <mergeCell ref="D103:D104"/>
    <mergeCell ref="F103:F104"/>
    <mergeCell ref="G103:G104"/>
    <mergeCell ref="K103:K104"/>
    <mergeCell ref="L103:L104"/>
    <mergeCell ref="M103:M104"/>
    <mergeCell ref="K88:K89"/>
    <mergeCell ref="F88:F89"/>
    <mergeCell ref="G88:G89"/>
    <mergeCell ref="H88:H89"/>
    <mergeCell ref="I88:I89"/>
    <mergeCell ref="J88:J89"/>
    <mergeCell ref="P6:Q6"/>
    <mergeCell ref="R6:S6"/>
    <mergeCell ref="T6:U6"/>
    <mergeCell ref="V6:W6"/>
    <mergeCell ref="X6:Y6"/>
    <mergeCell ref="W10:W11"/>
    <mergeCell ref="X10:X11"/>
    <mergeCell ref="T10:T11"/>
    <mergeCell ref="U10:U11"/>
    <mergeCell ref="V10:V11"/>
    <mergeCell ref="Q10:Q11"/>
    <mergeCell ref="Y8:Y9"/>
    <mergeCell ref="Y10:Y11"/>
    <mergeCell ref="Q8:Q9"/>
    <mergeCell ref="R8:R9"/>
    <mergeCell ref="S8:S9"/>
    <mergeCell ref="R10:R11"/>
    <mergeCell ref="S10:S11"/>
    <mergeCell ref="W8:W9"/>
    <mergeCell ref="X8:X9"/>
    <mergeCell ref="T8:T9"/>
    <mergeCell ref="U8:U9"/>
    <mergeCell ref="V8:V9"/>
    <mergeCell ref="N32:N33"/>
    <mergeCell ref="O32:O33"/>
    <mergeCell ref="P32:P33"/>
    <mergeCell ref="W18:W19"/>
    <mergeCell ref="X18:X19"/>
    <mergeCell ref="T18:T19"/>
    <mergeCell ref="U18:U19"/>
    <mergeCell ref="V18:V19"/>
    <mergeCell ref="Q18:Q19"/>
    <mergeCell ref="R18:R19"/>
    <mergeCell ref="S18:S19"/>
    <mergeCell ref="R32:R33"/>
    <mergeCell ref="S32:S33"/>
    <mergeCell ref="N18:N19"/>
    <mergeCell ref="O18:O19"/>
    <mergeCell ref="P18:P19"/>
    <mergeCell ref="W32:W33"/>
    <mergeCell ref="X32:X33"/>
    <mergeCell ref="T32:T33"/>
    <mergeCell ref="U32:U33"/>
    <mergeCell ref="V32:V33"/>
    <mergeCell ref="Q32:Q33"/>
    <mergeCell ref="Z32:Z33"/>
    <mergeCell ref="AA32:AA33"/>
    <mergeCell ref="Y32:Y33"/>
    <mergeCell ref="N45:N46"/>
    <mergeCell ref="O45:O46"/>
    <mergeCell ref="P45:P46"/>
    <mergeCell ref="W38:W39"/>
    <mergeCell ref="X38:X39"/>
    <mergeCell ref="T38:T39"/>
    <mergeCell ref="U38:U39"/>
    <mergeCell ref="V38:V39"/>
    <mergeCell ref="Q38:Q39"/>
    <mergeCell ref="R38:R39"/>
    <mergeCell ref="S38:S39"/>
    <mergeCell ref="R45:R46"/>
    <mergeCell ref="S45:S46"/>
    <mergeCell ref="N38:N39"/>
    <mergeCell ref="O38:O39"/>
    <mergeCell ref="P38:P39"/>
    <mergeCell ref="W45:W46"/>
    <mergeCell ref="X45:X46"/>
    <mergeCell ref="T45:T46"/>
    <mergeCell ref="U45:U46"/>
    <mergeCell ref="V45:V46"/>
    <mergeCell ref="Q45:Q46"/>
    <mergeCell ref="Z38:Z39"/>
    <mergeCell ref="AA38:AA39"/>
    <mergeCell ref="Y38:Y39"/>
    <mergeCell ref="Z45:Z46"/>
    <mergeCell ref="AA45:AA46"/>
    <mergeCell ref="Y45:Y46"/>
    <mergeCell ref="N59:N60"/>
    <mergeCell ref="O59:O60"/>
    <mergeCell ref="P59:P60"/>
    <mergeCell ref="W52:W53"/>
    <mergeCell ref="X52:X53"/>
    <mergeCell ref="T52:T53"/>
    <mergeCell ref="U52:U53"/>
    <mergeCell ref="V52:V53"/>
    <mergeCell ref="Q52:Q53"/>
    <mergeCell ref="R52:R53"/>
    <mergeCell ref="S52:S53"/>
    <mergeCell ref="R59:R60"/>
    <mergeCell ref="S59:S60"/>
    <mergeCell ref="N52:N53"/>
    <mergeCell ref="O52:O53"/>
    <mergeCell ref="P52:P53"/>
    <mergeCell ref="W59:W60"/>
    <mergeCell ref="X59:X60"/>
    <mergeCell ref="T59:T60"/>
    <mergeCell ref="U59:U60"/>
    <mergeCell ref="V59:V60"/>
    <mergeCell ref="Q59:Q60"/>
    <mergeCell ref="Z52:Z53"/>
    <mergeCell ref="AA52:AA53"/>
    <mergeCell ref="Y52:Y53"/>
    <mergeCell ref="Z59:Z60"/>
    <mergeCell ref="AA59:AA60"/>
    <mergeCell ref="Y59:Y60"/>
    <mergeCell ref="N71:N72"/>
    <mergeCell ref="O71:O72"/>
    <mergeCell ref="P71:P72"/>
    <mergeCell ref="W64:W65"/>
    <mergeCell ref="X64:X65"/>
    <mergeCell ref="T64:T65"/>
    <mergeCell ref="U64:U65"/>
    <mergeCell ref="V64:V65"/>
    <mergeCell ref="Q64:Q65"/>
    <mergeCell ref="R64:R65"/>
    <mergeCell ref="S64:S65"/>
    <mergeCell ref="R71:R72"/>
    <mergeCell ref="S71:S72"/>
    <mergeCell ref="N64:N65"/>
    <mergeCell ref="O64:O65"/>
    <mergeCell ref="P64:P65"/>
    <mergeCell ref="W71:W72"/>
    <mergeCell ref="X71:X72"/>
    <mergeCell ref="T71:T72"/>
    <mergeCell ref="U71:U72"/>
    <mergeCell ref="V71:V72"/>
    <mergeCell ref="Q71:Q72"/>
    <mergeCell ref="Z64:Z65"/>
    <mergeCell ref="AA64:AA65"/>
    <mergeCell ref="Y64:Y65"/>
    <mergeCell ref="Z71:Z72"/>
    <mergeCell ref="AA71:AA72"/>
    <mergeCell ref="Y71:Y72"/>
    <mergeCell ref="AA81:AA82"/>
    <mergeCell ref="Y81:Y82"/>
    <mergeCell ref="Z88:Z89"/>
    <mergeCell ref="AA88:AA89"/>
    <mergeCell ref="Y88:Y89"/>
    <mergeCell ref="Z81:Z82"/>
    <mergeCell ref="N88:N89"/>
    <mergeCell ref="O88:O89"/>
    <mergeCell ref="P88:P89"/>
    <mergeCell ref="W81:W82"/>
    <mergeCell ref="X81:X82"/>
    <mergeCell ref="T81:T82"/>
    <mergeCell ref="U81:U82"/>
    <mergeCell ref="V81:V82"/>
    <mergeCell ref="Q81:Q82"/>
    <mergeCell ref="R81:R82"/>
    <mergeCell ref="S81:S82"/>
    <mergeCell ref="R88:R89"/>
    <mergeCell ref="S88:S89"/>
    <mergeCell ref="N81:N82"/>
    <mergeCell ref="O81:O82"/>
    <mergeCell ref="P81:P82"/>
    <mergeCell ref="AC5:AD5"/>
    <mergeCell ref="B2:AA2"/>
    <mergeCell ref="B3:AA3"/>
    <mergeCell ref="W103:W104"/>
    <mergeCell ref="X103:X104"/>
    <mergeCell ref="Y103:Y104"/>
    <mergeCell ref="AB6:AD7"/>
    <mergeCell ref="R103:R104"/>
    <mergeCell ref="S103:S104"/>
    <mergeCell ref="Z103:Z104"/>
    <mergeCell ref="AA103:AA104"/>
    <mergeCell ref="N103:N104"/>
    <mergeCell ref="O103:O104"/>
    <mergeCell ref="P103:P104"/>
    <mergeCell ref="W88:W89"/>
    <mergeCell ref="X88:X89"/>
    <mergeCell ref="T88:T89"/>
    <mergeCell ref="U88:U89"/>
    <mergeCell ref="V88:V89"/>
    <mergeCell ref="Q88:Q89"/>
    <mergeCell ref="T103:T104"/>
    <mergeCell ref="U103:U104"/>
    <mergeCell ref="V103:V104"/>
    <mergeCell ref="Q103:Q10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2015-05-22T07:33:21Z</dcterms:created>
  <dcterms:modified xsi:type="dcterms:W3CDTF">2020-05-25T14:48:57Z</dcterms:modified>
</cp:coreProperties>
</file>