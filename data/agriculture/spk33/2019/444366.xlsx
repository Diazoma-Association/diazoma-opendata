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E5F772B1-8100-4906-9A24-6C8ABA48BF10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" i="1" l="1"/>
  <c r="D89" i="1"/>
  <c r="D82" i="1"/>
  <c r="D72" i="1"/>
  <c r="D65" i="1"/>
  <c r="D60" i="1"/>
  <c r="D53" i="1"/>
  <c r="D46" i="1"/>
  <c r="D39" i="1"/>
  <c r="D33" i="1"/>
  <c r="D28" i="1"/>
  <c r="D19" i="1"/>
  <c r="D11" i="1"/>
  <c r="D9" i="1" l="1"/>
  <c r="B11" i="1"/>
  <c r="C104" i="1" l="1"/>
  <c r="E104" i="1"/>
  <c r="F104" i="1"/>
  <c r="G104" i="1"/>
  <c r="H104" i="1"/>
  <c r="I104" i="1"/>
  <c r="J104" i="1"/>
  <c r="B104" i="1"/>
  <c r="C89" i="1"/>
  <c r="E89" i="1"/>
  <c r="F89" i="1"/>
  <c r="G89" i="1"/>
  <c r="H89" i="1"/>
  <c r="I89" i="1"/>
  <c r="J89" i="1"/>
  <c r="B89" i="1"/>
  <c r="C82" i="1"/>
  <c r="E82" i="1"/>
  <c r="F82" i="1"/>
  <c r="G82" i="1"/>
  <c r="H82" i="1"/>
  <c r="I82" i="1"/>
  <c r="J82" i="1"/>
  <c r="B82" i="1"/>
  <c r="C72" i="1"/>
  <c r="E72" i="1"/>
  <c r="F72" i="1"/>
  <c r="G72" i="1"/>
  <c r="H72" i="1"/>
  <c r="I72" i="1"/>
  <c r="J72" i="1"/>
  <c r="B72" i="1"/>
  <c r="B65" i="1"/>
  <c r="C65" i="1"/>
  <c r="E65" i="1"/>
  <c r="F65" i="1"/>
  <c r="G65" i="1"/>
  <c r="H65" i="1"/>
  <c r="I65" i="1"/>
  <c r="J65" i="1"/>
  <c r="C60" i="1"/>
  <c r="E60" i="1"/>
  <c r="F60" i="1"/>
  <c r="G60" i="1"/>
  <c r="H60" i="1"/>
  <c r="I60" i="1"/>
  <c r="J60" i="1"/>
  <c r="B60" i="1"/>
  <c r="C53" i="1"/>
  <c r="E53" i="1"/>
  <c r="F53" i="1"/>
  <c r="G53" i="1"/>
  <c r="H53" i="1"/>
  <c r="I53" i="1"/>
  <c r="J53" i="1"/>
  <c r="B53" i="1"/>
  <c r="C46" i="1"/>
  <c r="E46" i="1"/>
  <c r="F46" i="1"/>
  <c r="G46" i="1"/>
  <c r="H46" i="1"/>
  <c r="I46" i="1"/>
  <c r="J46" i="1"/>
  <c r="B46" i="1"/>
  <c r="C39" i="1"/>
  <c r="E39" i="1"/>
  <c r="F39" i="1"/>
  <c r="G39" i="1"/>
  <c r="H39" i="1"/>
  <c r="I39" i="1"/>
  <c r="J39" i="1"/>
  <c r="B39" i="1"/>
  <c r="C33" i="1"/>
  <c r="E33" i="1"/>
  <c r="F33" i="1"/>
  <c r="G33" i="1"/>
  <c r="H33" i="1"/>
  <c r="I33" i="1"/>
  <c r="J33" i="1"/>
  <c r="B33" i="1"/>
  <c r="C28" i="1"/>
  <c r="E28" i="1"/>
  <c r="F28" i="1"/>
  <c r="G28" i="1"/>
  <c r="H28" i="1"/>
  <c r="I28" i="1"/>
  <c r="J28" i="1"/>
  <c r="B28" i="1"/>
  <c r="C19" i="1"/>
  <c r="E19" i="1"/>
  <c r="F19" i="1"/>
  <c r="G19" i="1"/>
  <c r="H19" i="1"/>
  <c r="I19" i="1"/>
  <c r="J19" i="1"/>
  <c r="B19" i="1"/>
  <c r="C11" i="1"/>
  <c r="E11" i="1"/>
  <c r="F11" i="1"/>
  <c r="G11" i="1"/>
  <c r="H11" i="1"/>
  <c r="I11" i="1"/>
  <c r="J11" i="1"/>
  <c r="C9" i="1" l="1"/>
  <c r="B9" i="1"/>
  <c r="J9" i="1"/>
  <c r="G9" i="1"/>
  <c r="H9" i="1"/>
  <c r="E9" i="1"/>
  <c r="I9" i="1"/>
  <c r="F9" i="1"/>
</calcChain>
</file>

<file path=xl/sharedStrings.xml><?xml version="1.0" encoding="utf-8"?>
<sst xmlns="http://schemas.openxmlformats.org/spreadsheetml/2006/main" count="408" uniqueCount="193">
  <si>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</si>
  <si>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</si>
  <si>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</si>
  <si>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</si>
  <si>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</si>
  <si>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</si>
  <si>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</si>
  <si>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</si>
  <si>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</si>
  <si>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</si>
  <si>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</si>
  <si>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</si>
  <si>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</si>
  <si>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</si>
  <si>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</si>
  <si>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</si>
  <si>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</si>
  <si>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</si>
  <si>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</si>
  <si>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</si>
  <si>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</si>
  <si>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</si>
  <si>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</si>
  <si>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</si>
  <si>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</si>
  <si>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</si>
  <si>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</si>
  <si>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</si>
  <si>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</si>
  <si>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</si>
  <si>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</si>
  <si>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</si>
  <si>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</si>
  <si>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</si>
  <si>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</si>
  <si>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</si>
  <si>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</si>
  <si>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</si>
  <si>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</si>
  <si>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</si>
  <si>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</si>
  <si>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</si>
  <si>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</si>
  <si>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</si>
  <si>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</si>
  <si>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</si>
  <si>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</si>
  <si>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</si>
  <si>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</si>
  <si>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</si>
  <si>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</si>
  <si>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</si>
  <si>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</si>
  <si>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</si>
  <si>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</si>
  <si>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</si>
  <si>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</si>
  <si>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</si>
  <si>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</si>
  <si>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</si>
  <si>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</si>
  <si>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</si>
  <si>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</si>
  <si>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</si>
  <si>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</si>
  <si>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</si>
  <si>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</si>
  <si>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</si>
  <si>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</si>
  <si>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</si>
  <si>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</si>
  <si>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</si>
  <si>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</si>
  <si>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</si>
  <si>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</si>
  <si>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</si>
  <si>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</si>
  <si>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</si>
  <si>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</si>
  <si>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</si>
  <si>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</si>
  <si>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</si>
  <si>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</si>
  <si>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</si>
  <si>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</si>
  <si>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</si>
  <si>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</si>
  <si>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</si>
  <si>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</si>
  <si>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</si>
  <si>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</si>
  <si>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</si>
  <si>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</si>
  <si>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</si>
  <si>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</si>
  <si>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</si>
  <si>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</si>
  <si>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</si>
  <si>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</si>
  <si>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</si>
  <si>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</si>
  <si>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</si>
  <si>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</si>
  <si>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</si>
  <si>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</si>
  <si>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</si>
  <si>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</si>
  <si>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</si>
  <si>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</si>
  <si>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</si>
  <si>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</si>
  <si>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</si>
  <si>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</si>
  <si>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</si>
  <si>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</si>
  <si>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</si>
  <si>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</si>
  <si>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</si>
  <si>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</si>
  <si>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</si>
  <si>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</si>
  <si>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</si>
  <si>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</si>
  <si>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</si>
  <si>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</si>
  <si>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</si>
  <si>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</si>
  <si>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</si>
  <si>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</si>
  <si>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</si>
  <si>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</si>
  <si>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</si>
  <si>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</si>
  <si>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</si>
  <si>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</si>
  <si>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</si>
  <si>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</si>
  <si>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</si>
  <si>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</si>
  <si>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</si>
  <si>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</si>
  <si>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</si>
  <si>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</si>
  <si>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</si>
  <si>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</si>
  <si>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</si>
  <si>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</si>
  <si>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</si>
  <si>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</si>
  <si>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</si>
  <si>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</si>
  <si>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</si>
  <si>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</si>
  <si>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</si>
  <si>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</si>
  <si>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</si>
  <si>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</si>
  <si>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</si>
  <si>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</si>
  <si>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</si>
  <si>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</si>
  <si>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</si>
  <si>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</si>
  <si>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</si>
  <si>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</si>
  <si>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</si>
  <si>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</si>
  <si>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</si>
  <si>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</si>
  <si>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</si>
  <si>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</si>
  <si>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</si>
  <si>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</si>
  <si>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</si>
  <si>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</si>
  <si>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</si>
  <si>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</si>
  <si>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</si>
  <si>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</si>
  <si>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</si>
  <si>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Μικρών ζώων
Small animals</t>
  </si>
  <si>
    <t>Μαλλιά προβάτων
Sheep wool</t>
  </si>
  <si>
    <t>Τρίχες αιγών
Goat hairs</t>
  </si>
  <si>
    <t>Λίπος χοιρινό
Lard</t>
  </si>
  <si>
    <t>Μέλι
Honey</t>
  </si>
  <si>
    <t>Κερί
Wax</t>
  </si>
  <si>
    <t>Κουκούλια, χλωρά
Cocoons, fresh</t>
  </si>
  <si>
    <t>Δέρματα νωπά (τεμάχια) 
Hides and skins
(pieces)</t>
  </si>
  <si>
    <t>Μεγάλων ζώων 
Large animals</t>
  </si>
  <si>
    <t>Αυγά 
(χιλιάδες τεμάχια)
Eggs 
(thousand pieces)</t>
  </si>
  <si>
    <t>―</t>
  </si>
  <si>
    <t>Πίνακας 7γ. Παραγωγή λοιπών κτηνοτροφικών προϊόντων, κατά Περιφέρεια και Περιφερειακή Ενότητα, 2019</t>
  </si>
  <si>
    <t>Table 7c. Production of other primary livestock by-products,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</si>
</sst>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/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3" fontId="4" fillId="0" borderId="3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1" fillId="0" borderId="14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49" fontId="1" fillId="0" borderId="14" xfId="0" applyNumberFormat="1" applyFont="1" applyFill="1" applyBorder="1" applyAlignment="1" applyProtection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9"/>
  <sheetViews>
    <sheetView showGridLines="0" tabSelected="1" zoomScaleNormal="100" workbookViewId="0">
      <selection activeCell="K5" sqref="K5:M8"/>
    </sheetView>
  </sheetViews>
  <sheetFormatPr defaultRowHeight="15.05" x14ac:dyDescent="0.3"/>
  <cols>
    <col min="1" max="1" width="43.109375" style="2" bestFit="1" customWidth="1"/>
    <col min="2" max="2" width="12.33203125" style="2" customWidth="1"/>
    <col min="3" max="3" width="14.21875" style="2" bestFit="1" customWidth="1"/>
    <col min="4" max="4" width="14.21875" style="2" customWidth="1"/>
    <col min="5" max="5" width="13" style="2" customWidth="1"/>
    <col min="6" max="6" width="10.109375" style="2" customWidth="1"/>
    <col min="7" max="7" width="8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.2" x14ac:dyDescent="0.3">
      <c r="A2" s="33" t="s">
        <v>191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1"/>
      <c r="O2" s="1"/>
      <c r="P2" s="1"/>
    </row>
    <row r="3" spans="1:16" ht="18.2" x14ac:dyDescent="0.3">
      <c r="A3" s="33" t="s">
        <v>192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1"/>
      <c r="O3" s="1"/>
      <c r="P3" s="1"/>
    </row>
    <row r="4" spans="1:16" ht="15.65" thickBot="1" x14ac:dyDescent="0.35">
      <c r="A4" s="19" t="s">
        <v>0</v>
      </c>
      <c r="B4" s="3"/>
      <c r="C4" s="3"/>
      <c r="D4" s="3"/>
      <c r="E4" s="3"/>
      <c r="F4" s="3"/>
      <c r="G4" s="3"/>
      <c r="H4" s="3"/>
      <c r="I4" s="3"/>
      <c r="J4" s="3"/>
      <c r="K4" s="4"/>
      <c r="L4" s="34" t="s">
        <v>1</v>
      </c>
      <c r="M4" s="34"/>
      <c r="N4" s="5"/>
      <c r="O4" s="5"/>
      <c r="P4" s="5"/>
    </row>
    <row r="5" spans="1:16" x14ac:dyDescent="0.3">
      <c r="A5" s="35" t="s">
        <v>2</v>
      </c>
      <c r="B5" s="38" t="s">
        <v>187</v>
      </c>
      <c r="C5" s="39"/>
      <c r="D5" s="42" t="s">
        <v>189</v>
      </c>
      <c r="E5" s="42" t="s">
        <v>181</v>
      </c>
      <c r="F5" s="42" t="s">
        <v>182</v>
      </c>
      <c r="G5" s="42" t="s">
        <v>183</v>
      </c>
      <c r="H5" s="39" t="s">
        <v>184</v>
      </c>
      <c r="I5" s="42" t="s">
        <v>185</v>
      </c>
      <c r="J5" s="44" t="s">
        <v>186</v>
      </c>
      <c r="K5" s="46" t="s">
        <v>3</v>
      </c>
      <c r="L5" s="47"/>
      <c r="M5" s="47"/>
    </row>
    <row r="6" spans="1:16" ht="58.85" customHeight="1" x14ac:dyDescent="0.3">
      <c r="A6" s="36"/>
      <c r="B6" s="40"/>
      <c r="C6" s="41"/>
      <c r="D6" s="43"/>
      <c r="E6" s="43"/>
      <c r="F6" s="43"/>
      <c r="G6" s="43"/>
      <c r="H6" s="61"/>
      <c r="I6" s="43"/>
      <c r="J6" s="45"/>
      <c r="K6" s="48"/>
      <c r="L6" s="49"/>
      <c r="M6" s="49"/>
    </row>
    <row r="7" spans="1:16" x14ac:dyDescent="0.3">
      <c r="A7" s="36"/>
      <c r="B7" s="52" t="s">
        <v>180</v>
      </c>
      <c r="C7" s="54" t="s">
        <v>188</v>
      </c>
      <c r="D7" s="43"/>
      <c r="E7" s="43"/>
      <c r="F7" s="43"/>
      <c r="G7" s="43"/>
      <c r="H7" s="61"/>
      <c r="I7" s="43"/>
      <c r="J7" s="45"/>
      <c r="K7" s="48"/>
      <c r="L7" s="49"/>
      <c r="M7" s="49"/>
    </row>
    <row r="8" spans="1:16" ht="53.85" customHeight="1" thickBot="1" x14ac:dyDescent="0.35">
      <c r="A8" s="37"/>
      <c r="B8" s="53"/>
      <c r="C8" s="43"/>
      <c r="D8" s="43"/>
      <c r="E8" s="43"/>
      <c r="F8" s="43"/>
      <c r="G8" s="43"/>
      <c r="H8" s="61"/>
      <c r="I8" s="43"/>
      <c r="J8" s="45"/>
      <c r="K8" s="50"/>
      <c r="L8" s="51"/>
      <c r="M8" s="51"/>
    </row>
    <row r="9" spans="1:16" x14ac:dyDescent="0.3">
      <c r="A9" s="62" t="s">
        <v>4</v>
      </c>
      <c r="B9" s="63">
        <f>SUM(B11,B19,B28,B33,B39,B46,B53,B60,B65,B72,B82,B89,B104)</f>
        <v>5862.2610000000004</v>
      </c>
      <c r="C9" s="31">
        <f>SUM(C11,C19,C28,C33,C39,C46,C53,C60,C65,C72,C82,C89,C104)</f>
        <v>139.01199999999997</v>
      </c>
      <c r="D9" s="31">
        <f>SUM(D11,D19,D28,D33,D39,D46,D53,D60,D65,D72,D82,D89,D104)</f>
        <v>1497846.2630000003</v>
      </c>
      <c r="E9" s="31">
        <f t="shared" ref="E9:J9" si="0">SUM(E11,E19,E28,E33,E39,E46,E53,E60,E65,E72,E82,E89,E104)</f>
        <v>5978.9719999999998</v>
      </c>
      <c r="F9" s="31">
        <f t="shared" si="0"/>
        <v>1047.3219999999999</v>
      </c>
      <c r="G9" s="31">
        <f t="shared" si="0"/>
        <v>1789.7659999999998</v>
      </c>
      <c r="H9" s="31">
        <f t="shared" si="0"/>
        <v>22590.255000000005</v>
      </c>
      <c r="I9" s="31">
        <f t="shared" si="0"/>
        <v>821.99399999999991</v>
      </c>
      <c r="J9" s="57">
        <f t="shared" si="0"/>
        <v>59.83</v>
      </c>
      <c r="K9" s="59" t="s">
        <v>5</v>
      </c>
      <c r="L9" s="59"/>
      <c r="M9" s="59"/>
      <c r="N9" s="6"/>
    </row>
    <row r="10" spans="1:16" x14ac:dyDescent="0.3">
      <c r="A10" s="55"/>
      <c r="B10" s="64"/>
      <c r="C10" s="32"/>
      <c r="D10" s="32"/>
      <c r="E10" s="32"/>
      <c r="F10" s="32"/>
      <c r="G10" s="32"/>
      <c r="H10" s="32"/>
      <c r="I10" s="32"/>
      <c r="J10" s="58"/>
      <c r="K10" s="60"/>
      <c r="L10" s="60"/>
      <c r="M10" s="60"/>
      <c r="N10" s="6"/>
    </row>
    <row r="11" spans="1:16" x14ac:dyDescent="0.3">
      <c r="A11" s="55" t="s">
        <v>6</v>
      </c>
      <c r="B11" s="56">
        <f>SUM(B13:B18)</f>
        <v>253.626</v>
      </c>
      <c r="C11" s="30">
        <f t="shared" ref="C11:J11" si="1">SUM(C13:C18)</f>
        <v>22.181999999999999</v>
      </c>
      <c r="D11" s="30">
        <f t="shared" ref="D11" si="2">SUM(D13:D18)</f>
        <v>87728.085999999996</v>
      </c>
      <c r="E11" s="30">
        <f t="shared" si="1"/>
        <v>207.34100000000001</v>
      </c>
      <c r="F11" s="30">
        <f t="shared" si="1"/>
        <v>60.698000000000008</v>
      </c>
      <c r="G11" s="30">
        <f t="shared" si="1"/>
        <v>1272.57</v>
      </c>
      <c r="H11" s="30">
        <f t="shared" si="1"/>
        <v>2111.2809999999999</v>
      </c>
      <c r="I11" s="30">
        <f t="shared" si="1"/>
        <v>56.187000000000005</v>
      </c>
      <c r="J11" s="58">
        <f t="shared" si="1"/>
        <v>56.531999999999996</v>
      </c>
      <c r="K11" s="60" t="s">
        <v>7</v>
      </c>
      <c r="L11" s="60"/>
      <c r="M11" s="60"/>
      <c r="N11" s="6"/>
    </row>
    <row r="12" spans="1:16" x14ac:dyDescent="0.3">
      <c r="A12" s="55"/>
      <c r="B12" s="56"/>
      <c r="C12" s="30"/>
      <c r="D12" s="30"/>
      <c r="E12" s="30"/>
      <c r="F12" s="30"/>
      <c r="G12" s="30"/>
      <c r="H12" s="30"/>
      <c r="I12" s="30"/>
      <c r="J12" s="58"/>
      <c r="K12" s="60"/>
      <c r="L12" s="60"/>
      <c r="M12" s="60"/>
      <c r="N12" s="6"/>
    </row>
    <row r="13" spans="1:16" x14ac:dyDescent="0.3">
      <c r="A13" s="7" t="s">
        <v>8</v>
      </c>
      <c r="B13" s="22">
        <v>34.569000000000003</v>
      </c>
      <c r="C13" s="20">
        <v>3.617</v>
      </c>
      <c r="D13" s="20">
        <v>6510.107</v>
      </c>
      <c r="E13" s="20">
        <v>60.718000000000004</v>
      </c>
      <c r="F13" s="21">
        <v>9.3800000000000008</v>
      </c>
      <c r="G13" s="20" t="s">
        <v>190</v>
      </c>
      <c r="H13" s="20">
        <v>201.38</v>
      </c>
      <c r="I13" s="20">
        <v>6.1269999999999998</v>
      </c>
      <c r="J13" s="23" t="s">
        <v>190</v>
      </c>
      <c r="K13" s="8" t="s">
        <v>9</v>
      </c>
      <c r="L13" s="9"/>
      <c r="M13" s="9"/>
      <c r="N13" s="6"/>
    </row>
    <row r="14" spans="1:16" x14ac:dyDescent="0.3">
      <c r="A14" s="7" t="s">
        <v>10</v>
      </c>
      <c r="B14" s="22">
        <v>62.642000000000003</v>
      </c>
      <c r="C14" s="20">
        <v>4.9889999999999999</v>
      </c>
      <c r="D14" s="20">
        <v>4768.3950000000004</v>
      </c>
      <c r="E14" s="20" t="s">
        <v>190</v>
      </c>
      <c r="F14" s="21" t="s">
        <v>190</v>
      </c>
      <c r="G14" s="20">
        <v>1167.57</v>
      </c>
      <c r="H14" s="20">
        <v>287.233</v>
      </c>
      <c r="I14" s="20">
        <v>6.891</v>
      </c>
      <c r="J14" s="23" t="s">
        <v>190</v>
      </c>
      <c r="K14" s="8" t="s">
        <v>11</v>
      </c>
      <c r="L14" s="9"/>
      <c r="M14" s="9"/>
      <c r="N14" s="6"/>
    </row>
    <row r="15" spans="1:16" x14ac:dyDescent="0.3">
      <c r="A15" s="7" t="s">
        <v>12</v>
      </c>
      <c r="B15" s="22">
        <v>26.512</v>
      </c>
      <c r="C15" s="20">
        <v>3.2069999999999999</v>
      </c>
      <c r="D15" s="20">
        <v>65422.843999999997</v>
      </c>
      <c r="E15" s="20">
        <v>76.185000000000002</v>
      </c>
      <c r="F15" s="21">
        <v>26.085999999999999</v>
      </c>
      <c r="G15" s="20">
        <v>105</v>
      </c>
      <c r="H15" s="20">
        <v>350.60700000000003</v>
      </c>
      <c r="I15" s="20">
        <v>2.9630000000000001</v>
      </c>
      <c r="J15" s="23">
        <v>56.531999999999996</v>
      </c>
      <c r="K15" s="8" t="s">
        <v>13</v>
      </c>
      <c r="L15" s="9"/>
      <c r="M15" s="9"/>
      <c r="N15" s="6"/>
    </row>
    <row r="16" spans="1:16" x14ac:dyDescent="0.3">
      <c r="A16" s="7" t="s">
        <v>14</v>
      </c>
      <c r="B16" s="22">
        <v>0.42799999999999999</v>
      </c>
      <c r="C16" s="20">
        <v>1E-3</v>
      </c>
      <c r="D16" s="20">
        <v>573.6</v>
      </c>
      <c r="E16" s="20">
        <v>0.29699999999999999</v>
      </c>
      <c r="F16" s="21">
        <v>0.14000000000000001</v>
      </c>
      <c r="G16" s="20" t="s">
        <v>190</v>
      </c>
      <c r="H16" s="20">
        <v>767.03</v>
      </c>
      <c r="I16" s="20">
        <v>25.562000000000001</v>
      </c>
      <c r="J16" s="23" t="s">
        <v>190</v>
      </c>
      <c r="K16" s="8" t="s">
        <v>15</v>
      </c>
      <c r="L16" s="9"/>
      <c r="M16" s="9"/>
      <c r="N16" s="6"/>
    </row>
    <row r="17" spans="1:14" x14ac:dyDescent="0.3">
      <c r="A17" s="7" t="s">
        <v>16</v>
      </c>
      <c r="B17" s="22">
        <v>79.88</v>
      </c>
      <c r="C17" s="20">
        <v>3.5529999999999999</v>
      </c>
      <c r="D17" s="20">
        <v>9382.3700000000008</v>
      </c>
      <c r="E17" s="20">
        <v>13.574999999999999</v>
      </c>
      <c r="F17" s="21">
        <v>4.46</v>
      </c>
      <c r="G17" s="20" t="s">
        <v>190</v>
      </c>
      <c r="H17" s="20">
        <v>306.31700000000001</v>
      </c>
      <c r="I17" s="20">
        <v>8.7940000000000005</v>
      </c>
      <c r="J17" s="23" t="s">
        <v>190</v>
      </c>
      <c r="K17" s="8" t="s">
        <v>17</v>
      </c>
      <c r="L17" s="9"/>
      <c r="M17" s="9"/>
      <c r="N17" s="6"/>
    </row>
    <row r="18" spans="1:14" x14ac:dyDescent="0.3">
      <c r="A18" s="7" t="s">
        <v>18</v>
      </c>
      <c r="B18" s="22">
        <v>49.594999999999999</v>
      </c>
      <c r="C18" s="20">
        <v>6.8150000000000004</v>
      </c>
      <c r="D18" s="20">
        <v>1070.77</v>
      </c>
      <c r="E18" s="20">
        <v>56.566000000000003</v>
      </c>
      <c r="F18" s="21">
        <v>20.632000000000001</v>
      </c>
      <c r="G18" s="20" t="s">
        <v>190</v>
      </c>
      <c r="H18" s="20">
        <v>198.714</v>
      </c>
      <c r="I18" s="20">
        <v>5.85</v>
      </c>
      <c r="J18" s="23" t="s">
        <v>190</v>
      </c>
      <c r="K18" s="8" t="s">
        <v>19</v>
      </c>
      <c r="L18" s="9"/>
      <c r="M18" s="9"/>
      <c r="N18" s="6"/>
    </row>
    <row r="19" spans="1:14" x14ac:dyDescent="0.3">
      <c r="A19" s="55" t="s">
        <v>20</v>
      </c>
      <c r="B19" s="56">
        <f>SUM(B21:B27)</f>
        <v>588.42800000000011</v>
      </c>
      <c r="C19" s="30">
        <f t="shared" ref="C19:J19" si="3">SUM(C21:C27)</f>
        <v>45.403000000000006</v>
      </c>
      <c r="D19" s="30">
        <f t="shared" ref="D19" si="4">SUM(D21:D27)</f>
        <v>196233.87599999999</v>
      </c>
      <c r="E19" s="30">
        <f t="shared" si="3"/>
        <v>777.904</v>
      </c>
      <c r="F19" s="30">
        <f t="shared" si="3"/>
        <v>135.36500000000001</v>
      </c>
      <c r="G19" s="30">
        <f t="shared" si="3"/>
        <v>141.422</v>
      </c>
      <c r="H19" s="30">
        <f t="shared" si="3"/>
        <v>4670.6200000000008</v>
      </c>
      <c r="I19" s="30">
        <f t="shared" si="3"/>
        <v>133.458</v>
      </c>
      <c r="J19" s="58">
        <f t="shared" si="3"/>
        <v>3.2979999999999996</v>
      </c>
      <c r="K19" s="66" t="s">
        <v>21</v>
      </c>
      <c r="L19" s="66"/>
      <c r="M19" s="66"/>
      <c r="N19" s="6"/>
    </row>
    <row r="20" spans="1:14" x14ac:dyDescent="0.3">
      <c r="A20" s="55"/>
      <c r="B20" s="56"/>
      <c r="C20" s="30"/>
      <c r="D20" s="30"/>
      <c r="E20" s="30"/>
      <c r="F20" s="30"/>
      <c r="G20" s="30"/>
      <c r="H20" s="30"/>
      <c r="I20" s="30"/>
      <c r="J20" s="58"/>
      <c r="K20" s="66"/>
      <c r="L20" s="66"/>
      <c r="M20" s="66"/>
      <c r="N20" s="6"/>
    </row>
    <row r="21" spans="1:14" x14ac:dyDescent="0.3">
      <c r="A21" s="7" t="s">
        <v>22</v>
      </c>
      <c r="B21" s="22">
        <v>171.30099999999999</v>
      </c>
      <c r="C21" s="20">
        <v>11.53</v>
      </c>
      <c r="D21" s="20">
        <v>112514.34</v>
      </c>
      <c r="E21" s="20">
        <v>163.43799999999999</v>
      </c>
      <c r="F21" s="21">
        <v>32.680999999999997</v>
      </c>
      <c r="G21" s="20" t="s">
        <v>190</v>
      </c>
      <c r="H21" s="20">
        <v>677.255</v>
      </c>
      <c r="I21" s="20">
        <v>13.090999999999999</v>
      </c>
      <c r="J21" s="23" t="s">
        <v>190</v>
      </c>
      <c r="K21" s="8" t="s">
        <v>23</v>
      </c>
      <c r="L21" s="9"/>
      <c r="M21" s="9"/>
      <c r="N21" s="6"/>
    </row>
    <row r="22" spans="1:14" x14ac:dyDescent="0.3">
      <c r="A22" s="7" t="s">
        <v>24</v>
      </c>
      <c r="B22" s="22">
        <v>18.006</v>
      </c>
      <c r="C22" s="20">
        <v>15.019</v>
      </c>
      <c r="D22" s="20">
        <v>787.13599999999997</v>
      </c>
      <c r="E22" s="20">
        <v>3.2639999999999998</v>
      </c>
      <c r="F22" s="21">
        <v>7.0389999999999997</v>
      </c>
      <c r="G22" s="20" t="s">
        <v>190</v>
      </c>
      <c r="H22" s="20">
        <v>183.62</v>
      </c>
      <c r="I22" s="20">
        <v>18.308</v>
      </c>
      <c r="J22" s="23" t="s">
        <v>190</v>
      </c>
      <c r="K22" s="8" t="s">
        <v>25</v>
      </c>
      <c r="L22" s="9"/>
      <c r="M22" s="9"/>
      <c r="N22" s="6"/>
    </row>
    <row r="23" spans="1:14" x14ac:dyDescent="0.3">
      <c r="A23" s="7" t="s">
        <v>26</v>
      </c>
      <c r="B23" s="22">
        <v>67.832999999999998</v>
      </c>
      <c r="C23" s="20">
        <v>4.2300000000000004</v>
      </c>
      <c r="D23" s="20">
        <v>21412.355</v>
      </c>
      <c r="E23" s="20">
        <v>108.26</v>
      </c>
      <c r="F23" s="21" t="s">
        <v>190</v>
      </c>
      <c r="G23" s="20" t="s">
        <v>190</v>
      </c>
      <c r="H23" s="20">
        <v>127.226</v>
      </c>
      <c r="I23" s="20">
        <v>12.57</v>
      </c>
      <c r="J23" s="23">
        <v>0.04</v>
      </c>
      <c r="K23" s="8" t="s">
        <v>27</v>
      </c>
      <c r="L23" s="9"/>
      <c r="M23" s="9"/>
      <c r="N23" s="6"/>
    </row>
    <row r="24" spans="1:14" x14ac:dyDescent="0.3">
      <c r="A24" s="7" t="s">
        <v>28</v>
      </c>
      <c r="B24" s="22">
        <v>108.973</v>
      </c>
      <c r="C24" s="20">
        <v>5.9329999999999998</v>
      </c>
      <c r="D24" s="20">
        <v>8006.03</v>
      </c>
      <c r="E24" s="20">
        <v>88.83</v>
      </c>
      <c r="F24" s="21">
        <v>19.61</v>
      </c>
      <c r="G24" s="20">
        <v>1.0049999999999999</v>
      </c>
      <c r="H24" s="20">
        <v>550.91700000000003</v>
      </c>
      <c r="I24" s="20">
        <v>15.250999999999999</v>
      </c>
      <c r="J24" s="23" t="s">
        <v>190</v>
      </c>
      <c r="K24" s="8" t="s">
        <v>29</v>
      </c>
      <c r="L24" s="9"/>
      <c r="M24" s="9"/>
      <c r="N24" s="6"/>
    </row>
    <row r="25" spans="1:14" x14ac:dyDescent="0.3">
      <c r="A25" s="7" t="s">
        <v>30</v>
      </c>
      <c r="B25" s="22">
        <v>75.12</v>
      </c>
      <c r="C25" s="20">
        <v>1.246</v>
      </c>
      <c r="D25" s="20">
        <v>11729.375</v>
      </c>
      <c r="E25" s="20">
        <v>97.17</v>
      </c>
      <c r="F25" s="21">
        <v>2.8959999999999999</v>
      </c>
      <c r="G25" s="20">
        <v>140.417</v>
      </c>
      <c r="H25" s="20">
        <v>208.654</v>
      </c>
      <c r="I25" s="20">
        <v>3.6190000000000002</v>
      </c>
      <c r="J25" s="23">
        <v>2E-3</v>
      </c>
      <c r="K25" s="8" t="s">
        <v>31</v>
      </c>
      <c r="L25" s="9"/>
      <c r="M25" s="9"/>
      <c r="N25" s="6"/>
    </row>
    <row r="26" spans="1:14" x14ac:dyDescent="0.3">
      <c r="A26" s="7" t="s">
        <v>32</v>
      </c>
      <c r="B26" s="22">
        <v>108.63</v>
      </c>
      <c r="C26" s="20">
        <v>6.7649999999999997</v>
      </c>
      <c r="D26" s="20">
        <v>13048.09</v>
      </c>
      <c r="E26" s="20">
        <v>316.94200000000001</v>
      </c>
      <c r="F26" s="21">
        <v>72.838999999999999</v>
      </c>
      <c r="G26" s="20" t="s">
        <v>190</v>
      </c>
      <c r="H26" s="20">
        <v>688.39599999999996</v>
      </c>
      <c r="I26" s="20">
        <v>5.883</v>
      </c>
      <c r="J26" s="23">
        <v>3.2559999999999998</v>
      </c>
      <c r="K26" s="8" t="s">
        <v>33</v>
      </c>
      <c r="L26" s="9"/>
      <c r="M26" s="9"/>
      <c r="N26" s="6"/>
    </row>
    <row r="27" spans="1:14" x14ac:dyDescent="0.3">
      <c r="A27" s="7" t="s">
        <v>34</v>
      </c>
      <c r="B27" s="22">
        <v>38.564999999999998</v>
      </c>
      <c r="C27" s="20">
        <v>0.68</v>
      </c>
      <c r="D27" s="20">
        <v>28736.55</v>
      </c>
      <c r="E27" s="20" t="s">
        <v>190</v>
      </c>
      <c r="F27" s="21">
        <v>0.3</v>
      </c>
      <c r="G27" s="20" t="s">
        <v>190</v>
      </c>
      <c r="H27" s="20">
        <v>2234.5520000000001</v>
      </c>
      <c r="I27" s="20">
        <v>64.736000000000004</v>
      </c>
      <c r="J27" s="23" t="s">
        <v>190</v>
      </c>
      <c r="K27" s="8" t="s">
        <v>35</v>
      </c>
      <c r="L27" s="9"/>
      <c r="M27" s="9"/>
      <c r="N27" s="6"/>
    </row>
    <row r="28" spans="1:14" ht="27.55" customHeight="1" x14ac:dyDescent="0.3">
      <c r="A28" s="10" t="s">
        <v>178</v>
      </c>
      <c r="B28" s="11">
        <f>SUM(B29:B32)</f>
        <v>140.941</v>
      </c>
      <c r="C28" s="12">
        <f t="shared" ref="C28:J28" si="5">SUM(C29:C32)</f>
        <v>2.6480000000000001</v>
      </c>
      <c r="D28" s="12">
        <f t="shared" si="5"/>
        <v>31816.289999999997</v>
      </c>
      <c r="E28" s="12">
        <f t="shared" si="5"/>
        <v>628.04</v>
      </c>
      <c r="F28" s="12">
        <f t="shared" si="5"/>
        <v>112.54400000000001</v>
      </c>
      <c r="G28" s="12">
        <f t="shared" si="5"/>
        <v>8.5949999999999989</v>
      </c>
      <c r="H28" s="12">
        <f t="shared" si="5"/>
        <v>425.803</v>
      </c>
      <c r="I28" s="12">
        <f t="shared" si="5"/>
        <v>24.588000000000001</v>
      </c>
      <c r="J28" s="13">
        <f t="shared" si="5"/>
        <v>0</v>
      </c>
      <c r="K28" s="14" t="s">
        <v>179</v>
      </c>
      <c r="L28" s="9"/>
      <c r="M28" s="9"/>
      <c r="N28" s="6"/>
    </row>
    <row r="29" spans="1:14" x14ac:dyDescent="0.3">
      <c r="A29" s="7" t="s">
        <v>36</v>
      </c>
      <c r="B29" s="22">
        <v>86.102000000000004</v>
      </c>
      <c r="C29" s="20">
        <v>1.855</v>
      </c>
      <c r="D29" s="20">
        <v>18845.169999999998</v>
      </c>
      <c r="E29" s="20">
        <v>229.71199999999999</v>
      </c>
      <c r="F29" s="21">
        <v>59.204999999999998</v>
      </c>
      <c r="G29" s="20" t="s">
        <v>190</v>
      </c>
      <c r="H29" s="20">
        <v>91.644999999999996</v>
      </c>
      <c r="I29" s="20">
        <v>18.983000000000001</v>
      </c>
      <c r="J29" s="23" t="s">
        <v>190</v>
      </c>
      <c r="K29" s="8" t="s">
        <v>37</v>
      </c>
      <c r="L29" s="9"/>
      <c r="M29" s="9"/>
      <c r="N29" s="6"/>
    </row>
    <row r="30" spans="1:14" x14ac:dyDescent="0.3">
      <c r="A30" s="7" t="s">
        <v>38</v>
      </c>
      <c r="B30" s="22">
        <v>47.561999999999998</v>
      </c>
      <c r="C30" s="20">
        <v>0.70399999999999996</v>
      </c>
      <c r="D30" s="20">
        <v>5496.8</v>
      </c>
      <c r="E30" s="20">
        <v>57.765000000000001</v>
      </c>
      <c r="F30" s="21">
        <v>15.784000000000001</v>
      </c>
      <c r="G30" s="20">
        <v>4.47</v>
      </c>
      <c r="H30" s="20">
        <v>114.268</v>
      </c>
      <c r="I30" s="20">
        <v>1.125</v>
      </c>
      <c r="J30" s="23" t="s">
        <v>190</v>
      </c>
      <c r="K30" s="8" t="s">
        <v>39</v>
      </c>
      <c r="L30" s="9"/>
      <c r="M30" s="9"/>
      <c r="N30" s="6"/>
    </row>
    <row r="31" spans="1:14" x14ac:dyDescent="0.3">
      <c r="A31" s="7" t="s">
        <v>40</v>
      </c>
      <c r="B31" s="22">
        <v>3.4550000000000001</v>
      </c>
      <c r="C31" s="20">
        <v>6.0999999999999999E-2</v>
      </c>
      <c r="D31" s="20">
        <v>2356.105</v>
      </c>
      <c r="E31" s="20">
        <v>8</v>
      </c>
      <c r="F31" s="21">
        <v>0.5</v>
      </c>
      <c r="G31" s="20">
        <v>0.3</v>
      </c>
      <c r="H31" s="20">
        <v>94.566999999999993</v>
      </c>
      <c r="I31" s="20">
        <v>0.7</v>
      </c>
      <c r="J31" s="23" t="s">
        <v>190</v>
      </c>
      <c r="K31" s="8" t="s">
        <v>41</v>
      </c>
      <c r="L31" s="9"/>
      <c r="M31" s="9"/>
      <c r="N31" s="6"/>
    </row>
    <row r="32" spans="1:14" x14ac:dyDescent="0.3">
      <c r="A32" s="7" t="s">
        <v>42</v>
      </c>
      <c r="B32" s="22">
        <v>3.8220000000000001</v>
      </c>
      <c r="C32" s="20">
        <v>2.8000000000000001E-2</v>
      </c>
      <c r="D32" s="20">
        <v>5118.2150000000001</v>
      </c>
      <c r="E32" s="20">
        <v>332.56299999999999</v>
      </c>
      <c r="F32" s="21">
        <v>37.055</v>
      </c>
      <c r="G32" s="20">
        <v>3.8250000000000002</v>
      </c>
      <c r="H32" s="20">
        <v>125.32299999999999</v>
      </c>
      <c r="I32" s="20">
        <v>3.78</v>
      </c>
      <c r="J32" s="23" t="s">
        <v>190</v>
      </c>
      <c r="K32" s="8" t="s">
        <v>43</v>
      </c>
      <c r="L32" s="9"/>
      <c r="M32" s="9"/>
      <c r="N32" s="6"/>
    </row>
    <row r="33" spans="1:14" x14ac:dyDescent="0.3">
      <c r="A33" s="55" t="s">
        <v>44</v>
      </c>
      <c r="B33" s="56">
        <f>SUM(B35:B38)</f>
        <v>377.14600000000002</v>
      </c>
      <c r="C33" s="30">
        <f t="shared" ref="C33:J33" si="6">SUM(C35:C38)</f>
        <v>3.9370000000000003</v>
      </c>
      <c r="D33" s="30">
        <f t="shared" ref="D33" si="7">SUM(D35:D38)</f>
        <v>91918.358000000007</v>
      </c>
      <c r="E33" s="30">
        <f t="shared" si="6"/>
        <v>378.834</v>
      </c>
      <c r="F33" s="30">
        <f t="shared" si="6"/>
        <v>45.563000000000002</v>
      </c>
      <c r="G33" s="30">
        <f t="shared" si="6"/>
        <v>0</v>
      </c>
      <c r="H33" s="30">
        <f t="shared" si="6"/>
        <v>1156.5160000000001</v>
      </c>
      <c r="I33" s="30">
        <f t="shared" si="6"/>
        <v>148.49</v>
      </c>
      <c r="J33" s="58">
        <f t="shared" si="6"/>
        <v>0</v>
      </c>
      <c r="K33" s="65" t="s">
        <v>45</v>
      </c>
      <c r="L33" s="65"/>
      <c r="M33" s="65"/>
      <c r="N33" s="6"/>
    </row>
    <row r="34" spans="1:14" x14ac:dyDescent="0.3">
      <c r="A34" s="55"/>
      <c r="B34" s="56"/>
      <c r="C34" s="30"/>
      <c r="D34" s="30"/>
      <c r="E34" s="30"/>
      <c r="F34" s="30"/>
      <c r="G34" s="30"/>
      <c r="H34" s="30"/>
      <c r="I34" s="30"/>
      <c r="J34" s="58"/>
      <c r="K34" s="65"/>
      <c r="L34" s="65"/>
      <c r="M34" s="65"/>
      <c r="N34" s="6"/>
    </row>
    <row r="35" spans="1:14" x14ac:dyDescent="0.3">
      <c r="A35" s="7" t="s">
        <v>46</v>
      </c>
      <c r="B35" s="22">
        <v>30.126000000000001</v>
      </c>
      <c r="C35" s="20">
        <v>8.0000000000000002E-3</v>
      </c>
      <c r="D35" s="20">
        <v>46339.298000000003</v>
      </c>
      <c r="E35" s="20">
        <v>189.12899999999999</v>
      </c>
      <c r="F35" s="21">
        <v>12.156000000000001</v>
      </c>
      <c r="G35" s="20" t="s">
        <v>190</v>
      </c>
      <c r="H35" s="20">
        <v>283.72199999999998</v>
      </c>
      <c r="I35" s="20">
        <v>10.137</v>
      </c>
      <c r="J35" s="23" t="s">
        <v>190</v>
      </c>
      <c r="K35" s="8" t="s">
        <v>47</v>
      </c>
      <c r="L35" s="9"/>
      <c r="M35" s="9"/>
      <c r="N35" s="6"/>
    </row>
    <row r="36" spans="1:14" x14ac:dyDescent="0.3">
      <c r="A36" s="7" t="s">
        <v>48</v>
      </c>
      <c r="B36" s="22">
        <v>0.46300000000000002</v>
      </c>
      <c r="C36" s="20">
        <v>7.0000000000000001E-3</v>
      </c>
      <c r="D36" s="20">
        <v>41631.875</v>
      </c>
      <c r="E36" s="20">
        <v>107.72</v>
      </c>
      <c r="F36" s="21">
        <v>21.047000000000001</v>
      </c>
      <c r="G36" s="20" t="s">
        <v>190</v>
      </c>
      <c r="H36" s="20">
        <v>445.02499999999998</v>
      </c>
      <c r="I36" s="20">
        <v>132.96</v>
      </c>
      <c r="J36" s="23" t="s">
        <v>190</v>
      </c>
      <c r="K36" s="8" t="s">
        <v>49</v>
      </c>
      <c r="L36" s="9"/>
      <c r="M36" s="9"/>
      <c r="N36" s="6"/>
    </row>
    <row r="37" spans="1:14" x14ac:dyDescent="0.3">
      <c r="A37" s="7" t="s">
        <v>50</v>
      </c>
      <c r="B37" s="22">
        <v>73.561999999999998</v>
      </c>
      <c r="C37" s="20">
        <v>1.153</v>
      </c>
      <c r="D37" s="20">
        <v>2041.125</v>
      </c>
      <c r="E37" s="20">
        <v>81.984999999999999</v>
      </c>
      <c r="F37" s="21">
        <v>12.36</v>
      </c>
      <c r="G37" s="20" t="s">
        <v>190</v>
      </c>
      <c r="H37" s="20">
        <v>273.8</v>
      </c>
      <c r="I37" s="20">
        <v>3.7370000000000001</v>
      </c>
      <c r="J37" s="23" t="s">
        <v>190</v>
      </c>
      <c r="K37" s="8" t="s">
        <v>51</v>
      </c>
      <c r="L37" s="9"/>
      <c r="M37" s="9"/>
      <c r="N37" s="6"/>
    </row>
    <row r="38" spans="1:14" x14ac:dyDescent="0.3">
      <c r="A38" s="7" t="s">
        <v>52</v>
      </c>
      <c r="B38" s="22">
        <v>272.995</v>
      </c>
      <c r="C38" s="20">
        <v>2.7690000000000001</v>
      </c>
      <c r="D38" s="20">
        <v>1906.06</v>
      </c>
      <c r="E38" s="20" t="s">
        <v>190</v>
      </c>
      <c r="F38" s="21" t="s">
        <v>190</v>
      </c>
      <c r="G38" s="20" t="s">
        <v>190</v>
      </c>
      <c r="H38" s="20">
        <v>153.96899999999999</v>
      </c>
      <c r="I38" s="20">
        <v>1.6559999999999999</v>
      </c>
      <c r="J38" s="23" t="s">
        <v>190</v>
      </c>
      <c r="K38" s="8" t="s">
        <v>53</v>
      </c>
      <c r="L38" s="9"/>
      <c r="M38" s="9"/>
      <c r="N38" s="6"/>
    </row>
    <row r="39" spans="1:14" x14ac:dyDescent="0.3">
      <c r="A39" s="55" t="s">
        <v>54</v>
      </c>
      <c r="B39" s="56">
        <f>SUM(B41:B45)</f>
        <v>949.15099999999995</v>
      </c>
      <c r="C39" s="30">
        <f t="shared" ref="C39:J39" si="8">SUM(C41:C45)</f>
        <v>26.527000000000001</v>
      </c>
      <c r="D39" s="30">
        <f t="shared" ref="D39" si="9">SUM(D41:D45)</f>
        <v>44826.277000000002</v>
      </c>
      <c r="E39" s="30">
        <f t="shared" si="8"/>
        <v>1077.069</v>
      </c>
      <c r="F39" s="30">
        <f t="shared" si="8"/>
        <v>207.09399999999999</v>
      </c>
      <c r="G39" s="30">
        <f t="shared" si="8"/>
        <v>0.35</v>
      </c>
      <c r="H39" s="30">
        <f t="shared" si="8"/>
        <v>2501.4790000000003</v>
      </c>
      <c r="I39" s="30">
        <f t="shared" si="8"/>
        <v>62.14</v>
      </c>
      <c r="J39" s="58">
        <f t="shared" si="8"/>
        <v>0</v>
      </c>
      <c r="K39" s="65" t="s">
        <v>55</v>
      </c>
      <c r="L39" s="65"/>
      <c r="M39" s="65"/>
      <c r="N39" s="6"/>
    </row>
    <row r="40" spans="1:14" x14ac:dyDescent="0.3">
      <c r="A40" s="55"/>
      <c r="B40" s="56"/>
      <c r="C40" s="30"/>
      <c r="D40" s="30"/>
      <c r="E40" s="30"/>
      <c r="F40" s="30"/>
      <c r="G40" s="30"/>
      <c r="H40" s="30"/>
      <c r="I40" s="30"/>
      <c r="J40" s="58"/>
      <c r="K40" s="65"/>
      <c r="L40" s="65"/>
      <c r="M40" s="65"/>
      <c r="N40" s="6"/>
    </row>
    <row r="41" spans="1:14" x14ac:dyDescent="0.3">
      <c r="A41" s="7" t="s">
        <v>56</v>
      </c>
      <c r="B41" s="22">
        <v>552.25599999999997</v>
      </c>
      <c r="C41" s="20">
        <v>6.7060000000000004</v>
      </c>
      <c r="D41" s="20">
        <v>14737.627</v>
      </c>
      <c r="E41" s="20">
        <v>454.416</v>
      </c>
      <c r="F41" s="21">
        <v>138.827</v>
      </c>
      <c r="G41" s="20" t="s">
        <v>190</v>
      </c>
      <c r="H41" s="20">
        <v>1126.9459999999999</v>
      </c>
      <c r="I41" s="20">
        <v>21.206</v>
      </c>
      <c r="J41" s="23" t="s">
        <v>190</v>
      </c>
      <c r="K41" s="8" t="s">
        <v>57</v>
      </c>
      <c r="L41" s="9"/>
      <c r="M41" s="9"/>
      <c r="N41" s="6"/>
    </row>
    <row r="42" spans="1:14" x14ac:dyDescent="0.3">
      <c r="A42" s="7" t="s">
        <v>58</v>
      </c>
      <c r="B42" s="22">
        <v>112.607</v>
      </c>
      <c r="C42" s="20">
        <v>3.569</v>
      </c>
      <c r="D42" s="20">
        <v>10544.35</v>
      </c>
      <c r="E42" s="20">
        <v>117.004</v>
      </c>
      <c r="F42" s="21">
        <v>13.329000000000001</v>
      </c>
      <c r="G42" s="20">
        <v>0.35</v>
      </c>
      <c r="H42" s="20">
        <v>625.26400000000001</v>
      </c>
      <c r="I42" s="20">
        <v>13.401999999999999</v>
      </c>
      <c r="J42" s="23" t="s">
        <v>190</v>
      </c>
      <c r="K42" s="8" t="s">
        <v>59</v>
      </c>
      <c r="L42" s="9"/>
      <c r="M42" s="9"/>
      <c r="N42" s="6"/>
    </row>
    <row r="43" spans="1:14" x14ac:dyDescent="0.3">
      <c r="A43" s="7" t="s">
        <v>60</v>
      </c>
      <c r="B43" s="22">
        <v>67.36</v>
      </c>
      <c r="C43" s="20">
        <v>3.6349999999999998</v>
      </c>
      <c r="D43" s="20">
        <v>4041.02</v>
      </c>
      <c r="E43" s="20">
        <v>177.65700000000001</v>
      </c>
      <c r="F43" s="21">
        <v>17.062999999999999</v>
      </c>
      <c r="G43" s="20" t="s">
        <v>190</v>
      </c>
      <c r="H43" s="20">
        <v>346.92899999999997</v>
      </c>
      <c r="I43" s="20">
        <v>3.0289999999999999</v>
      </c>
      <c r="J43" s="23" t="s">
        <v>190</v>
      </c>
      <c r="K43" s="8" t="s">
        <v>61</v>
      </c>
      <c r="L43" s="9"/>
      <c r="M43" s="9"/>
      <c r="N43" s="6"/>
    </row>
    <row r="44" spans="1:14" x14ac:dyDescent="0.3">
      <c r="A44" s="7" t="s">
        <v>62</v>
      </c>
      <c r="B44" s="22">
        <v>0.25</v>
      </c>
      <c r="C44" s="20" t="s">
        <v>190</v>
      </c>
      <c r="D44" s="20">
        <v>129.6</v>
      </c>
      <c r="E44" s="20">
        <v>0.80600000000000005</v>
      </c>
      <c r="F44" s="21">
        <v>1.325</v>
      </c>
      <c r="G44" s="20" t="s">
        <v>190</v>
      </c>
      <c r="H44" s="20">
        <v>27.216999999999999</v>
      </c>
      <c r="I44" s="20">
        <v>0.24</v>
      </c>
      <c r="J44" s="23" t="s">
        <v>190</v>
      </c>
      <c r="K44" s="8" t="s">
        <v>63</v>
      </c>
      <c r="L44" s="9"/>
      <c r="M44" s="9"/>
      <c r="N44" s="6"/>
    </row>
    <row r="45" spans="1:14" x14ac:dyDescent="0.3">
      <c r="A45" s="7" t="s">
        <v>64</v>
      </c>
      <c r="B45" s="22">
        <v>216.678</v>
      </c>
      <c r="C45" s="20">
        <v>12.617000000000001</v>
      </c>
      <c r="D45" s="20">
        <v>15373.68</v>
      </c>
      <c r="E45" s="20">
        <v>327.18599999999998</v>
      </c>
      <c r="F45" s="21">
        <v>36.549999999999997</v>
      </c>
      <c r="G45" s="20" t="s">
        <v>190</v>
      </c>
      <c r="H45" s="20">
        <v>375.12299999999999</v>
      </c>
      <c r="I45" s="20">
        <v>24.263000000000002</v>
      </c>
      <c r="J45" s="23" t="s">
        <v>190</v>
      </c>
      <c r="K45" s="8" t="s">
        <v>65</v>
      </c>
      <c r="L45" s="9"/>
      <c r="M45" s="9"/>
      <c r="N45" s="6"/>
    </row>
    <row r="46" spans="1:14" x14ac:dyDescent="0.3">
      <c r="A46" s="55" t="s">
        <v>66</v>
      </c>
      <c r="B46" s="56">
        <f>SUM(B48:B52)</f>
        <v>393.85700000000003</v>
      </c>
      <c r="C46" s="30">
        <f t="shared" ref="C46:J46" si="10">SUM(C48:C52)</f>
        <v>6.298</v>
      </c>
      <c r="D46" s="30">
        <f t="shared" ref="D46" si="11">SUM(D48:D52)</f>
        <v>198283.24100000001</v>
      </c>
      <c r="E46" s="30">
        <f t="shared" si="10"/>
        <v>201.31300000000002</v>
      </c>
      <c r="F46" s="30">
        <f t="shared" si="10"/>
        <v>33.307000000000002</v>
      </c>
      <c r="G46" s="30">
        <f t="shared" si="10"/>
        <v>1.06</v>
      </c>
      <c r="H46" s="30">
        <f t="shared" si="10"/>
        <v>2029.759</v>
      </c>
      <c r="I46" s="30">
        <f t="shared" si="10"/>
        <v>38.995000000000005</v>
      </c>
      <c r="J46" s="58">
        <f t="shared" si="10"/>
        <v>0</v>
      </c>
      <c r="K46" s="65" t="s">
        <v>67</v>
      </c>
      <c r="L46" s="65"/>
      <c r="M46" s="65"/>
      <c r="N46" s="6"/>
    </row>
    <row r="47" spans="1:14" x14ac:dyDescent="0.3">
      <c r="A47" s="55"/>
      <c r="B47" s="56"/>
      <c r="C47" s="30"/>
      <c r="D47" s="30"/>
      <c r="E47" s="30"/>
      <c r="F47" s="30"/>
      <c r="G47" s="30"/>
      <c r="H47" s="30"/>
      <c r="I47" s="30"/>
      <c r="J47" s="58"/>
      <c r="K47" s="65"/>
      <c r="L47" s="65"/>
      <c r="M47" s="65"/>
      <c r="N47" s="6"/>
    </row>
    <row r="48" spans="1:14" x14ac:dyDescent="0.3">
      <c r="A48" s="7" t="s">
        <v>68</v>
      </c>
      <c r="B48" s="22">
        <v>93.185000000000002</v>
      </c>
      <c r="C48" s="20">
        <v>3.4550000000000001</v>
      </c>
      <c r="D48" s="20">
        <v>11762.322</v>
      </c>
      <c r="E48" s="20">
        <v>154.352</v>
      </c>
      <c r="F48" s="21">
        <v>31.382000000000001</v>
      </c>
      <c r="G48" s="20">
        <v>0.96</v>
      </c>
      <c r="H48" s="20">
        <v>347.3</v>
      </c>
      <c r="I48" s="20">
        <v>9.1869999999999994</v>
      </c>
      <c r="J48" s="23" t="s">
        <v>190</v>
      </c>
      <c r="K48" s="8" t="s">
        <v>69</v>
      </c>
      <c r="L48" s="9"/>
      <c r="M48" s="9"/>
      <c r="N48" s="6"/>
    </row>
    <row r="49" spans="1:14" x14ac:dyDescent="0.3">
      <c r="A49" s="7" t="s">
        <v>70</v>
      </c>
      <c r="B49" s="22">
        <v>6.1529999999999996</v>
      </c>
      <c r="C49" s="20">
        <v>0.11700000000000001</v>
      </c>
      <c r="D49" s="20">
        <v>170198.12</v>
      </c>
      <c r="E49" s="20">
        <v>11.704000000000001</v>
      </c>
      <c r="F49" s="21" t="s">
        <v>190</v>
      </c>
      <c r="G49" s="20" t="s">
        <v>190</v>
      </c>
      <c r="H49" s="20">
        <v>391.18099999999998</v>
      </c>
      <c r="I49" s="20">
        <v>13.557</v>
      </c>
      <c r="J49" s="23" t="s">
        <v>190</v>
      </c>
      <c r="K49" s="8" t="s">
        <v>71</v>
      </c>
      <c r="L49" s="9"/>
      <c r="M49" s="9"/>
      <c r="N49" s="6"/>
    </row>
    <row r="50" spans="1:14" x14ac:dyDescent="0.3">
      <c r="A50" s="7" t="s">
        <v>72</v>
      </c>
      <c r="B50" s="22">
        <v>247.64699999999999</v>
      </c>
      <c r="C50" s="20">
        <v>0.59299999999999997</v>
      </c>
      <c r="D50" s="20">
        <v>11638.35</v>
      </c>
      <c r="E50" s="20" t="s">
        <v>190</v>
      </c>
      <c r="F50" s="21" t="s">
        <v>190</v>
      </c>
      <c r="G50" s="20" t="s">
        <v>190</v>
      </c>
      <c r="H50" s="20">
        <v>918.01800000000003</v>
      </c>
      <c r="I50" s="20">
        <v>4.2119999999999997</v>
      </c>
      <c r="J50" s="23" t="s">
        <v>190</v>
      </c>
      <c r="K50" s="8" t="s">
        <v>73</v>
      </c>
      <c r="L50" s="9"/>
      <c r="M50" s="9"/>
      <c r="N50" s="6"/>
    </row>
    <row r="51" spans="1:14" x14ac:dyDescent="0.3">
      <c r="A51" s="7" t="s">
        <v>74</v>
      </c>
      <c r="B51" s="22">
        <v>7.3410000000000002</v>
      </c>
      <c r="C51" s="20">
        <v>0.36099999999999999</v>
      </c>
      <c r="D51" s="20">
        <v>1375.2</v>
      </c>
      <c r="E51" s="20">
        <v>23.5</v>
      </c>
      <c r="F51" s="21">
        <v>1.45</v>
      </c>
      <c r="G51" s="20">
        <v>0.1</v>
      </c>
      <c r="H51" s="20">
        <v>167.405</v>
      </c>
      <c r="I51" s="20">
        <v>1.405</v>
      </c>
      <c r="J51" s="23" t="s">
        <v>190</v>
      </c>
      <c r="K51" s="8" t="s">
        <v>75</v>
      </c>
      <c r="L51" s="9"/>
      <c r="M51" s="9"/>
      <c r="N51" s="6"/>
    </row>
    <row r="52" spans="1:14" x14ac:dyDescent="0.3">
      <c r="A52" s="7" t="s">
        <v>76</v>
      </c>
      <c r="B52" s="22">
        <v>39.530999999999999</v>
      </c>
      <c r="C52" s="20">
        <v>1.772</v>
      </c>
      <c r="D52" s="20">
        <v>3309.2489999999998</v>
      </c>
      <c r="E52" s="20">
        <v>11.757</v>
      </c>
      <c r="F52" s="21">
        <v>0.47499999999999998</v>
      </c>
      <c r="G52" s="20" t="s">
        <v>190</v>
      </c>
      <c r="H52" s="20">
        <v>205.85499999999999</v>
      </c>
      <c r="I52" s="20">
        <v>10.634</v>
      </c>
      <c r="J52" s="23" t="s">
        <v>190</v>
      </c>
      <c r="K52" s="8" t="s">
        <v>77</v>
      </c>
      <c r="L52" s="9"/>
      <c r="M52" s="9"/>
      <c r="N52" s="6"/>
    </row>
    <row r="53" spans="1:14" x14ac:dyDescent="0.3">
      <c r="A53" s="55" t="s">
        <v>78</v>
      </c>
      <c r="B53" s="56">
        <f>SUM(B55:B59)</f>
        <v>15.855999999999998</v>
      </c>
      <c r="C53" s="30">
        <f t="shared" ref="C53:J53" si="12">SUM(C55:C59)</f>
        <v>0.78</v>
      </c>
      <c r="D53" s="30">
        <f t="shared" ref="D53" si="13">SUM(D55:D59)</f>
        <v>5161.99</v>
      </c>
      <c r="E53" s="30">
        <f t="shared" si="12"/>
        <v>12.876999999999999</v>
      </c>
      <c r="F53" s="30">
        <f t="shared" si="12"/>
        <v>1.5010000000000001</v>
      </c>
      <c r="G53" s="30">
        <f t="shared" si="12"/>
        <v>4.1970000000000001</v>
      </c>
      <c r="H53" s="30">
        <f t="shared" si="12"/>
        <v>415.94799999999998</v>
      </c>
      <c r="I53" s="30">
        <f t="shared" si="12"/>
        <v>10.626000000000001</v>
      </c>
      <c r="J53" s="58">
        <f t="shared" si="12"/>
        <v>0</v>
      </c>
      <c r="K53" s="65" t="s">
        <v>79</v>
      </c>
      <c r="L53" s="65"/>
      <c r="M53" s="65"/>
      <c r="N53" s="6"/>
    </row>
    <row r="54" spans="1:14" x14ac:dyDescent="0.3">
      <c r="A54" s="55"/>
      <c r="B54" s="56"/>
      <c r="C54" s="30"/>
      <c r="D54" s="30"/>
      <c r="E54" s="30"/>
      <c r="F54" s="30"/>
      <c r="G54" s="30"/>
      <c r="H54" s="30"/>
      <c r="I54" s="30"/>
      <c r="J54" s="58"/>
      <c r="K54" s="65"/>
      <c r="L54" s="65"/>
      <c r="M54" s="65"/>
      <c r="N54" s="6"/>
    </row>
    <row r="55" spans="1:14" x14ac:dyDescent="0.3">
      <c r="A55" s="7" t="s">
        <v>80</v>
      </c>
      <c r="B55" s="22">
        <v>3.4000000000000002E-2</v>
      </c>
      <c r="C55" s="20">
        <v>3.1E-2</v>
      </c>
      <c r="D55" s="20">
        <v>1116.55</v>
      </c>
      <c r="E55" s="20">
        <v>7.1150000000000002</v>
      </c>
      <c r="F55" s="21">
        <v>0.14099999999999999</v>
      </c>
      <c r="G55" s="20" t="s">
        <v>190</v>
      </c>
      <c r="H55" s="20">
        <v>32.573</v>
      </c>
      <c r="I55" s="20">
        <v>0.41599999999999998</v>
      </c>
      <c r="J55" s="23" t="s">
        <v>190</v>
      </c>
      <c r="K55" s="8" t="s">
        <v>81</v>
      </c>
      <c r="L55" s="9"/>
      <c r="M55" s="9"/>
      <c r="N55" s="6"/>
    </row>
    <row r="56" spans="1:14" x14ac:dyDescent="0.3">
      <c r="A56" s="7" t="s">
        <v>82</v>
      </c>
      <c r="B56" s="22">
        <v>3.452</v>
      </c>
      <c r="C56" s="20">
        <v>0.16900000000000001</v>
      </c>
      <c r="D56" s="20">
        <v>2462.85</v>
      </c>
      <c r="E56" s="20">
        <v>5.742</v>
      </c>
      <c r="F56" s="21">
        <v>1.36</v>
      </c>
      <c r="G56" s="20">
        <v>4.1970000000000001</v>
      </c>
      <c r="H56" s="20">
        <v>55.97</v>
      </c>
      <c r="I56" s="20">
        <v>10.050000000000001</v>
      </c>
      <c r="J56" s="23" t="s">
        <v>190</v>
      </c>
      <c r="K56" s="8" t="s">
        <v>83</v>
      </c>
      <c r="L56" s="9"/>
      <c r="M56" s="9"/>
      <c r="N56" s="6"/>
    </row>
    <row r="57" spans="1:14" x14ac:dyDescent="0.3">
      <c r="A57" s="7" t="s">
        <v>84</v>
      </c>
      <c r="B57" s="22">
        <v>6.06</v>
      </c>
      <c r="C57" s="20">
        <v>1E-3</v>
      </c>
      <c r="D57" s="20">
        <v>68.099999999999994</v>
      </c>
      <c r="E57" s="20" t="s">
        <v>190</v>
      </c>
      <c r="F57" s="21" t="s">
        <v>190</v>
      </c>
      <c r="G57" s="20" t="s">
        <v>190</v>
      </c>
      <c r="H57" s="20">
        <v>1.645</v>
      </c>
      <c r="I57" s="20" t="s">
        <v>190</v>
      </c>
      <c r="J57" s="23" t="s">
        <v>190</v>
      </c>
      <c r="K57" s="8" t="s">
        <v>85</v>
      </c>
      <c r="L57" s="9"/>
      <c r="M57" s="9"/>
      <c r="N57" s="6"/>
    </row>
    <row r="58" spans="1:14" x14ac:dyDescent="0.3">
      <c r="A58" s="7" t="s">
        <v>86</v>
      </c>
      <c r="B58" s="22">
        <v>6.31</v>
      </c>
      <c r="C58" s="20">
        <v>0.57099999999999995</v>
      </c>
      <c r="D58" s="20">
        <v>1165.8900000000001</v>
      </c>
      <c r="E58" s="20" t="s">
        <v>190</v>
      </c>
      <c r="F58" s="21" t="s">
        <v>190</v>
      </c>
      <c r="G58" s="20" t="s">
        <v>190</v>
      </c>
      <c r="H58" s="20">
        <v>247.13</v>
      </c>
      <c r="I58" s="20" t="s">
        <v>190</v>
      </c>
      <c r="J58" s="23" t="s">
        <v>190</v>
      </c>
      <c r="K58" s="8" t="s">
        <v>87</v>
      </c>
      <c r="L58" s="9"/>
      <c r="M58" s="9"/>
      <c r="N58" s="6"/>
    </row>
    <row r="59" spans="1:14" x14ac:dyDescent="0.3">
      <c r="A59" s="7" t="s">
        <v>88</v>
      </c>
      <c r="B59" s="22" t="s">
        <v>190</v>
      </c>
      <c r="C59" s="20">
        <v>8.0000000000000002E-3</v>
      </c>
      <c r="D59" s="20">
        <v>348.6</v>
      </c>
      <c r="E59" s="20">
        <v>0.02</v>
      </c>
      <c r="F59" s="21" t="s">
        <v>190</v>
      </c>
      <c r="G59" s="20" t="s">
        <v>190</v>
      </c>
      <c r="H59" s="20">
        <v>78.63</v>
      </c>
      <c r="I59" s="20">
        <v>0.16</v>
      </c>
      <c r="J59" s="23" t="s">
        <v>190</v>
      </c>
      <c r="K59" s="8" t="s">
        <v>89</v>
      </c>
      <c r="L59" s="9"/>
      <c r="M59" s="9"/>
      <c r="N59" s="6"/>
    </row>
    <row r="60" spans="1:14" x14ac:dyDescent="0.3">
      <c r="A60" s="55" t="s">
        <v>90</v>
      </c>
      <c r="B60" s="56">
        <f>SUM(B62:B64)</f>
        <v>1277.3220000000001</v>
      </c>
      <c r="C60" s="30">
        <f t="shared" ref="C60:J60" si="14">SUM(C62:C64)</f>
        <v>16.484999999999999</v>
      </c>
      <c r="D60" s="30">
        <f t="shared" ref="D60" si="15">SUM(D62:D64)</f>
        <v>52830.364999999998</v>
      </c>
      <c r="E60" s="30">
        <f t="shared" si="14"/>
        <v>1142.319</v>
      </c>
      <c r="F60" s="30">
        <f t="shared" si="14"/>
        <v>250.964</v>
      </c>
      <c r="G60" s="30">
        <f t="shared" si="14"/>
        <v>51.727999999999994</v>
      </c>
      <c r="H60" s="30">
        <f t="shared" si="14"/>
        <v>1018.885</v>
      </c>
      <c r="I60" s="30">
        <f t="shared" si="14"/>
        <v>55.353000000000002</v>
      </c>
      <c r="J60" s="58">
        <f t="shared" si="14"/>
        <v>0</v>
      </c>
      <c r="K60" s="66" t="s">
        <v>91</v>
      </c>
      <c r="L60" s="66"/>
      <c r="M60" s="66"/>
      <c r="N60" s="6"/>
    </row>
    <row r="61" spans="1:14" x14ac:dyDescent="0.3">
      <c r="A61" s="55"/>
      <c r="B61" s="56"/>
      <c r="C61" s="30"/>
      <c r="D61" s="30"/>
      <c r="E61" s="30"/>
      <c r="F61" s="30"/>
      <c r="G61" s="30"/>
      <c r="H61" s="30"/>
      <c r="I61" s="30"/>
      <c r="J61" s="58"/>
      <c r="K61" s="66"/>
      <c r="L61" s="66"/>
      <c r="M61" s="66"/>
      <c r="N61" s="6"/>
    </row>
    <row r="62" spans="1:14" x14ac:dyDescent="0.3">
      <c r="A62" s="7" t="s">
        <v>92</v>
      </c>
      <c r="B62" s="22">
        <v>403.113</v>
      </c>
      <c r="C62" s="20">
        <v>0.77800000000000002</v>
      </c>
      <c r="D62" s="20">
        <v>8472.7049999999999</v>
      </c>
      <c r="E62" s="20">
        <v>258.90899999999999</v>
      </c>
      <c r="F62" s="21">
        <v>60.78</v>
      </c>
      <c r="G62" s="20">
        <v>1.91</v>
      </c>
      <c r="H62" s="20">
        <v>330.18299999999999</v>
      </c>
      <c r="I62" s="20">
        <v>4.266</v>
      </c>
      <c r="J62" s="23" t="s">
        <v>190</v>
      </c>
      <c r="K62" s="8" t="s">
        <v>93</v>
      </c>
      <c r="L62" s="9"/>
      <c r="M62" s="9"/>
      <c r="N62" s="6"/>
    </row>
    <row r="63" spans="1:14" x14ac:dyDescent="0.3">
      <c r="A63" s="7" t="s">
        <v>94</v>
      </c>
      <c r="B63" s="22">
        <v>693.82500000000005</v>
      </c>
      <c r="C63" s="20">
        <v>11.112</v>
      </c>
      <c r="D63" s="20">
        <v>30750.560000000001</v>
      </c>
      <c r="E63" s="20">
        <v>543.42499999999995</v>
      </c>
      <c r="F63" s="21">
        <v>168.24</v>
      </c>
      <c r="G63" s="20">
        <v>0.5</v>
      </c>
      <c r="H63" s="20">
        <v>432.84399999999999</v>
      </c>
      <c r="I63" s="20">
        <v>22.263999999999999</v>
      </c>
      <c r="J63" s="23" t="s">
        <v>190</v>
      </c>
      <c r="K63" s="8" t="s">
        <v>95</v>
      </c>
      <c r="L63" s="9"/>
      <c r="M63" s="9"/>
      <c r="N63" s="6"/>
    </row>
    <row r="64" spans="1:14" x14ac:dyDescent="0.3">
      <c r="A64" s="7" t="s">
        <v>96</v>
      </c>
      <c r="B64" s="22">
        <v>180.38399999999999</v>
      </c>
      <c r="C64" s="20">
        <v>4.5949999999999998</v>
      </c>
      <c r="D64" s="20">
        <v>13607.1</v>
      </c>
      <c r="E64" s="20">
        <v>339.98500000000001</v>
      </c>
      <c r="F64" s="21">
        <v>21.943999999999999</v>
      </c>
      <c r="G64" s="20">
        <v>49.317999999999998</v>
      </c>
      <c r="H64" s="20">
        <v>255.858</v>
      </c>
      <c r="I64" s="20">
        <v>28.823</v>
      </c>
      <c r="J64" s="23" t="s">
        <v>190</v>
      </c>
      <c r="K64" s="8" t="s">
        <v>97</v>
      </c>
      <c r="L64" s="9"/>
      <c r="M64" s="9"/>
      <c r="N64" s="6"/>
    </row>
    <row r="65" spans="1:14" x14ac:dyDescent="0.3">
      <c r="A65" s="55" t="s">
        <v>98</v>
      </c>
      <c r="B65" s="56">
        <f>SUM(B67:B71)</f>
        <v>895.11700000000008</v>
      </c>
      <c r="C65" s="30">
        <f t="shared" ref="C65:J65" si="16">SUM(C67:C71)</f>
        <v>5.673</v>
      </c>
      <c r="D65" s="30">
        <f t="shared" ref="D65" si="17">SUM(D67:D71)</f>
        <v>183597.79</v>
      </c>
      <c r="E65" s="30">
        <f t="shared" si="16"/>
        <v>491.815</v>
      </c>
      <c r="F65" s="30">
        <f t="shared" si="16"/>
        <v>132.90699999999998</v>
      </c>
      <c r="G65" s="30">
        <f t="shared" si="16"/>
        <v>2</v>
      </c>
      <c r="H65" s="30">
        <f t="shared" si="16"/>
        <v>2774.9180000000001</v>
      </c>
      <c r="I65" s="30">
        <f t="shared" si="16"/>
        <v>51.073000000000008</v>
      </c>
      <c r="J65" s="58">
        <f t="shared" si="16"/>
        <v>0</v>
      </c>
      <c r="K65" s="65" t="s">
        <v>99</v>
      </c>
      <c r="L65" s="65"/>
      <c r="M65" s="65"/>
      <c r="N65" s="6"/>
    </row>
    <row r="66" spans="1:14" x14ac:dyDescent="0.3">
      <c r="A66" s="55"/>
      <c r="B66" s="56"/>
      <c r="C66" s="30"/>
      <c r="D66" s="30"/>
      <c r="E66" s="30"/>
      <c r="F66" s="30"/>
      <c r="G66" s="30"/>
      <c r="H66" s="30"/>
      <c r="I66" s="30"/>
      <c r="J66" s="58"/>
      <c r="K66" s="65"/>
      <c r="L66" s="65"/>
      <c r="M66" s="65"/>
      <c r="N66" s="6"/>
    </row>
    <row r="67" spans="1:14" x14ac:dyDescent="0.3">
      <c r="A67" s="7" t="s">
        <v>100</v>
      </c>
      <c r="B67" s="22">
        <v>41.006999999999998</v>
      </c>
      <c r="C67" s="20">
        <v>0.38300000000000001</v>
      </c>
      <c r="D67" s="20">
        <v>15421.96</v>
      </c>
      <c r="E67" s="20">
        <v>1.31</v>
      </c>
      <c r="F67" s="21">
        <v>0.93</v>
      </c>
      <c r="G67" s="20" t="s">
        <v>190</v>
      </c>
      <c r="H67" s="20">
        <v>859.33900000000006</v>
      </c>
      <c r="I67" s="20">
        <v>21.821000000000002</v>
      </c>
      <c r="J67" s="23" t="s">
        <v>190</v>
      </c>
      <c r="K67" s="8" t="s">
        <v>101</v>
      </c>
      <c r="L67" s="9"/>
      <c r="M67" s="9"/>
      <c r="N67" s="6"/>
    </row>
    <row r="68" spans="1:14" x14ac:dyDescent="0.3">
      <c r="A68" s="7" t="s">
        <v>102</v>
      </c>
      <c r="B68" s="22">
        <v>31.395</v>
      </c>
      <c r="C68" s="20">
        <v>0.14799999999999999</v>
      </c>
      <c r="D68" s="20">
        <v>5176.915</v>
      </c>
      <c r="E68" s="20">
        <v>13.202</v>
      </c>
      <c r="F68" s="21">
        <v>0.86499999999999999</v>
      </c>
      <c r="G68" s="20" t="s">
        <v>190</v>
      </c>
      <c r="H68" s="20">
        <v>416.14</v>
      </c>
      <c r="I68" s="20">
        <v>24.225000000000001</v>
      </c>
      <c r="J68" s="23" t="s">
        <v>190</v>
      </c>
      <c r="K68" s="8" t="s">
        <v>103</v>
      </c>
      <c r="L68" s="9"/>
      <c r="M68" s="9"/>
      <c r="N68" s="6"/>
    </row>
    <row r="69" spans="1:14" x14ac:dyDescent="0.3">
      <c r="A69" s="7" t="s">
        <v>104</v>
      </c>
      <c r="B69" s="22">
        <v>598.298</v>
      </c>
      <c r="C69" s="20">
        <v>1.2470000000000001</v>
      </c>
      <c r="D69" s="20">
        <v>135149.9</v>
      </c>
      <c r="E69" s="20">
        <v>410.21199999999999</v>
      </c>
      <c r="F69" s="21">
        <v>93.317999999999998</v>
      </c>
      <c r="G69" s="20" t="s">
        <v>190</v>
      </c>
      <c r="H69" s="20">
        <v>326.52199999999999</v>
      </c>
      <c r="I69" s="20">
        <v>3.29</v>
      </c>
      <c r="J69" s="23" t="s">
        <v>190</v>
      </c>
      <c r="K69" s="8" t="s">
        <v>105</v>
      </c>
      <c r="L69" s="9"/>
      <c r="M69" s="9"/>
      <c r="N69" s="6"/>
    </row>
    <row r="70" spans="1:14" x14ac:dyDescent="0.3">
      <c r="A70" s="7" t="s">
        <v>106</v>
      </c>
      <c r="B70" s="22">
        <v>192.5</v>
      </c>
      <c r="C70" s="20">
        <v>2.4529999999999998</v>
      </c>
      <c r="D70" s="20">
        <v>13946.295</v>
      </c>
      <c r="E70" s="20">
        <v>67.090999999999994</v>
      </c>
      <c r="F70" s="21">
        <v>37.793999999999997</v>
      </c>
      <c r="G70" s="20">
        <v>2</v>
      </c>
      <c r="H70" s="20">
        <v>574.17999999999995</v>
      </c>
      <c r="I70" s="20">
        <v>0.2</v>
      </c>
      <c r="J70" s="23" t="s">
        <v>190</v>
      </c>
      <c r="K70" s="8" t="s">
        <v>107</v>
      </c>
      <c r="L70" s="9"/>
      <c r="M70" s="9"/>
      <c r="N70" s="6"/>
    </row>
    <row r="71" spans="1:14" x14ac:dyDescent="0.3">
      <c r="A71" s="7" t="s">
        <v>108</v>
      </c>
      <c r="B71" s="22">
        <v>31.917000000000002</v>
      </c>
      <c r="C71" s="20">
        <v>1.4419999999999999</v>
      </c>
      <c r="D71" s="20">
        <v>13902.72</v>
      </c>
      <c r="E71" s="20" t="s">
        <v>190</v>
      </c>
      <c r="F71" s="21" t="s">
        <v>190</v>
      </c>
      <c r="G71" s="20" t="s">
        <v>190</v>
      </c>
      <c r="H71" s="20">
        <v>598.73699999999997</v>
      </c>
      <c r="I71" s="20">
        <v>1.5369999999999999</v>
      </c>
      <c r="J71" s="23" t="s">
        <v>190</v>
      </c>
      <c r="K71" s="8" t="s">
        <v>109</v>
      </c>
      <c r="L71" s="9"/>
      <c r="M71" s="9"/>
      <c r="N71" s="6"/>
    </row>
    <row r="72" spans="1:14" x14ac:dyDescent="0.3">
      <c r="A72" s="55" t="s">
        <v>110</v>
      </c>
      <c r="B72" s="56">
        <f>SUM(B74:B81)</f>
        <v>1.2499999999999998</v>
      </c>
      <c r="C72" s="30">
        <f t="shared" ref="C72:J72" si="18">SUM(C74:C81)</f>
        <v>1.9039999999999999</v>
      </c>
      <c r="D72" s="30">
        <f t="shared" ref="D72" si="19">SUM(D74:D81)</f>
        <v>472118.17499999999</v>
      </c>
      <c r="E72" s="30">
        <f t="shared" si="18"/>
        <v>28.677999999999997</v>
      </c>
      <c r="F72" s="30">
        <f t="shared" si="18"/>
        <v>20.233000000000001</v>
      </c>
      <c r="G72" s="30">
        <f t="shared" si="18"/>
        <v>0</v>
      </c>
      <c r="H72" s="30">
        <f t="shared" si="18"/>
        <v>572.82099999999991</v>
      </c>
      <c r="I72" s="30">
        <f t="shared" si="18"/>
        <v>12.141000000000002</v>
      </c>
      <c r="J72" s="58">
        <f t="shared" si="18"/>
        <v>0</v>
      </c>
      <c r="K72" s="65" t="s">
        <v>111</v>
      </c>
      <c r="L72" s="65"/>
      <c r="M72" s="65"/>
      <c r="N72" s="6"/>
    </row>
    <row r="73" spans="1:14" x14ac:dyDescent="0.3">
      <c r="A73" s="55"/>
      <c r="B73" s="56"/>
      <c r="C73" s="30"/>
      <c r="D73" s="30"/>
      <c r="E73" s="30"/>
      <c r="F73" s="30"/>
      <c r="G73" s="30"/>
      <c r="H73" s="30"/>
      <c r="I73" s="30"/>
      <c r="J73" s="58"/>
      <c r="K73" s="65"/>
      <c r="L73" s="65"/>
      <c r="M73" s="65"/>
      <c r="N73" s="6"/>
    </row>
    <row r="74" spans="1:14" x14ac:dyDescent="0.3">
      <c r="A74" s="15" t="s">
        <v>112</v>
      </c>
      <c r="B74" s="22" t="s">
        <v>190</v>
      </c>
      <c r="C74" s="20" t="s">
        <v>190</v>
      </c>
      <c r="D74" s="20" t="s">
        <v>190</v>
      </c>
      <c r="E74" s="20" t="s">
        <v>190</v>
      </c>
      <c r="F74" s="21" t="s">
        <v>190</v>
      </c>
      <c r="G74" s="20" t="s">
        <v>190</v>
      </c>
      <c r="H74" s="20" t="s">
        <v>190</v>
      </c>
      <c r="I74" s="20" t="s">
        <v>190</v>
      </c>
      <c r="J74" s="23" t="s">
        <v>190</v>
      </c>
      <c r="K74" s="8" t="s">
        <v>113</v>
      </c>
      <c r="L74" s="9"/>
      <c r="M74" s="9"/>
      <c r="N74" s="6"/>
    </row>
    <row r="75" spans="1:14" x14ac:dyDescent="0.3">
      <c r="A75" s="15" t="s">
        <v>114</v>
      </c>
      <c r="B75" s="28" t="s">
        <v>190</v>
      </c>
      <c r="C75" s="20" t="s">
        <v>190</v>
      </c>
      <c r="D75" s="20" t="s">
        <v>190</v>
      </c>
      <c r="E75" s="20" t="s">
        <v>190</v>
      </c>
      <c r="F75" s="21" t="s">
        <v>190</v>
      </c>
      <c r="G75" s="20" t="s">
        <v>190</v>
      </c>
      <c r="H75" s="20">
        <v>21.66</v>
      </c>
      <c r="I75" s="20" t="s">
        <v>190</v>
      </c>
      <c r="J75" s="23" t="s">
        <v>190</v>
      </c>
      <c r="K75" s="8" t="s">
        <v>115</v>
      </c>
      <c r="L75" s="9"/>
      <c r="M75" s="9"/>
      <c r="N75" s="6"/>
    </row>
    <row r="76" spans="1:14" x14ac:dyDescent="0.3">
      <c r="A76" s="15" t="s">
        <v>116</v>
      </c>
      <c r="B76" s="28" t="s">
        <v>190</v>
      </c>
      <c r="C76" s="20" t="s">
        <v>190</v>
      </c>
      <c r="D76" s="20" t="s">
        <v>190</v>
      </c>
      <c r="E76" s="20" t="s">
        <v>190</v>
      </c>
      <c r="F76" s="21" t="s">
        <v>190</v>
      </c>
      <c r="G76" s="20" t="s">
        <v>190</v>
      </c>
      <c r="H76" s="20">
        <v>0.3</v>
      </c>
      <c r="I76" s="20" t="s">
        <v>190</v>
      </c>
      <c r="J76" s="23" t="s">
        <v>190</v>
      </c>
      <c r="K76" s="8" t="s">
        <v>117</v>
      </c>
      <c r="L76" s="9"/>
      <c r="M76" s="9"/>
      <c r="N76" s="6"/>
    </row>
    <row r="77" spans="1:14" x14ac:dyDescent="0.3">
      <c r="A77" s="15" t="s">
        <v>118</v>
      </c>
      <c r="B77" s="28" t="s">
        <v>190</v>
      </c>
      <c r="C77" s="20" t="s">
        <v>190</v>
      </c>
      <c r="D77" s="20" t="s">
        <v>190</v>
      </c>
      <c r="E77" s="20" t="s">
        <v>190</v>
      </c>
      <c r="F77" s="21" t="s">
        <v>190</v>
      </c>
      <c r="G77" s="20" t="s">
        <v>190</v>
      </c>
      <c r="H77" s="20" t="s">
        <v>190</v>
      </c>
      <c r="I77" s="20" t="s">
        <v>190</v>
      </c>
      <c r="J77" s="23" t="s">
        <v>190</v>
      </c>
      <c r="K77" s="8" t="s">
        <v>119</v>
      </c>
      <c r="L77" s="9"/>
      <c r="M77" s="9"/>
      <c r="N77" s="6"/>
    </row>
    <row r="78" spans="1:14" x14ac:dyDescent="0.3">
      <c r="A78" s="15" t="s">
        <v>120</v>
      </c>
      <c r="B78" s="22">
        <v>3.0000000000000001E-3</v>
      </c>
      <c r="C78" s="20" t="s">
        <v>190</v>
      </c>
      <c r="D78" s="20">
        <v>7595.48</v>
      </c>
      <c r="E78" s="20">
        <v>7.952</v>
      </c>
      <c r="F78" s="21">
        <v>2.6720000000000002</v>
      </c>
      <c r="G78" s="20" t="s">
        <v>190</v>
      </c>
      <c r="H78" s="20">
        <v>414.12599999999998</v>
      </c>
      <c r="I78" s="20">
        <v>9.2430000000000003</v>
      </c>
      <c r="J78" s="23" t="s">
        <v>190</v>
      </c>
      <c r="K78" s="8" t="s">
        <v>121</v>
      </c>
      <c r="L78" s="9"/>
      <c r="M78" s="9"/>
      <c r="N78" s="6"/>
    </row>
    <row r="79" spans="1:14" x14ac:dyDescent="0.3">
      <c r="A79" s="15" t="s">
        <v>122</v>
      </c>
      <c r="B79" s="22">
        <v>1.0549999999999999</v>
      </c>
      <c r="C79" s="20">
        <v>1.9039999999999999</v>
      </c>
      <c r="D79" s="20">
        <v>464055.875</v>
      </c>
      <c r="E79" s="20">
        <v>20.725999999999999</v>
      </c>
      <c r="F79" s="21">
        <v>17.561</v>
      </c>
      <c r="G79" s="20" t="s">
        <v>190</v>
      </c>
      <c r="H79" s="20">
        <v>111.625</v>
      </c>
      <c r="I79" s="20">
        <v>0.81299999999999994</v>
      </c>
      <c r="J79" s="23" t="s">
        <v>190</v>
      </c>
      <c r="K79" s="8" t="s">
        <v>123</v>
      </c>
      <c r="L79" s="9"/>
      <c r="M79" s="9"/>
      <c r="N79" s="6"/>
    </row>
    <row r="80" spans="1:14" x14ac:dyDescent="0.3">
      <c r="A80" s="15" t="s">
        <v>124</v>
      </c>
      <c r="B80" s="28" t="s">
        <v>190</v>
      </c>
      <c r="C80" s="20" t="s">
        <v>190</v>
      </c>
      <c r="D80" s="20">
        <v>10.119999999999999</v>
      </c>
      <c r="E80" s="20" t="s">
        <v>190</v>
      </c>
      <c r="F80" s="21" t="s">
        <v>190</v>
      </c>
      <c r="G80" s="20" t="s">
        <v>190</v>
      </c>
      <c r="H80" s="20">
        <v>0.05</v>
      </c>
      <c r="I80" s="20" t="s">
        <v>190</v>
      </c>
      <c r="J80" s="23" t="s">
        <v>190</v>
      </c>
      <c r="K80" s="8" t="s">
        <v>125</v>
      </c>
      <c r="L80" s="9"/>
      <c r="M80" s="9"/>
      <c r="N80" s="6"/>
    </row>
    <row r="81" spans="1:14" x14ac:dyDescent="0.3">
      <c r="A81" s="15" t="s">
        <v>126</v>
      </c>
      <c r="B81" s="22">
        <v>0.192</v>
      </c>
      <c r="C81" s="29" t="s">
        <v>190</v>
      </c>
      <c r="D81" s="29">
        <v>456.7</v>
      </c>
      <c r="E81" s="20" t="s">
        <v>190</v>
      </c>
      <c r="F81" s="21" t="s">
        <v>190</v>
      </c>
      <c r="G81" s="20" t="s">
        <v>190</v>
      </c>
      <c r="H81" s="20">
        <v>25.06</v>
      </c>
      <c r="I81" s="20">
        <v>2.085</v>
      </c>
      <c r="J81" s="23" t="s">
        <v>190</v>
      </c>
      <c r="K81" s="8" t="s">
        <v>127</v>
      </c>
      <c r="L81" s="9"/>
      <c r="M81" s="9"/>
      <c r="N81" s="6"/>
    </row>
    <row r="82" spans="1:14" x14ac:dyDescent="0.3">
      <c r="A82" s="55" t="s">
        <v>128</v>
      </c>
      <c r="B82" s="56">
        <f>SUM(B84:B88)</f>
        <v>409.30799999999999</v>
      </c>
      <c r="C82" s="30">
        <f t="shared" ref="C82:J82" si="20">SUM(C84:C88)</f>
        <v>2.859</v>
      </c>
      <c r="D82" s="30">
        <f t="shared" ref="D82" si="21">SUM(D84:D88)</f>
        <v>14673.25</v>
      </c>
      <c r="E82" s="30">
        <f t="shared" si="20"/>
        <v>413.75399999999996</v>
      </c>
      <c r="F82" s="30">
        <f t="shared" si="20"/>
        <v>0</v>
      </c>
      <c r="G82" s="30">
        <f t="shared" si="20"/>
        <v>0</v>
      </c>
      <c r="H82" s="30">
        <f t="shared" si="20"/>
        <v>459.38299999999998</v>
      </c>
      <c r="I82" s="30">
        <f t="shared" si="20"/>
        <v>8.4710000000000001</v>
      </c>
      <c r="J82" s="58">
        <f t="shared" si="20"/>
        <v>0</v>
      </c>
      <c r="K82" s="65" t="s">
        <v>129</v>
      </c>
      <c r="L82" s="65"/>
      <c r="M82" s="65"/>
      <c r="N82" s="6"/>
    </row>
    <row r="83" spans="1:14" x14ac:dyDescent="0.3">
      <c r="A83" s="55"/>
      <c r="B83" s="56"/>
      <c r="C83" s="30"/>
      <c r="D83" s="30"/>
      <c r="E83" s="30"/>
      <c r="F83" s="30"/>
      <c r="G83" s="30"/>
      <c r="H83" s="30"/>
      <c r="I83" s="30"/>
      <c r="J83" s="58"/>
      <c r="K83" s="65"/>
      <c r="L83" s="65"/>
      <c r="M83" s="65"/>
      <c r="N83" s="6"/>
    </row>
    <row r="84" spans="1:14" x14ac:dyDescent="0.3">
      <c r="A84" s="7" t="s">
        <v>130</v>
      </c>
      <c r="B84" s="22">
        <v>344.83300000000003</v>
      </c>
      <c r="C84" s="29">
        <v>1.84</v>
      </c>
      <c r="D84" s="29">
        <v>7684.8</v>
      </c>
      <c r="E84" s="20">
        <v>411.16399999999999</v>
      </c>
      <c r="F84" s="21" t="s">
        <v>190</v>
      </c>
      <c r="G84" s="20" t="s">
        <v>190</v>
      </c>
      <c r="H84" s="20">
        <v>205.977</v>
      </c>
      <c r="I84" s="20">
        <v>1.1930000000000001</v>
      </c>
      <c r="J84" s="23" t="s">
        <v>190</v>
      </c>
      <c r="K84" s="8" t="s">
        <v>131</v>
      </c>
      <c r="L84" s="9"/>
      <c r="M84" s="9"/>
      <c r="N84" s="6"/>
    </row>
    <row r="85" spans="1:14" x14ac:dyDescent="0.3">
      <c r="A85" s="7" t="s">
        <v>132</v>
      </c>
      <c r="B85" s="22">
        <v>5.45</v>
      </c>
      <c r="C85" s="29">
        <v>0.02</v>
      </c>
      <c r="D85" s="29">
        <v>1086</v>
      </c>
      <c r="E85" s="20" t="s">
        <v>190</v>
      </c>
      <c r="F85" s="21" t="s">
        <v>190</v>
      </c>
      <c r="G85" s="20" t="s">
        <v>190</v>
      </c>
      <c r="H85" s="20">
        <v>56.542000000000002</v>
      </c>
      <c r="I85" s="20">
        <v>2.1619999999999999</v>
      </c>
      <c r="J85" s="23" t="s">
        <v>190</v>
      </c>
      <c r="K85" s="8" t="s">
        <v>133</v>
      </c>
      <c r="L85" s="9"/>
      <c r="M85" s="9"/>
      <c r="N85" s="6"/>
    </row>
    <row r="86" spans="1:14" x14ac:dyDescent="0.3">
      <c r="A86" s="7" t="s">
        <v>134</v>
      </c>
      <c r="B86" s="22">
        <v>42.709000000000003</v>
      </c>
      <c r="C86" s="20">
        <v>0.53500000000000003</v>
      </c>
      <c r="D86" s="20">
        <v>537.1</v>
      </c>
      <c r="E86" s="20">
        <v>0.39</v>
      </c>
      <c r="F86" s="21" t="s">
        <v>190</v>
      </c>
      <c r="G86" s="20" t="s">
        <v>190</v>
      </c>
      <c r="H86" s="20">
        <v>35.655000000000001</v>
      </c>
      <c r="I86" s="20" t="s">
        <v>190</v>
      </c>
      <c r="J86" s="23" t="s">
        <v>190</v>
      </c>
      <c r="K86" s="8" t="s">
        <v>135</v>
      </c>
      <c r="L86" s="9"/>
      <c r="M86" s="9"/>
      <c r="N86" s="6"/>
    </row>
    <row r="87" spans="1:14" x14ac:dyDescent="0.3">
      <c r="A87" s="7" t="s">
        <v>136</v>
      </c>
      <c r="B87" s="22">
        <v>0.77</v>
      </c>
      <c r="C87" s="20">
        <v>4.0000000000000001E-3</v>
      </c>
      <c r="D87" s="20">
        <v>245.2</v>
      </c>
      <c r="E87" s="20" t="s">
        <v>190</v>
      </c>
      <c r="F87" s="21" t="s">
        <v>190</v>
      </c>
      <c r="G87" s="20" t="s">
        <v>190</v>
      </c>
      <c r="H87" s="20">
        <v>81.150999999999996</v>
      </c>
      <c r="I87" s="20">
        <v>1.1120000000000001</v>
      </c>
      <c r="J87" s="23" t="s">
        <v>190</v>
      </c>
      <c r="K87" s="8" t="s">
        <v>137</v>
      </c>
      <c r="L87" s="9"/>
      <c r="M87" s="9"/>
      <c r="N87" s="6"/>
    </row>
    <row r="88" spans="1:14" x14ac:dyDescent="0.3">
      <c r="A88" s="7" t="s">
        <v>138</v>
      </c>
      <c r="B88" s="22">
        <v>15.545999999999999</v>
      </c>
      <c r="C88" s="29">
        <v>0.46</v>
      </c>
      <c r="D88" s="29">
        <v>5120.1499999999996</v>
      </c>
      <c r="E88" s="20">
        <v>2.2000000000000002</v>
      </c>
      <c r="F88" s="21" t="s">
        <v>190</v>
      </c>
      <c r="G88" s="20" t="s">
        <v>190</v>
      </c>
      <c r="H88" s="20">
        <v>80.058000000000007</v>
      </c>
      <c r="I88" s="20">
        <v>4.0039999999999996</v>
      </c>
      <c r="J88" s="23" t="s">
        <v>190</v>
      </c>
      <c r="K88" s="8" t="s">
        <v>139</v>
      </c>
      <c r="L88" s="9"/>
      <c r="M88" s="9"/>
      <c r="N88" s="6"/>
    </row>
    <row r="89" spans="1:14" x14ac:dyDescent="0.3">
      <c r="A89" s="55" t="s">
        <v>140</v>
      </c>
      <c r="B89" s="56">
        <f>SUM(B91:B103)</f>
        <v>100.592</v>
      </c>
      <c r="C89" s="30">
        <f t="shared" ref="C89:J89" si="22">SUM(C91:C103)</f>
        <v>2.3839999999999995</v>
      </c>
      <c r="D89" s="30">
        <f t="shared" ref="D89" si="23">SUM(D91:D103)</f>
        <v>32052.435000000001</v>
      </c>
      <c r="E89" s="30">
        <f t="shared" si="22"/>
        <v>20.812000000000001</v>
      </c>
      <c r="F89" s="30">
        <f t="shared" si="22"/>
        <v>5.64</v>
      </c>
      <c r="G89" s="30">
        <f t="shared" si="22"/>
        <v>8.17</v>
      </c>
      <c r="H89" s="30">
        <f t="shared" si="22"/>
        <v>1340.126</v>
      </c>
      <c r="I89" s="30">
        <f t="shared" si="22"/>
        <v>9.5950000000000006</v>
      </c>
      <c r="J89" s="58">
        <f t="shared" si="22"/>
        <v>0</v>
      </c>
      <c r="K89" s="65" t="s">
        <v>141</v>
      </c>
      <c r="L89" s="65"/>
      <c r="M89" s="65"/>
      <c r="N89" s="6"/>
    </row>
    <row r="90" spans="1:14" x14ac:dyDescent="0.3">
      <c r="A90" s="55"/>
      <c r="B90" s="56"/>
      <c r="C90" s="30"/>
      <c r="D90" s="30"/>
      <c r="E90" s="30"/>
      <c r="F90" s="30"/>
      <c r="G90" s="30"/>
      <c r="H90" s="30"/>
      <c r="I90" s="30"/>
      <c r="J90" s="58"/>
      <c r="K90" s="65"/>
      <c r="L90" s="65"/>
      <c r="M90" s="65"/>
      <c r="N90" s="6"/>
    </row>
    <row r="91" spans="1:14" x14ac:dyDescent="0.3">
      <c r="A91" s="7" t="s">
        <v>142</v>
      </c>
      <c r="B91" s="22">
        <v>3.5999999999999997E-2</v>
      </c>
      <c r="C91" s="20">
        <v>3.0000000000000001E-3</v>
      </c>
      <c r="D91" s="20">
        <v>474.9</v>
      </c>
      <c r="E91" s="20" t="s">
        <v>190</v>
      </c>
      <c r="F91" s="21" t="s">
        <v>190</v>
      </c>
      <c r="G91" s="20" t="s">
        <v>190</v>
      </c>
      <c r="H91" s="20">
        <v>10.26</v>
      </c>
      <c r="I91" s="20" t="s">
        <v>190</v>
      </c>
      <c r="J91" s="23" t="s">
        <v>190</v>
      </c>
      <c r="K91" s="8" t="s">
        <v>143</v>
      </c>
      <c r="L91" s="9"/>
      <c r="M91" s="9"/>
      <c r="N91" s="6"/>
    </row>
    <row r="92" spans="1:14" x14ac:dyDescent="0.3">
      <c r="A92" s="7" t="s">
        <v>144</v>
      </c>
      <c r="B92" s="22">
        <v>0.93600000000000005</v>
      </c>
      <c r="C92" s="20">
        <v>0.249</v>
      </c>
      <c r="D92" s="20">
        <v>1717.8</v>
      </c>
      <c r="E92" s="20" t="s">
        <v>190</v>
      </c>
      <c r="F92" s="21" t="s">
        <v>190</v>
      </c>
      <c r="G92" s="20">
        <v>4.4000000000000004</v>
      </c>
      <c r="H92" s="20">
        <v>42.13</v>
      </c>
      <c r="I92" s="20">
        <v>0.3</v>
      </c>
      <c r="J92" s="23" t="s">
        <v>190</v>
      </c>
      <c r="K92" s="8" t="s">
        <v>145</v>
      </c>
      <c r="L92" s="9"/>
      <c r="M92" s="9"/>
      <c r="N92" s="6"/>
    </row>
    <row r="93" spans="1:14" x14ac:dyDescent="0.3">
      <c r="A93" s="7" t="s">
        <v>146</v>
      </c>
      <c r="B93" s="22">
        <v>0.18099999999999999</v>
      </c>
      <c r="C93" s="20">
        <v>3.0000000000000001E-3</v>
      </c>
      <c r="D93" s="20">
        <v>1484.8</v>
      </c>
      <c r="E93" s="20" t="s">
        <v>190</v>
      </c>
      <c r="F93" s="21" t="s">
        <v>190</v>
      </c>
      <c r="G93" s="20" t="s">
        <v>190</v>
      </c>
      <c r="H93" s="20">
        <v>165.58</v>
      </c>
      <c r="I93" s="20">
        <v>1.33</v>
      </c>
      <c r="J93" s="23" t="s">
        <v>190</v>
      </c>
      <c r="K93" s="8" t="s">
        <v>147</v>
      </c>
      <c r="L93" s="9"/>
      <c r="M93" s="9"/>
      <c r="N93" s="6"/>
    </row>
    <row r="94" spans="1:14" x14ac:dyDescent="0.3">
      <c r="A94" s="7" t="s">
        <v>148</v>
      </c>
      <c r="B94" s="22">
        <v>13.372</v>
      </c>
      <c r="C94" s="20">
        <v>3.9E-2</v>
      </c>
      <c r="D94" s="20">
        <v>3406.95</v>
      </c>
      <c r="E94" s="20">
        <v>4.9800000000000004</v>
      </c>
      <c r="F94" s="21" t="s">
        <v>190</v>
      </c>
      <c r="G94" s="20" t="s">
        <v>190</v>
      </c>
      <c r="H94" s="20">
        <v>149.75</v>
      </c>
      <c r="I94" s="20">
        <v>1.085</v>
      </c>
      <c r="J94" s="23" t="s">
        <v>190</v>
      </c>
      <c r="K94" s="8" t="s">
        <v>149</v>
      </c>
      <c r="L94" s="9"/>
      <c r="M94" s="9"/>
      <c r="N94" s="6"/>
    </row>
    <row r="95" spans="1:14" x14ac:dyDescent="0.3">
      <c r="A95" s="7" t="s">
        <v>150</v>
      </c>
      <c r="B95" s="22">
        <v>10.007999999999999</v>
      </c>
      <c r="C95" s="20">
        <v>1E-3</v>
      </c>
      <c r="D95" s="20">
        <v>388.5</v>
      </c>
      <c r="E95" s="20">
        <v>1.1619999999999999</v>
      </c>
      <c r="F95" s="21" t="s">
        <v>190</v>
      </c>
      <c r="G95" s="20" t="s">
        <v>190</v>
      </c>
      <c r="H95" s="20">
        <v>18.27</v>
      </c>
      <c r="I95" s="20">
        <v>1.639</v>
      </c>
      <c r="J95" s="23" t="s">
        <v>190</v>
      </c>
      <c r="K95" s="8" t="s">
        <v>151</v>
      </c>
      <c r="L95" s="9"/>
      <c r="M95" s="9"/>
      <c r="N95" s="6"/>
    </row>
    <row r="96" spans="1:14" x14ac:dyDescent="0.3">
      <c r="A96" s="7" t="s">
        <v>152</v>
      </c>
      <c r="B96" s="22">
        <v>2.5000000000000001E-2</v>
      </c>
      <c r="C96" s="20">
        <v>5.0000000000000001E-3</v>
      </c>
      <c r="D96" s="20">
        <v>948.86</v>
      </c>
      <c r="E96" s="20" t="s">
        <v>190</v>
      </c>
      <c r="F96" s="21" t="s">
        <v>190</v>
      </c>
      <c r="G96" s="20" t="s">
        <v>190</v>
      </c>
      <c r="H96" s="20">
        <v>51.597000000000001</v>
      </c>
      <c r="I96" s="20" t="s">
        <v>190</v>
      </c>
      <c r="J96" s="23" t="s">
        <v>190</v>
      </c>
      <c r="K96" s="8" t="s">
        <v>153</v>
      </c>
      <c r="L96" s="9"/>
      <c r="M96" s="9"/>
      <c r="N96" s="6"/>
    </row>
    <row r="97" spans="1:14" x14ac:dyDescent="0.3">
      <c r="A97" s="7" t="s">
        <v>154</v>
      </c>
      <c r="B97" s="22">
        <v>7.875</v>
      </c>
      <c r="C97" s="20">
        <v>0.42199999999999999</v>
      </c>
      <c r="D97" s="20">
        <v>1322.575</v>
      </c>
      <c r="E97" s="20">
        <v>14.67</v>
      </c>
      <c r="F97" s="21">
        <v>5.64</v>
      </c>
      <c r="G97" s="20">
        <v>1.35</v>
      </c>
      <c r="H97" s="20">
        <v>183.2</v>
      </c>
      <c r="I97" s="20">
        <v>1.964</v>
      </c>
      <c r="J97" s="23" t="s">
        <v>190</v>
      </c>
      <c r="K97" s="8" t="s">
        <v>155</v>
      </c>
      <c r="L97" s="9"/>
      <c r="M97" s="9"/>
      <c r="N97" s="6"/>
    </row>
    <row r="98" spans="1:14" x14ac:dyDescent="0.3">
      <c r="A98" s="7" t="s">
        <v>156</v>
      </c>
      <c r="B98" s="22">
        <v>13.702999999999999</v>
      </c>
      <c r="C98" s="20">
        <v>3.0000000000000001E-3</v>
      </c>
      <c r="D98" s="20">
        <v>870</v>
      </c>
      <c r="E98" s="20" t="s">
        <v>190</v>
      </c>
      <c r="F98" s="21" t="s">
        <v>190</v>
      </c>
      <c r="G98" s="20">
        <v>2.42</v>
      </c>
      <c r="H98" s="20">
        <v>24.94</v>
      </c>
      <c r="I98" s="20">
        <v>0.35499999999999998</v>
      </c>
      <c r="J98" s="23" t="s">
        <v>190</v>
      </c>
      <c r="K98" s="8" t="s">
        <v>157</v>
      </c>
      <c r="L98" s="9"/>
      <c r="M98" s="9"/>
      <c r="N98" s="6"/>
    </row>
    <row r="99" spans="1:14" x14ac:dyDescent="0.3">
      <c r="A99" s="7" t="s">
        <v>158</v>
      </c>
      <c r="B99" s="22">
        <v>0.02</v>
      </c>
      <c r="C99" s="20">
        <v>2E-3</v>
      </c>
      <c r="D99" s="20">
        <v>399.76</v>
      </c>
      <c r="E99" s="20" t="s">
        <v>190</v>
      </c>
      <c r="F99" s="21" t="s">
        <v>190</v>
      </c>
      <c r="G99" s="20" t="s">
        <v>190</v>
      </c>
      <c r="H99" s="20">
        <v>0.88900000000000001</v>
      </c>
      <c r="I99" s="20" t="s">
        <v>190</v>
      </c>
      <c r="J99" s="23" t="s">
        <v>190</v>
      </c>
      <c r="K99" s="8" t="s">
        <v>159</v>
      </c>
      <c r="L99" s="9"/>
      <c r="M99" s="9"/>
      <c r="N99" s="6"/>
    </row>
    <row r="100" spans="1:14" x14ac:dyDescent="0.3">
      <c r="A100" s="7" t="s">
        <v>160</v>
      </c>
      <c r="B100" s="22">
        <v>53.139000000000003</v>
      </c>
      <c r="C100" s="20">
        <v>1.649</v>
      </c>
      <c r="D100" s="20">
        <v>3292.85</v>
      </c>
      <c r="E100" s="20" t="s">
        <v>190</v>
      </c>
      <c r="F100" s="21" t="s">
        <v>190</v>
      </c>
      <c r="G100" s="20" t="s">
        <v>190</v>
      </c>
      <c r="H100" s="20">
        <v>57.49</v>
      </c>
      <c r="I100" s="20">
        <v>0.88700000000000001</v>
      </c>
      <c r="J100" s="23" t="s">
        <v>190</v>
      </c>
      <c r="K100" s="8" t="s">
        <v>161</v>
      </c>
      <c r="L100" s="9"/>
      <c r="M100" s="9"/>
      <c r="N100" s="6"/>
    </row>
    <row r="101" spans="1:14" x14ac:dyDescent="0.3">
      <c r="A101" s="7" t="s">
        <v>162</v>
      </c>
      <c r="B101" s="22">
        <v>2E-3</v>
      </c>
      <c r="C101" s="20">
        <v>1E-3</v>
      </c>
      <c r="D101" s="20">
        <v>438</v>
      </c>
      <c r="E101" s="20" t="s">
        <v>190</v>
      </c>
      <c r="F101" s="21" t="s">
        <v>190</v>
      </c>
      <c r="G101" s="20" t="s">
        <v>190</v>
      </c>
      <c r="H101" s="20">
        <v>65.174999999999997</v>
      </c>
      <c r="I101" s="20">
        <v>0.86</v>
      </c>
      <c r="J101" s="23" t="s">
        <v>190</v>
      </c>
      <c r="K101" s="8" t="s">
        <v>163</v>
      </c>
      <c r="L101" s="9"/>
      <c r="M101" s="9"/>
      <c r="N101" s="6"/>
    </row>
    <row r="102" spans="1:14" x14ac:dyDescent="0.3">
      <c r="A102" s="7" t="s">
        <v>164</v>
      </c>
      <c r="B102" s="22">
        <v>1.292</v>
      </c>
      <c r="C102" s="20">
        <v>6.0000000000000001E-3</v>
      </c>
      <c r="D102" s="20">
        <v>16581.14</v>
      </c>
      <c r="E102" s="20" t="s">
        <v>190</v>
      </c>
      <c r="F102" s="21" t="s">
        <v>190</v>
      </c>
      <c r="G102" s="20" t="s">
        <v>190</v>
      </c>
      <c r="H102" s="20">
        <v>542.375</v>
      </c>
      <c r="I102" s="20">
        <v>1.175</v>
      </c>
      <c r="J102" s="23" t="s">
        <v>190</v>
      </c>
      <c r="K102" s="8" t="s">
        <v>165</v>
      </c>
      <c r="L102" s="9"/>
      <c r="M102" s="9"/>
      <c r="N102" s="6"/>
    </row>
    <row r="103" spans="1:14" x14ac:dyDescent="0.3">
      <c r="A103" s="7" t="s">
        <v>166</v>
      </c>
      <c r="B103" s="22">
        <v>3.0000000000000001E-3</v>
      </c>
      <c r="C103" s="20">
        <v>1E-3</v>
      </c>
      <c r="D103" s="20">
        <v>726.3</v>
      </c>
      <c r="E103" s="20" t="s">
        <v>190</v>
      </c>
      <c r="F103" s="21" t="s">
        <v>190</v>
      </c>
      <c r="G103" s="20" t="s">
        <v>190</v>
      </c>
      <c r="H103" s="20">
        <v>28.47</v>
      </c>
      <c r="I103" s="20" t="s">
        <v>190</v>
      </c>
      <c r="J103" s="23" t="s">
        <v>190</v>
      </c>
      <c r="K103" s="8" t="s">
        <v>167</v>
      </c>
      <c r="L103" s="9"/>
      <c r="M103" s="9"/>
      <c r="N103" s="6"/>
    </row>
    <row r="104" spans="1:14" x14ac:dyDescent="0.3">
      <c r="A104" s="55" t="s">
        <v>168</v>
      </c>
      <c r="B104" s="56">
        <f>SUM(B106:B109)</f>
        <v>459.66699999999997</v>
      </c>
      <c r="C104" s="30">
        <f t="shared" ref="C104:J104" si="24">SUM(C106:C109)</f>
        <v>1.9319999999999999</v>
      </c>
      <c r="D104" s="30">
        <f t="shared" ref="D104" si="25">SUM(D106:D109)</f>
        <v>86606.13</v>
      </c>
      <c r="E104" s="30">
        <f t="shared" si="24"/>
        <v>598.21600000000001</v>
      </c>
      <c r="F104" s="30">
        <f t="shared" si="24"/>
        <v>41.506</v>
      </c>
      <c r="G104" s="30">
        <f t="shared" si="24"/>
        <v>299.67399999999998</v>
      </c>
      <c r="H104" s="30">
        <f t="shared" si="24"/>
        <v>3112.7159999999999</v>
      </c>
      <c r="I104" s="30">
        <f t="shared" si="24"/>
        <v>210.87700000000001</v>
      </c>
      <c r="J104" s="58">
        <f t="shared" si="24"/>
        <v>0</v>
      </c>
      <c r="K104" s="65" t="s">
        <v>169</v>
      </c>
      <c r="L104" s="65"/>
      <c r="M104" s="65"/>
      <c r="N104" s="6"/>
    </row>
    <row r="105" spans="1:14" x14ac:dyDescent="0.3">
      <c r="A105" s="55"/>
      <c r="B105" s="56"/>
      <c r="C105" s="30"/>
      <c r="D105" s="30"/>
      <c r="E105" s="30"/>
      <c r="F105" s="30"/>
      <c r="G105" s="30"/>
      <c r="H105" s="30"/>
      <c r="I105" s="30"/>
      <c r="J105" s="58"/>
      <c r="K105" s="65"/>
      <c r="L105" s="65"/>
      <c r="M105" s="65"/>
      <c r="N105" s="6"/>
    </row>
    <row r="106" spans="1:14" x14ac:dyDescent="0.3">
      <c r="A106" s="7" t="s">
        <v>170</v>
      </c>
      <c r="B106" s="22">
        <v>140.44300000000001</v>
      </c>
      <c r="C106" s="20">
        <v>0.77</v>
      </c>
      <c r="D106" s="20">
        <v>33570.120000000003</v>
      </c>
      <c r="E106" s="20">
        <v>486.83300000000003</v>
      </c>
      <c r="F106" s="21">
        <v>34.155999999999999</v>
      </c>
      <c r="G106" s="20">
        <v>0.5</v>
      </c>
      <c r="H106" s="20">
        <v>1702.883</v>
      </c>
      <c r="I106" s="20">
        <v>170.155</v>
      </c>
      <c r="J106" s="23" t="s">
        <v>190</v>
      </c>
      <c r="K106" s="8" t="s">
        <v>171</v>
      </c>
      <c r="L106" s="9"/>
      <c r="M106" s="9"/>
      <c r="N106" s="6"/>
    </row>
    <row r="107" spans="1:14" x14ac:dyDescent="0.3">
      <c r="A107" s="7" t="s">
        <v>172</v>
      </c>
      <c r="B107" s="22">
        <v>10.766999999999999</v>
      </c>
      <c r="C107" s="20">
        <v>1E-3</v>
      </c>
      <c r="D107" s="20">
        <v>1444.71</v>
      </c>
      <c r="E107" s="20">
        <v>31.434000000000001</v>
      </c>
      <c r="F107" s="21">
        <v>7</v>
      </c>
      <c r="G107" s="20" t="s">
        <v>190</v>
      </c>
      <c r="H107" s="20">
        <v>315.13099999999997</v>
      </c>
      <c r="I107" s="20">
        <v>9.6210000000000004</v>
      </c>
      <c r="J107" s="23" t="s">
        <v>190</v>
      </c>
      <c r="K107" s="8" t="s">
        <v>173</v>
      </c>
      <c r="L107" s="9"/>
      <c r="M107" s="9"/>
      <c r="N107" s="6"/>
    </row>
    <row r="108" spans="1:14" x14ac:dyDescent="0.3">
      <c r="A108" s="7" t="s">
        <v>174</v>
      </c>
      <c r="B108" s="22">
        <v>179.34399999999999</v>
      </c>
      <c r="C108" s="20" t="s">
        <v>190</v>
      </c>
      <c r="D108" s="20">
        <v>40323.826000000001</v>
      </c>
      <c r="E108" s="20" t="s">
        <v>190</v>
      </c>
      <c r="F108" s="21">
        <v>0.35</v>
      </c>
      <c r="G108" s="20">
        <v>299.17399999999998</v>
      </c>
      <c r="H108" s="20">
        <v>381.14</v>
      </c>
      <c r="I108" s="20">
        <v>10.365</v>
      </c>
      <c r="J108" s="23" t="s">
        <v>190</v>
      </c>
      <c r="K108" s="8" t="s">
        <v>175</v>
      </c>
      <c r="L108" s="9"/>
      <c r="M108" s="9"/>
      <c r="N108" s="6"/>
    </row>
    <row r="109" spans="1:14" ht="15.65" thickBot="1" x14ac:dyDescent="0.35">
      <c r="A109" s="16" t="s">
        <v>176</v>
      </c>
      <c r="B109" s="24">
        <v>129.113</v>
      </c>
      <c r="C109" s="26">
        <v>1.161</v>
      </c>
      <c r="D109" s="26">
        <v>11267.474</v>
      </c>
      <c r="E109" s="26">
        <v>79.948999999999998</v>
      </c>
      <c r="F109" s="25" t="s">
        <v>190</v>
      </c>
      <c r="G109" s="26" t="s">
        <v>190</v>
      </c>
      <c r="H109" s="26">
        <v>713.56200000000001</v>
      </c>
      <c r="I109" s="26">
        <v>20.736000000000001</v>
      </c>
      <c r="J109" s="27" t="s">
        <v>190</v>
      </c>
      <c r="K109" s="17" t="s">
        <v>177</v>
      </c>
      <c r="L109" s="18"/>
      <c r="M109" s="18"/>
      <c r="N109" s="6"/>
    </row>
  </sheetData>
  <mergeCells count="158">
    <mergeCell ref="F104:F105"/>
    <mergeCell ref="G104:G105"/>
    <mergeCell ref="F89:F90"/>
    <mergeCell ref="G89:G90"/>
    <mergeCell ref="F82:F83"/>
    <mergeCell ref="G82:G83"/>
    <mergeCell ref="J46:J47"/>
    <mergeCell ref="K46:M47"/>
    <mergeCell ref="J39:J40"/>
    <mergeCell ref="K39:M40"/>
    <mergeCell ref="J19:J20"/>
    <mergeCell ref="K19:M20"/>
    <mergeCell ref="I11:I12"/>
    <mergeCell ref="J11:J12"/>
    <mergeCell ref="K11:M12"/>
    <mergeCell ref="A104:A105"/>
    <mergeCell ref="B104:B105"/>
    <mergeCell ref="C104:C105"/>
    <mergeCell ref="E104:E105"/>
    <mergeCell ref="H104:H105"/>
    <mergeCell ref="I104:I105"/>
    <mergeCell ref="J82:J83"/>
    <mergeCell ref="K82:M83"/>
    <mergeCell ref="A89:A90"/>
    <mergeCell ref="B89:B90"/>
    <mergeCell ref="C89:C90"/>
    <mergeCell ref="E89:E90"/>
    <mergeCell ref="H89:H90"/>
    <mergeCell ref="I89:I90"/>
    <mergeCell ref="J89:J90"/>
    <mergeCell ref="K89:M90"/>
    <mergeCell ref="A82:A83"/>
    <mergeCell ref="B82:B83"/>
    <mergeCell ref="C82:C83"/>
    <mergeCell ref="E82:E83"/>
    <mergeCell ref="H82:H83"/>
    <mergeCell ref="I82:I83"/>
    <mergeCell ref="J104:J105"/>
    <mergeCell ref="K104:M105"/>
    <mergeCell ref="A72:A73"/>
    <mergeCell ref="B72:B73"/>
    <mergeCell ref="C72:C73"/>
    <mergeCell ref="E72:E73"/>
    <mergeCell ref="H72:H73"/>
    <mergeCell ref="I72:I73"/>
    <mergeCell ref="J72:J73"/>
    <mergeCell ref="K72:M73"/>
    <mergeCell ref="A65:A66"/>
    <mergeCell ref="B65:B66"/>
    <mergeCell ref="C65:C66"/>
    <mergeCell ref="E65:E66"/>
    <mergeCell ref="H65:H66"/>
    <mergeCell ref="I65:I66"/>
    <mergeCell ref="J65:J66"/>
    <mergeCell ref="K65:M66"/>
    <mergeCell ref="F72:F73"/>
    <mergeCell ref="G72:G73"/>
    <mergeCell ref="F65:F66"/>
    <mergeCell ref="G65:G66"/>
    <mergeCell ref="D72:D73"/>
    <mergeCell ref="A60:A61"/>
    <mergeCell ref="B60:B61"/>
    <mergeCell ref="C60:C61"/>
    <mergeCell ref="E60:E61"/>
    <mergeCell ref="H60:H61"/>
    <mergeCell ref="I60:I61"/>
    <mergeCell ref="J60:J61"/>
    <mergeCell ref="K60:M61"/>
    <mergeCell ref="G53:G54"/>
    <mergeCell ref="A53:A54"/>
    <mergeCell ref="B53:B54"/>
    <mergeCell ref="C53:C54"/>
    <mergeCell ref="E53:E54"/>
    <mergeCell ref="H53:H54"/>
    <mergeCell ref="I53:I54"/>
    <mergeCell ref="J53:J54"/>
    <mergeCell ref="K53:M54"/>
    <mergeCell ref="F53:F54"/>
    <mergeCell ref="F60:F61"/>
    <mergeCell ref="G60:G61"/>
    <mergeCell ref="A46:A47"/>
    <mergeCell ref="B46:B47"/>
    <mergeCell ref="C46:C47"/>
    <mergeCell ref="E46:E47"/>
    <mergeCell ref="H46:H47"/>
    <mergeCell ref="I46:I47"/>
    <mergeCell ref="F46:F47"/>
    <mergeCell ref="G46:G47"/>
    <mergeCell ref="A39:A40"/>
    <mergeCell ref="B39:B40"/>
    <mergeCell ref="C39:C40"/>
    <mergeCell ref="E39:E40"/>
    <mergeCell ref="H39:H40"/>
    <mergeCell ref="I39:I40"/>
    <mergeCell ref="F39:F40"/>
    <mergeCell ref="G39:G40"/>
    <mergeCell ref="A33:A34"/>
    <mergeCell ref="B33:B34"/>
    <mergeCell ref="C33:C34"/>
    <mergeCell ref="E33:E34"/>
    <mergeCell ref="H33:H34"/>
    <mergeCell ref="I33:I34"/>
    <mergeCell ref="J33:J34"/>
    <mergeCell ref="K33:M34"/>
    <mergeCell ref="A19:A20"/>
    <mergeCell ref="B19:B20"/>
    <mergeCell ref="C19:C20"/>
    <mergeCell ref="E19:E20"/>
    <mergeCell ref="H19:H20"/>
    <mergeCell ref="I19:I20"/>
    <mergeCell ref="G19:G20"/>
    <mergeCell ref="F33:F34"/>
    <mergeCell ref="G33:G34"/>
    <mergeCell ref="F19:F20"/>
    <mergeCell ref="A11:A12"/>
    <mergeCell ref="B11:B12"/>
    <mergeCell ref="C11:C12"/>
    <mergeCell ref="E11:E12"/>
    <mergeCell ref="J9:J10"/>
    <mergeCell ref="K9:M10"/>
    <mergeCell ref="H5:H8"/>
    <mergeCell ref="F9:F10"/>
    <mergeCell ref="G9:G10"/>
    <mergeCell ref="F5:F8"/>
    <mergeCell ref="G5:G8"/>
    <mergeCell ref="A9:A10"/>
    <mergeCell ref="B9:B10"/>
    <mergeCell ref="C9:C10"/>
    <mergeCell ref="E9:E10"/>
    <mergeCell ref="E5:E8"/>
    <mergeCell ref="I9:I10"/>
    <mergeCell ref="F11:F12"/>
    <mergeCell ref="G11:G12"/>
    <mergeCell ref="H9:H10"/>
    <mergeCell ref="H11:H12"/>
    <mergeCell ref="A2:M2"/>
    <mergeCell ref="A3:M3"/>
    <mergeCell ref="L4:M4"/>
    <mergeCell ref="A5:A8"/>
    <mergeCell ref="B5:C6"/>
    <mergeCell ref="I5:I8"/>
    <mergeCell ref="J5:J8"/>
    <mergeCell ref="K5:M8"/>
    <mergeCell ref="B7:B8"/>
    <mergeCell ref="C7:C8"/>
    <mergeCell ref="D5:D8"/>
    <mergeCell ref="D82:D83"/>
    <mergeCell ref="D89:D90"/>
    <mergeCell ref="D104:D105"/>
    <mergeCell ref="D9:D10"/>
    <mergeCell ref="D11:D12"/>
    <mergeCell ref="D19:D20"/>
    <mergeCell ref="D33:D34"/>
    <mergeCell ref="D39:D40"/>
    <mergeCell ref="D46:D47"/>
    <mergeCell ref="D53:D54"/>
    <mergeCell ref="D60:D61"/>
    <mergeCell ref="D65:D66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2015-05-19T07:21:10Z</cp:lastPrinted>
  <dcterms:created xsi:type="dcterms:W3CDTF">2015-05-19T06:55:03Z</dcterms:created>
  <dcterms:modified xsi:type="dcterms:W3CDTF">2021-06-09T08:45:05Z</dcterms:modified>
</cp:coreProperties>
</file>