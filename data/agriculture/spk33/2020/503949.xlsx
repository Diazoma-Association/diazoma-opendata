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2DCC641E-818B-4442-96DC-0D166B2C468F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D12" i="1"/>
  <c r="B12" i="1" s="1"/>
  <c r="C27" i="1"/>
  <c r="C81" i="1"/>
  <c r="C88" i="1"/>
  <c r="C103" i="1"/>
  <c r="C71" i="1"/>
  <c r="C64" i="1"/>
  <c r="C52" i="1"/>
  <c r="C59" i="1"/>
  <c r="C45" i="1"/>
  <c r="C32" i="1"/>
  <c r="C18" i="1"/>
  <c r="C38" i="1"/>
  <c r="C10" i="1"/>
  <c r="C8" i="1" l="1"/>
  <c r="D13" i="1"/>
  <c r="E13" i="1"/>
  <c r="B13" i="1" l="1"/>
  <c r="E108" i="1"/>
  <c r="E107" i="1"/>
  <c r="E106" i="1"/>
  <c r="E105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7" i="1"/>
  <c r="E86" i="1"/>
  <c r="E85" i="1"/>
  <c r="E84" i="1"/>
  <c r="E83" i="1"/>
  <c r="E80" i="1"/>
  <c r="E79" i="1"/>
  <c r="E78" i="1"/>
  <c r="E77" i="1"/>
  <c r="E76" i="1"/>
  <c r="E75" i="1"/>
  <c r="E74" i="1"/>
  <c r="E73" i="1"/>
  <c r="E70" i="1"/>
  <c r="E69" i="1"/>
  <c r="E68" i="1"/>
  <c r="E67" i="1"/>
  <c r="E66" i="1"/>
  <c r="E63" i="1"/>
  <c r="E62" i="1"/>
  <c r="E61" i="1"/>
  <c r="E58" i="1"/>
  <c r="E57" i="1"/>
  <c r="E56" i="1"/>
  <c r="E55" i="1"/>
  <c r="E54" i="1"/>
  <c r="E51" i="1"/>
  <c r="E50" i="1"/>
  <c r="E49" i="1"/>
  <c r="E48" i="1"/>
  <c r="E47" i="1"/>
  <c r="E44" i="1"/>
  <c r="E43" i="1"/>
  <c r="E42" i="1"/>
  <c r="E41" i="1"/>
  <c r="E40" i="1"/>
  <c r="E37" i="1"/>
  <c r="E36" i="1"/>
  <c r="E35" i="1"/>
  <c r="E34" i="1"/>
  <c r="E31" i="1"/>
  <c r="E30" i="1"/>
  <c r="E29" i="1"/>
  <c r="E28" i="1"/>
  <c r="E26" i="1"/>
  <c r="E25" i="1"/>
  <c r="E24" i="1"/>
  <c r="E23" i="1"/>
  <c r="E22" i="1"/>
  <c r="E21" i="1"/>
  <c r="E20" i="1"/>
  <c r="E14" i="1"/>
  <c r="D108" i="1"/>
  <c r="D107" i="1"/>
  <c r="D106" i="1"/>
  <c r="D105" i="1"/>
  <c r="D102" i="1"/>
  <c r="D101" i="1"/>
  <c r="D100" i="1"/>
  <c r="B100" i="1" s="1"/>
  <c r="D99" i="1"/>
  <c r="D98" i="1"/>
  <c r="B98" i="1" s="1"/>
  <c r="D97" i="1"/>
  <c r="D96" i="1"/>
  <c r="B96" i="1" s="1"/>
  <c r="D95" i="1"/>
  <c r="D94" i="1"/>
  <c r="D93" i="1"/>
  <c r="D92" i="1"/>
  <c r="B92" i="1" s="1"/>
  <c r="D91" i="1"/>
  <c r="D90" i="1"/>
  <c r="B90" i="1" s="1"/>
  <c r="D87" i="1"/>
  <c r="D86" i="1"/>
  <c r="D85" i="1"/>
  <c r="D84" i="1"/>
  <c r="D83" i="1"/>
  <c r="D80" i="1"/>
  <c r="D79" i="1"/>
  <c r="D78" i="1"/>
  <c r="D77" i="1"/>
  <c r="B77" i="1" s="1"/>
  <c r="D76" i="1"/>
  <c r="D75" i="1"/>
  <c r="B75" i="1" s="1"/>
  <c r="D74" i="1"/>
  <c r="D73" i="1"/>
  <c r="D70" i="1"/>
  <c r="D69" i="1"/>
  <c r="D68" i="1"/>
  <c r="D67" i="1"/>
  <c r="B67" i="1" s="1"/>
  <c r="D66" i="1"/>
  <c r="D63" i="1"/>
  <c r="D62" i="1"/>
  <c r="D61" i="1"/>
  <c r="D58" i="1"/>
  <c r="B58" i="1" s="1"/>
  <c r="D57" i="1"/>
  <c r="D56" i="1"/>
  <c r="B56" i="1" s="1"/>
  <c r="D55" i="1"/>
  <c r="D54" i="1"/>
  <c r="B54" i="1" s="1"/>
  <c r="D51" i="1"/>
  <c r="D50" i="1"/>
  <c r="D49" i="1"/>
  <c r="D48" i="1"/>
  <c r="D47" i="1"/>
  <c r="D44" i="1"/>
  <c r="B44" i="1" s="1"/>
  <c r="D43" i="1"/>
  <c r="D42" i="1"/>
  <c r="D41" i="1"/>
  <c r="D40" i="1"/>
  <c r="B40" i="1" s="1"/>
  <c r="D37" i="1"/>
  <c r="D36" i="1"/>
  <c r="D35" i="1"/>
  <c r="D34" i="1"/>
  <c r="B34" i="1" s="1"/>
  <c r="D31" i="1"/>
  <c r="B31" i="1" s="1"/>
  <c r="D30" i="1"/>
  <c r="D29" i="1"/>
  <c r="B29" i="1" s="1"/>
  <c r="D28" i="1"/>
  <c r="D26" i="1"/>
  <c r="D25" i="1"/>
  <c r="D24" i="1"/>
  <c r="D23" i="1"/>
  <c r="D22" i="1"/>
  <c r="D21" i="1"/>
  <c r="D20" i="1"/>
  <c r="E15" i="1"/>
  <c r="E16" i="1"/>
  <c r="E17" i="1"/>
  <c r="D14" i="1"/>
  <c r="B14" i="1" s="1"/>
  <c r="D15" i="1"/>
  <c r="B15" i="1" s="1"/>
  <c r="D16" i="1"/>
  <c r="B16" i="1" s="1"/>
  <c r="D17" i="1"/>
  <c r="F10" i="1"/>
  <c r="F18" i="1"/>
  <c r="F103" i="1"/>
  <c r="F88" i="1"/>
  <c r="F81" i="1"/>
  <c r="F71" i="1"/>
  <c r="F64" i="1"/>
  <c r="F59" i="1"/>
  <c r="F52" i="1"/>
  <c r="F45" i="1"/>
  <c r="F38" i="1"/>
  <c r="F32" i="1"/>
  <c r="F27" i="1"/>
  <c r="G10" i="1"/>
  <c r="G27" i="1"/>
  <c r="H27" i="1"/>
  <c r="I27" i="1"/>
  <c r="J27" i="1"/>
  <c r="K27" i="1"/>
  <c r="L27" i="1"/>
  <c r="M27" i="1"/>
  <c r="H18" i="1"/>
  <c r="G18" i="1"/>
  <c r="I18" i="1"/>
  <c r="J18" i="1"/>
  <c r="K18" i="1"/>
  <c r="L18" i="1"/>
  <c r="M18" i="1"/>
  <c r="M103" i="1"/>
  <c r="L103" i="1"/>
  <c r="K103" i="1"/>
  <c r="J103" i="1"/>
  <c r="I103" i="1"/>
  <c r="H103" i="1"/>
  <c r="G103" i="1"/>
  <c r="M88" i="1"/>
  <c r="L88" i="1"/>
  <c r="K88" i="1"/>
  <c r="J88" i="1"/>
  <c r="I88" i="1"/>
  <c r="H88" i="1"/>
  <c r="G88" i="1"/>
  <c r="M81" i="1"/>
  <c r="L81" i="1"/>
  <c r="K81" i="1"/>
  <c r="J81" i="1"/>
  <c r="I81" i="1"/>
  <c r="H81" i="1"/>
  <c r="G81" i="1"/>
  <c r="M71" i="1"/>
  <c r="L71" i="1"/>
  <c r="K71" i="1"/>
  <c r="J71" i="1"/>
  <c r="I71" i="1"/>
  <c r="H71" i="1"/>
  <c r="G71" i="1"/>
  <c r="M64" i="1"/>
  <c r="L64" i="1"/>
  <c r="K64" i="1"/>
  <c r="J64" i="1"/>
  <c r="I64" i="1"/>
  <c r="H64" i="1"/>
  <c r="G64" i="1"/>
  <c r="M59" i="1"/>
  <c r="L59" i="1"/>
  <c r="K59" i="1"/>
  <c r="J59" i="1"/>
  <c r="I59" i="1"/>
  <c r="H59" i="1"/>
  <c r="G59" i="1"/>
  <c r="M52" i="1"/>
  <c r="L52" i="1"/>
  <c r="K52" i="1"/>
  <c r="J52" i="1"/>
  <c r="I52" i="1"/>
  <c r="H52" i="1"/>
  <c r="G52" i="1"/>
  <c r="M45" i="1"/>
  <c r="L45" i="1"/>
  <c r="K45" i="1"/>
  <c r="J45" i="1"/>
  <c r="I45" i="1"/>
  <c r="H45" i="1"/>
  <c r="G45" i="1"/>
  <c r="M38" i="1"/>
  <c r="L38" i="1"/>
  <c r="K38" i="1"/>
  <c r="J38" i="1"/>
  <c r="I38" i="1"/>
  <c r="H38" i="1"/>
  <c r="G38" i="1"/>
  <c r="M32" i="1"/>
  <c r="L32" i="1"/>
  <c r="K32" i="1"/>
  <c r="J32" i="1"/>
  <c r="I32" i="1"/>
  <c r="H32" i="1"/>
  <c r="G32" i="1"/>
  <c r="M10" i="1"/>
  <c r="L10" i="1"/>
  <c r="K10" i="1"/>
  <c r="J10" i="1"/>
  <c r="I10" i="1"/>
  <c r="H10" i="1"/>
  <c r="B102" i="1" l="1"/>
  <c r="B94" i="1"/>
  <c r="B73" i="1"/>
  <c r="B42" i="1"/>
  <c r="B17" i="1"/>
  <c r="B10" i="1" s="1"/>
  <c r="B79" i="1"/>
  <c r="B69" i="1"/>
  <c r="B105" i="1"/>
  <c r="B107" i="1"/>
  <c r="B83" i="1"/>
  <c r="B85" i="1"/>
  <c r="B87" i="1"/>
  <c r="B61" i="1"/>
  <c r="B63" i="1"/>
  <c r="B47" i="1"/>
  <c r="B49" i="1"/>
  <c r="B51" i="1"/>
  <c r="B35" i="1"/>
  <c r="B37" i="1"/>
  <c r="B20" i="1"/>
  <c r="B22" i="1"/>
  <c r="B24" i="1"/>
  <c r="B26" i="1"/>
  <c r="B106" i="1"/>
  <c r="B108" i="1"/>
  <c r="B91" i="1"/>
  <c r="B93" i="1"/>
  <c r="B95" i="1"/>
  <c r="B97" i="1"/>
  <c r="B99" i="1"/>
  <c r="B101" i="1"/>
  <c r="B84" i="1"/>
  <c r="B86" i="1"/>
  <c r="B74" i="1"/>
  <c r="B76" i="1"/>
  <c r="B78" i="1"/>
  <c r="B80" i="1"/>
  <c r="B66" i="1"/>
  <c r="B68" i="1"/>
  <c r="B70" i="1"/>
  <c r="B62" i="1"/>
  <c r="B55" i="1"/>
  <c r="B57" i="1"/>
  <c r="B48" i="1"/>
  <c r="B50" i="1"/>
  <c r="B41" i="1"/>
  <c r="B43" i="1"/>
  <c r="B36" i="1"/>
  <c r="B28" i="1"/>
  <c r="B30" i="1"/>
  <c r="B21" i="1"/>
  <c r="B23" i="1"/>
  <c r="B25" i="1"/>
  <c r="E64" i="1"/>
  <c r="E10" i="1"/>
  <c r="E81" i="1"/>
  <c r="E38" i="1"/>
  <c r="E32" i="1"/>
  <c r="D10" i="1"/>
  <c r="E103" i="1"/>
  <c r="E52" i="1"/>
  <c r="F8" i="1"/>
  <c r="E45" i="1"/>
  <c r="E59" i="1"/>
  <c r="D71" i="1"/>
  <c r="E27" i="1"/>
  <c r="E88" i="1"/>
  <c r="D103" i="1"/>
  <c r="D88" i="1"/>
  <c r="D27" i="1"/>
  <c r="D18" i="1"/>
  <c r="E71" i="1"/>
  <c r="E18" i="1"/>
  <c r="D64" i="1"/>
  <c r="D52" i="1"/>
  <c r="D38" i="1"/>
  <c r="D32" i="1"/>
  <c r="D81" i="1"/>
  <c r="D59" i="1"/>
  <c r="D45" i="1"/>
  <c r="J8" i="1"/>
  <c r="M8" i="1"/>
  <c r="I8" i="1"/>
  <c r="K8" i="1"/>
  <c r="L8" i="1"/>
  <c r="H8" i="1"/>
  <c r="G8" i="1"/>
  <c r="B59" i="1" l="1"/>
  <c r="B103" i="1"/>
  <c r="B52" i="1"/>
  <c r="B88" i="1"/>
  <c r="B81" i="1"/>
  <c r="B71" i="1"/>
  <c r="B45" i="1"/>
  <c r="B38" i="1"/>
  <c r="B18" i="1"/>
  <c r="B64" i="1"/>
  <c r="B32" i="1"/>
  <c r="B27" i="1"/>
  <c r="D8" i="1"/>
  <c r="E8" i="1"/>
  <c r="B8" i="1" l="1"/>
</calcChain>
</file>

<file path=xl/sharedStrings.xml><?xml version="1.0" encoding="utf-8"?>
<sst xmlns="http://schemas.openxmlformats.org/spreadsheetml/2006/main" count="406" uniqueCount="196">
  <si>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</si>
  <si>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</si>
  <si>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</si>
  <si>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</si>
  <si>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</si>
  <si>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</si>
  <si>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</si>
  <si>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</si>
  <si>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</si>
  <si>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</si>
  <si>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</si>
  <si>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</si>
  <si>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</si>
  <si>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</si>
  <si>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</si>
  <si>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</si>
  <si>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</si>
  <si>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</si>
  <si>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</si>
  <si>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</si>
  <si>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</si>
  <si>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</si>
  <si>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</si>
  <si>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</si>
  <si>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</si>
  <si>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</si>
  <si>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</si>
  <si>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</si>
  <si>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</si>
  <si>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</si>
  <si>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</si>
  <si>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</si>
  <si>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</si>
  <si>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</si>
  <si>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</si>
  <si>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</si>
  <si>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</si>
  <si>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</si>
  <si>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</si>
  <si>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</si>
  <si>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</si>
  <si>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</si>
  <si>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</si>
  <si>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</si>
  <si>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</si>
  <si>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</si>
  <si>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</si>
  <si>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</si>
  <si>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</si>
  <si>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</si>
  <si>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</si>
  <si>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</si>
  <si>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</si>
  <si>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</si>
  <si>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</si>
  <si>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</si>
  <si>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</si>
  <si>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</si>
  <si>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</si>
  <si>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</si>
  <si>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</si>
  <si>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</si>
  <si>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</si>
  <si>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</si>
  <si>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</si>
  <si>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</si>
  <si>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</si>
  <si>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</si>
  <si>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</si>
  <si>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</si>
  <si>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</si>
  <si>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</si>
  <si>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</si>
  <si>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</si>
  <si>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</si>
  <si>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</si>
  <si>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</si>
  <si>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</si>
  <si>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</si>
  <si>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</si>
  <si>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</si>
  <si>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</si>
  <si>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</si>
  <si>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</si>
  <si>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</si>
  <si>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</si>
  <si>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</si>
  <si>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</si>
  <si>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</si>
  <si>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</si>
  <si>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</si>
  <si>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</si>
  <si>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</si>
  <si>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</si>
  <si>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</si>
  <si>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</si>
  <si>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</si>
  <si>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</si>
  <si>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</si>
  <si>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</si>
  <si>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</si>
  <si>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</si>
  <si>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</si>
  <si>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</si>
  <si>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Region of Western Macedonia</t>
  </si>
  <si>
    <t>Περιφέρεια Δυτικής Μακεδονίας</t>
  </si>
  <si>
    <t>Σύνολο
Total</t>
  </si>
  <si>
    <t>Άρρενα
Male</t>
  </si>
  <si>
    <t>Θήλεα
Female</t>
  </si>
  <si>
    <t>Βουβάλια
Buffaloes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</si>
  <si>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</si>
  <si>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</si>
  <si>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</si>
  <si>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</si>
  <si>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</si>
  <si>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</si>
  <si>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</si>
  <si>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</si>
  <si>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</si>
  <si>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</si>
  <si>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</si>
  <si>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</si>
  <si>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</si>
  <si>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</si>
  <si>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</si>
  <si>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</si>
  <si>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</si>
  <si>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</si>
  <si>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</si>
  <si>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</si>
  <si>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</si>
  <si>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</si>
  <si>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</si>
  <si>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</si>
  <si>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</si>
  <si>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</si>
  <si>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</si>
  <si>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</si>
  <si>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</si>
  <si>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</si>
  <si>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</si>
  <si>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</si>
  <si>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</si>
  <si>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</si>
  <si>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</si>
  <si>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</si>
  <si>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</si>
  <si>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</si>
  <si>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</si>
  <si>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</si>
  <si>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</si>
  <si>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</si>
  <si>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</si>
  <si>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</si>
  <si>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</si>
  <si>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</si>
  <si>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</si>
  <si>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</si>
  <si>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</si>
  <si>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</si>
  <si>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</si>
  <si>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</si>
  <si>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</si>
  <si>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</si>
  <si>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</si>
  <si>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</si>
  <si>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</si>
  <si>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</si>
  <si>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</si>
  <si>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</si>
  <si>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</si>
  <si>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</si>
  <si>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</si>
  <si>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</si>
  <si>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</si>
  <si>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</si>
  <si>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</si>
  <si>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</si>
  <si>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</si>
  <si>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</si>
  <si>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</si>
  <si>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</si>
  <si>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</si>
  <si>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</si>
  <si>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Βοοειδή ενός (1) μέχρι δύο (2) ετών
Bovine animals 
between one (1) and two (2) years old</t>
  </si>
  <si>
    <t>Βοοειδή δύο (2) ετών και άνω
Bovine animals of two (2) years of age or more</t>
  </si>
  <si>
    <t>Αγελάδες γαλακτοπαραγωγής
Cows for milk production</t>
  </si>
  <si>
    <t>Βοοειδή άρρενα
Bovine male</t>
  </si>
  <si>
    <t>Δαμάλια
Heifers</t>
  </si>
  <si>
    <t>Άλλες αγελάδες (για παραγωγή βοοειδών πάχυνσης)
Other cows (reproductive of meat production bovine)</t>
  </si>
  <si>
    <t>Μοσχάρια, βόδια, ταύροι, δαμάλια και αγελάδες
Oxen, bulls, heifers and cows</t>
  </si>
  <si>
    <t>Γενικό σύνολο
General total</t>
  </si>
  <si>
    <t>Μοσχάρια
Calves</t>
  </si>
  <si>
    <t>—</t>
  </si>
  <si>
    <t>Πίνακας 2. Μοσχάρια, βόδια, ταύροι, δαμάλια, αγελάδες και βουβάλια (όλων των ηλικιών) στις 31.12.2020, κατά Περιφέρεια και Περιφερειακή Ενότητα</t>
  </si>
  <si>
    <t>Table 2. Calves, oxen, bulls, heifers, cows and buffaloes (all ages) on 31st December 2020,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</si>
</sst>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/>
    <xf numFmtId="0" fontId="3" fillId="0" borderId="2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wrapText="1" indent="1"/>
    </xf>
    <xf numFmtId="3" fontId="3" fillId="0" borderId="18" xfId="0" quotePrefix="1" applyNumberFormat="1" applyFont="1" applyBorder="1" applyAlignment="1">
      <alignment horizontal="right"/>
    </xf>
    <xf numFmtId="3" fontId="3" fillId="0" borderId="23" xfId="0" quotePrefix="1" applyNumberFormat="1" applyFont="1" applyBorder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vertical="center" wrapText="1"/>
    </xf>
    <xf numFmtId="3" fontId="2" fillId="0" borderId="18" xfId="0" quotePrefix="1" applyNumberFormat="1" applyFont="1" applyBorder="1" applyAlignment="1">
      <alignment horizontal="right" vertical="center"/>
    </xf>
    <xf numFmtId="3" fontId="2" fillId="0" borderId="23" xfId="0" quotePrefix="1" applyNumberFormat="1" applyFont="1" applyBorder="1" applyAlignment="1">
      <alignment horizontal="right" vertical="center"/>
    </xf>
    <xf numFmtId="3" fontId="2" fillId="0" borderId="5" xfId="0" quotePrefix="1" applyNumberFormat="1" applyFont="1" applyBorder="1" applyAlignment="1">
      <alignment horizontal="right" vertical="center"/>
    </xf>
    <xf numFmtId="3" fontId="2" fillId="0" borderId="19" xfId="0" quotePrefix="1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3" fontId="3" fillId="0" borderId="21" xfId="0" quotePrefix="1" applyNumberFormat="1" applyFont="1" applyBorder="1" applyAlignment="1">
      <alignment horizontal="right"/>
    </xf>
    <xf numFmtId="3" fontId="3" fillId="0" borderId="24" xfId="0" quotePrefix="1" applyNumberFormat="1" applyFont="1" applyBorder="1" applyAlignment="1">
      <alignment horizontal="right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0" fontId="1" fillId="0" borderId="0" xfId="0" applyFont="1" applyAlignment="1">
      <alignment horizontal="right" vertical="center"/>
    </xf>
    <xf numFmtId="0" fontId="6" fillId="0" borderId="1" xfId="0" applyFont="1" applyBorder="1" applyAlignment="1">
      <alignment horizontal="left"/>
    </xf>
    <xf numFmtId="0" fontId="8" fillId="0" borderId="0" xfId="0" applyFont="1" applyAlignment="1">
      <alignment vertical="center" wrapText="1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0" fontId="7" fillId="0" borderId="20" xfId="0" applyFont="1" applyBorder="1" applyAlignment="1">
      <alignment horizontal="right" vertical="top"/>
    </xf>
    <xf numFmtId="3" fontId="7" fillId="0" borderId="20" xfId="0" applyNumberFormat="1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3" fontId="7" fillId="0" borderId="8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7" fillId="0" borderId="28" xfId="0" applyFont="1" applyBorder="1" applyAlignment="1">
      <alignment horizontal="right" vertical="top"/>
    </xf>
    <xf numFmtId="0" fontId="3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3" fontId="3" fillId="0" borderId="5" xfId="0" quotePrefix="1" applyNumberFormat="1" applyFont="1" applyBorder="1" applyAlignment="1">
      <alignment horizontal="right"/>
    </xf>
    <xf numFmtId="3" fontId="7" fillId="0" borderId="23" xfId="0" applyNumberFormat="1" applyFont="1" applyBorder="1" applyAlignment="1">
      <alignment horizontal="right" vertical="top"/>
    </xf>
    <xf numFmtId="0" fontId="7" fillId="0" borderId="23" xfId="0" applyFont="1" applyBorder="1" applyAlignment="1">
      <alignment horizontal="right" vertical="top"/>
    </xf>
    <xf numFmtId="3" fontId="3" fillId="0" borderId="8" xfId="0" quotePrefix="1" applyNumberFormat="1" applyFont="1" applyBorder="1" applyAlignment="1">
      <alignment horizontal="right"/>
    </xf>
    <xf numFmtId="3" fontId="7" fillId="0" borderId="24" xfId="0" applyNumberFormat="1" applyFont="1" applyBorder="1" applyAlignment="1">
      <alignment horizontal="right" vertical="top"/>
    </xf>
    <xf numFmtId="3" fontId="2" fillId="0" borderId="18" xfId="0" applyNumberFormat="1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3" fontId="2" fillId="0" borderId="27" xfId="0" applyNumberFormat="1" applyFont="1" applyBorder="1" applyAlignment="1">
      <alignment horizontal="right" vertical="center" wrapText="1"/>
    </xf>
    <xf numFmtId="3" fontId="2" fillId="0" borderId="22" xfId="0" applyNumberFormat="1" applyFont="1" applyBorder="1" applyAlignment="1">
      <alignment horizontal="right" vertical="center" wrapText="1"/>
    </xf>
    <xf numFmtId="3" fontId="2" fillId="0" borderId="31" xfId="0" applyNumberFormat="1" applyFont="1" applyBorder="1" applyAlignment="1">
      <alignment horizontal="right" vertical="center" wrapText="1"/>
    </xf>
    <xf numFmtId="3" fontId="2" fillId="0" borderId="32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3" fontId="2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2" fillId="0" borderId="1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2" fillId="0" borderId="9" xfId="0" applyNumberFormat="1" applyFont="1" applyBorder="1" applyAlignment="1">
      <alignment horizontal="right" vertical="center" wrapText="1"/>
    </xf>
    <xf numFmtId="3" fontId="2" fillId="0" borderId="19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" fontId="2" fillId="0" borderId="19" xfId="0" applyNumberFormat="1" applyFont="1" applyBorder="1" applyAlignment="1">
      <alignment horizontal="right" vertical="center"/>
    </xf>
    <xf numFmtId="3" fontId="2" fillId="0" borderId="23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 wrapText="1" indent="1"/>
    </xf>
    <xf numFmtId="49" fontId="1" fillId="0" borderId="0" xfId="0" applyNumberFormat="1" applyFont="1" applyAlignment="1">
      <alignment horizontal="left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34"/>
  <sheetViews>
    <sheetView showGridLines="0" tabSelected="1" workbookViewId="0">
      <selection activeCell="H7" sqref="H7"/>
    </sheetView>
  </sheetViews>
  <sheetFormatPr defaultRowHeight="14.4" x14ac:dyDescent="0.3"/>
  <cols>
    <col min="1" max="1" width="43.109375" bestFit="1" customWidth="1"/>
    <col min="2" max="2" width="11" customWidth="1"/>
    <col min="3" max="3" width="10.33203125" customWidth="1"/>
    <col min="4" max="5" width="9.5546875" customWidth="1"/>
    <col min="6" max="6" width="9" customWidth="1"/>
    <col min="7" max="7" width="10" customWidth="1"/>
    <col min="8" max="8" width="17.33203125" customWidth="1"/>
    <col min="9" max="9" width="11.5546875" customWidth="1"/>
    <col min="10" max="10" width="8" bestFit="1" customWidth="1"/>
    <col min="11" max="11" width="16.33203125" customWidth="1"/>
    <col min="12" max="12" width="6.88671875" bestFit="1" customWidth="1"/>
    <col min="13" max="13" width="7" bestFit="1" customWidth="1"/>
    <col min="14" max="14" width="11.5546875" customWidth="1"/>
    <col min="15" max="15" width="10.21875" customWidth="1"/>
    <col min="16" max="16" width="16.33203125" customWidth="1"/>
    <col min="17" max="17" width="10.109375" customWidth="1"/>
  </cols>
  <sheetData>
    <row r="2" spans="1:17" ht="18" x14ac:dyDescent="0.3">
      <c r="A2" s="64" t="s">
        <v>194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1"/>
      <c r="Q2" s="2"/>
    </row>
    <row r="3" spans="1:17" ht="18" x14ac:dyDescent="0.3">
      <c r="A3" s="64" t="s">
        <v>195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38"/>
      <c r="P3" s="3"/>
      <c r="Q3" s="2"/>
    </row>
    <row r="4" spans="1:17" ht="15" thickBot="1" x14ac:dyDescent="0.35">
      <c r="A4" s="37" t="s">
        <v>102</v>
      </c>
      <c r="B4" s="37"/>
      <c r="C4" s="37"/>
      <c r="D4" s="4"/>
      <c r="E4" s="4"/>
      <c r="F4" s="4"/>
      <c r="G4" s="4"/>
      <c r="H4" s="4"/>
      <c r="I4" s="4"/>
      <c r="J4" s="73"/>
      <c r="K4" s="73"/>
      <c r="L4" s="73"/>
      <c r="M4" s="73"/>
      <c r="N4" s="5"/>
      <c r="O4" s="74" t="s">
        <v>103</v>
      </c>
      <c r="P4" s="74"/>
    </row>
    <row r="5" spans="1:17" ht="29.4" customHeight="1" x14ac:dyDescent="0.3">
      <c r="A5" s="66" t="s">
        <v>0</v>
      </c>
      <c r="B5" s="86" t="s">
        <v>190</v>
      </c>
      <c r="C5" s="87"/>
      <c r="D5" s="87"/>
      <c r="E5" s="87"/>
      <c r="F5" s="87"/>
      <c r="G5" s="87"/>
      <c r="H5" s="87"/>
      <c r="I5" s="87"/>
      <c r="J5" s="87"/>
      <c r="K5" s="88"/>
      <c r="L5" s="98" t="s">
        <v>109</v>
      </c>
      <c r="M5" s="99"/>
      <c r="N5" s="65" t="s">
        <v>1</v>
      </c>
      <c r="O5" s="66"/>
      <c r="P5" s="66"/>
    </row>
    <row r="6" spans="1:17" ht="90.15" customHeight="1" x14ac:dyDescent="0.3">
      <c r="A6" s="68"/>
      <c r="B6" s="59" t="s">
        <v>191</v>
      </c>
      <c r="C6" s="89" t="s">
        <v>192</v>
      </c>
      <c r="D6" s="82" t="s">
        <v>106</v>
      </c>
      <c r="E6" s="83"/>
      <c r="F6" s="79" t="s">
        <v>184</v>
      </c>
      <c r="G6" s="80"/>
      <c r="H6" s="79" t="s">
        <v>185</v>
      </c>
      <c r="I6" s="81"/>
      <c r="J6" s="81"/>
      <c r="K6" s="80"/>
      <c r="L6" s="106" t="s">
        <v>108</v>
      </c>
      <c r="M6" s="104" t="s">
        <v>107</v>
      </c>
      <c r="N6" s="67"/>
      <c r="O6" s="68"/>
      <c r="P6" s="68"/>
    </row>
    <row r="7" spans="1:17" ht="120" customHeight="1" x14ac:dyDescent="0.3">
      <c r="A7" s="70"/>
      <c r="B7" s="59"/>
      <c r="C7" s="89"/>
      <c r="D7" s="8" t="s">
        <v>108</v>
      </c>
      <c r="E7" s="48" t="s">
        <v>107</v>
      </c>
      <c r="F7" s="48" t="s">
        <v>108</v>
      </c>
      <c r="G7" s="7" t="s">
        <v>107</v>
      </c>
      <c r="H7" s="48" t="s">
        <v>186</v>
      </c>
      <c r="I7" s="8" t="s">
        <v>187</v>
      </c>
      <c r="J7" s="8" t="s">
        <v>188</v>
      </c>
      <c r="K7" s="49" t="s">
        <v>189</v>
      </c>
      <c r="L7" s="107"/>
      <c r="M7" s="105"/>
      <c r="N7" s="69"/>
      <c r="O7" s="70"/>
      <c r="P7" s="70"/>
    </row>
    <row r="8" spans="1:17" x14ac:dyDescent="0.3">
      <c r="A8" s="84" t="s">
        <v>2</v>
      </c>
      <c r="B8" s="60">
        <f>SUM(B10,B18,B27,B32,B38,B45,B52,B59,B64,B71,B81,B88,B103)</f>
        <v>742794</v>
      </c>
      <c r="C8" s="62">
        <f t="shared" ref="C8" si="0">SUM(C10,C18,C27,C32,C38,C45,C52,C59,C64,C71,C81,C88,C103)</f>
        <v>110471</v>
      </c>
      <c r="D8" s="62">
        <f>SUM(D10,D18,D27,D32,D38,D45,D52,D59,D64,D71,D81,D88,D103)</f>
        <v>504982</v>
      </c>
      <c r="E8" s="71">
        <f>SUM(E10,E18,E27,E32,E38,E45,E52,E59,E64,E71,E81,E88,E103)</f>
        <v>127341</v>
      </c>
      <c r="F8" s="71">
        <f>SUM(F10,F18,F27,F32,F38,F45,F52,F59,F64,F71,F81,F88,F103)</f>
        <v>100516</v>
      </c>
      <c r="G8" s="71">
        <f t="shared" ref="G8:M8" si="1">SUM(G10,G18,G27,G32,G38,G45,G52,G59,G64,G71,G81,G88,G103)</f>
        <v>88375</v>
      </c>
      <c r="H8" s="71">
        <f t="shared" si="1"/>
        <v>128864</v>
      </c>
      <c r="I8" s="71">
        <f t="shared" si="1"/>
        <v>37484</v>
      </c>
      <c r="J8" s="71">
        <f t="shared" si="1"/>
        <v>27559</v>
      </c>
      <c r="K8" s="71">
        <f t="shared" si="1"/>
        <v>244297</v>
      </c>
      <c r="L8" s="71">
        <f t="shared" si="1"/>
        <v>3746</v>
      </c>
      <c r="M8" s="77">
        <f t="shared" si="1"/>
        <v>1482</v>
      </c>
      <c r="N8" s="75" t="s">
        <v>3</v>
      </c>
      <c r="O8" s="75"/>
      <c r="P8" s="75"/>
    </row>
    <row r="9" spans="1:17" x14ac:dyDescent="0.3">
      <c r="A9" s="85"/>
      <c r="B9" s="61"/>
      <c r="C9" s="63"/>
      <c r="D9" s="63"/>
      <c r="E9" s="72"/>
      <c r="F9" s="72"/>
      <c r="G9" s="72"/>
      <c r="H9" s="72"/>
      <c r="I9" s="72"/>
      <c r="J9" s="72"/>
      <c r="K9" s="72"/>
      <c r="L9" s="72"/>
      <c r="M9" s="78"/>
      <c r="N9" s="76"/>
      <c r="O9" s="76"/>
      <c r="P9" s="76"/>
    </row>
    <row r="10" spans="1:17" ht="19.5" customHeight="1" x14ac:dyDescent="0.3">
      <c r="A10" s="85" t="s">
        <v>4</v>
      </c>
      <c r="B10" s="57">
        <f>SUM(B12:B17)</f>
        <v>111336</v>
      </c>
      <c r="C10" s="58">
        <f t="shared" ref="C10" si="2">SUM(C12:C17)</f>
        <v>16976</v>
      </c>
      <c r="D10" s="58">
        <f>SUM(D12:D17)</f>
        <v>78089</v>
      </c>
      <c r="E10" s="92">
        <f>SUM(E12:E17)</f>
        <v>16271</v>
      </c>
      <c r="F10" s="58">
        <f>SUM(F12:F17)</f>
        <v>16999</v>
      </c>
      <c r="G10" s="58">
        <f>SUM(G12:G17)</f>
        <v>12125</v>
      </c>
      <c r="H10" s="58">
        <f t="shared" ref="H10:M10" si="3">SUM(H12:H17)</f>
        <v>18638</v>
      </c>
      <c r="I10" s="58">
        <f t="shared" si="3"/>
        <v>4137</v>
      </c>
      <c r="J10" s="58">
        <f t="shared" si="3"/>
        <v>10938</v>
      </c>
      <c r="K10" s="58">
        <f t="shared" si="3"/>
        <v>31503</v>
      </c>
      <c r="L10" s="58">
        <f t="shared" si="3"/>
        <v>11</v>
      </c>
      <c r="M10" s="91">
        <f t="shared" si="3"/>
        <v>9</v>
      </c>
      <c r="N10" s="76" t="s">
        <v>5</v>
      </c>
      <c r="O10" s="76"/>
      <c r="P10" s="76"/>
    </row>
    <row r="11" spans="1:17" x14ac:dyDescent="0.3">
      <c r="A11" s="85"/>
      <c r="B11" s="57"/>
      <c r="C11" s="58"/>
      <c r="D11" s="58"/>
      <c r="E11" s="92"/>
      <c r="F11" s="58"/>
      <c r="G11" s="58"/>
      <c r="H11" s="58"/>
      <c r="I11" s="58"/>
      <c r="J11" s="58"/>
      <c r="K11" s="58"/>
      <c r="L11" s="58"/>
      <c r="M11" s="91"/>
      <c r="N11" s="76"/>
      <c r="O11" s="76"/>
      <c r="P11" s="76"/>
    </row>
    <row r="12" spans="1:17" x14ac:dyDescent="0.3">
      <c r="A12" s="9" t="s">
        <v>118</v>
      </c>
      <c r="B12" s="10">
        <f>SUM(C12:E12)</f>
        <v>26358</v>
      </c>
      <c r="C12" s="39">
        <v>3286</v>
      </c>
      <c r="D12" s="52">
        <f>SUM(F12,H12,J12,K12,L12)</f>
        <v>18368</v>
      </c>
      <c r="E12" s="11">
        <f>SUM(G12,I12,M12)</f>
        <v>4704</v>
      </c>
      <c r="F12" s="39">
        <v>4137</v>
      </c>
      <c r="G12" s="40">
        <v>3451</v>
      </c>
      <c r="H12" s="39">
        <v>2367</v>
      </c>
      <c r="I12" s="40">
        <v>1253</v>
      </c>
      <c r="J12" s="39">
        <v>2378</v>
      </c>
      <c r="K12" s="53">
        <v>9486</v>
      </c>
      <c r="L12" s="39" t="s">
        <v>193</v>
      </c>
      <c r="M12" s="41" t="s">
        <v>193</v>
      </c>
      <c r="N12" s="12" t="s">
        <v>6</v>
      </c>
      <c r="O12" s="13"/>
      <c r="P12" s="13"/>
    </row>
    <row r="13" spans="1:17" x14ac:dyDescent="0.3">
      <c r="A13" s="9" t="s">
        <v>119</v>
      </c>
      <c r="B13" s="10">
        <f t="shared" ref="B13:B17" si="4">SUM(C13:E13)</f>
        <v>24201</v>
      </c>
      <c r="C13" s="39">
        <v>4709</v>
      </c>
      <c r="D13" s="52">
        <f>SUM(F13,H13,J13,K13,L13)</f>
        <v>16370</v>
      </c>
      <c r="E13" s="11">
        <f>SUM(G13,I13,M13)</f>
        <v>3122</v>
      </c>
      <c r="F13" s="39">
        <v>3030</v>
      </c>
      <c r="G13" s="40">
        <v>1831</v>
      </c>
      <c r="H13" s="39">
        <v>3771</v>
      </c>
      <c r="I13" s="40">
        <v>1291</v>
      </c>
      <c r="J13" s="39">
        <v>2041</v>
      </c>
      <c r="K13" s="53">
        <v>7528</v>
      </c>
      <c r="L13" s="39" t="s">
        <v>193</v>
      </c>
      <c r="M13" s="41" t="s">
        <v>193</v>
      </c>
      <c r="N13" s="12" t="s">
        <v>7</v>
      </c>
      <c r="O13" s="13"/>
      <c r="P13" s="13"/>
    </row>
    <row r="14" spans="1:17" x14ac:dyDescent="0.3">
      <c r="A14" s="9" t="s">
        <v>120</v>
      </c>
      <c r="B14" s="10">
        <f t="shared" si="4"/>
        <v>18374</v>
      </c>
      <c r="C14" s="39">
        <v>3078</v>
      </c>
      <c r="D14" s="52">
        <f t="shared" ref="D14:D17" si="5">SUM(F14,H14,J14,K14,L14)</f>
        <v>12516</v>
      </c>
      <c r="E14" s="11">
        <f>SUM(G14,I14,M14)</f>
        <v>2780</v>
      </c>
      <c r="F14" s="39">
        <v>3191</v>
      </c>
      <c r="G14" s="40">
        <v>2183</v>
      </c>
      <c r="H14" s="39">
        <v>2345</v>
      </c>
      <c r="I14" s="40">
        <v>588</v>
      </c>
      <c r="J14" s="39">
        <v>213</v>
      </c>
      <c r="K14" s="53">
        <v>6756</v>
      </c>
      <c r="L14" s="39">
        <v>11</v>
      </c>
      <c r="M14" s="42">
        <v>9</v>
      </c>
      <c r="N14" s="12" t="s">
        <v>8</v>
      </c>
      <c r="O14" s="13"/>
      <c r="P14" s="13"/>
    </row>
    <row r="15" spans="1:17" x14ac:dyDescent="0.3">
      <c r="A15" s="9" t="s">
        <v>121</v>
      </c>
      <c r="B15" s="10">
        <f t="shared" si="4"/>
        <v>19</v>
      </c>
      <c r="C15" s="39">
        <v>5</v>
      </c>
      <c r="D15" s="52">
        <f t="shared" si="5"/>
        <v>13</v>
      </c>
      <c r="E15" s="11">
        <f t="shared" ref="E15:E17" si="6">SUM(G15,I15,M15)</f>
        <v>1</v>
      </c>
      <c r="F15" s="43">
        <v>3</v>
      </c>
      <c r="G15" s="44" t="s">
        <v>193</v>
      </c>
      <c r="H15" s="43">
        <v>8</v>
      </c>
      <c r="I15" s="40">
        <v>1</v>
      </c>
      <c r="J15" s="43" t="s">
        <v>193</v>
      </c>
      <c r="K15" s="54">
        <v>2</v>
      </c>
      <c r="L15" s="43" t="s">
        <v>193</v>
      </c>
      <c r="M15" s="41" t="s">
        <v>193</v>
      </c>
      <c r="N15" s="12" t="s">
        <v>9</v>
      </c>
      <c r="O15" s="13"/>
      <c r="P15" s="13"/>
    </row>
    <row r="16" spans="1:17" x14ac:dyDescent="0.3">
      <c r="A16" s="9" t="s">
        <v>122</v>
      </c>
      <c r="B16" s="10">
        <f t="shared" si="4"/>
        <v>10253</v>
      </c>
      <c r="C16" s="39">
        <v>1926</v>
      </c>
      <c r="D16" s="52">
        <f t="shared" si="5"/>
        <v>7346</v>
      </c>
      <c r="E16" s="11">
        <f t="shared" si="6"/>
        <v>981</v>
      </c>
      <c r="F16" s="39">
        <v>1066</v>
      </c>
      <c r="G16" s="40">
        <v>592</v>
      </c>
      <c r="H16" s="39">
        <v>2572</v>
      </c>
      <c r="I16" s="40">
        <v>389</v>
      </c>
      <c r="J16" s="39">
        <v>63</v>
      </c>
      <c r="K16" s="53">
        <v>3645</v>
      </c>
      <c r="L16" s="39" t="s">
        <v>193</v>
      </c>
      <c r="M16" s="41" t="s">
        <v>193</v>
      </c>
      <c r="N16" s="12" t="s">
        <v>10</v>
      </c>
      <c r="O16" s="13"/>
      <c r="P16" s="13"/>
    </row>
    <row r="17" spans="1:16" x14ac:dyDescent="0.3">
      <c r="A17" s="9" t="s">
        <v>123</v>
      </c>
      <c r="B17" s="10">
        <f t="shared" si="4"/>
        <v>32131</v>
      </c>
      <c r="C17" s="39">
        <v>3972</v>
      </c>
      <c r="D17" s="52">
        <f t="shared" si="5"/>
        <v>23476</v>
      </c>
      <c r="E17" s="11">
        <f t="shared" si="6"/>
        <v>4683</v>
      </c>
      <c r="F17" s="39">
        <v>5572</v>
      </c>
      <c r="G17" s="40">
        <v>4068</v>
      </c>
      <c r="H17" s="39">
        <v>7575</v>
      </c>
      <c r="I17" s="40">
        <v>615</v>
      </c>
      <c r="J17" s="39">
        <v>6243</v>
      </c>
      <c r="K17" s="53">
        <v>4086</v>
      </c>
      <c r="L17" s="39" t="s">
        <v>193</v>
      </c>
      <c r="M17" s="41" t="s">
        <v>193</v>
      </c>
      <c r="N17" s="12" t="s">
        <v>11</v>
      </c>
      <c r="O17" s="13"/>
      <c r="P17" s="13"/>
    </row>
    <row r="18" spans="1:16" x14ac:dyDescent="0.3">
      <c r="A18" s="93" t="s">
        <v>12</v>
      </c>
      <c r="B18" s="57">
        <f t="shared" ref="B18:C18" si="7">SUM(B20:B26)</f>
        <v>176756</v>
      </c>
      <c r="C18" s="58">
        <f t="shared" si="7"/>
        <v>25948</v>
      </c>
      <c r="D18" s="58">
        <f>SUM(D20:D26)</f>
        <v>116246</v>
      </c>
      <c r="E18" s="92">
        <f>SUM(E20:E26)</f>
        <v>34562</v>
      </c>
      <c r="F18" s="58">
        <f>SUM(F20:F26)</f>
        <v>23395</v>
      </c>
      <c r="G18" s="58">
        <f t="shared" ref="G18:M18" si="8">SUM(G20:G26)</f>
        <v>27856</v>
      </c>
      <c r="H18" s="58">
        <f>SUM(H20:H26)</f>
        <v>56324</v>
      </c>
      <c r="I18" s="58">
        <f t="shared" si="8"/>
        <v>5326</v>
      </c>
      <c r="J18" s="58">
        <f t="shared" si="8"/>
        <v>1006</v>
      </c>
      <c r="K18" s="58">
        <f t="shared" si="8"/>
        <v>32697</v>
      </c>
      <c r="L18" s="58">
        <f t="shared" si="8"/>
        <v>2824</v>
      </c>
      <c r="M18" s="91">
        <f t="shared" si="8"/>
        <v>1380</v>
      </c>
      <c r="N18" s="90" t="s">
        <v>13</v>
      </c>
      <c r="O18" s="90"/>
      <c r="P18" s="90"/>
    </row>
    <row r="19" spans="1:16" x14ac:dyDescent="0.3">
      <c r="A19" s="93"/>
      <c r="B19" s="57"/>
      <c r="C19" s="58"/>
      <c r="D19" s="58"/>
      <c r="E19" s="92"/>
      <c r="F19" s="58"/>
      <c r="G19" s="58"/>
      <c r="H19" s="58"/>
      <c r="I19" s="58"/>
      <c r="J19" s="58"/>
      <c r="K19" s="58"/>
      <c r="L19" s="58"/>
      <c r="M19" s="91"/>
      <c r="N19" s="90"/>
      <c r="O19" s="90"/>
      <c r="P19" s="90"/>
    </row>
    <row r="20" spans="1:16" x14ac:dyDescent="0.3">
      <c r="A20" s="9" t="s">
        <v>124</v>
      </c>
      <c r="B20" s="10">
        <f t="shared" ref="B20:B26" si="9">SUM(C20:E20)</f>
        <v>45584</v>
      </c>
      <c r="C20" s="39">
        <v>5579</v>
      </c>
      <c r="D20" s="52">
        <f t="shared" ref="D20:D26" si="10">SUM(F20,H20,J20,K20,L20)</f>
        <v>37420</v>
      </c>
      <c r="E20" s="11">
        <f t="shared" ref="E20:E26" si="11">SUM(G20,I20,M20)</f>
        <v>2585</v>
      </c>
      <c r="F20" s="39">
        <v>3216</v>
      </c>
      <c r="G20" s="40">
        <v>2076</v>
      </c>
      <c r="H20" s="39">
        <v>28108</v>
      </c>
      <c r="I20" s="40">
        <v>489</v>
      </c>
      <c r="J20" s="39">
        <v>4</v>
      </c>
      <c r="K20" s="53">
        <v>5962</v>
      </c>
      <c r="L20" s="39">
        <v>130</v>
      </c>
      <c r="M20" s="42">
        <v>20</v>
      </c>
      <c r="N20" s="12" t="s">
        <v>14</v>
      </c>
      <c r="O20" s="13"/>
      <c r="P20" s="13"/>
    </row>
    <row r="21" spans="1:16" x14ac:dyDescent="0.3">
      <c r="A21" s="9" t="s">
        <v>125</v>
      </c>
      <c r="B21" s="10">
        <f t="shared" si="9"/>
        <v>17114</v>
      </c>
      <c r="C21" s="39">
        <v>1273</v>
      </c>
      <c r="D21" s="52">
        <f t="shared" si="10"/>
        <v>5556</v>
      </c>
      <c r="E21" s="11">
        <f t="shared" si="11"/>
        <v>10285</v>
      </c>
      <c r="F21" s="39">
        <v>1676</v>
      </c>
      <c r="G21" s="40">
        <v>9162</v>
      </c>
      <c r="H21" s="39">
        <v>2086</v>
      </c>
      <c r="I21" s="40">
        <v>1123</v>
      </c>
      <c r="J21" s="39">
        <v>245</v>
      </c>
      <c r="K21" s="53">
        <v>1549</v>
      </c>
      <c r="L21" s="39" t="s">
        <v>193</v>
      </c>
      <c r="M21" s="41" t="s">
        <v>193</v>
      </c>
      <c r="N21" s="12" t="s">
        <v>15</v>
      </c>
      <c r="O21" s="13"/>
      <c r="P21" s="13"/>
    </row>
    <row r="22" spans="1:16" x14ac:dyDescent="0.3">
      <c r="A22" s="9" t="s">
        <v>126</v>
      </c>
      <c r="B22" s="10">
        <f t="shared" si="9"/>
        <v>21074</v>
      </c>
      <c r="C22" s="39">
        <v>3935</v>
      </c>
      <c r="D22" s="52">
        <f t="shared" si="10"/>
        <v>12663</v>
      </c>
      <c r="E22" s="11">
        <f t="shared" si="11"/>
        <v>4476</v>
      </c>
      <c r="F22" s="39">
        <v>3937</v>
      </c>
      <c r="G22" s="40">
        <v>3857</v>
      </c>
      <c r="H22" s="39">
        <v>7849</v>
      </c>
      <c r="I22" s="40">
        <v>619</v>
      </c>
      <c r="J22" s="39">
        <v>24</v>
      </c>
      <c r="K22" s="53">
        <v>853</v>
      </c>
      <c r="L22" s="39" t="s">
        <v>193</v>
      </c>
      <c r="M22" s="41" t="s">
        <v>193</v>
      </c>
      <c r="N22" s="12" t="s">
        <v>16</v>
      </c>
      <c r="O22" s="13"/>
      <c r="P22" s="13"/>
    </row>
    <row r="23" spans="1:16" x14ac:dyDescent="0.3">
      <c r="A23" s="9" t="s">
        <v>127</v>
      </c>
      <c r="B23" s="10">
        <f t="shared" si="9"/>
        <v>22254</v>
      </c>
      <c r="C23" s="39">
        <v>2902</v>
      </c>
      <c r="D23" s="52">
        <f t="shared" si="10"/>
        <v>14748</v>
      </c>
      <c r="E23" s="11">
        <f t="shared" si="11"/>
        <v>4604</v>
      </c>
      <c r="F23" s="39">
        <v>3822</v>
      </c>
      <c r="G23" s="40">
        <v>3665</v>
      </c>
      <c r="H23" s="39">
        <v>3042</v>
      </c>
      <c r="I23" s="40">
        <v>939</v>
      </c>
      <c r="J23" s="39">
        <v>638</v>
      </c>
      <c r="K23" s="53">
        <v>7246</v>
      </c>
      <c r="L23" s="39" t="s">
        <v>193</v>
      </c>
      <c r="M23" s="41" t="s">
        <v>193</v>
      </c>
      <c r="N23" s="12" t="s">
        <v>17</v>
      </c>
      <c r="O23" s="13"/>
      <c r="P23" s="13"/>
    </row>
    <row r="24" spans="1:16" x14ac:dyDescent="0.3">
      <c r="A24" s="9" t="s">
        <v>128</v>
      </c>
      <c r="B24" s="10">
        <f t="shared" si="9"/>
        <v>6212</v>
      </c>
      <c r="C24" s="39">
        <v>1433</v>
      </c>
      <c r="D24" s="52">
        <f t="shared" si="10"/>
        <v>3627</v>
      </c>
      <c r="E24" s="11">
        <f t="shared" si="11"/>
        <v>1152</v>
      </c>
      <c r="F24" s="39">
        <v>796</v>
      </c>
      <c r="G24" s="40">
        <v>945</v>
      </c>
      <c r="H24" s="39">
        <v>2290</v>
      </c>
      <c r="I24" s="40">
        <v>207</v>
      </c>
      <c r="J24" s="39">
        <v>22</v>
      </c>
      <c r="K24" s="53">
        <v>519</v>
      </c>
      <c r="L24" s="39" t="s">
        <v>193</v>
      </c>
      <c r="M24" s="41" t="s">
        <v>193</v>
      </c>
      <c r="N24" s="12" t="s">
        <v>18</v>
      </c>
      <c r="O24" s="13"/>
      <c r="P24" s="13"/>
    </row>
    <row r="25" spans="1:16" x14ac:dyDescent="0.3">
      <c r="A25" s="9" t="s">
        <v>129</v>
      </c>
      <c r="B25" s="10">
        <f t="shared" si="9"/>
        <v>60310</v>
      </c>
      <c r="C25" s="39">
        <v>10350</v>
      </c>
      <c r="D25" s="52">
        <f t="shared" si="10"/>
        <v>39307</v>
      </c>
      <c r="E25" s="11">
        <f t="shared" si="11"/>
        <v>10653</v>
      </c>
      <c r="F25" s="39">
        <v>9354</v>
      </c>
      <c r="G25" s="40">
        <v>7632</v>
      </c>
      <c r="H25" s="39">
        <v>12328</v>
      </c>
      <c r="I25" s="40">
        <v>1661</v>
      </c>
      <c r="J25" s="39" t="s">
        <v>193</v>
      </c>
      <c r="K25" s="53">
        <v>14931</v>
      </c>
      <c r="L25" s="39">
        <v>2694</v>
      </c>
      <c r="M25" s="42">
        <v>1360</v>
      </c>
      <c r="N25" s="12" t="s">
        <v>19</v>
      </c>
      <c r="O25" s="13"/>
      <c r="P25" s="13"/>
    </row>
    <row r="26" spans="1:16" x14ac:dyDescent="0.3">
      <c r="A26" s="9" t="s">
        <v>130</v>
      </c>
      <c r="B26" s="10">
        <f t="shared" si="9"/>
        <v>4208</v>
      </c>
      <c r="C26" s="39">
        <v>476</v>
      </c>
      <c r="D26" s="52">
        <f t="shared" si="10"/>
        <v>2925</v>
      </c>
      <c r="E26" s="11">
        <f t="shared" si="11"/>
        <v>807</v>
      </c>
      <c r="F26" s="39">
        <v>594</v>
      </c>
      <c r="G26" s="40">
        <v>519</v>
      </c>
      <c r="H26" s="39">
        <v>621</v>
      </c>
      <c r="I26" s="40">
        <v>288</v>
      </c>
      <c r="J26" s="39">
        <v>73</v>
      </c>
      <c r="K26" s="53">
        <v>1637</v>
      </c>
      <c r="L26" s="39" t="s">
        <v>193</v>
      </c>
      <c r="M26" s="41" t="s">
        <v>193</v>
      </c>
      <c r="N26" s="12" t="s">
        <v>20</v>
      </c>
      <c r="O26" s="13"/>
      <c r="P26" s="13"/>
    </row>
    <row r="27" spans="1:16" ht="28.8" customHeight="1" x14ac:dyDescent="0.3">
      <c r="A27" s="14" t="s">
        <v>105</v>
      </c>
      <c r="B27" s="15">
        <f>SUM(B28:B31)</f>
        <v>54023</v>
      </c>
      <c r="C27" s="17">
        <f>SUM(C28:C31)</f>
        <v>11174</v>
      </c>
      <c r="D27" s="17">
        <f>SUM(D28:D31)</f>
        <v>34608</v>
      </c>
      <c r="E27" s="16">
        <f>SUM(E28:E31)</f>
        <v>8241</v>
      </c>
      <c r="F27" s="17">
        <f t="shared" ref="F27:M27" si="12">SUM(F28:F31)</f>
        <v>7586</v>
      </c>
      <c r="G27" s="17">
        <f t="shared" si="12"/>
        <v>6136</v>
      </c>
      <c r="H27" s="17">
        <f t="shared" si="12"/>
        <v>9020</v>
      </c>
      <c r="I27" s="17">
        <f t="shared" si="12"/>
        <v>2105</v>
      </c>
      <c r="J27" s="17">
        <f t="shared" si="12"/>
        <v>751</v>
      </c>
      <c r="K27" s="17">
        <f t="shared" si="12"/>
        <v>17251</v>
      </c>
      <c r="L27" s="17">
        <f t="shared" si="12"/>
        <v>0</v>
      </c>
      <c r="M27" s="18">
        <f t="shared" si="12"/>
        <v>0</v>
      </c>
      <c r="N27" s="19" t="s">
        <v>104</v>
      </c>
      <c r="O27" s="13"/>
      <c r="P27" s="13"/>
    </row>
    <row r="28" spans="1:16" x14ac:dyDescent="0.3">
      <c r="A28" s="9" t="s">
        <v>131</v>
      </c>
      <c r="B28" s="10">
        <f t="shared" ref="B28:B31" si="13">SUM(C28:E28)</f>
        <v>25331</v>
      </c>
      <c r="C28" s="39">
        <v>5640</v>
      </c>
      <c r="D28" s="52">
        <f t="shared" ref="D28:D31" si="14">SUM(F28,H28,J28,K28,L28)</f>
        <v>15983</v>
      </c>
      <c r="E28" s="11">
        <f t="shared" ref="E28:E31" si="15">SUM(G28,I28,M28)</f>
        <v>3708</v>
      </c>
      <c r="F28" s="39">
        <v>3285</v>
      </c>
      <c r="G28" s="40">
        <v>2454</v>
      </c>
      <c r="H28" s="39">
        <v>3979</v>
      </c>
      <c r="I28" s="40">
        <v>1254</v>
      </c>
      <c r="J28" s="39" t="s">
        <v>193</v>
      </c>
      <c r="K28" s="53">
        <v>8719</v>
      </c>
      <c r="L28" s="39" t="s">
        <v>193</v>
      </c>
      <c r="M28" s="41" t="s">
        <v>193</v>
      </c>
      <c r="N28" s="12" t="s">
        <v>21</v>
      </c>
      <c r="O28" s="13"/>
      <c r="P28" s="13"/>
    </row>
    <row r="29" spans="1:16" x14ac:dyDescent="0.3">
      <c r="A29" s="9" t="s">
        <v>132</v>
      </c>
      <c r="B29" s="10">
        <f t="shared" si="13"/>
        <v>9567</v>
      </c>
      <c r="C29" s="39">
        <v>1872</v>
      </c>
      <c r="D29" s="52">
        <f t="shared" si="14"/>
        <v>5914</v>
      </c>
      <c r="E29" s="11">
        <f t="shared" si="15"/>
        <v>1781</v>
      </c>
      <c r="F29" s="39">
        <v>1265</v>
      </c>
      <c r="G29" s="40">
        <v>1349</v>
      </c>
      <c r="H29" s="39">
        <v>1185</v>
      </c>
      <c r="I29" s="40">
        <v>432</v>
      </c>
      <c r="J29" s="39">
        <v>74</v>
      </c>
      <c r="K29" s="53">
        <v>3390</v>
      </c>
      <c r="L29" s="39" t="s">
        <v>193</v>
      </c>
      <c r="M29" s="41" t="s">
        <v>193</v>
      </c>
      <c r="N29" s="12" t="s">
        <v>22</v>
      </c>
      <c r="O29" s="13"/>
      <c r="P29" s="13"/>
    </row>
    <row r="30" spans="1:16" x14ac:dyDescent="0.3">
      <c r="A30" s="9" t="s">
        <v>133</v>
      </c>
      <c r="B30" s="10">
        <f t="shared" si="13"/>
        <v>4179</v>
      </c>
      <c r="C30" s="39">
        <v>530</v>
      </c>
      <c r="D30" s="52">
        <f t="shared" si="14"/>
        <v>3030</v>
      </c>
      <c r="E30" s="11">
        <f t="shared" si="15"/>
        <v>619</v>
      </c>
      <c r="F30" s="39">
        <v>571</v>
      </c>
      <c r="G30" s="40">
        <v>447</v>
      </c>
      <c r="H30" s="39">
        <v>208</v>
      </c>
      <c r="I30" s="40">
        <v>172</v>
      </c>
      <c r="J30" s="39">
        <v>11</v>
      </c>
      <c r="K30" s="53">
        <v>2240</v>
      </c>
      <c r="L30" s="39" t="s">
        <v>193</v>
      </c>
      <c r="M30" s="41" t="s">
        <v>193</v>
      </c>
      <c r="N30" s="12" t="s">
        <v>23</v>
      </c>
      <c r="O30" s="13"/>
      <c r="P30" s="13"/>
    </row>
    <row r="31" spans="1:16" x14ac:dyDescent="0.3">
      <c r="A31" s="9" t="s">
        <v>134</v>
      </c>
      <c r="B31" s="10">
        <f t="shared" si="13"/>
        <v>14946</v>
      </c>
      <c r="C31" s="39">
        <v>3132</v>
      </c>
      <c r="D31" s="52">
        <f t="shared" si="14"/>
        <v>9681</v>
      </c>
      <c r="E31" s="11">
        <f t="shared" si="15"/>
        <v>2133</v>
      </c>
      <c r="F31" s="39">
        <v>2465</v>
      </c>
      <c r="G31" s="40">
        <v>1886</v>
      </c>
      <c r="H31" s="39">
        <v>3648</v>
      </c>
      <c r="I31" s="40">
        <v>247</v>
      </c>
      <c r="J31" s="39">
        <v>666</v>
      </c>
      <c r="K31" s="53">
        <v>2902</v>
      </c>
      <c r="L31" s="39" t="s">
        <v>193</v>
      </c>
      <c r="M31" s="41" t="s">
        <v>193</v>
      </c>
      <c r="N31" s="12" t="s">
        <v>24</v>
      </c>
      <c r="O31" s="13"/>
      <c r="P31" s="13"/>
    </row>
    <row r="32" spans="1:16" x14ac:dyDescent="0.3">
      <c r="A32" s="93" t="s">
        <v>25</v>
      </c>
      <c r="B32" s="57">
        <f t="shared" ref="B32:C32" si="16">SUM(B34:B37)</f>
        <v>91242</v>
      </c>
      <c r="C32" s="58">
        <f t="shared" si="16"/>
        <v>14143</v>
      </c>
      <c r="D32" s="58">
        <f>SUM(D34:D37)</f>
        <v>65243</v>
      </c>
      <c r="E32" s="92">
        <f>SUM(E34:E37)</f>
        <v>11856</v>
      </c>
      <c r="F32" s="58">
        <f>SUM(F34:F37)</f>
        <v>11763</v>
      </c>
      <c r="G32" s="58">
        <f>SUM(G34:G37)</f>
        <v>7230</v>
      </c>
      <c r="H32" s="58">
        <f t="shared" ref="H32:M32" si="17">SUM(H34:H37)</f>
        <v>5345</v>
      </c>
      <c r="I32" s="58">
        <f t="shared" si="17"/>
        <v>4626</v>
      </c>
      <c r="J32" s="58">
        <f t="shared" si="17"/>
        <v>2853</v>
      </c>
      <c r="K32" s="58">
        <f t="shared" si="17"/>
        <v>45282</v>
      </c>
      <c r="L32" s="58">
        <f t="shared" si="17"/>
        <v>0</v>
      </c>
      <c r="M32" s="91">
        <f t="shared" si="17"/>
        <v>0</v>
      </c>
      <c r="N32" s="94" t="s">
        <v>26</v>
      </c>
      <c r="O32" s="94"/>
      <c r="P32" s="94"/>
    </row>
    <row r="33" spans="1:16" x14ac:dyDescent="0.3">
      <c r="A33" s="93"/>
      <c r="B33" s="57"/>
      <c r="C33" s="58"/>
      <c r="D33" s="58"/>
      <c r="E33" s="92"/>
      <c r="F33" s="58"/>
      <c r="G33" s="58"/>
      <c r="H33" s="58"/>
      <c r="I33" s="58"/>
      <c r="J33" s="58"/>
      <c r="K33" s="58"/>
      <c r="L33" s="58"/>
      <c r="M33" s="91"/>
      <c r="N33" s="94"/>
      <c r="O33" s="94"/>
      <c r="P33" s="94"/>
    </row>
    <row r="34" spans="1:16" x14ac:dyDescent="0.3">
      <c r="A34" s="9" t="s">
        <v>135</v>
      </c>
      <c r="B34" s="10">
        <f>SUM(C34:E34)</f>
        <v>26807</v>
      </c>
      <c r="C34" s="39">
        <v>2704</v>
      </c>
      <c r="D34" s="52">
        <f t="shared" ref="D34:D37" si="18">SUM(F34,H34,J34,K34,L34)</f>
        <v>20101</v>
      </c>
      <c r="E34" s="11">
        <f t="shared" ref="E34:E37" si="19">SUM(G34,I34,M34)</f>
        <v>4002</v>
      </c>
      <c r="F34" s="39">
        <v>3967</v>
      </c>
      <c r="G34" s="40">
        <v>2470</v>
      </c>
      <c r="H34" s="39">
        <v>1753</v>
      </c>
      <c r="I34" s="40">
        <v>1532</v>
      </c>
      <c r="J34" s="39">
        <v>632</v>
      </c>
      <c r="K34" s="53">
        <v>13749</v>
      </c>
      <c r="L34" s="39" t="s">
        <v>193</v>
      </c>
      <c r="M34" s="41" t="s">
        <v>193</v>
      </c>
      <c r="N34" s="12" t="s">
        <v>27</v>
      </c>
      <c r="O34" s="13"/>
      <c r="P34" s="13"/>
    </row>
    <row r="35" spans="1:16" x14ac:dyDescent="0.3">
      <c r="A35" s="9" t="s">
        <v>136</v>
      </c>
      <c r="B35" s="10">
        <f t="shared" ref="B34:B37" si="20">SUM(C35:E35)</f>
        <v>5433</v>
      </c>
      <c r="C35" s="39">
        <v>500</v>
      </c>
      <c r="D35" s="52">
        <f t="shared" si="18"/>
        <v>3780</v>
      </c>
      <c r="E35" s="11">
        <f t="shared" si="19"/>
        <v>1153</v>
      </c>
      <c r="F35" s="39">
        <v>910</v>
      </c>
      <c r="G35" s="40">
        <v>714</v>
      </c>
      <c r="H35" s="39">
        <v>759</v>
      </c>
      <c r="I35" s="40">
        <v>439</v>
      </c>
      <c r="J35" s="39">
        <v>10</v>
      </c>
      <c r="K35" s="53">
        <v>2101</v>
      </c>
      <c r="L35" s="39" t="s">
        <v>193</v>
      </c>
      <c r="M35" s="41" t="s">
        <v>193</v>
      </c>
      <c r="N35" s="12" t="s">
        <v>28</v>
      </c>
      <c r="O35" s="13"/>
      <c r="P35" s="13"/>
    </row>
    <row r="36" spans="1:16" x14ac:dyDescent="0.3">
      <c r="A36" s="9" t="s">
        <v>137</v>
      </c>
      <c r="B36" s="10">
        <f t="shared" si="20"/>
        <v>38799</v>
      </c>
      <c r="C36" s="39">
        <v>8189</v>
      </c>
      <c r="D36" s="52">
        <f t="shared" si="18"/>
        <v>27126</v>
      </c>
      <c r="E36" s="11">
        <f t="shared" si="19"/>
        <v>3484</v>
      </c>
      <c r="F36" s="39">
        <v>4153</v>
      </c>
      <c r="G36" s="40">
        <v>2080</v>
      </c>
      <c r="H36" s="39">
        <v>234</v>
      </c>
      <c r="I36" s="40">
        <v>1404</v>
      </c>
      <c r="J36" s="39">
        <v>644</v>
      </c>
      <c r="K36" s="53">
        <v>22095</v>
      </c>
      <c r="L36" s="39" t="s">
        <v>193</v>
      </c>
      <c r="M36" s="41" t="s">
        <v>193</v>
      </c>
      <c r="N36" s="12" t="s">
        <v>29</v>
      </c>
      <c r="O36" s="13"/>
      <c r="P36" s="13"/>
    </row>
    <row r="37" spans="1:16" x14ac:dyDescent="0.3">
      <c r="A37" s="9" t="s">
        <v>138</v>
      </c>
      <c r="B37" s="10">
        <f t="shared" si="20"/>
        <v>20203</v>
      </c>
      <c r="C37" s="39">
        <v>2750</v>
      </c>
      <c r="D37" s="52">
        <f t="shared" si="18"/>
        <v>14236</v>
      </c>
      <c r="E37" s="11">
        <f t="shared" si="19"/>
        <v>3217</v>
      </c>
      <c r="F37" s="39">
        <v>2733</v>
      </c>
      <c r="G37" s="40">
        <v>1966</v>
      </c>
      <c r="H37" s="39">
        <v>2599</v>
      </c>
      <c r="I37" s="40">
        <v>1251</v>
      </c>
      <c r="J37" s="39">
        <v>1567</v>
      </c>
      <c r="K37" s="53">
        <v>7337</v>
      </c>
      <c r="L37" s="39" t="s">
        <v>193</v>
      </c>
      <c r="M37" s="41" t="s">
        <v>193</v>
      </c>
      <c r="N37" s="12" t="s">
        <v>30</v>
      </c>
      <c r="O37" s="13"/>
      <c r="P37" s="13"/>
    </row>
    <row r="38" spans="1:16" x14ac:dyDescent="0.3">
      <c r="A38" s="93" t="s">
        <v>31</v>
      </c>
      <c r="B38" s="57">
        <f>SUM(B40:B44)</f>
        <v>160636</v>
      </c>
      <c r="C38" s="58">
        <f t="shared" ref="C38" si="21">SUM(C40:C44)</f>
        <v>25184</v>
      </c>
      <c r="D38" s="58">
        <f>SUM(D40:D44)</f>
        <v>110636</v>
      </c>
      <c r="E38" s="92">
        <f>SUM(E40:E44)</f>
        <v>24816</v>
      </c>
      <c r="F38" s="58">
        <f t="shared" ref="F38" si="22">SUM(F40:F44)</f>
        <v>22436</v>
      </c>
      <c r="G38" s="58">
        <f t="shared" ref="G38:M38" si="23">SUM(G40:G44)</f>
        <v>19181</v>
      </c>
      <c r="H38" s="58">
        <f t="shared" si="23"/>
        <v>18751</v>
      </c>
      <c r="I38" s="58">
        <f t="shared" si="23"/>
        <v>5552</v>
      </c>
      <c r="J38" s="58">
        <f t="shared" si="23"/>
        <v>3883</v>
      </c>
      <c r="K38" s="58">
        <f t="shared" si="23"/>
        <v>64710</v>
      </c>
      <c r="L38" s="58">
        <f t="shared" si="23"/>
        <v>856</v>
      </c>
      <c r="M38" s="91">
        <f t="shared" si="23"/>
        <v>83</v>
      </c>
      <c r="N38" s="94" t="s">
        <v>32</v>
      </c>
      <c r="O38" s="94"/>
      <c r="P38" s="94"/>
    </row>
    <row r="39" spans="1:16" x14ac:dyDescent="0.3">
      <c r="A39" s="93"/>
      <c r="B39" s="57"/>
      <c r="C39" s="58"/>
      <c r="D39" s="58"/>
      <c r="E39" s="92"/>
      <c r="F39" s="58"/>
      <c r="G39" s="58"/>
      <c r="H39" s="58"/>
      <c r="I39" s="58"/>
      <c r="J39" s="58"/>
      <c r="K39" s="58"/>
      <c r="L39" s="58"/>
      <c r="M39" s="91"/>
      <c r="N39" s="94"/>
      <c r="O39" s="94"/>
      <c r="P39" s="94"/>
    </row>
    <row r="40" spans="1:16" x14ac:dyDescent="0.3">
      <c r="A40" s="9" t="s">
        <v>139</v>
      </c>
      <c r="B40" s="10">
        <f t="shared" ref="B40:B44" si="24">SUM(C40:E40)</f>
        <v>81186</v>
      </c>
      <c r="C40" s="39">
        <v>12953</v>
      </c>
      <c r="D40" s="52">
        <f t="shared" ref="D40:D44" si="25">SUM(F40,H40,J40,K40,L40)</f>
        <v>54079</v>
      </c>
      <c r="E40" s="11">
        <f t="shared" ref="E40:E44" si="26">SUM(G40,I40,M40)</f>
        <v>14154</v>
      </c>
      <c r="F40" s="39">
        <v>13035</v>
      </c>
      <c r="G40" s="40">
        <v>10967</v>
      </c>
      <c r="H40" s="39">
        <v>14376</v>
      </c>
      <c r="I40" s="40">
        <v>3187</v>
      </c>
      <c r="J40" s="39">
        <v>277</v>
      </c>
      <c r="K40" s="53">
        <v>26391</v>
      </c>
      <c r="L40" s="39" t="s">
        <v>193</v>
      </c>
      <c r="M40" s="41" t="s">
        <v>193</v>
      </c>
      <c r="N40" s="12" t="s">
        <v>33</v>
      </c>
      <c r="O40" s="13"/>
      <c r="P40" s="13"/>
    </row>
    <row r="41" spans="1:16" x14ac:dyDescent="0.3">
      <c r="A41" s="9" t="s">
        <v>140</v>
      </c>
      <c r="B41" s="10">
        <f t="shared" si="24"/>
        <v>4054</v>
      </c>
      <c r="C41" s="39">
        <v>657</v>
      </c>
      <c r="D41" s="52">
        <f t="shared" si="25"/>
        <v>2880</v>
      </c>
      <c r="E41" s="11">
        <f t="shared" si="26"/>
        <v>517</v>
      </c>
      <c r="F41" s="39">
        <v>297</v>
      </c>
      <c r="G41" s="40">
        <v>274</v>
      </c>
      <c r="H41" s="39">
        <v>1085</v>
      </c>
      <c r="I41" s="40">
        <v>243</v>
      </c>
      <c r="J41" s="39">
        <v>31</v>
      </c>
      <c r="K41" s="53">
        <v>1467</v>
      </c>
      <c r="L41" s="39" t="s">
        <v>193</v>
      </c>
      <c r="M41" s="41" t="s">
        <v>193</v>
      </c>
      <c r="N41" s="12" t="s">
        <v>34</v>
      </c>
      <c r="O41" s="13"/>
      <c r="P41" s="13"/>
    </row>
    <row r="42" spans="1:16" x14ac:dyDescent="0.3">
      <c r="A42" s="9" t="s">
        <v>141</v>
      </c>
      <c r="B42" s="10">
        <f t="shared" si="24"/>
        <v>29619</v>
      </c>
      <c r="C42" s="39">
        <v>3670</v>
      </c>
      <c r="D42" s="52">
        <f t="shared" si="25"/>
        <v>21543</v>
      </c>
      <c r="E42" s="11">
        <f t="shared" si="26"/>
        <v>4406</v>
      </c>
      <c r="F42" s="39">
        <v>4256</v>
      </c>
      <c r="G42" s="40">
        <v>3474</v>
      </c>
      <c r="H42" s="39">
        <v>1008</v>
      </c>
      <c r="I42" s="40">
        <v>932</v>
      </c>
      <c r="J42" s="39">
        <v>1315</v>
      </c>
      <c r="K42" s="53">
        <v>14964</v>
      </c>
      <c r="L42" s="39" t="s">
        <v>193</v>
      </c>
      <c r="M42" s="41" t="s">
        <v>193</v>
      </c>
      <c r="N42" s="12" t="s">
        <v>35</v>
      </c>
      <c r="O42" s="13"/>
      <c r="P42" s="13"/>
    </row>
    <row r="43" spans="1:16" x14ac:dyDescent="0.3">
      <c r="A43" s="9" t="s">
        <v>142</v>
      </c>
      <c r="B43" s="10">
        <f t="shared" si="24"/>
        <v>10</v>
      </c>
      <c r="C43" s="39">
        <v>4</v>
      </c>
      <c r="D43" s="52">
        <f t="shared" si="25"/>
        <v>4</v>
      </c>
      <c r="E43" s="11">
        <f t="shared" si="26"/>
        <v>2</v>
      </c>
      <c r="F43" s="43" t="s">
        <v>193</v>
      </c>
      <c r="G43" s="44" t="s">
        <v>193</v>
      </c>
      <c r="H43" s="43">
        <v>1</v>
      </c>
      <c r="I43" s="44">
        <v>2</v>
      </c>
      <c r="J43" s="43" t="s">
        <v>193</v>
      </c>
      <c r="K43" s="53">
        <v>3</v>
      </c>
      <c r="L43" s="43" t="s">
        <v>193</v>
      </c>
      <c r="M43" s="41" t="s">
        <v>193</v>
      </c>
      <c r="N43" s="12" t="s">
        <v>36</v>
      </c>
      <c r="O43" s="13"/>
      <c r="P43" s="13"/>
    </row>
    <row r="44" spans="1:16" x14ac:dyDescent="0.3">
      <c r="A44" s="9" t="s">
        <v>143</v>
      </c>
      <c r="B44" s="10">
        <f t="shared" si="24"/>
        <v>45767</v>
      </c>
      <c r="C44" s="39">
        <v>7900</v>
      </c>
      <c r="D44" s="52">
        <f t="shared" si="25"/>
        <v>32130</v>
      </c>
      <c r="E44" s="11">
        <f t="shared" si="26"/>
        <v>5737</v>
      </c>
      <c r="F44" s="39">
        <v>4848</v>
      </c>
      <c r="G44" s="40">
        <v>4466</v>
      </c>
      <c r="H44" s="39">
        <v>2281</v>
      </c>
      <c r="I44" s="40">
        <v>1188</v>
      </c>
      <c r="J44" s="39">
        <v>2260</v>
      </c>
      <c r="K44" s="53">
        <v>21885</v>
      </c>
      <c r="L44" s="39">
        <v>856</v>
      </c>
      <c r="M44" s="42">
        <v>83</v>
      </c>
      <c r="N44" s="12" t="s">
        <v>37</v>
      </c>
      <c r="O44" s="13"/>
      <c r="P44" s="13"/>
    </row>
    <row r="45" spans="1:16" x14ac:dyDescent="0.3">
      <c r="A45" s="93" t="s">
        <v>38</v>
      </c>
      <c r="B45" s="57">
        <f t="shared" ref="B45:C45" si="27">SUM(B47:B51)</f>
        <v>44207</v>
      </c>
      <c r="C45" s="58">
        <f t="shared" si="27"/>
        <v>5998</v>
      </c>
      <c r="D45" s="58">
        <f>SUM(D47:D51)</f>
        <v>29413</v>
      </c>
      <c r="E45" s="92">
        <f>SUM(E47:E51)</f>
        <v>8796</v>
      </c>
      <c r="F45" s="58">
        <f t="shared" ref="F45" si="28">SUM(F47:F51)</f>
        <v>5470</v>
      </c>
      <c r="G45" s="58">
        <f t="shared" ref="G45:M45" si="29">SUM(G47:G51)</f>
        <v>5067</v>
      </c>
      <c r="H45" s="58">
        <f t="shared" si="29"/>
        <v>4804</v>
      </c>
      <c r="I45" s="58">
        <f t="shared" si="29"/>
        <v>3719</v>
      </c>
      <c r="J45" s="58">
        <f t="shared" si="29"/>
        <v>2759</v>
      </c>
      <c r="K45" s="58">
        <f t="shared" si="29"/>
        <v>16325</v>
      </c>
      <c r="L45" s="58">
        <f t="shared" si="29"/>
        <v>55</v>
      </c>
      <c r="M45" s="91">
        <f t="shared" si="29"/>
        <v>10</v>
      </c>
      <c r="N45" s="94" t="s">
        <v>39</v>
      </c>
      <c r="O45" s="94"/>
      <c r="P45" s="94"/>
    </row>
    <row r="46" spans="1:16" x14ac:dyDescent="0.3">
      <c r="A46" s="93"/>
      <c r="B46" s="57"/>
      <c r="C46" s="58"/>
      <c r="D46" s="58"/>
      <c r="E46" s="92"/>
      <c r="F46" s="58"/>
      <c r="G46" s="58"/>
      <c r="H46" s="58"/>
      <c r="I46" s="58"/>
      <c r="J46" s="58"/>
      <c r="K46" s="58"/>
      <c r="L46" s="58"/>
      <c r="M46" s="91"/>
      <c r="N46" s="94"/>
      <c r="O46" s="94"/>
      <c r="P46" s="94"/>
    </row>
    <row r="47" spans="1:16" x14ac:dyDescent="0.3">
      <c r="A47" s="9" t="s">
        <v>144</v>
      </c>
      <c r="B47" s="10">
        <f t="shared" ref="B47:B51" si="30">SUM(C47:E47)</f>
        <v>14253</v>
      </c>
      <c r="C47" s="39">
        <v>1324</v>
      </c>
      <c r="D47" s="52">
        <f t="shared" ref="D47:D51" si="31">SUM(F47,H47,J47,K47,L47)</f>
        <v>10194</v>
      </c>
      <c r="E47" s="11">
        <f t="shared" ref="E47:E51" si="32">SUM(G47,I47,M47)</f>
        <v>2735</v>
      </c>
      <c r="F47" s="39">
        <v>1894</v>
      </c>
      <c r="G47" s="40">
        <v>1592</v>
      </c>
      <c r="H47" s="39">
        <v>1836</v>
      </c>
      <c r="I47" s="40">
        <v>1133</v>
      </c>
      <c r="J47" s="39">
        <v>2071</v>
      </c>
      <c r="K47" s="53">
        <v>4338</v>
      </c>
      <c r="L47" s="39">
        <v>55</v>
      </c>
      <c r="M47" s="41">
        <v>10</v>
      </c>
      <c r="N47" s="12" t="s">
        <v>40</v>
      </c>
      <c r="O47" s="13"/>
      <c r="P47" s="13"/>
    </row>
    <row r="48" spans="1:16" x14ac:dyDescent="0.3">
      <c r="A48" s="9" t="s">
        <v>145</v>
      </c>
      <c r="B48" s="10">
        <f t="shared" si="30"/>
        <v>8766</v>
      </c>
      <c r="C48" s="39">
        <v>765</v>
      </c>
      <c r="D48" s="52">
        <f t="shared" si="31"/>
        <v>7129</v>
      </c>
      <c r="E48" s="11">
        <f t="shared" si="32"/>
        <v>872</v>
      </c>
      <c r="F48" s="39">
        <v>1218</v>
      </c>
      <c r="G48" s="40">
        <v>546</v>
      </c>
      <c r="H48" s="39">
        <v>2703</v>
      </c>
      <c r="I48" s="40">
        <v>326</v>
      </c>
      <c r="J48" s="39">
        <v>434</v>
      </c>
      <c r="K48" s="53">
        <v>2774</v>
      </c>
      <c r="L48" s="39" t="s">
        <v>193</v>
      </c>
      <c r="M48" s="41" t="s">
        <v>193</v>
      </c>
      <c r="N48" s="12" t="s">
        <v>41</v>
      </c>
      <c r="O48" s="13"/>
      <c r="P48" s="13"/>
    </row>
    <row r="49" spans="1:16" x14ac:dyDescent="0.3">
      <c r="A49" s="9" t="s">
        <v>146</v>
      </c>
      <c r="B49" s="10">
        <f t="shared" si="30"/>
        <v>5232</v>
      </c>
      <c r="C49" s="39">
        <v>1023</v>
      </c>
      <c r="D49" s="52">
        <f t="shared" si="31"/>
        <v>1345</v>
      </c>
      <c r="E49" s="11">
        <f t="shared" si="32"/>
        <v>2864</v>
      </c>
      <c r="F49" s="39">
        <v>555</v>
      </c>
      <c r="G49" s="40">
        <v>1741</v>
      </c>
      <c r="H49" s="39">
        <v>53</v>
      </c>
      <c r="I49" s="40">
        <v>1123</v>
      </c>
      <c r="J49" s="39">
        <v>73</v>
      </c>
      <c r="K49" s="53">
        <v>664</v>
      </c>
      <c r="L49" s="39" t="s">
        <v>193</v>
      </c>
      <c r="M49" s="41" t="s">
        <v>193</v>
      </c>
      <c r="N49" s="12" t="s">
        <v>42</v>
      </c>
      <c r="O49" s="13"/>
      <c r="P49" s="13"/>
    </row>
    <row r="50" spans="1:16" x14ac:dyDescent="0.3">
      <c r="A50" s="9" t="s">
        <v>147</v>
      </c>
      <c r="B50" s="10">
        <f t="shared" si="30"/>
        <v>4949</v>
      </c>
      <c r="C50" s="39">
        <v>871</v>
      </c>
      <c r="D50" s="52">
        <f t="shared" si="31"/>
        <v>3345</v>
      </c>
      <c r="E50" s="11">
        <f t="shared" si="32"/>
        <v>733</v>
      </c>
      <c r="F50" s="39">
        <v>529</v>
      </c>
      <c r="G50" s="40">
        <v>344</v>
      </c>
      <c r="H50" s="39">
        <v>3</v>
      </c>
      <c r="I50" s="40">
        <v>389</v>
      </c>
      <c r="J50" s="39" t="s">
        <v>193</v>
      </c>
      <c r="K50" s="53">
        <v>2813</v>
      </c>
      <c r="L50" s="39" t="s">
        <v>193</v>
      </c>
      <c r="M50" s="41" t="s">
        <v>193</v>
      </c>
      <c r="N50" s="12" t="s">
        <v>43</v>
      </c>
      <c r="O50" s="13"/>
      <c r="P50" s="13"/>
    </row>
    <row r="51" spans="1:16" x14ac:dyDescent="0.3">
      <c r="A51" s="9" t="s">
        <v>148</v>
      </c>
      <c r="B51" s="10">
        <f t="shared" si="30"/>
        <v>11007</v>
      </c>
      <c r="C51" s="39">
        <v>2015</v>
      </c>
      <c r="D51" s="52">
        <f t="shared" si="31"/>
        <v>7400</v>
      </c>
      <c r="E51" s="11">
        <f t="shared" si="32"/>
        <v>1592</v>
      </c>
      <c r="F51" s="39">
        <v>1274</v>
      </c>
      <c r="G51" s="40">
        <v>844</v>
      </c>
      <c r="H51" s="39">
        <v>209</v>
      </c>
      <c r="I51" s="40">
        <v>748</v>
      </c>
      <c r="J51" s="39">
        <v>181</v>
      </c>
      <c r="K51" s="53">
        <v>5736</v>
      </c>
      <c r="L51" s="39" t="s">
        <v>193</v>
      </c>
      <c r="M51" s="41" t="s">
        <v>193</v>
      </c>
      <c r="N51" s="12" t="s">
        <v>44</v>
      </c>
      <c r="O51" s="13"/>
      <c r="P51" s="13"/>
    </row>
    <row r="52" spans="1:16" x14ac:dyDescent="0.3">
      <c r="A52" s="93" t="s">
        <v>45</v>
      </c>
      <c r="B52" s="57">
        <f t="shared" ref="B52:C52" si="33">SUM(B54:B58)</f>
        <v>6538</v>
      </c>
      <c r="C52" s="58">
        <f t="shared" si="33"/>
        <v>607</v>
      </c>
      <c r="D52" s="58">
        <f>SUM(D54:D58)</f>
        <v>4621</v>
      </c>
      <c r="E52" s="92">
        <f>SUM(E54:E58)</f>
        <v>1310</v>
      </c>
      <c r="F52" s="58">
        <f t="shared" ref="F52" si="34">SUM(F54:F58)</f>
        <v>892</v>
      </c>
      <c r="G52" s="58">
        <f t="shared" ref="G52:M52" si="35">SUM(G54:G58)</f>
        <v>687</v>
      </c>
      <c r="H52" s="58">
        <f t="shared" si="35"/>
        <v>557</v>
      </c>
      <c r="I52" s="58">
        <f t="shared" si="35"/>
        <v>623</v>
      </c>
      <c r="J52" s="58">
        <f t="shared" si="35"/>
        <v>213</v>
      </c>
      <c r="K52" s="58">
        <f t="shared" si="35"/>
        <v>2959</v>
      </c>
      <c r="L52" s="58">
        <f t="shared" si="35"/>
        <v>0</v>
      </c>
      <c r="M52" s="91">
        <f t="shared" si="35"/>
        <v>0</v>
      </c>
      <c r="N52" s="94" t="s">
        <v>46</v>
      </c>
      <c r="O52" s="94"/>
      <c r="P52" s="94"/>
    </row>
    <row r="53" spans="1:16" x14ac:dyDescent="0.3">
      <c r="A53" s="93"/>
      <c r="B53" s="57"/>
      <c r="C53" s="58"/>
      <c r="D53" s="58"/>
      <c r="E53" s="92"/>
      <c r="F53" s="58"/>
      <c r="G53" s="58"/>
      <c r="H53" s="58"/>
      <c r="I53" s="58"/>
      <c r="J53" s="58"/>
      <c r="K53" s="58"/>
      <c r="L53" s="58"/>
      <c r="M53" s="91"/>
      <c r="N53" s="94"/>
      <c r="O53" s="94"/>
      <c r="P53" s="94"/>
    </row>
    <row r="54" spans="1:16" x14ac:dyDescent="0.3">
      <c r="A54" s="9" t="s">
        <v>149</v>
      </c>
      <c r="B54" s="10">
        <f t="shared" ref="B54:B58" si="36">SUM(C54:E54)</f>
        <v>1384</v>
      </c>
      <c r="C54" s="39">
        <v>384</v>
      </c>
      <c r="D54" s="52">
        <f t="shared" ref="D54:D58" si="37">SUM(F54,H54,J54,K54,L54)</f>
        <v>904</v>
      </c>
      <c r="E54" s="11">
        <f t="shared" ref="E54:E58" si="38">SUM(G54,I54,M54)</f>
        <v>96</v>
      </c>
      <c r="F54" s="39">
        <v>116</v>
      </c>
      <c r="G54" s="40">
        <v>48</v>
      </c>
      <c r="H54" s="39">
        <v>392</v>
      </c>
      <c r="I54" s="40">
        <v>48</v>
      </c>
      <c r="J54" s="39">
        <v>101</v>
      </c>
      <c r="K54" s="53">
        <v>295</v>
      </c>
      <c r="L54" s="39" t="s">
        <v>193</v>
      </c>
      <c r="M54" s="41" t="s">
        <v>193</v>
      </c>
      <c r="N54" s="12" t="s">
        <v>47</v>
      </c>
      <c r="O54" s="13"/>
      <c r="P54" s="13"/>
    </row>
    <row r="55" spans="1:16" x14ac:dyDescent="0.3">
      <c r="A55" s="9" t="s">
        <v>150</v>
      </c>
      <c r="B55" s="10">
        <f t="shared" si="36"/>
        <v>800</v>
      </c>
      <c r="C55" s="39">
        <v>38</v>
      </c>
      <c r="D55" s="52">
        <f t="shared" si="37"/>
        <v>337</v>
      </c>
      <c r="E55" s="11">
        <f t="shared" si="38"/>
        <v>425</v>
      </c>
      <c r="F55" s="39">
        <v>54</v>
      </c>
      <c r="G55" s="40">
        <v>314</v>
      </c>
      <c r="H55" s="39">
        <v>60</v>
      </c>
      <c r="I55" s="40">
        <v>111</v>
      </c>
      <c r="J55" s="39" t="s">
        <v>193</v>
      </c>
      <c r="K55" s="53">
        <v>223</v>
      </c>
      <c r="L55" s="39" t="s">
        <v>193</v>
      </c>
      <c r="M55" s="41" t="s">
        <v>193</v>
      </c>
      <c r="N55" s="12" t="s">
        <v>48</v>
      </c>
      <c r="O55" s="13"/>
      <c r="P55" s="13"/>
    </row>
    <row r="56" spans="1:16" x14ac:dyDescent="0.3">
      <c r="A56" s="9" t="s">
        <v>151</v>
      </c>
      <c r="B56" s="10">
        <f t="shared" si="36"/>
        <v>114</v>
      </c>
      <c r="C56" s="39">
        <v>32</v>
      </c>
      <c r="D56" s="52">
        <f t="shared" si="37"/>
        <v>82</v>
      </c>
      <c r="E56" s="11">
        <f t="shared" si="38"/>
        <v>0</v>
      </c>
      <c r="F56" s="39" t="s">
        <v>193</v>
      </c>
      <c r="G56" s="40" t="s">
        <v>193</v>
      </c>
      <c r="H56" s="39">
        <v>6</v>
      </c>
      <c r="I56" s="40" t="s">
        <v>193</v>
      </c>
      <c r="J56" s="39">
        <v>8</v>
      </c>
      <c r="K56" s="54">
        <v>68</v>
      </c>
      <c r="L56" s="39" t="s">
        <v>193</v>
      </c>
      <c r="M56" s="41" t="s">
        <v>193</v>
      </c>
      <c r="N56" s="12" t="s">
        <v>49</v>
      </c>
      <c r="O56" s="13"/>
      <c r="P56" s="13"/>
    </row>
    <row r="57" spans="1:16" x14ac:dyDescent="0.3">
      <c r="A57" s="9" t="s">
        <v>152</v>
      </c>
      <c r="B57" s="10">
        <f t="shared" si="36"/>
        <v>2924</v>
      </c>
      <c r="C57" s="39">
        <v>92</v>
      </c>
      <c r="D57" s="52">
        <f t="shared" si="37"/>
        <v>2357</v>
      </c>
      <c r="E57" s="11">
        <f t="shared" si="38"/>
        <v>475</v>
      </c>
      <c r="F57" s="39">
        <v>273</v>
      </c>
      <c r="G57" s="40">
        <v>156</v>
      </c>
      <c r="H57" s="39">
        <v>49</v>
      </c>
      <c r="I57" s="40">
        <v>319</v>
      </c>
      <c r="J57" s="39">
        <v>104</v>
      </c>
      <c r="K57" s="53">
        <v>1931</v>
      </c>
      <c r="L57" s="39" t="s">
        <v>193</v>
      </c>
      <c r="M57" s="41" t="s">
        <v>193</v>
      </c>
      <c r="N57" s="12" t="s">
        <v>50</v>
      </c>
      <c r="O57" s="13"/>
      <c r="P57" s="13"/>
    </row>
    <row r="58" spans="1:16" x14ac:dyDescent="0.3">
      <c r="A58" s="9" t="s">
        <v>153</v>
      </c>
      <c r="B58" s="10">
        <f t="shared" si="36"/>
        <v>1316</v>
      </c>
      <c r="C58" s="39">
        <v>61</v>
      </c>
      <c r="D58" s="52">
        <f t="shared" si="37"/>
        <v>941</v>
      </c>
      <c r="E58" s="11">
        <f t="shared" si="38"/>
        <v>314</v>
      </c>
      <c r="F58" s="39">
        <v>449</v>
      </c>
      <c r="G58" s="40">
        <v>169</v>
      </c>
      <c r="H58" s="39">
        <v>50</v>
      </c>
      <c r="I58" s="40">
        <v>145</v>
      </c>
      <c r="J58" s="39" t="s">
        <v>193</v>
      </c>
      <c r="K58" s="53">
        <v>442</v>
      </c>
      <c r="L58" s="39" t="s">
        <v>193</v>
      </c>
      <c r="M58" s="41" t="s">
        <v>193</v>
      </c>
      <c r="N58" s="12" t="s">
        <v>51</v>
      </c>
      <c r="O58" s="13"/>
      <c r="P58" s="13"/>
    </row>
    <row r="59" spans="1:16" x14ac:dyDescent="0.3">
      <c r="A59" s="93" t="s">
        <v>52</v>
      </c>
      <c r="B59" s="57">
        <f t="shared" ref="B59:C59" si="39">SUM(B61:B63)</f>
        <v>41797</v>
      </c>
      <c r="C59" s="58">
        <f t="shared" si="39"/>
        <v>4126</v>
      </c>
      <c r="D59" s="58">
        <f>SUM(D61:D63)</f>
        <v>29920</v>
      </c>
      <c r="E59" s="92">
        <f>SUM(E61:E63)</f>
        <v>7751</v>
      </c>
      <c r="F59" s="58">
        <f t="shared" ref="F59" si="40">SUM(F61:F63)</f>
        <v>4840</v>
      </c>
      <c r="G59" s="58">
        <f t="shared" ref="G59:M59" si="41">SUM(G61:G63)</f>
        <v>3542</v>
      </c>
      <c r="H59" s="58">
        <f t="shared" si="41"/>
        <v>5135</v>
      </c>
      <c r="I59" s="58">
        <f t="shared" si="41"/>
        <v>4209</v>
      </c>
      <c r="J59" s="58">
        <f t="shared" si="41"/>
        <v>2156</v>
      </c>
      <c r="K59" s="58">
        <f t="shared" si="41"/>
        <v>17789</v>
      </c>
      <c r="L59" s="58">
        <f t="shared" si="41"/>
        <v>0</v>
      </c>
      <c r="M59" s="91">
        <f t="shared" si="41"/>
        <v>0</v>
      </c>
      <c r="N59" s="94" t="s">
        <v>53</v>
      </c>
      <c r="O59" s="94"/>
      <c r="P59" s="94"/>
    </row>
    <row r="60" spans="1:16" x14ac:dyDescent="0.3">
      <c r="A60" s="93"/>
      <c r="B60" s="57"/>
      <c r="C60" s="58"/>
      <c r="D60" s="58"/>
      <c r="E60" s="92"/>
      <c r="F60" s="58"/>
      <c r="G60" s="58"/>
      <c r="H60" s="58"/>
      <c r="I60" s="58"/>
      <c r="J60" s="58"/>
      <c r="K60" s="58"/>
      <c r="L60" s="58"/>
      <c r="M60" s="91"/>
      <c r="N60" s="94"/>
      <c r="O60" s="94"/>
      <c r="P60" s="94"/>
    </row>
    <row r="61" spans="1:16" x14ac:dyDescent="0.3">
      <c r="A61" s="9" t="s">
        <v>154</v>
      </c>
      <c r="B61" s="10">
        <f t="shared" ref="B61:B63" si="42">SUM(C61:E61)</f>
        <v>6405</v>
      </c>
      <c r="C61" s="39">
        <v>549</v>
      </c>
      <c r="D61" s="52">
        <f t="shared" ref="D61:D63" si="43">SUM(F61,H61,J61,K61,L61)</f>
        <v>5094</v>
      </c>
      <c r="E61" s="11">
        <f t="shared" ref="E61:E63" si="44">SUM(G61,I61,M61)</f>
        <v>762</v>
      </c>
      <c r="F61" s="39">
        <v>496</v>
      </c>
      <c r="G61" s="40">
        <v>321</v>
      </c>
      <c r="H61" s="39">
        <v>2213</v>
      </c>
      <c r="I61" s="40">
        <v>441</v>
      </c>
      <c r="J61" s="39">
        <v>213</v>
      </c>
      <c r="K61" s="53">
        <v>2172</v>
      </c>
      <c r="L61" s="39" t="s">
        <v>193</v>
      </c>
      <c r="M61" s="41" t="s">
        <v>193</v>
      </c>
      <c r="N61" s="12" t="s">
        <v>54</v>
      </c>
      <c r="O61" s="13"/>
      <c r="P61" s="13"/>
    </row>
    <row r="62" spans="1:16" x14ac:dyDescent="0.3">
      <c r="A62" s="9" t="s">
        <v>155</v>
      </c>
      <c r="B62" s="10">
        <f t="shared" si="42"/>
        <v>26706</v>
      </c>
      <c r="C62" s="39">
        <v>2066</v>
      </c>
      <c r="D62" s="52">
        <f t="shared" si="43"/>
        <v>20015</v>
      </c>
      <c r="E62" s="11">
        <f t="shared" si="44"/>
        <v>4625</v>
      </c>
      <c r="F62" s="39">
        <v>2944</v>
      </c>
      <c r="G62" s="40">
        <v>1256</v>
      </c>
      <c r="H62" s="39">
        <v>20</v>
      </c>
      <c r="I62" s="40">
        <v>3369</v>
      </c>
      <c r="J62" s="39">
        <v>1891</v>
      </c>
      <c r="K62" s="53">
        <v>15160</v>
      </c>
      <c r="L62" s="39" t="s">
        <v>193</v>
      </c>
      <c r="M62" s="41" t="s">
        <v>193</v>
      </c>
      <c r="N62" s="12" t="s">
        <v>55</v>
      </c>
      <c r="O62" s="13"/>
      <c r="P62" s="13"/>
    </row>
    <row r="63" spans="1:16" x14ac:dyDescent="0.3">
      <c r="A63" s="9" t="s">
        <v>156</v>
      </c>
      <c r="B63" s="10">
        <f t="shared" si="42"/>
        <v>8686</v>
      </c>
      <c r="C63" s="39">
        <v>1511</v>
      </c>
      <c r="D63" s="52">
        <f t="shared" si="43"/>
        <v>4811</v>
      </c>
      <c r="E63" s="11">
        <f t="shared" si="44"/>
        <v>2364</v>
      </c>
      <c r="F63" s="39">
        <v>1400</v>
      </c>
      <c r="G63" s="40">
        <v>1965</v>
      </c>
      <c r="H63" s="39">
        <v>2902</v>
      </c>
      <c r="I63" s="40">
        <v>399</v>
      </c>
      <c r="J63" s="39">
        <v>52</v>
      </c>
      <c r="K63" s="53">
        <v>457</v>
      </c>
      <c r="L63" s="39" t="s">
        <v>193</v>
      </c>
      <c r="M63" s="41" t="s">
        <v>193</v>
      </c>
      <c r="N63" s="12" t="s">
        <v>56</v>
      </c>
      <c r="O63" s="13"/>
      <c r="P63" s="13"/>
    </row>
    <row r="64" spans="1:16" x14ac:dyDescent="0.3">
      <c r="A64" s="93" t="s">
        <v>57</v>
      </c>
      <c r="B64" s="57">
        <f t="shared" ref="B64:C64" si="45">SUM(B66:B70)</f>
        <v>17695</v>
      </c>
      <c r="C64" s="58">
        <f t="shared" si="45"/>
        <v>2343</v>
      </c>
      <c r="D64" s="58">
        <f>SUM(D66:D70)</f>
        <v>11884</v>
      </c>
      <c r="E64" s="92">
        <f>SUM(E66:E70)</f>
        <v>3468</v>
      </c>
      <c r="F64" s="58">
        <f t="shared" ref="F64" si="46">SUM(F66:F70)</f>
        <v>2454</v>
      </c>
      <c r="G64" s="58">
        <f t="shared" ref="G64:M64" si="47">SUM(G66:G70)</f>
        <v>2009</v>
      </c>
      <c r="H64" s="58">
        <f t="shared" si="47"/>
        <v>1641</v>
      </c>
      <c r="I64" s="58">
        <f t="shared" si="47"/>
        <v>1459</v>
      </c>
      <c r="J64" s="58">
        <f t="shared" si="47"/>
        <v>1947</v>
      </c>
      <c r="K64" s="58">
        <f t="shared" si="47"/>
        <v>5842</v>
      </c>
      <c r="L64" s="58">
        <f t="shared" si="47"/>
        <v>0</v>
      </c>
      <c r="M64" s="91">
        <f t="shared" si="47"/>
        <v>0</v>
      </c>
      <c r="N64" s="94" t="s">
        <v>58</v>
      </c>
      <c r="O64" s="94"/>
      <c r="P64" s="94"/>
    </row>
    <row r="65" spans="1:16" x14ac:dyDescent="0.3">
      <c r="A65" s="93"/>
      <c r="B65" s="57"/>
      <c r="C65" s="58"/>
      <c r="D65" s="58"/>
      <c r="E65" s="92"/>
      <c r="F65" s="58"/>
      <c r="G65" s="58"/>
      <c r="H65" s="58"/>
      <c r="I65" s="58"/>
      <c r="J65" s="58"/>
      <c r="K65" s="58"/>
      <c r="L65" s="58"/>
      <c r="M65" s="91"/>
      <c r="N65" s="94"/>
      <c r="O65" s="94"/>
      <c r="P65" s="94"/>
    </row>
    <row r="66" spans="1:16" x14ac:dyDescent="0.3">
      <c r="A66" s="9" t="s">
        <v>157</v>
      </c>
      <c r="B66" s="10">
        <f t="shared" ref="B66:B70" si="48">SUM(C66:E66)</f>
        <v>2885</v>
      </c>
      <c r="C66" s="39">
        <v>458</v>
      </c>
      <c r="D66" s="52">
        <f t="shared" ref="D66:D70" si="49">SUM(F66,H66,J66,K66,L66)</f>
        <v>2040</v>
      </c>
      <c r="E66" s="11">
        <f t="shared" ref="E66:E70" si="50">SUM(G66,I66,M66)</f>
        <v>387</v>
      </c>
      <c r="F66" s="39">
        <v>515</v>
      </c>
      <c r="G66" s="40">
        <v>237</v>
      </c>
      <c r="H66" s="39">
        <v>170</v>
      </c>
      <c r="I66" s="40">
        <v>150</v>
      </c>
      <c r="J66" s="39">
        <v>448</v>
      </c>
      <c r="K66" s="53">
        <v>907</v>
      </c>
      <c r="L66" s="39" t="s">
        <v>193</v>
      </c>
      <c r="M66" s="41" t="s">
        <v>193</v>
      </c>
      <c r="N66" s="12" t="s">
        <v>59</v>
      </c>
      <c r="O66" s="13"/>
      <c r="P66" s="13"/>
    </row>
    <row r="67" spans="1:16" x14ac:dyDescent="0.3">
      <c r="A67" s="9" t="s">
        <v>158</v>
      </c>
      <c r="B67" s="10">
        <f t="shared" si="48"/>
        <v>1937</v>
      </c>
      <c r="C67" s="39">
        <v>417</v>
      </c>
      <c r="D67" s="52">
        <f t="shared" si="49"/>
        <v>1316</v>
      </c>
      <c r="E67" s="11">
        <f t="shared" si="50"/>
        <v>204</v>
      </c>
      <c r="F67" s="39">
        <v>271</v>
      </c>
      <c r="G67" s="40">
        <v>120</v>
      </c>
      <c r="H67" s="39">
        <v>706</v>
      </c>
      <c r="I67" s="40">
        <v>84</v>
      </c>
      <c r="J67" s="39">
        <v>33</v>
      </c>
      <c r="K67" s="53">
        <v>306</v>
      </c>
      <c r="L67" s="39" t="s">
        <v>193</v>
      </c>
      <c r="M67" s="41" t="s">
        <v>193</v>
      </c>
      <c r="N67" s="12" t="s">
        <v>60</v>
      </c>
      <c r="O67" s="13"/>
      <c r="P67" s="13"/>
    </row>
    <row r="68" spans="1:16" x14ac:dyDescent="0.3">
      <c r="A68" s="9" t="s">
        <v>159</v>
      </c>
      <c r="B68" s="10">
        <f t="shared" si="48"/>
        <v>1101</v>
      </c>
      <c r="C68" s="39">
        <v>156</v>
      </c>
      <c r="D68" s="52">
        <f t="shared" si="49"/>
        <v>773</v>
      </c>
      <c r="E68" s="11">
        <f t="shared" si="50"/>
        <v>172</v>
      </c>
      <c r="F68" s="39">
        <v>234</v>
      </c>
      <c r="G68" s="40">
        <v>131</v>
      </c>
      <c r="H68" s="39">
        <v>196</v>
      </c>
      <c r="I68" s="40">
        <v>41</v>
      </c>
      <c r="J68" s="39" t="s">
        <v>193</v>
      </c>
      <c r="K68" s="53">
        <v>343</v>
      </c>
      <c r="L68" s="39" t="s">
        <v>193</v>
      </c>
      <c r="M68" s="41" t="s">
        <v>193</v>
      </c>
      <c r="N68" s="12" t="s">
        <v>61</v>
      </c>
      <c r="O68" s="13"/>
      <c r="P68" s="13"/>
    </row>
    <row r="69" spans="1:16" x14ac:dyDescent="0.3">
      <c r="A69" s="9" t="s">
        <v>160</v>
      </c>
      <c r="B69" s="10">
        <f t="shared" si="48"/>
        <v>7238</v>
      </c>
      <c r="C69" s="39">
        <v>907</v>
      </c>
      <c r="D69" s="52">
        <f t="shared" si="49"/>
        <v>4651</v>
      </c>
      <c r="E69" s="11">
        <f t="shared" si="50"/>
        <v>1680</v>
      </c>
      <c r="F69" s="39">
        <v>1042</v>
      </c>
      <c r="G69" s="40">
        <v>953</v>
      </c>
      <c r="H69" s="39">
        <v>521</v>
      </c>
      <c r="I69" s="40">
        <v>727</v>
      </c>
      <c r="J69" s="39">
        <v>1201</v>
      </c>
      <c r="K69" s="53">
        <v>1887</v>
      </c>
      <c r="L69" s="39" t="s">
        <v>193</v>
      </c>
      <c r="M69" s="41" t="s">
        <v>193</v>
      </c>
      <c r="N69" s="12" t="s">
        <v>62</v>
      </c>
      <c r="O69" s="13"/>
      <c r="P69" s="13"/>
    </row>
    <row r="70" spans="1:16" x14ac:dyDescent="0.3">
      <c r="A70" s="9" t="s">
        <v>161</v>
      </c>
      <c r="B70" s="10">
        <f t="shared" si="48"/>
        <v>4534</v>
      </c>
      <c r="C70" s="39">
        <v>405</v>
      </c>
      <c r="D70" s="52">
        <f t="shared" si="49"/>
        <v>3104</v>
      </c>
      <c r="E70" s="11">
        <f t="shared" si="50"/>
        <v>1025</v>
      </c>
      <c r="F70" s="39">
        <v>392</v>
      </c>
      <c r="G70" s="40">
        <v>568</v>
      </c>
      <c r="H70" s="39">
        <v>48</v>
      </c>
      <c r="I70" s="40">
        <v>457</v>
      </c>
      <c r="J70" s="39">
        <v>265</v>
      </c>
      <c r="K70" s="53">
        <v>2399</v>
      </c>
      <c r="L70" s="39" t="s">
        <v>193</v>
      </c>
      <c r="M70" s="41" t="s">
        <v>193</v>
      </c>
      <c r="N70" s="12" t="s">
        <v>63</v>
      </c>
      <c r="O70" s="13"/>
      <c r="P70" s="13"/>
    </row>
    <row r="71" spans="1:16" ht="10.65" customHeight="1" x14ac:dyDescent="0.3">
      <c r="A71" s="93" t="s">
        <v>64</v>
      </c>
      <c r="B71" s="57">
        <f t="shared" ref="B71:C71" si="51">SUM(B73:B80)</f>
        <v>3974</v>
      </c>
      <c r="C71" s="58">
        <f t="shared" si="51"/>
        <v>551</v>
      </c>
      <c r="D71" s="58">
        <f>SUM(D73:D80)</f>
        <v>3078</v>
      </c>
      <c r="E71" s="92">
        <f>SUM(E73:E80)</f>
        <v>345</v>
      </c>
      <c r="F71" s="58">
        <f t="shared" ref="F71" si="52">SUM(F73:F80)</f>
        <v>464</v>
      </c>
      <c r="G71" s="58">
        <f t="shared" ref="G71:M71" si="53">SUM(G73:G80)</f>
        <v>270</v>
      </c>
      <c r="H71" s="58">
        <f t="shared" si="53"/>
        <v>2001</v>
      </c>
      <c r="I71" s="58">
        <f t="shared" si="53"/>
        <v>75</v>
      </c>
      <c r="J71" s="58">
        <f t="shared" si="53"/>
        <v>8</v>
      </c>
      <c r="K71" s="58">
        <f t="shared" si="53"/>
        <v>605</v>
      </c>
      <c r="L71" s="58">
        <f t="shared" si="53"/>
        <v>0</v>
      </c>
      <c r="M71" s="91">
        <f t="shared" si="53"/>
        <v>0</v>
      </c>
      <c r="N71" s="94" t="s">
        <v>65</v>
      </c>
      <c r="O71" s="94"/>
      <c r="P71" s="94"/>
    </row>
    <row r="72" spans="1:16" ht="12.6" customHeight="1" x14ac:dyDescent="0.3">
      <c r="A72" s="93"/>
      <c r="B72" s="57"/>
      <c r="C72" s="58"/>
      <c r="D72" s="58"/>
      <c r="E72" s="92"/>
      <c r="F72" s="58"/>
      <c r="G72" s="58"/>
      <c r="H72" s="58"/>
      <c r="I72" s="58"/>
      <c r="J72" s="58"/>
      <c r="K72" s="58"/>
      <c r="L72" s="58"/>
      <c r="M72" s="91"/>
      <c r="N72" s="94"/>
      <c r="O72" s="94"/>
      <c r="P72" s="94"/>
    </row>
    <row r="73" spans="1:16" x14ac:dyDescent="0.3">
      <c r="A73" s="20" t="s">
        <v>110</v>
      </c>
      <c r="B73" s="10">
        <f t="shared" ref="B73:B80" si="54">SUM(C73:E73)</f>
        <v>0</v>
      </c>
      <c r="C73" s="39" t="s">
        <v>193</v>
      </c>
      <c r="D73" s="52">
        <f t="shared" ref="D73:D80" si="55">SUM(F73,H73,J73,K73,L73)</f>
        <v>0</v>
      </c>
      <c r="E73" s="11">
        <f t="shared" ref="E73:E80" si="56">SUM(G73,I73,M73)</f>
        <v>0</v>
      </c>
      <c r="F73" s="39" t="s">
        <v>193</v>
      </c>
      <c r="G73" s="40" t="s">
        <v>193</v>
      </c>
      <c r="H73" s="39" t="s">
        <v>193</v>
      </c>
      <c r="I73" s="40" t="s">
        <v>193</v>
      </c>
      <c r="J73" s="39" t="s">
        <v>193</v>
      </c>
      <c r="K73" s="53" t="s">
        <v>193</v>
      </c>
      <c r="L73" s="39" t="s">
        <v>193</v>
      </c>
      <c r="M73" s="41" t="s">
        <v>193</v>
      </c>
      <c r="N73" s="12" t="s">
        <v>66</v>
      </c>
      <c r="O73" s="13"/>
      <c r="P73" s="13"/>
    </row>
    <row r="74" spans="1:16" x14ac:dyDescent="0.3">
      <c r="A74" s="20" t="s">
        <v>111</v>
      </c>
      <c r="B74" s="10">
        <f t="shared" si="54"/>
        <v>0</v>
      </c>
      <c r="C74" s="39" t="s">
        <v>193</v>
      </c>
      <c r="D74" s="52">
        <f t="shared" si="55"/>
        <v>0</v>
      </c>
      <c r="E74" s="11">
        <f t="shared" si="56"/>
        <v>0</v>
      </c>
      <c r="F74" s="39" t="s">
        <v>193</v>
      </c>
      <c r="G74" s="40" t="s">
        <v>193</v>
      </c>
      <c r="H74" s="39" t="s">
        <v>193</v>
      </c>
      <c r="I74" s="40" t="s">
        <v>193</v>
      </c>
      <c r="J74" s="39" t="s">
        <v>193</v>
      </c>
      <c r="K74" s="53" t="s">
        <v>193</v>
      </c>
      <c r="L74" s="39" t="s">
        <v>193</v>
      </c>
      <c r="M74" s="41" t="s">
        <v>193</v>
      </c>
      <c r="N74" s="12" t="s">
        <v>67</v>
      </c>
      <c r="O74" s="13"/>
      <c r="P74" s="13"/>
    </row>
    <row r="75" spans="1:16" x14ac:dyDescent="0.3">
      <c r="A75" s="20" t="s">
        <v>112</v>
      </c>
      <c r="B75" s="10">
        <f t="shared" si="54"/>
        <v>0</v>
      </c>
      <c r="C75" s="39" t="s">
        <v>193</v>
      </c>
      <c r="D75" s="52">
        <f t="shared" si="55"/>
        <v>0</v>
      </c>
      <c r="E75" s="11">
        <f t="shared" si="56"/>
        <v>0</v>
      </c>
      <c r="F75" s="39" t="s">
        <v>193</v>
      </c>
      <c r="G75" s="40" t="s">
        <v>193</v>
      </c>
      <c r="H75" s="39" t="s">
        <v>193</v>
      </c>
      <c r="I75" s="40" t="s">
        <v>193</v>
      </c>
      <c r="J75" s="39" t="s">
        <v>193</v>
      </c>
      <c r="K75" s="53" t="s">
        <v>193</v>
      </c>
      <c r="L75" s="39" t="s">
        <v>193</v>
      </c>
      <c r="M75" s="41" t="s">
        <v>193</v>
      </c>
      <c r="N75" s="12" t="s">
        <v>68</v>
      </c>
      <c r="O75" s="13"/>
      <c r="P75" s="13"/>
    </row>
    <row r="76" spans="1:16" x14ac:dyDescent="0.3">
      <c r="A76" s="20" t="s">
        <v>113</v>
      </c>
      <c r="B76" s="10">
        <f t="shared" si="54"/>
        <v>0</v>
      </c>
      <c r="C76" s="39" t="s">
        <v>193</v>
      </c>
      <c r="D76" s="52">
        <f t="shared" si="55"/>
        <v>0</v>
      </c>
      <c r="E76" s="11">
        <f t="shared" si="56"/>
        <v>0</v>
      </c>
      <c r="F76" s="39" t="s">
        <v>193</v>
      </c>
      <c r="G76" s="40" t="s">
        <v>193</v>
      </c>
      <c r="H76" s="39" t="s">
        <v>193</v>
      </c>
      <c r="I76" s="40" t="s">
        <v>193</v>
      </c>
      <c r="J76" s="39" t="s">
        <v>193</v>
      </c>
      <c r="K76" s="53" t="s">
        <v>193</v>
      </c>
      <c r="L76" s="39" t="s">
        <v>193</v>
      </c>
      <c r="M76" s="41" t="s">
        <v>193</v>
      </c>
      <c r="N76" s="12" t="s">
        <v>69</v>
      </c>
      <c r="O76" s="13"/>
      <c r="P76" s="13"/>
    </row>
    <row r="77" spans="1:16" x14ac:dyDescent="0.3">
      <c r="A77" s="20" t="s">
        <v>114</v>
      </c>
      <c r="B77" s="10">
        <f t="shared" si="54"/>
        <v>334</v>
      </c>
      <c r="C77" s="39">
        <v>10</v>
      </c>
      <c r="D77" s="52">
        <f t="shared" si="55"/>
        <v>234</v>
      </c>
      <c r="E77" s="11">
        <f t="shared" si="56"/>
        <v>90</v>
      </c>
      <c r="F77" s="39">
        <v>18</v>
      </c>
      <c r="G77" s="40">
        <v>82</v>
      </c>
      <c r="H77" s="39">
        <v>145</v>
      </c>
      <c r="I77" s="40">
        <v>8</v>
      </c>
      <c r="J77" s="39">
        <v>8</v>
      </c>
      <c r="K77" s="54">
        <v>63</v>
      </c>
      <c r="L77" s="39" t="s">
        <v>193</v>
      </c>
      <c r="M77" s="41" t="s">
        <v>193</v>
      </c>
      <c r="N77" s="12" t="s">
        <v>70</v>
      </c>
      <c r="O77" s="13"/>
      <c r="P77" s="13"/>
    </row>
    <row r="78" spans="1:16" x14ac:dyDescent="0.3">
      <c r="A78" s="20" t="s">
        <v>115</v>
      </c>
      <c r="B78" s="10">
        <f t="shared" si="54"/>
        <v>3069</v>
      </c>
      <c r="C78" s="39">
        <v>529</v>
      </c>
      <c r="D78" s="52">
        <f t="shared" si="55"/>
        <v>2346</v>
      </c>
      <c r="E78" s="11">
        <f t="shared" si="56"/>
        <v>194</v>
      </c>
      <c r="F78" s="39">
        <v>345</v>
      </c>
      <c r="G78" s="40">
        <v>162</v>
      </c>
      <c r="H78" s="39">
        <v>1534</v>
      </c>
      <c r="I78" s="40">
        <v>32</v>
      </c>
      <c r="J78" s="39" t="s">
        <v>193</v>
      </c>
      <c r="K78" s="53">
        <v>467</v>
      </c>
      <c r="L78" s="39" t="s">
        <v>193</v>
      </c>
      <c r="M78" s="41" t="s">
        <v>193</v>
      </c>
      <c r="N78" s="12" t="s">
        <v>71</v>
      </c>
      <c r="O78" s="13"/>
      <c r="P78" s="13"/>
    </row>
    <row r="79" spans="1:16" x14ac:dyDescent="0.3">
      <c r="A79" s="20" t="s">
        <v>116</v>
      </c>
      <c r="B79" s="10">
        <f t="shared" si="54"/>
        <v>0</v>
      </c>
      <c r="C79" s="39" t="s">
        <v>193</v>
      </c>
      <c r="D79" s="52">
        <f t="shared" si="55"/>
        <v>0</v>
      </c>
      <c r="E79" s="11">
        <f t="shared" si="56"/>
        <v>0</v>
      </c>
      <c r="F79" s="39" t="s">
        <v>193</v>
      </c>
      <c r="G79" s="40" t="s">
        <v>193</v>
      </c>
      <c r="H79" s="39" t="s">
        <v>193</v>
      </c>
      <c r="I79" s="40" t="s">
        <v>193</v>
      </c>
      <c r="J79" s="39" t="s">
        <v>193</v>
      </c>
      <c r="K79" s="53" t="s">
        <v>193</v>
      </c>
      <c r="L79" s="39" t="s">
        <v>193</v>
      </c>
      <c r="M79" s="41" t="s">
        <v>193</v>
      </c>
      <c r="N79" s="12" t="s">
        <v>72</v>
      </c>
      <c r="O79" s="13"/>
      <c r="P79" s="13"/>
    </row>
    <row r="80" spans="1:16" x14ac:dyDescent="0.3">
      <c r="A80" s="20" t="s">
        <v>117</v>
      </c>
      <c r="B80" s="10">
        <f t="shared" si="54"/>
        <v>571</v>
      </c>
      <c r="C80" s="39">
        <v>12</v>
      </c>
      <c r="D80" s="52">
        <f t="shared" si="55"/>
        <v>498</v>
      </c>
      <c r="E80" s="11">
        <f t="shared" si="56"/>
        <v>61</v>
      </c>
      <c r="F80" s="39">
        <v>101</v>
      </c>
      <c r="G80" s="40">
        <v>26</v>
      </c>
      <c r="H80" s="39">
        <v>322</v>
      </c>
      <c r="I80" s="40">
        <v>35</v>
      </c>
      <c r="J80" s="39" t="s">
        <v>193</v>
      </c>
      <c r="K80" s="53">
        <v>75</v>
      </c>
      <c r="L80" s="39" t="s">
        <v>193</v>
      </c>
      <c r="M80" s="41" t="s">
        <v>193</v>
      </c>
      <c r="N80" s="12" t="s">
        <v>73</v>
      </c>
      <c r="O80" s="13"/>
      <c r="P80" s="13"/>
    </row>
    <row r="81" spans="1:16" x14ac:dyDescent="0.3">
      <c r="A81" s="93" t="s">
        <v>74</v>
      </c>
      <c r="B81" s="57">
        <f t="shared" ref="B81:C81" si="57">SUM(B83:B87)</f>
        <v>8920</v>
      </c>
      <c r="C81" s="58">
        <f t="shared" si="57"/>
        <v>992</v>
      </c>
      <c r="D81" s="58">
        <f>SUM(D83:D87)</f>
        <v>6012</v>
      </c>
      <c r="E81" s="92">
        <f>SUM(E83:E87)</f>
        <v>1916</v>
      </c>
      <c r="F81" s="58">
        <f t="shared" ref="F81" si="58">SUM(F83:F87)</f>
        <v>1032</v>
      </c>
      <c r="G81" s="58">
        <f t="shared" ref="G81:M81" si="59">SUM(G83:G87)</f>
        <v>945</v>
      </c>
      <c r="H81" s="58">
        <f t="shared" si="59"/>
        <v>895</v>
      </c>
      <c r="I81" s="58">
        <f t="shared" si="59"/>
        <v>971</v>
      </c>
      <c r="J81" s="58">
        <f t="shared" si="59"/>
        <v>700</v>
      </c>
      <c r="K81" s="58">
        <f t="shared" si="59"/>
        <v>3385</v>
      </c>
      <c r="L81" s="58">
        <f t="shared" si="59"/>
        <v>0</v>
      </c>
      <c r="M81" s="91">
        <f t="shared" si="59"/>
        <v>0</v>
      </c>
      <c r="N81" s="94" t="s">
        <v>75</v>
      </c>
      <c r="O81" s="94"/>
      <c r="P81" s="94"/>
    </row>
    <row r="82" spans="1:16" x14ac:dyDescent="0.3">
      <c r="A82" s="93"/>
      <c r="B82" s="57"/>
      <c r="C82" s="58"/>
      <c r="D82" s="58"/>
      <c r="E82" s="92"/>
      <c r="F82" s="58"/>
      <c r="G82" s="58"/>
      <c r="H82" s="58"/>
      <c r="I82" s="58"/>
      <c r="J82" s="58"/>
      <c r="K82" s="58"/>
      <c r="L82" s="58"/>
      <c r="M82" s="91"/>
      <c r="N82" s="94"/>
      <c r="O82" s="94"/>
      <c r="P82" s="94"/>
    </row>
    <row r="83" spans="1:16" x14ac:dyDescent="0.3">
      <c r="A83" s="9" t="s">
        <v>162</v>
      </c>
      <c r="B83" s="10">
        <f t="shared" ref="B83:B87" si="60">SUM(C83:E83)</f>
        <v>5280</v>
      </c>
      <c r="C83" s="39">
        <v>534</v>
      </c>
      <c r="D83" s="52">
        <f t="shared" ref="D83:D87" si="61">SUM(F83,H83,J83,K83,L83)</f>
        <v>3291</v>
      </c>
      <c r="E83" s="11">
        <f t="shared" ref="E83:E87" si="62">SUM(G83,I83,M83)</f>
        <v>1455</v>
      </c>
      <c r="F83" s="39">
        <v>609</v>
      </c>
      <c r="G83" s="40">
        <v>581</v>
      </c>
      <c r="H83" s="39">
        <v>18</v>
      </c>
      <c r="I83" s="40">
        <v>874</v>
      </c>
      <c r="J83" s="39">
        <v>129</v>
      </c>
      <c r="K83" s="53">
        <v>2535</v>
      </c>
      <c r="L83" s="39" t="s">
        <v>193</v>
      </c>
      <c r="M83" s="41" t="s">
        <v>193</v>
      </c>
      <c r="N83" s="12" t="s">
        <v>76</v>
      </c>
      <c r="O83" s="13"/>
      <c r="P83" s="13"/>
    </row>
    <row r="84" spans="1:16" x14ac:dyDescent="0.3">
      <c r="A84" s="9" t="s">
        <v>163</v>
      </c>
      <c r="B84" s="10">
        <f t="shared" si="60"/>
        <v>265</v>
      </c>
      <c r="C84" s="39">
        <v>18</v>
      </c>
      <c r="D84" s="52">
        <f t="shared" si="61"/>
        <v>198</v>
      </c>
      <c r="E84" s="11">
        <f t="shared" si="62"/>
        <v>49</v>
      </c>
      <c r="F84" s="39">
        <v>82</v>
      </c>
      <c r="G84" s="40">
        <v>37</v>
      </c>
      <c r="H84" s="39">
        <v>23</v>
      </c>
      <c r="I84" s="40">
        <v>12</v>
      </c>
      <c r="J84" s="39" t="s">
        <v>193</v>
      </c>
      <c r="K84" s="53">
        <v>93</v>
      </c>
      <c r="L84" s="39" t="s">
        <v>193</v>
      </c>
      <c r="M84" s="41" t="s">
        <v>193</v>
      </c>
      <c r="N84" s="12" t="s">
        <v>77</v>
      </c>
      <c r="O84" s="13"/>
      <c r="P84" s="13"/>
    </row>
    <row r="85" spans="1:16" x14ac:dyDescent="0.3">
      <c r="A85" s="9" t="s">
        <v>164</v>
      </c>
      <c r="B85" s="10">
        <f t="shared" si="60"/>
        <v>1076</v>
      </c>
      <c r="C85" s="39">
        <v>75</v>
      </c>
      <c r="D85" s="52">
        <f t="shared" si="61"/>
        <v>798</v>
      </c>
      <c r="E85" s="11">
        <f t="shared" si="62"/>
        <v>203</v>
      </c>
      <c r="F85" s="39">
        <v>173</v>
      </c>
      <c r="G85" s="40">
        <v>164</v>
      </c>
      <c r="H85" s="39" t="s">
        <v>193</v>
      </c>
      <c r="I85" s="40">
        <v>39</v>
      </c>
      <c r="J85" s="39" t="s">
        <v>193</v>
      </c>
      <c r="K85" s="53">
        <v>625</v>
      </c>
      <c r="L85" s="39" t="s">
        <v>193</v>
      </c>
      <c r="M85" s="41" t="s">
        <v>193</v>
      </c>
      <c r="N85" s="12" t="s">
        <v>78</v>
      </c>
      <c r="O85" s="13"/>
      <c r="P85" s="13"/>
    </row>
    <row r="86" spans="1:16" x14ac:dyDescent="0.3">
      <c r="A86" s="9" t="s">
        <v>165</v>
      </c>
      <c r="B86" s="10">
        <f t="shared" si="60"/>
        <v>137</v>
      </c>
      <c r="C86" s="39">
        <v>9</v>
      </c>
      <c r="D86" s="52">
        <f t="shared" si="61"/>
        <v>89</v>
      </c>
      <c r="E86" s="11">
        <f t="shared" si="62"/>
        <v>39</v>
      </c>
      <c r="F86" s="39">
        <v>16</v>
      </c>
      <c r="G86" s="40">
        <v>27</v>
      </c>
      <c r="H86" s="39">
        <v>46</v>
      </c>
      <c r="I86" s="40">
        <v>12</v>
      </c>
      <c r="J86" s="39" t="s">
        <v>193</v>
      </c>
      <c r="K86" s="53">
        <v>27</v>
      </c>
      <c r="L86" s="39" t="s">
        <v>193</v>
      </c>
      <c r="M86" s="41" t="s">
        <v>193</v>
      </c>
      <c r="N86" s="12" t="s">
        <v>79</v>
      </c>
      <c r="O86" s="13"/>
      <c r="P86" s="13"/>
    </row>
    <row r="87" spans="1:16" x14ac:dyDescent="0.3">
      <c r="A87" s="9" t="s">
        <v>166</v>
      </c>
      <c r="B87" s="10">
        <f t="shared" si="60"/>
        <v>2162</v>
      </c>
      <c r="C87" s="39">
        <v>356</v>
      </c>
      <c r="D87" s="52">
        <f t="shared" si="61"/>
        <v>1636</v>
      </c>
      <c r="E87" s="11">
        <f t="shared" si="62"/>
        <v>170</v>
      </c>
      <c r="F87" s="39">
        <v>152</v>
      </c>
      <c r="G87" s="40">
        <v>136</v>
      </c>
      <c r="H87" s="39">
        <v>808</v>
      </c>
      <c r="I87" s="40">
        <v>34</v>
      </c>
      <c r="J87" s="39">
        <v>571</v>
      </c>
      <c r="K87" s="53">
        <v>105</v>
      </c>
      <c r="L87" s="39" t="s">
        <v>193</v>
      </c>
      <c r="M87" s="41" t="s">
        <v>193</v>
      </c>
      <c r="N87" s="12" t="s">
        <v>80</v>
      </c>
      <c r="O87" s="13"/>
      <c r="P87" s="13"/>
    </row>
    <row r="88" spans="1:16" x14ac:dyDescent="0.3">
      <c r="A88" s="93" t="s">
        <v>81</v>
      </c>
      <c r="B88" s="57">
        <f t="shared" ref="B88:C88" si="63">SUM(B90:B102)</f>
        <v>18942</v>
      </c>
      <c r="C88" s="58">
        <f t="shared" si="63"/>
        <v>2204</v>
      </c>
      <c r="D88" s="58">
        <f>SUM(D90:D102)</f>
        <v>12629</v>
      </c>
      <c r="E88" s="92">
        <f>SUM(E90:E102)</f>
        <v>4109</v>
      </c>
      <c r="F88" s="58">
        <f t="shared" ref="F88" si="64">SUM(F90:F102)</f>
        <v>2866</v>
      </c>
      <c r="G88" s="58">
        <f t="shared" ref="G88:M88" si="65">SUM(G90:G102)</f>
        <v>2706</v>
      </c>
      <c r="H88" s="58">
        <f t="shared" si="65"/>
        <v>5357</v>
      </c>
      <c r="I88" s="58">
        <f t="shared" si="65"/>
        <v>1403</v>
      </c>
      <c r="J88" s="58">
        <f t="shared" si="65"/>
        <v>311</v>
      </c>
      <c r="K88" s="58">
        <f t="shared" si="65"/>
        <v>4095</v>
      </c>
      <c r="L88" s="58">
        <f t="shared" si="65"/>
        <v>0</v>
      </c>
      <c r="M88" s="91">
        <f t="shared" si="65"/>
        <v>0</v>
      </c>
      <c r="N88" s="94" t="s">
        <v>82</v>
      </c>
      <c r="O88" s="94"/>
      <c r="P88" s="94"/>
    </row>
    <row r="89" spans="1:16" x14ac:dyDescent="0.3">
      <c r="A89" s="93"/>
      <c r="B89" s="57"/>
      <c r="C89" s="58"/>
      <c r="D89" s="58"/>
      <c r="E89" s="92"/>
      <c r="F89" s="58"/>
      <c r="G89" s="58"/>
      <c r="H89" s="58"/>
      <c r="I89" s="58"/>
      <c r="J89" s="58"/>
      <c r="K89" s="58"/>
      <c r="L89" s="58"/>
      <c r="M89" s="91"/>
      <c r="N89" s="94"/>
      <c r="O89" s="94"/>
      <c r="P89" s="94"/>
    </row>
    <row r="90" spans="1:16" x14ac:dyDescent="0.3">
      <c r="A90" s="9" t="s">
        <v>167</v>
      </c>
      <c r="B90" s="10">
        <f t="shared" ref="B90:B102" si="66">SUM(C90:E90)</f>
        <v>624</v>
      </c>
      <c r="C90" s="39">
        <v>7</v>
      </c>
      <c r="D90" s="52">
        <f t="shared" ref="D90:D102" si="67">SUM(F90,H90,J90,K90,L90)</f>
        <v>455</v>
      </c>
      <c r="E90" s="11">
        <f t="shared" ref="E90:E102" si="68">SUM(G90,I90,M90)</f>
        <v>162</v>
      </c>
      <c r="F90" s="39">
        <v>156</v>
      </c>
      <c r="G90" s="40">
        <v>138</v>
      </c>
      <c r="H90" s="39">
        <v>118</v>
      </c>
      <c r="I90" s="44">
        <v>24</v>
      </c>
      <c r="J90" s="39" t="s">
        <v>193</v>
      </c>
      <c r="K90" s="54">
        <v>181</v>
      </c>
      <c r="L90" s="39" t="s">
        <v>193</v>
      </c>
      <c r="M90" s="41" t="s">
        <v>193</v>
      </c>
      <c r="N90" s="12" t="s">
        <v>83</v>
      </c>
      <c r="O90" s="13"/>
      <c r="P90" s="13"/>
    </row>
    <row r="91" spans="1:16" x14ac:dyDescent="0.3">
      <c r="A91" s="9" t="s">
        <v>168</v>
      </c>
      <c r="B91" s="10">
        <f t="shared" si="66"/>
        <v>763</v>
      </c>
      <c r="C91" s="39">
        <v>109</v>
      </c>
      <c r="D91" s="52">
        <f t="shared" si="67"/>
        <v>503</v>
      </c>
      <c r="E91" s="11">
        <f t="shared" si="68"/>
        <v>151</v>
      </c>
      <c r="F91" s="39">
        <v>102</v>
      </c>
      <c r="G91" s="40">
        <v>142</v>
      </c>
      <c r="H91" s="39">
        <v>273</v>
      </c>
      <c r="I91" s="40">
        <v>9</v>
      </c>
      <c r="J91" s="39">
        <v>5</v>
      </c>
      <c r="K91" s="53">
        <v>123</v>
      </c>
      <c r="L91" s="39" t="s">
        <v>193</v>
      </c>
      <c r="M91" s="41" t="s">
        <v>193</v>
      </c>
      <c r="N91" s="12" t="s">
        <v>84</v>
      </c>
      <c r="O91" s="13"/>
      <c r="P91" s="13"/>
    </row>
    <row r="92" spans="1:16" x14ac:dyDescent="0.3">
      <c r="A92" s="9" t="s">
        <v>169</v>
      </c>
      <c r="B92" s="10">
        <f t="shared" si="66"/>
        <v>354</v>
      </c>
      <c r="C92" s="39">
        <v>18</v>
      </c>
      <c r="D92" s="52">
        <f t="shared" si="67"/>
        <v>251</v>
      </c>
      <c r="E92" s="11">
        <f t="shared" si="68"/>
        <v>85</v>
      </c>
      <c r="F92" s="39">
        <v>87</v>
      </c>
      <c r="G92" s="40">
        <v>60</v>
      </c>
      <c r="H92" s="39">
        <v>119</v>
      </c>
      <c r="I92" s="40">
        <v>25</v>
      </c>
      <c r="J92" s="39">
        <v>9</v>
      </c>
      <c r="K92" s="53">
        <v>36</v>
      </c>
      <c r="L92" s="39" t="s">
        <v>193</v>
      </c>
      <c r="M92" s="41" t="s">
        <v>193</v>
      </c>
      <c r="N92" s="12" t="s">
        <v>85</v>
      </c>
      <c r="O92" s="13"/>
      <c r="P92" s="13"/>
    </row>
    <row r="93" spans="1:16" x14ac:dyDescent="0.3">
      <c r="A93" s="9" t="s">
        <v>170</v>
      </c>
      <c r="B93" s="10">
        <f t="shared" si="66"/>
        <v>693</v>
      </c>
      <c r="C93" s="39">
        <v>159</v>
      </c>
      <c r="D93" s="52">
        <f t="shared" si="67"/>
        <v>450</v>
      </c>
      <c r="E93" s="11">
        <f t="shared" si="68"/>
        <v>84</v>
      </c>
      <c r="F93" s="39">
        <v>66</v>
      </c>
      <c r="G93" s="40">
        <v>75</v>
      </c>
      <c r="H93" s="39">
        <v>253</v>
      </c>
      <c r="I93" s="40">
        <v>9</v>
      </c>
      <c r="J93" s="39">
        <v>22</v>
      </c>
      <c r="K93" s="53">
        <v>109</v>
      </c>
      <c r="L93" s="39" t="s">
        <v>193</v>
      </c>
      <c r="M93" s="41" t="s">
        <v>193</v>
      </c>
      <c r="N93" s="12" t="s">
        <v>86</v>
      </c>
      <c r="O93" s="13"/>
      <c r="P93" s="13"/>
    </row>
    <row r="94" spans="1:16" x14ac:dyDescent="0.3">
      <c r="A94" s="9" t="s">
        <v>171</v>
      </c>
      <c r="B94" s="10">
        <f t="shared" si="66"/>
        <v>0</v>
      </c>
      <c r="C94" s="39" t="s">
        <v>193</v>
      </c>
      <c r="D94" s="52">
        <f t="shared" si="67"/>
        <v>0</v>
      </c>
      <c r="E94" s="11">
        <f t="shared" si="68"/>
        <v>0</v>
      </c>
      <c r="F94" s="43" t="s">
        <v>193</v>
      </c>
      <c r="G94" s="44" t="s">
        <v>193</v>
      </c>
      <c r="H94" s="43" t="s">
        <v>193</v>
      </c>
      <c r="I94" s="40" t="s">
        <v>193</v>
      </c>
      <c r="J94" s="43" t="s">
        <v>193</v>
      </c>
      <c r="K94" s="53" t="s">
        <v>193</v>
      </c>
      <c r="L94" s="43" t="s">
        <v>193</v>
      </c>
      <c r="M94" s="41" t="s">
        <v>193</v>
      </c>
      <c r="N94" s="12" t="s">
        <v>87</v>
      </c>
      <c r="O94" s="13"/>
      <c r="P94" s="13"/>
    </row>
    <row r="95" spans="1:16" x14ac:dyDescent="0.3">
      <c r="A95" s="9" t="s">
        <v>172</v>
      </c>
      <c r="B95" s="10">
        <f t="shared" si="66"/>
        <v>1080</v>
      </c>
      <c r="C95" s="39">
        <v>24</v>
      </c>
      <c r="D95" s="52">
        <f t="shared" si="67"/>
        <v>775</v>
      </c>
      <c r="E95" s="11">
        <f t="shared" si="68"/>
        <v>281</v>
      </c>
      <c r="F95" s="39">
        <v>231</v>
      </c>
      <c r="G95" s="40">
        <v>212</v>
      </c>
      <c r="H95" s="39">
        <v>74</v>
      </c>
      <c r="I95" s="40">
        <v>69</v>
      </c>
      <c r="J95" s="39" t="s">
        <v>193</v>
      </c>
      <c r="K95" s="53">
        <v>470</v>
      </c>
      <c r="L95" s="39" t="s">
        <v>193</v>
      </c>
      <c r="M95" s="41" t="s">
        <v>193</v>
      </c>
      <c r="N95" s="12" t="s">
        <v>88</v>
      </c>
      <c r="O95" s="13"/>
      <c r="P95" s="13"/>
    </row>
    <row r="96" spans="1:16" x14ac:dyDescent="0.3">
      <c r="A96" s="9" t="s">
        <v>173</v>
      </c>
      <c r="B96" s="10">
        <f t="shared" si="66"/>
        <v>4082</v>
      </c>
      <c r="C96" s="39">
        <v>665</v>
      </c>
      <c r="D96" s="52">
        <f t="shared" si="67"/>
        <v>2427</v>
      </c>
      <c r="E96" s="11">
        <f t="shared" si="68"/>
        <v>990</v>
      </c>
      <c r="F96" s="39">
        <v>499</v>
      </c>
      <c r="G96" s="40">
        <v>471</v>
      </c>
      <c r="H96" s="39">
        <v>516</v>
      </c>
      <c r="I96" s="40">
        <v>519</v>
      </c>
      <c r="J96" s="39" t="s">
        <v>193</v>
      </c>
      <c r="K96" s="53">
        <v>1412</v>
      </c>
      <c r="L96" s="39" t="s">
        <v>193</v>
      </c>
      <c r="M96" s="41" t="s">
        <v>193</v>
      </c>
      <c r="N96" s="12" t="s">
        <v>89</v>
      </c>
      <c r="O96" s="13"/>
      <c r="P96" s="13"/>
    </row>
    <row r="97" spans="1:16" x14ac:dyDescent="0.3">
      <c r="A97" s="9" t="s">
        <v>174</v>
      </c>
      <c r="B97" s="10">
        <f t="shared" si="66"/>
        <v>115</v>
      </c>
      <c r="C97" s="39">
        <v>13</v>
      </c>
      <c r="D97" s="52">
        <f t="shared" si="67"/>
        <v>76</v>
      </c>
      <c r="E97" s="11">
        <f t="shared" si="68"/>
        <v>26</v>
      </c>
      <c r="F97" s="39">
        <v>10</v>
      </c>
      <c r="G97" s="40">
        <v>5</v>
      </c>
      <c r="H97" s="39">
        <v>55</v>
      </c>
      <c r="I97" s="40">
        <v>21</v>
      </c>
      <c r="J97" s="39">
        <v>3</v>
      </c>
      <c r="K97" s="53">
        <v>8</v>
      </c>
      <c r="L97" s="39" t="s">
        <v>193</v>
      </c>
      <c r="M97" s="41" t="s">
        <v>193</v>
      </c>
      <c r="N97" s="12" t="s">
        <v>90</v>
      </c>
      <c r="O97" s="13"/>
      <c r="P97" s="13"/>
    </row>
    <row r="98" spans="1:16" x14ac:dyDescent="0.3">
      <c r="A98" s="9" t="s">
        <v>175</v>
      </c>
      <c r="B98" s="10">
        <f t="shared" si="66"/>
        <v>919</v>
      </c>
      <c r="C98" s="39">
        <v>2</v>
      </c>
      <c r="D98" s="52">
        <f t="shared" si="67"/>
        <v>726</v>
      </c>
      <c r="E98" s="11">
        <f t="shared" si="68"/>
        <v>191</v>
      </c>
      <c r="F98" s="39">
        <v>32</v>
      </c>
      <c r="G98" s="40">
        <v>33</v>
      </c>
      <c r="H98" s="39">
        <v>328</v>
      </c>
      <c r="I98" s="40">
        <v>158</v>
      </c>
      <c r="J98" s="39" t="s">
        <v>193</v>
      </c>
      <c r="K98" s="53">
        <v>366</v>
      </c>
      <c r="L98" s="39" t="s">
        <v>193</v>
      </c>
      <c r="M98" s="41" t="s">
        <v>193</v>
      </c>
      <c r="N98" s="12" t="s">
        <v>91</v>
      </c>
      <c r="O98" s="13"/>
      <c r="P98" s="13"/>
    </row>
    <row r="99" spans="1:16" x14ac:dyDescent="0.3">
      <c r="A99" s="9" t="s">
        <v>176</v>
      </c>
      <c r="B99" s="10">
        <f t="shared" si="66"/>
        <v>7425</v>
      </c>
      <c r="C99" s="39">
        <v>765</v>
      </c>
      <c r="D99" s="52">
        <f t="shared" si="67"/>
        <v>5075</v>
      </c>
      <c r="E99" s="11">
        <f t="shared" si="68"/>
        <v>1585</v>
      </c>
      <c r="F99" s="39">
        <v>1261</v>
      </c>
      <c r="G99" s="40">
        <v>1112</v>
      </c>
      <c r="H99" s="39">
        <v>3040</v>
      </c>
      <c r="I99" s="40">
        <v>473</v>
      </c>
      <c r="J99" s="39">
        <v>25</v>
      </c>
      <c r="K99" s="53">
        <v>749</v>
      </c>
      <c r="L99" s="39" t="s">
        <v>193</v>
      </c>
      <c r="M99" s="41" t="s">
        <v>193</v>
      </c>
      <c r="N99" s="12" t="s">
        <v>92</v>
      </c>
      <c r="O99" s="13"/>
      <c r="P99" s="13"/>
    </row>
    <row r="100" spans="1:16" x14ac:dyDescent="0.3">
      <c r="A100" s="9" t="s">
        <v>177</v>
      </c>
      <c r="B100" s="10">
        <f t="shared" si="66"/>
        <v>900</v>
      </c>
      <c r="C100" s="39">
        <v>103</v>
      </c>
      <c r="D100" s="52">
        <f t="shared" si="67"/>
        <v>600</v>
      </c>
      <c r="E100" s="11">
        <f t="shared" si="68"/>
        <v>197</v>
      </c>
      <c r="F100" s="39">
        <v>148</v>
      </c>
      <c r="G100" s="40">
        <v>157</v>
      </c>
      <c r="H100" s="39">
        <v>80</v>
      </c>
      <c r="I100" s="40">
        <v>40</v>
      </c>
      <c r="J100" s="39">
        <v>203</v>
      </c>
      <c r="K100" s="54">
        <v>169</v>
      </c>
      <c r="L100" s="39" t="s">
        <v>193</v>
      </c>
      <c r="M100" s="41" t="s">
        <v>193</v>
      </c>
      <c r="N100" s="12" t="s">
        <v>93</v>
      </c>
      <c r="O100" s="13"/>
      <c r="P100" s="13"/>
    </row>
    <row r="101" spans="1:16" x14ac:dyDescent="0.3">
      <c r="A101" s="9" t="s">
        <v>178</v>
      </c>
      <c r="B101" s="10">
        <f t="shared" si="66"/>
        <v>1109</v>
      </c>
      <c r="C101" s="39">
        <v>288</v>
      </c>
      <c r="D101" s="52">
        <f t="shared" si="67"/>
        <v>668</v>
      </c>
      <c r="E101" s="11">
        <f t="shared" si="68"/>
        <v>153</v>
      </c>
      <c r="F101" s="39">
        <v>128</v>
      </c>
      <c r="G101" s="40">
        <v>143</v>
      </c>
      <c r="H101" s="39">
        <v>464</v>
      </c>
      <c r="I101" s="40">
        <v>10</v>
      </c>
      <c r="J101" s="39">
        <v>44</v>
      </c>
      <c r="K101" s="53">
        <v>32</v>
      </c>
      <c r="L101" s="39" t="s">
        <v>193</v>
      </c>
      <c r="M101" s="41" t="s">
        <v>193</v>
      </c>
      <c r="N101" s="12" t="s">
        <v>94</v>
      </c>
      <c r="O101" s="13"/>
      <c r="P101" s="13"/>
    </row>
    <row r="102" spans="1:16" x14ac:dyDescent="0.3">
      <c r="A102" s="9" t="s">
        <v>179</v>
      </c>
      <c r="B102" s="10">
        <f t="shared" si="66"/>
        <v>878</v>
      </c>
      <c r="C102" s="39">
        <v>51</v>
      </c>
      <c r="D102" s="52">
        <f t="shared" si="67"/>
        <v>623</v>
      </c>
      <c r="E102" s="11">
        <f t="shared" si="68"/>
        <v>204</v>
      </c>
      <c r="F102" s="39">
        <v>146</v>
      </c>
      <c r="G102" s="40">
        <v>158</v>
      </c>
      <c r="H102" s="39">
        <v>37</v>
      </c>
      <c r="I102" s="40">
        <v>46</v>
      </c>
      <c r="J102" s="39" t="s">
        <v>193</v>
      </c>
      <c r="K102" s="53">
        <v>440</v>
      </c>
      <c r="L102" s="39" t="s">
        <v>193</v>
      </c>
      <c r="M102" s="41" t="s">
        <v>193</v>
      </c>
      <c r="N102" s="12" t="s">
        <v>95</v>
      </c>
      <c r="O102" s="13"/>
      <c r="P102" s="13"/>
    </row>
    <row r="103" spans="1:16" x14ac:dyDescent="0.3">
      <c r="A103" s="93" t="s">
        <v>96</v>
      </c>
      <c r="B103" s="57">
        <f t="shared" ref="B103:C103" si="69">SUM(B105:B108)</f>
        <v>6728</v>
      </c>
      <c r="C103" s="58">
        <f t="shared" si="69"/>
        <v>225</v>
      </c>
      <c r="D103" s="58">
        <f>SUM(D105:D108)</f>
        <v>2603</v>
      </c>
      <c r="E103" s="92">
        <f>SUM(E105:E108)</f>
        <v>3900</v>
      </c>
      <c r="F103" s="58">
        <f t="shared" ref="F103" si="70">SUM(F105:F108)</f>
        <v>319</v>
      </c>
      <c r="G103" s="58">
        <f t="shared" ref="G103:M103" si="71">SUM(G105:G108)</f>
        <v>621</v>
      </c>
      <c r="H103" s="58">
        <f t="shared" si="71"/>
        <v>396</v>
      </c>
      <c r="I103" s="58">
        <f t="shared" si="71"/>
        <v>3279</v>
      </c>
      <c r="J103" s="58">
        <f t="shared" si="71"/>
        <v>34</v>
      </c>
      <c r="K103" s="58">
        <f t="shared" si="71"/>
        <v>1854</v>
      </c>
      <c r="L103" s="58">
        <f t="shared" si="71"/>
        <v>0</v>
      </c>
      <c r="M103" s="91">
        <f t="shared" si="71"/>
        <v>0</v>
      </c>
      <c r="N103" s="94" t="s">
        <v>97</v>
      </c>
      <c r="O103" s="94"/>
      <c r="P103" s="94"/>
    </row>
    <row r="104" spans="1:16" x14ac:dyDescent="0.3">
      <c r="A104" s="93"/>
      <c r="B104" s="57"/>
      <c r="C104" s="58"/>
      <c r="D104" s="58"/>
      <c r="E104" s="92"/>
      <c r="F104" s="58"/>
      <c r="G104" s="58"/>
      <c r="H104" s="58"/>
      <c r="I104" s="58"/>
      <c r="J104" s="58"/>
      <c r="K104" s="58"/>
      <c r="L104" s="58"/>
      <c r="M104" s="91"/>
      <c r="N104" s="94"/>
      <c r="O104" s="94"/>
      <c r="P104" s="94"/>
    </row>
    <row r="105" spans="1:16" x14ac:dyDescent="0.3">
      <c r="A105" s="9" t="s">
        <v>180</v>
      </c>
      <c r="B105" s="10">
        <f>SUM(C105:E105)</f>
        <v>1218</v>
      </c>
      <c r="C105" s="39">
        <v>74</v>
      </c>
      <c r="D105" s="52">
        <f t="shared" ref="D105:D108" si="72">SUM(F105,H105,J105,K105,L105)</f>
        <v>464</v>
      </c>
      <c r="E105" s="11">
        <f t="shared" ref="E105:E108" si="73">SUM(G105,I105,M105)</f>
        <v>680</v>
      </c>
      <c r="F105" s="39">
        <v>101</v>
      </c>
      <c r="G105" s="40">
        <v>449</v>
      </c>
      <c r="H105" s="39">
        <v>119</v>
      </c>
      <c r="I105" s="40">
        <v>231</v>
      </c>
      <c r="J105" s="39">
        <v>21</v>
      </c>
      <c r="K105" s="53">
        <v>223</v>
      </c>
      <c r="L105" s="39" t="s">
        <v>193</v>
      </c>
      <c r="M105" s="41" t="s">
        <v>193</v>
      </c>
      <c r="N105" s="12" t="s">
        <v>98</v>
      </c>
      <c r="O105" s="13"/>
      <c r="P105" s="13"/>
    </row>
    <row r="106" spans="1:16" x14ac:dyDescent="0.3">
      <c r="A106" s="9" t="s">
        <v>181</v>
      </c>
      <c r="B106" s="10">
        <f t="shared" ref="B106:B108" si="74">SUM(C106:E106)</f>
        <v>15</v>
      </c>
      <c r="C106" s="39">
        <v>2</v>
      </c>
      <c r="D106" s="52">
        <f t="shared" si="72"/>
        <v>8</v>
      </c>
      <c r="E106" s="11">
        <f t="shared" si="73"/>
        <v>5</v>
      </c>
      <c r="F106" s="43">
        <v>3</v>
      </c>
      <c r="G106" s="40">
        <v>2</v>
      </c>
      <c r="H106" s="43">
        <v>3</v>
      </c>
      <c r="I106" s="44">
        <v>3</v>
      </c>
      <c r="J106" s="43" t="s">
        <v>193</v>
      </c>
      <c r="K106" s="54">
        <v>2</v>
      </c>
      <c r="L106" s="43" t="s">
        <v>193</v>
      </c>
      <c r="M106" s="41" t="s">
        <v>193</v>
      </c>
      <c r="N106" s="12" t="s">
        <v>99</v>
      </c>
      <c r="O106" s="13"/>
      <c r="P106" s="13"/>
    </row>
    <row r="107" spans="1:16" x14ac:dyDescent="0.3">
      <c r="A107" s="9" t="s">
        <v>182</v>
      </c>
      <c r="B107" s="10">
        <f t="shared" si="74"/>
        <v>5266</v>
      </c>
      <c r="C107" s="39">
        <v>119</v>
      </c>
      <c r="D107" s="52">
        <f t="shared" si="72"/>
        <v>1986</v>
      </c>
      <c r="E107" s="11">
        <f t="shared" si="73"/>
        <v>3161</v>
      </c>
      <c r="F107" s="39">
        <v>177</v>
      </c>
      <c r="G107" s="40">
        <v>129</v>
      </c>
      <c r="H107" s="39">
        <v>230</v>
      </c>
      <c r="I107" s="40">
        <v>3032</v>
      </c>
      <c r="J107" s="39" t="s">
        <v>193</v>
      </c>
      <c r="K107" s="53">
        <v>1579</v>
      </c>
      <c r="L107" s="39" t="s">
        <v>193</v>
      </c>
      <c r="M107" s="41" t="s">
        <v>193</v>
      </c>
      <c r="N107" s="12" t="s">
        <v>100</v>
      </c>
      <c r="O107" s="13"/>
      <c r="P107" s="13"/>
    </row>
    <row r="108" spans="1:16" ht="15" thickBot="1" x14ac:dyDescent="0.35">
      <c r="A108" s="21" t="s">
        <v>183</v>
      </c>
      <c r="B108" s="22">
        <f t="shared" si="74"/>
        <v>229</v>
      </c>
      <c r="C108" s="45">
        <v>30</v>
      </c>
      <c r="D108" s="55">
        <f t="shared" si="72"/>
        <v>145</v>
      </c>
      <c r="E108" s="23">
        <f t="shared" si="73"/>
        <v>54</v>
      </c>
      <c r="F108" s="45">
        <v>38</v>
      </c>
      <c r="G108" s="46">
        <v>41</v>
      </c>
      <c r="H108" s="45">
        <v>44</v>
      </c>
      <c r="I108" s="46">
        <v>13</v>
      </c>
      <c r="J108" s="45">
        <v>13</v>
      </c>
      <c r="K108" s="56">
        <v>50</v>
      </c>
      <c r="L108" s="45" t="s">
        <v>193</v>
      </c>
      <c r="M108" s="47" t="s">
        <v>193</v>
      </c>
      <c r="N108" s="24" t="s">
        <v>101</v>
      </c>
      <c r="O108" s="25"/>
      <c r="P108" s="25"/>
    </row>
    <row r="109" spans="1:16" x14ac:dyDescent="0.3">
      <c r="A109" s="26"/>
      <c r="B109" s="27"/>
      <c r="C109" s="27"/>
      <c r="M109" s="2"/>
      <c r="O109" s="95"/>
      <c r="P109" s="95"/>
    </row>
    <row r="110" spans="1:16" x14ac:dyDescent="0.3">
      <c r="A110" s="27"/>
      <c r="B110" s="27"/>
      <c r="C110" s="27"/>
      <c r="M110" s="28"/>
      <c r="N110" s="27"/>
      <c r="O110" s="27"/>
      <c r="P110" s="27"/>
    </row>
    <row r="111" spans="1:16" ht="10.199999999999999" customHeight="1" x14ac:dyDescent="0.3">
      <c r="A111" s="29"/>
      <c r="B111" s="29"/>
      <c r="C111" s="29"/>
      <c r="D111" s="30"/>
      <c r="E111" s="30"/>
      <c r="F111" s="30"/>
      <c r="G111" s="30"/>
      <c r="H111" s="30"/>
      <c r="N111" s="30"/>
      <c r="O111" s="30"/>
      <c r="P111" s="30"/>
    </row>
    <row r="112" spans="1:16" ht="10.199999999999999" customHeight="1" x14ac:dyDescent="0.3">
      <c r="A112" s="29"/>
      <c r="B112" s="29"/>
      <c r="C112" s="29"/>
      <c r="D112" s="30"/>
      <c r="E112" s="30"/>
      <c r="F112" s="30"/>
      <c r="G112" s="30"/>
      <c r="H112" s="30"/>
      <c r="N112" s="30"/>
      <c r="O112" s="30"/>
      <c r="P112" s="30"/>
    </row>
    <row r="113" spans="1:16" ht="10.199999999999999" customHeight="1" x14ac:dyDescent="0.3">
      <c r="A113" s="96"/>
      <c r="B113" s="96"/>
      <c r="C113" s="96"/>
      <c r="D113" s="96"/>
      <c r="E113" s="96"/>
      <c r="F113" s="96"/>
      <c r="G113" s="96"/>
      <c r="H113" s="96"/>
      <c r="N113" s="96"/>
      <c r="O113" s="96"/>
      <c r="P113" s="96"/>
    </row>
    <row r="114" spans="1:16" x14ac:dyDescent="0.3">
      <c r="A114" s="96"/>
      <c r="B114" s="96"/>
      <c r="C114" s="96"/>
      <c r="D114" s="96"/>
      <c r="E114" s="96"/>
      <c r="F114" s="96"/>
      <c r="G114" s="96"/>
      <c r="H114" s="96"/>
      <c r="N114" s="96"/>
      <c r="O114" s="96"/>
      <c r="P114" s="96"/>
    </row>
    <row r="123" spans="1:16" x14ac:dyDescent="0.3">
      <c r="A123" s="31"/>
      <c r="B123" s="31"/>
      <c r="C123" s="31"/>
    </row>
    <row r="124" spans="1:16" x14ac:dyDescent="0.3">
      <c r="A124" s="108"/>
      <c r="B124" s="108"/>
      <c r="C124" s="108"/>
      <c r="D124" s="108"/>
      <c r="E124" s="108"/>
      <c r="F124" s="108"/>
      <c r="G124" s="108"/>
      <c r="H124" s="108"/>
      <c r="I124" s="108"/>
      <c r="J124" s="109"/>
      <c r="K124" s="109"/>
      <c r="L124" s="109"/>
      <c r="M124" s="109"/>
    </row>
    <row r="125" spans="1:16" x14ac:dyDescent="0.3">
      <c r="A125" s="108"/>
      <c r="B125" s="108"/>
      <c r="C125" s="108"/>
      <c r="D125" s="108"/>
      <c r="E125" s="108"/>
      <c r="F125" s="108"/>
      <c r="G125" s="108"/>
      <c r="H125" s="108"/>
      <c r="I125" s="108"/>
      <c r="J125" s="109"/>
      <c r="K125" s="109"/>
      <c r="L125" s="109"/>
      <c r="M125" s="109"/>
    </row>
    <row r="126" spans="1:16" x14ac:dyDescent="0.3">
      <c r="A126" s="108"/>
      <c r="B126" s="108"/>
      <c r="C126" s="108"/>
      <c r="D126" s="108"/>
      <c r="E126" s="108"/>
      <c r="F126" s="108"/>
      <c r="G126" s="108"/>
      <c r="H126" s="108"/>
      <c r="I126" s="108"/>
      <c r="J126" s="109"/>
      <c r="K126" s="109"/>
      <c r="L126" s="109"/>
      <c r="M126" s="109"/>
    </row>
    <row r="127" spans="1:16" x14ac:dyDescent="0.3">
      <c r="A127" s="31"/>
      <c r="B127" s="31"/>
      <c r="C127" s="31"/>
      <c r="I127" s="100"/>
      <c r="J127" s="100"/>
      <c r="K127" s="100"/>
      <c r="L127" s="100"/>
      <c r="M127" s="100"/>
    </row>
    <row r="128" spans="1:16" x14ac:dyDescent="0.3">
      <c r="A128" s="101"/>
      <c r="B128" s="32"/>
      <c r="C128" s="32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</row>
    <row r="129" spans="1:13" x14ac:dyDescent="0.3">
      <c r="A129" s="101"/>
      <c r="B129" s="32"/>
      <c r="C129" s="32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</row>
    <row r="130" spans="1:13" x14ac:dyDescent="0.3">
      <c r="A130" s="101"/>
      <c r="B130" s="32"/>
      <c r="C130" s="32"/>
      <c r="D130" s="101"/>
      <c r="E130" s="101"/>
      <c r="F130" s="32"/>
      <c r="G130" s="101"/>
      <c r="H130" s="101"/>
      <c r="I130" s="101"/>
      <c r="J130" s="101"/>
      <c r="K130" s="101"/>
      <c r="L130" s="101"/>
      <c r="M130" s="101"/>
    </row>
    <row r="131" spans="1:13" x14ac:dyDescent="0.3">
      <c r="A131" s="101"/>
      <c r="B131" s="32"/>
      <c r="C131" s="32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 spans="1:13" x14ac:dyDescent="0.3">
      <c r="A132" s="34"/>
      <c r="B132" s="34"/>
      <c r="C132" s="34"/>
    </row>
    <row r="133" spans="1:13" x14ac:dyDescent="0.3">
      <c r="A133" s="35"/>
      <c r="B133" s="35"/>
      <c r="C133" s="35"/>
    </row>
    <row r="134" spans="1:13" x14ac:dyDescent="0.3">
      <c r="A134" s="103"/>
      <c r="B134" s="51"/>
      <c r="C134" s="51"/>
      <c r="D134" s="102"/>
      <c r="E134" s="102"/>
      <c r="F134" s="36"/>
      <c r="G134" s="102"/>
      <c r="H134" s="102"/>
      <c r="I134" s="102"/>
      <c r="J134" s="102"/>
      <c r="K134" s="102"/>
      <c r="L134" s="102"/>
      <c r="M134" s="102"/>
    </row>
    <row r="135" spans="1:13" x14ac:dyDescent="0.3">
      <c r="A135" s="103"/>
      <c r="B135" s="51"/>
      <c r="C135" s="51"/>
      <c r="D135" s="102"/>
      <c r="E135" s="102"/>
      <c r="F135" s="36"/>
      <c r="G135" s="102"/>
      <c r="H135" s="102"/>
      <c r="I135" s="102"/>
      <c r="J135" s="102"/>
      <c r="K135" s="102"/>
      <c r="L135" s="102"/>
      <c r="M135" s="102"/>
    </row>
    <row r="136" spans="1:13" x14ac:dyDescent="0.3">
      <c r="A136" s="103"/>
      <c r="B136" s="51"/>
      <c r="C136" s="51"/>
      <c r="D136" s="102"/>
      <c r="E136" s="102"/>
      <c r="F136" s="36"/>
      <c r="G136" s="102"/>
      <c r="H136" s="102"/>
      <c r="I136" s="102"/>
      <c r="J136" s="102"/>
      <c r="K136" s="102"/>
      <c r="L136" s="102"/>
      <c r="M136" s="102"/>
    </row>
    <row r="137" spans="1:13" x14ac:dyDescent="0.3">
      <c r="A137" s="35"/>
      <c r="B137" s="35"/>
      <c r="C137" s="35"/>
      <c r="I137" s="6"/>
      <c r="J137" s="6"/>
    </row>
    <row r="138" spans="1:13" x14ac:dyDescent="0.3">
      <c r="A138" s="35"/>
      <c r="B138" s="35"/>
      <c r="C138" s="35"/>
      <c r="I138" s="6"/>
      <c r="J138" s="6"/>
    </row>
    <row r="139" spans="1:13" x14ac:dyDescent="0.3">
      <c r="A139" s="35"/>
      <c r="B139" s="35"/>
      <c r="C139" s="35"/>
      <c r="I139" s="6"/>
      <c r="J139" s="6"/>
    </row>
    <row r="140" spans="1:13" x14ac:dyDescent="0.3">
      <c r="A140" s="35"/>
      <c r="B140" s="35"/>
      <c r="C140" s="35"/>
      <c r="I140" s="6"/>
      <c r="J140" s="6"/>
    </row>
    <row r="141" spans="1:13" x14ac:dyDescent="0.3">
      <c r="A141" s="35"/>
      <c r="B141" s="35"/>
      <c r="C141" s="35"/>
      <c r="I141" s="6"/>
      <c r="J141" s="6"/>
    </row>
    <row r="142" spans="1:13" x14ac:dyDescent="0.3">
      <c r="A142" s="35"/>
      <c r="B142" s="35"/>
      <c r="C142" s="35"/>
      <c r="I142" s="6"/>
      <c r="J142" s="6"/>
    </row>
    <row r="143" spans="1:13" x14ac:dyDescent="0.3">
      <c r="A143" s="103"/>
      <c r="B143" s="51"/>
      <c r="C143" s="51"/>
    </row>
    <row r="144" spans="1:13" x14ac:dyDescent="0.3">
      <c r="A144" s="103"/>
      <c r="B144" s="51"/>
      <c r="C144" s="51"/>
    </row>
    <row r="145" spans="1:10" x14ac:dyDescent="0.3">
      <c r="A145" s="35"/>
      <c r="B145" s="35"/>
      <c r="C145" s="35"/>
      <c r="I145" s="6"/>
      <c r="J145" s="6"/>
    </row>
    <row r="146" spans="1:10" x14ac:dyDescent="0.3">
      <c r="A146" s="35"/>
      <c r="B146" s="35"/>
      <c r="C146" s="35"/>
      <c r="I146" s="6"/>
      <c r="J146" s="6"/>
    </row>
    <row r="147" spans="1:10" x14ac:dyDescent="0.3">
      <c r="A147" s="35"/>
      <c r="B147" s="35"/>
      <c r="C147" s="35"/>
      <c r="I147" s="6"/>
      <c r="J147" s="6"/>
    </row>
    <row r="148" spans="1:10" x14ac:dyDescent="0.3">
      <c r="A148" s="35"/>
      <c r="B148" s="35"/>
      <c r="C148" s="35"/>
      <c r="I148" s="6"/>
      <c r="J148" s="6"/>
    </row>
    <row r="149" spans="1:10" x14ac:dyDescent="0.3">
      <c r="A149" s="35"/>
      <c r="B149" s="35"/>
      <c r="C149" s="35"/>
      <c r="I149" s="6"/>
      <c r="J149" s="6"/>
    </row>
    <row r="150" spans="1:10" x14ac:dyDescent="0.3">
      <c r="A150" s="35"/>
      <c r="B150" s="35"/>
      <c r="C150" s="35"/>
      <c r="I150" s="6"/>
      <c r="J150" s="6"/>
    </row>
    <row r="151" spans="1:10" x14ac:dyDescent="0.3">
      <c r="A151" s="35"/>
      <c r="B151" s="35"/>
      <c r="C151" s="35"/>
      <c r="I151" s="6"/>
      <c r="J151" s="6"/>
    </row>
    <row r="152" spans="1:10" x14ac:dyDescent="0.3">
      <c r="A152" s="35"/>
      <c r="B152" s="35"/>
      <c r="C152" s="35"/>
      <c r="I152" s="6"/>
      <c r="J152" s="6"/>
    </row>
    <row r="153" spans="1:10" x14ac:dyDescent="0.3">
      <c r="A153" s="35"/>
      <c r="B153" s="35"/>
      <c r="C153" s="35"/>
      <c r="I153" s="6"/>
      <c r="J153" s="6"/>
    </row>
    <row r="154" spans="1:10" x14ac:dyDescent="0.3">
      <c r="A154" s="35"/>
      <c r="B154" s="35"/>
      <c r="C154" s="35"/>
      <c r="I154" s="6"/>
      <c r="J154" s="6"/>
    </row>
    <row r="155" spans="1:10" x14ac:dyDescent="0.3">
      <c r="A155" s="35"/>
      <c r="B155" s="35"/>
      <c r="C155" s="35"/>
      <c r="I155" s="6"/>
      <c r="J155" s="6"/>
    </row>
    <row r="156" spans="1:10" x14ac:dyDescent="0.3">
      <c r="A156" s="97"/>
      <c r="B156" s="50"/>
      <c r="C156" s="50"/>
    </row>
    <row r="157" spans="1:10" x14ac:dyDescent="0.3">
      <c r="A157" s="97"/>
      <c r="B157" s="50"/>
      <c r="C157" s="50"/>
    </row>
    <row r="158" spans="1:10" x14ac:dyDescent="0.3">
      <c r="A158" s="35"/>
      <c r="B158" s="35"/>
      <c r="C158" s="35"/>
      <c r="I158" s="6"/>
      <c r="J158" s="6"/>
    </row>
    <row r="159" spans="1:10" x14ac:dyDescent="0.3">
      <c r="A159" s="35"/>
      <c r="B159" s="35"/>
      <c r="C159" s="35"/>
      <c r="I159" s="6"/>
      <c r="J159" s="6"/>
    </row>
    <row r="160" spans="1:10" x14ac:dyDescent="0.3">
      <c r="A160" s="35"/>
      <c r="B160" s="35"/>
      <c r="C160" s="35"/>
      <c r="I160" s="6"/>
      <c r="J160" s="6"/>
    </row>
    <row r="161" spans="1:10" x14ac:dyDescent="0.3">
      <c r="A161" s="35"/>
      <c r="B161" s="35"/>
      <c r="C161" s="35"/>
      <c r="I161" s="6"/>
      <c r="J161" s="6"/>
    </row>
    <row r="162" spans="1:10" x14ac:dyDescent="0.3">
      <c r="A162" s="97"/>
      <c r="B162" s="50"/>
      <c r="C162" s="50"/>
    </row>
    <row r="163" spans="1:10" x14ac:dyDescent="0.3">
      <c r="A163" s="97"/>
      <c r="B163" s="50"/>
      <c r="C163" s="50"/>
    </row>
    <row r="164" spans="1:10" x14ac:dyDescent="0.3">
      <c r="A164" s="35"/>
      <c r="B164" s="35"/>
      <c r="C164" s="35"/>
      <c r="I164" s="6"/>
      <c r="J164" s="6"/>
    </row>
    <row r="165" spans="1:10" x14ac:dyDescent="0.3">
      <c r="A165" s="35"/>
      <c r="B165" s="35"/>
      <c r="C165" s="35"/>
      <c r="I165" s="6"/>
      <c r="J165" s="6"/>
    </row>
    <row r="166" spans="1:10" x14ac:dyDescent="0.3">
      <c r="A166" s="35"/>
      <c r="B166" s="35"/>
      <c r="C166" s="35"/>
      <c r="I166" s="6"/>
      <c r="J166" s="6"/>
    </row>
    <row r="167" spans="1:10" x14ac:dyDescent="0.3">
      <c r="A167" s="35"/>
      <c r="B167" s="35"/>
      <c r="C167" s="35"/>
      <c r="I167" s="6"/>
      <c r="J167" s="6"/>
    </row>
    <row r="168" spans="1:10" x14ac:dyDescent="0.3">
      <c r="A168" s="35"/>
      <c r="B168" s="35"/>
      <c r="C168" s="35"/>
      <c r="I168" s="6"/>
      <c r="J168" s="6"/>
    </row>
    <row r="169" spans="1:10" x14ac:dyDescent="0.3">
      <c r="A169" s="97"/>
      <c r="B169" s="50"/>
      <c r="C169" s="50"/>
    </row>
    <row r="170" spans="1:10" x14ac:dyDescent="0.3">
      <c r="A170" s="97"/>
      <c r="B170" s="50"/>
      <c r="C170" s="50"/>
    </row>
    <row r="171" spans="1:10" x14ac:dyDescent="0.3">
      <c r="A171" s="35"/>
      <c r="B171" s="35"/>
      <c r="C171" s="35"/>
      <c r="I171" s="6"/>
      <c r="J171" s="6"/>
    </row>
    <row r="172" spans="1:10" x14ac:dyDescent="0.3">
      <c r="A172" s="35"/>
      <c r="B172" s="35"/>
      <c r="C172" s="35"/>
      <c r="I172" s="6"/>
      <c r="J172" s="6"/>
    </row>
    <row r="173" spans="1:10" x14ac:dyDescent="0.3">
      <c r="A173" s="35"/>
      <c r="B173" s="35"/>
      <c r="C173" s="35"/>
      <c r="I173" s="6"/>
      <c r="J173" s="6"/>
    </row>
    <row r="174" spans="1:10" x14ac:dyDescent="0.3">
      <c r="A174" s="35"/>
      <c r="B174" s="35"/>
      <c r="C174" s="35"/>
      <c r="I174" s="6"/>
      <c r="J174" s="6"/>
    </row>
    <row r="175" spans="1:10" x14ac:dyDescent="0.3">
      <c r="A175" s="35"/>
      <c r="B175" s="35"/>
      <c r="C175" s="35"/>
      <c r="I175" s="6"/>
      <c r="J175" s="6"/>
    </row>
    <row r="176" spans="1:10" x14ac:dyDescent="0.3">
      <c r="A176" s="97"/>
      <c r="B176" s="50"/>
      <c r="C176" s="50"/>
    </row>
    <row r="177" spans="1:10" x14ac:dyDescent="0.3">
      <c r="A177" s="97"/>
      <c r="B177" s="50"/>
      <c r="C177" s="50"/>
    </row>
    <row r="178" spans="1:10" x14ac:dyDescent="0.3">
      <c r="A178" s="35"/>
      <c r="B178" s="35"/>
      <c r="C178" s="35"/>
      <c r="I178" s="6"/>
      <c r="J178" s="6"/>
    </row>
    <row r="179" spans="1:10" x14ac:dyDescent="0.3">
      <c r="A179" s="35"/>
      <c r="B179" s="35"/>
      <c r="C179" s="35"/>
      <c r="I179" s="6"/>
      <c r="J179" s="6"/>
    </row>
    <row r="180" spans="1:10" x14ac:dyDescent="0.3">
      <c r="A180" s="35"/>
      <c r="B180" s="35"/>
      <c r="C180" s="35"/>
      <c r="I180" s="6"/>
      <c r="J180" s="6"/>
    </row>
    <row r="181" spans="1:10" x14ac:dyDescent="0.3">
      <c r="A181" s="35"/>
      <c r="B181" s="35"/>
      <c r="C181" s="35"/>
      <c r="I181" s="6"/>
      <c r="J181" s="6"/>
    </row>
    <row r="182" spans="1:10" x14ac:dyDescent="0.3">
      <c r="A182" s="35"/>
      <c r="B182" s="35"/>
      <c r="C182" s="35"/>
      <c r="I182" s="6"/>
      <c r="J182" s="6"/>
    </row>
    <row r="183" spans="1:10" x14ac:dyDescent="0.3">
      <c r="A183" s="97"/>
      <c r="B183" s="50"/>
      <c r="C183" s="50"/>
    </row>
    <row r="184" spans="1:10" x14ac:dyDescent="0.3">
      <c r="A184" s="97"/>
      <c r="B184" s="50"/>
      <c r="C184" s="50"/>
    </row>
    <row r="185" spans="1:10" x14ac:dyDescent="0.3">
      <c r="A185" s="35"/>
      <c r="B185" s="35"/>
      <c r="C185" s="35"/>
      <c r="I185" s="6"/>
      <c r="J185" s="6"/>
    </row>
    <row r="186" spans="1:10" x14ac:dyDescent="0.3">
      <c r="A186" s="35"/>
      <c r="B186" s="35"/>
      <c r="C186" s="35"/>
      <c r="I186" s="6"/>
      <c r="J186" s="6"/>
    </row>
    <row r="187" spans="1:10" x14ac:dyDescent="0.3">
      <c r="A187" s="35"/>
      <c r="B187" s="35"/>
      <c r="C187" s="35"/>
      <c r="I187" s="6"/>
      <c r="J187" s="6"/>
    </row>
    <row r="188" spans="1:10" x14ac:dyDescent="0.3">
      <c r="A188" s="97"/>
      <c r="B188" s="50"/>
      <c r="C188" s="50"/>
    </row>
    <row r="189" spans="1:10" x14ac:dyDescent="0.3">
      <c r="A189" s="97"/>
      <c r="B189" s="50"/>
      <c r="C189" s="50"/>
    </row>
    <row r="190" spans="1:10" x14ac:dyDescent="0.3">
      <c r="A190" s="35"/>
      <c r="B190" s="35"/>
      <c r="C190" s="35"/>
      <c r="I190" s="6"/>
      <c r="J190" s="6"/>
    </row>
    <row r="191" spans="1:10" x14ac:dyDescent="0.3">
      <c r="A191" s="35"/>
      <c r="B191" s="35"/>
      <c r="C191" s="35"/>
      <c r="I191" s="6"/>
      <c r="J191" s="6"/>
    </row>
    <row r="192" spans="1:10" x14ac:dyDescent="0.3">
      <c r="A192" s="35"/>
      <c r="B192" s="35"/>
      <c r="C192" s="35"/>
      <c r="I192" s="6"/>
      <c r="J192" s="6"/>
    </row>
    <row r="193" spans="1:10" x14ac:dyDescent="0.3">
      <c r="A193" s="35"/>
      <c r="B193" s="35"/>
      <c r="C193" s="35"/>
      <c r="I193" s="6"/>
      <c r="J193" s="6"/>
    </row>
    <row r="194" spans="1:10" x14ac:dyDescent="0.3">
      <c r="A194" s="35"/>
      <c r="B194" s="35"/>
      <c r="C194" s="35"/>
      <c r="I194" s="6"/>
      <c r="J194" s="6"/>
    </row>
    <row r="195" spans="1:10" x14ac:dyDescent="0.3">
      <c r="A195" s="97"/>
      <c r="B195" s="50"/>
      <c r="C195" s="50"/>
    </row>
    <row r="196" spans="1:10" x14ac:dyDescent="0.3">
      <c r="A196" s="97"/>
      <c r="B196" s="50"/>
      <c r="C196" s="50"/>
    </row>
    <row r="197" spans="1:10" x14ac:dyDescent="0.3">
      <c r="A197" s="35"/>
      <c r="B197" s="35"/>
      <c r="C197" s="35"/>
      <c r="I197" s="6"/>
      <c r="J197" s="6"/>
    </row>
    <row r="198" spans="1:10" x14ac:dyDescent="0.3">
      <c r="A198" s="35"/>
      <c r="B198" s="35"/>
      <c r="C198" s="35"/>
      <c r="I198" s="6"/>
      <c r="J198" s="6"/>
    </row>
    <row r="199" spans="1:10" x14ac:dyDescent="0.3">
      <c r="A199" s="35"/>
      <c r="B199" s="35"/>
      <c r="C199" s="35"/>
      <c r="I199" s="6"/>
      <c r="J199" s="6"/>
    </row>
    <row r="200" spans="1:10" x14ac:dyDescent="0.3">
      <c r="A200" s="35"/>
      <c r="B200" s="35"/>
      <c r="C200" s="35"/>
      <c r="I200" s="6"/>
      <c r="J200" s="6"/>
    </row>
    <row r="201" spans="1:10" x14ac:dyDescent="0.3">
      <c r="A201" s="35"/>
      <c r="B201" s="35"/>
      <c r="C201" s="35"/>
      <c r="I201" s="6"/>
      <c r="J201" s="6"/>
    </row>
    <row r="202" spans="1:10" x14ac:dyDescent="0.3">
      <c r="A202" s="35"/>
      <c r="B202" s="35"/>
      <c r="C202" s="35"/>
      <c r="I202" s="6"/>
      <c r="J202" s="6"/>
    </row>
    <row r="203" spans="1:10" x14ac:dyDescent="0.3">
      <c r="A203" s="35"/>
      <c r="B203" s="35"/>
      <c r="C203" s="35"/>
      <c r="I203" s="6"/>
      <c r="J203" s="6"/>
    </row>
    <row r="204" spans="1:10" x14ac:dyDescent="0.3">
      <c r="A204" s="35"/>
      <c r="B204" s="35"/>
      <c r="C204" s="35"/>
      <c r="I204" s="6"/>
      <c r="J204" s="6"/>
    </row>
    <row r="205" spans="1:10" x14ac:dyDescent="0.3">
      <c r="A205" s="97"/>
      <c r="B205" s="50"/>
      <c r="C205" s="50"/>
    </row>
    <row r="206" spans="1:10" x14ac:dyDescent="0.3">
      <c r="A206" s="97"/>
      <c r="B206" s="50"/>
      <c r="C206" s="50"/>
    </row>
    <row r="207" spans="1:10" x14ac:dyDescent="0.3">
      <c r="A207" s="35"/>
      <c r="B207" s="35"/>
      <c r="C207" s="35"/>
      <c r="I207" s="6"/>
      <c r="J207" s="6"/>
    </row>
    <row r="208" spans="1:10" x14ac:dyDescent="0.3">
      <c r="A208" s="35"/>
      <c r="B208" s="35"/>
      <c r="C208" s="35"/>
      <c r="I208" s="6"/>
      <c r="J208" s="6"/>
    </row>
    <row r="209" spans="1:10" x14ac:dyDescent="0.3">
      <c r="A209" s="35"/>
      <c r="B209" s="35"/>
      <c r="C209" s="35"/>
      <c r="I209" s="6"/>
      <c r="J209" s="6"/>
    </row>
    <row r="210" spans="1:10" x14ac:dyDescent="0.3">
      <c r="A210" s="35"/>
      <c r="B210" s="35"/>
      <c r="C210" s="35"/>
      <c r="I210" s="6"/>
      <c r="J210" s="6"/>
    </row>
    <row r="211" spans="1:10" x14ac:dyDescent="0.3">
      <c r="A211" s="35"/>
      <c r="B211" s="35"/>
      <c r="C211" s="35"/>
      <c r="I211" s="6"/>
      <c r="J211" s="6"/>
    </row>
    <row r="212" spans="1:10" x14ac:dyDescent="0.3">
      <c r="A212" s="97"/>
      <c r="B212" s="50"/>
      <c r="C212" s="50"/>
    </row>
    <row r="213" spans="1:10" x14ac:dyDescent="0.3">
      <c r="A213" s="97"/>
      <c r="B213" s="50"/>
      <c r="C213" s="50"/>
    </row>
    <row r="214" spans="1:10" x14ac:dyDescent="0.3">
      <c r="A214" s="35"/>
      <c r="B214" s="35"/>
      <c r="C214" s="35"/>
      <c r="I214" s="6"/>
      <c r="J214" s="6"/>
    </row>
    <row r="215" spans="1:10" x14ac:dyDescent="0.3">
      <c r="A215" s="35"/>
      <c r="B215" s="35"/>
      <c r="C215" s="35"/>
      <c r="I215" s="6"/>
      <c r="J215" s="6"/>
    </row>
    <row r="216" spans="1:10" x14ac:dyDescent="0.3">
      <c r="A216" s="35"/>
      <c r="B216" s="35"/>
      <c r="C216" s="35"/>
      <c r="I216" s="6"/>
      <c r="J216" s="6"/>
    </row>
    <row r="217" spans="1:10" x14ac:dyDescent="0.3">
      <c r="A217" s="35"/>
      <c r="B217" s="35"/>
      <c r="C217" s="35"/>
      <c r="I217" s="6"/>
      <c r="J217" s="6"/>
    </row>
    <row r="218" spans="1:10" x14ac:dyDescent="0.3">
      <c r="A218" s="35"/>
      <c r="B218" s="35"/>
      <c r="C218" s="35"/>
      <c r="I218" s="6"/>
      <c r="J218" s="6"/>
    </row>
    <row r="219" spans="1:10" x14ac:dyDescent="0.3">
      <c r="A219" s="35"/>
      <c r="B219" s="35"/>
      <c r="C219" s="35"/>
      <c r="I219" s="6"/>
      <c r="J219" s="6"/>
    </row>
    <row r="220" spans="1:10" x14ac:dyDescent="0.3">
      <c r="A220" s="35"/>
      <c r="B220" s="35"/>
      <c r="C220" s="35"/>
      <c r="I220" s="6"/>
      <c r="J220" s="6"/>
    </row>
    <row r="221" spans="1:10" x14ac:dyDescent="0.3">
      <c r="A221" s="35"/>
      <c r="B221" s="35"/>
      <c r="C221" s="35"/>
      <c r="I221" s="6"/>
      <c r="J221" s="6"/>
    </row>
    <row r="222" spans="1:10" x14ac:dyDescent="0.3">
      <c r="A222" s="35"/>
      <c r="B222" s="35"/>
      <c r="C222" s="35"/>
      <c r="I222" s="6"/>
      <c r="J222" s="6"/>
    </row>
    <row r="223" spans="1:10" x14ac:dyDescent="0.3">
      <c r="A223" s="35"/>
      <c r="B223" s="35"/>
      <c r="C223" s="35"/>
      <c r="I223" s="6"/>
      <c r="J223" s="6"/>
    </row>
    <row r="224" spans="1:10" x14ac:dyDescent="0.3">
      <c r="A224" s="35"/>
      <c r="B224" s="35"/>
      <c r="C224" s="35"/>
      <c r="I224" s="6"/>
      <c r="J224" s="6"/>
    </row>
    <row r="225" spans="1:10" x14ac:dyDescent="0.3">
      <c r="A225" s="35"/>
      <c r="B225" s="35"/>
      <c r="C225" s="35"/>
      <c r="I225" s="6"/>
      <c r="J225" s="6"/>
    </row>
    <row r="226" spans="1:10" x14ac:dyDescent="0.3">
      <c r="A226" s="35"/>
      <c r="B226" s="35"/>
      <c r="C226" s="35"/>
      <c r="I226" s="6"/>
      <c r="J226" s="6"/>
    </row>
    <row r="227" spans="1:10" x14ac:dyDescent="0.3">
      <c r="A227" s="97"/>
      <c r="B227" s="50"/>
      <c r="C227" s="50"/>
    </row>
    <row r="228" spans="1:10" x14ac:dyDescent="0.3">
      <c r="A228" s="97"/>
      <c r="B228" s="50"/>
      <c r="C228" s="50"/>
    </row>
    <row r="229" spans="1:10" x14ac:dyDescent="0.3">
      <c r="A229" s="35"/>
      <c r="B229" s="35"/>
      <c r="C229" s="35"/>
      <c r="I229" s="6"/>
      <c r="J229" s="6"/>
    </row>
    <row r="230" spans="1:10" x14ac:dyDescent="0.3">
      <c r="A230" s="35"/>
      <c r="B230" s="35"/>
      <c r="C230" s="35"/>
      <c r="I230" s="6"/>
      <c r="J230" s="6"/>
    </row>
    <row r="231" spans="1:10" x14ac:dyDescent="0.3">
      <c r="A231" s="35"/>
      <c r="B231" s="35"/>
      <c r="C231" s="35"/>
      <c r="I231" s="6"/>
      <c r="J231" s="6"/>
    </row>
    <row r="232" spans="1:10" x14ac:dyDescent="0.3">
      <c r="A232" s="35"/>
      <c r="B232" s="35"/>
      <c r="C232" s="35"/>
      <c r="I232" s="6"/>
      <c r="J232" s="6"/>
    </row>
    <row r="233" spans="1:10" x14ac:dyDescent="0.3">
      <c r="A233" s="35"/>
      <c r="B233" s="35"/>
      <c r="C233" s="35"/>
    </row>
    <row r="234" spans="1:10" x14ac:dyDescent="0.3">
      <c r="A234" s="35"/>
      <c r="B234" s="35"/>
      <c r="C234" s="35"/>
    </row>
  </sheetData>
  <mergeCells count="233">
    <mergeCell ref="A143:A144"/>
    <mergeCell ref="A156:A157"/>
    <mergeCell ref="A162:A163"/>
    <mergeCell ref="J134:J136"/>
    <mergeCell ref="K134:K136"/>
    <mergeCell ref="A188:A189"/>
    <mergeCell ref="A52:A53"/>
    <mergeCell ref="D52:D53"/>
    <mergeCell ref="E52:E53"/>
    <mergeCell ref="G52:G53"/>
    <mergeCell ref="H52:H53"/>
    <mergeCell ref="I52:I53"/>
    <mergeCell ref="J124:M126"/>
    <mergeCell ref="A71:A72"/>
    <mergeCell ref="D71:D72"/>
    <mergeCell ref="E71:E72"/>
    <mergeCell ref="G71:G72"/>
    <mergeCell ref="H71:H72"/>
    <mergeCell ref="I71:I72"/>
    <mergeCell ref="A59:A60"/>
    <mergeCell ref="D59:D60"/>
    <mergeCell ref="E59:E60"/>
    <mergeCell ref="G59:G60"/>
    <mergeCell ref="H59:H60"/>
    <mergeCell ref="A212:A213"/>
    <mergeCell ref="H103:H104"/>
    <mergeCell ref="I103:I104"/>
    <mergeCell ref="A114:H114"/>
    <mergeCell ref="A81:A82"/>
    <mergeCell ref="D81:D82"/>
    <mergeCell ref="E81:E82"/>
    <mergeCell ref="G81:G82"/>
    <mergeCell ref="H81:H82"/>
    <mergeCell ref="I81:I82"/>
    <mergeCell ref="E103:E104"/>
    <mergeCell ref="G103:G104"/>
    <mergeCell ref="A195:A196"/>
    <mergeCell ref="A205:A206"/>
    <mergeCell ref="A169:A170"/>
    <mergeCell ref="A176:A177"/>
    <mergeCell ref="A183:A184"/>
    <mergeCell ref="I134:I136"/>
    <mergeCell ref="A124:I126"/>
    <mergeCell ref="F103:F104"/>
    <mergeCell ref="A88:A89"/>
    <mergeCell ref="D88:D89"/>
    <mergeCell ref="E88:E89"/>
    <mergeCell ref="G88:G89"/>
    <mergeCell ref="A227:A228"/>
    <mergeCell ref="L5:M5"/>
    <mergeCell ref="I127:M127"/>
    <mergeCell ref="A128:A131"/>
    <mergeCell ref="D128:H129"/>
    <mergeCell ref="I128:J130"/>
    <mergeCell ref="K128:K130"/>
    <mergeCell ref="L128:M130"/>
    <mergeCell ref="D130:E130"/>
    <mergeCell ref="G130:H130"/>
    <mergeCell ref="M134:M136"/>
    <mergeCell ref="A134:A136"/>
    <mergeCell ref="D134:D136"/>
    <mergeCell ref="E134:E136"/>
    <mergeCell ref="G134:G136"/>
    <mergeCell ref="H134:H136"/>
    <mergeCell ref="L134:L136"/>
    <mergeCell ref="A103:A104"/>
    <mergeCell ref="D103:D104"/>
    <mergeCell ref="M6:M7"/>
    <mergeCell ref="L6:L7"/>
    <mergeCell ref="A64:A65"/>
    <mergeCell ref="D64:D65"/>
    <mergeCell ref="E64:E65"/>
    <mergeCell ref="O109:P109"/>
    <mergeCell ref="N113:P113"/>
    <mergeCell ref="N114:P114"/>
    <mergeCell ref="A113:H113"/>
    <mergeCell ref="N81:P82"/>
    <mergeCell ref="J81:J82"/>
    <mergeCell ref="K81:K82"/>
    <mergeCell ref="L81:L82"/>
    <mergeCell ref="M81:M82"/>
    <mergeCell ref="F81:F82"/>
    <mergeCell ref="H88:H89"/>
    <mergeCell ref="I88:I89"/>
    <mergeCell ref="N88:P89"/>
    <mergeCell ref="J88:J89"/>
    <mergeCell ref="K88:K89"/>
    <mergeCell ref="L88:L89"/>
    <mergeCell ref="M88:M89"/>
    <mergeCell ref="F88:F89"/>
    <mergeCell ref="N103:P104"/>
    <mergeCell ref="J103:J104"/>
    <mergeCell ref="K103:K104"/>
    <mergeCell ref="L103:L104"/>
    <mergeCell ref="M103:M104"/>
    <mergeCell ref="N71:P72"/>
    <mergeCell ref="J71:J72"/>
    <mergeCell ref="K71:K72"/>
    <mergeCell ref="L71:L72"/>
    <mergeCell ref="M71:M72"/>
    <mergeCell ref="F71:F72"/>
    <mergeCell ref="N64:P65"/>
    <mergeCell ref="J64:J65"/>
    <mergeCell ref="K64:K65"/>
    <mergeCell ref="L64:L65"/>
    <mergeCell ref="M64:M65"/>
    <mergeCell ref="F64:F65"/>
    <mergeCell ref="I59:I60"/>
    <mergeCell ref="N59:P60"/>
    <mergeCell ref="J59:J60"/>
    <mergeCell ref="K59:K60"/>
    <mergeCell ref="L59:L60"/>
    <mergeCell ref="M59:M60"/>
    <mergeCell ref="F59:F60"/>
    <mergeCell ref="G64:G65"/>
    <mergeCell ref="H64:H65"/>
    <mergeCell ref="I64:I65"/>
    <mergeCell ref="N52:P53"/>
    <mergeCell ref="J52:J53"/>
    <mergeCell ref="K52:K53"/>
    <mergeCell ref="L52:L53"/>
    <mergeCell ref="M52:M53"/>
    <mergeCell ref="F52:F53"/>
    <mergeCell ref="A45:A46"/>
    <mergeCell ref="D45:D46"/>
    <mergeCell ref="E45:E46"/>
    <mergeCell ref="G45:G46"/>
    <mergeCell ref="H45:H46"/>
    <mergeCell ref="I45:I46"/>
    <mergeCell ref="N45:P46"/>
    <mergeCell ref="J45:J46"/>
    <mergeCell ref="K45:K46"/>
    <mergeCell ref="L45:L46"/>
    <mergeCell ref="M45:M46"/>
    <mergeCell ref="F45:F46"/>
    <mergeCell ref="B45:B46"/>
    <mergeCell ref="C45:C46"/>
    <mergeCell ref="N38:P39"/>
    <mergeCell ref="J38:J39"/>
    <mergeCell ref="K38:K39"/>
    <mergeCell ref="L38:L39"/>
    <mergeCell ref="M38:M39"/>
    <mergeCell ref="F38:F39"/>
    <mergeCell ref="A32:A33"/>
    <mergeCell ref="D32:D33"/>
    <mergeCell ref="E32:E33"/>
    <mergeCell ref="G32:G33"/>
    <mergeCell ref="H32:H33"/>
    <mergeCell ref="I32:I33"/>
    <mergeCell ref="N32:P33"/>
    <mergeCell ref="J32:J33"/>
    <mergeCell ref="K32:K33"/>
    <mergeCell ref="L32:L33"/>
    <mergeCell ref="M32:M33"/>
    <mergeCell ref="F32:F33"/>
    <mergeCell ref="A38:A39"/>
    <mergeCell ref="D38:D39"/>
    <mergeCell ref="E38:E39"/>
    <mergeCell ref="G38:G39"/>
    <mergeCell ref="H38:H39"/>
    <mergeCell ref="I38:I39"/>
    <mergeCell ref="N18:P19"/>
    <mergeCell ref="J18:J19"/>
    <mergeCell ref="K18:K19"/>
    <mergeCell ref="L18:L19"/>
    <mergeCell ref="M18:M19"/>
    <mergeCell ref="F18:F19"/>
    <mergeCell ref="A10:A11"/>
    <mergeCell ref="D10:D11"/>
    <mergeCell ref="E10:E11"/>
    <mergeCell ref="G10:G11"/>
    <mergeCell ref="H10:H11"/>
    <mergeCell ref="I10:I11"/>
    <mergeCell ref="N10:P11"/>
    <mergeCell ref="J10:J11"/>
    <mergeCell ref="K10:K11"/>
    <mergeCell ref="L10:L11"/>
    <mergeCell ref="M10:M11"/>
    <mergeCell ref="G18:G19"/>
    <mergeCell ref="H18:H19"/>
    <mergeCell ref="I18:I19"/>
    <mergeCell ref="A18:A19"/>
    <mergeCell ref="D18:D19"/>
    <mergeCell ref="E18:E19"/>
    <mergeCell ref="A2:O2"/>
    <mergeCell ref="A3:N3"/>
    <mergeCell ref="N5:P7"/>
    <mergeCell ref="F8:F9"/>
    <mergeCell ref="F10:F11"/>
    <mergeCell ref="J4:M4"/>
    <mergeCell ref="O4:P4"/>
    <mergeCell ref="A5:A7"/>
    <mergeCell ref="N8:P9"/>
    <mergeCell ref="J8:J9"/>
    <mergeCell ref="K8:K9"/>
    <mergeCell ref="L8:L9"/>
    <mergeCell ref="M8:M9"/>
    <mergeCell ref="F6:G6"/>
    <mergeCell ref="H6:K6"/>
    <mergeCell ref="D6:E6"/>
    <mergeCell ref="A8:A9"/>
    <mergeCell ref="D8:D9"/>
    <mergeCell ref="E8:E9"/>
    <mergeCell ref="G8:G9"/>
    <mergeCell ref="H8:H9"/>
    <mergeCell ref="I8:I9"/>
    <mergeCell ref="B5:K5"/>
    <mergeCell ref="C6:C7"/>
    <mergeCell ref="B6:B7"/>
    <mergeCell ref="B8:B9"/>
    <mergeCell ref="C8:C9"/>
    <mergeCell ref="B10:B11"/>
    <mergeCell ref="C10:C11"/>
    <mergeCell ref="B38:B39"/>
    <mergeCell ref="C38:C39"/>
    <mergeCell ref="B18:B19"/>
    <mergeCell ref="C18:C19"/>
    <mergeCell ref="B32:B33"/>
    <mergeCell ref="C32:C33"/>
    <mergeCell ref="B59:B60"/>
    <mergeCell ref="C59:C60"/>
    <mergeCell ref="B52:B53"/>
    <mergeCell ref="C52:C53"/>
    <mergeCell ref="B64:B65"/>
    <mergeCell ref="C64:C65"/>
    <mergeCell ref="B71:B72"/>
    <mergeCell ref="C71:C72"/>
    <mergeCell ref="B103:B104"/>
    <mergeCell ref="C103:C104"/>
    <mergeCell ref="B88:B89"/>
    <mergeCell ref="C88:C89"/>
    <mergeCell ref="B81:B82"/>
    <mergeCell ref="C81:C82"/>
  </mergeCells>
  <pageMargins left="0.7" right="0.7" top="0.75" bottom="0.75" header="0.3" footer="0.3"/>
  <pageSetup paperSize="9" orientation="portrait" horizontalDpi="200" verticalDpi="200" r:id="rId1"/>
  <ignoredErrors>
    <ignoredError sqref="G27:K27 L27:M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2015-05-15T06:35:45Z</cp:lastPrinted>
  <dcterms:created xsi:type="dcterms:W3CDTF">2015-05-15T06:27:06Z</dcterms:created>
  <dcterms:modified xsi:type="dcterms:W3CDTF">2023-08-25T09:08:08Z</dcterms:modified>
</cp:coreProperties>
</file>