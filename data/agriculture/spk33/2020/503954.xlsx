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14A9CD90-85FF-44EA-8038-07A791E5D95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8" i="1"/>
  <c r="C27" i="1"/>
  <c r="C32" i="1"/>
  <c r="C38" i="1"/>
  <c r="C45" i="1"/>
  <c r="C52" i="1"/>
  <c r="C59" i="1"/>
  <c r="C64" i="1"/>
  <c r="C71" i="1"/>
  <c r="C81" i="1"/>
  <c r="C88" i="1"/>
  <c r="C103" i="1"/>
  <c r="C8" i="1" l="1"/>
  <c r="G103" i="1"/>
  <c r="G88" i="1"/>
  <c r="G81" i="1"/>
  <c r="G71" i="1"/>
  <c r="G64" i="1"/>
  <c r="G59" i="1"/>
  <c r="G52" i="1"/>
  <c r="G45" i="1"/>
  <c r="G38" i="1"/>
  <c r="G32" i="1"/>
  <c r="G27" i="1"/>
  <c r="G18" i="1"/>
  <c r="G10" i="1"/>
  <c r="G8" i="1" l="1"/>
  <c r="E103" i="1"/>
  <c r="F103" i="1"/>
  <c r="E88" i="1"/>
  <c r="F88" i="1"/>
  <c r="E81" i="1"/>
  <c r="F81" i="1"/>
  <c r="E71" i="1"/>
  <c r="F71" i="1"/>
  <c r="E64" i="1"/>
  <c r="F64" i="1"/>
  <c r="E59" i="1"/>
  <c r="F59" i="1"/>
  <c r="E52" i="1"/>
  <c r="F52" i="1"/>
  <c r="E45" i="1"/>
  <c r="F45" i="1"/>
  <c r="E38" i="1"/>
  <c r="F38" i="1"/>
  <c r="E32" i="1"/>
  <c r="F32" i="1"/>
  <c r="E27" i="1"/>
  <c r="F27" i="1"/>
  <c r="E18" i="1"/>
  <c r="F18" i="1"/>
  <c r="E10" i="1"/>
  <c r="F10" i="1"/>
  <c r="H73" i="1"/>
  <c r="H74" i="1"/>
  <c r="H75" i="1"/>
  <c r="H76" i="1"/>
  <c r="H77" i="1"/>
  <c r="H78" i="1"/>
  <c r="H79" i="1"/>
  <c r="H80" i="1"/>
  <c r="F8" i="1" l="1"/>
  <c r="E8" i="1"/>
  <c r="L14" i="1"/>
  <c r="H14" i="1"/>
  <c r="H13" i="1" l="1"/>
  <c r="L12" i="1"/>
  <c r="H12" i="1"/>
  <c r="B64" i="1"/>
  <c r="D64" i="1"/>
  <c r="L108" i="1" l="1"/>
  <c r="L107" i="1"/>
  <c r="L106" i="1"/>
  <c r="L105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7" i="1"/>
  <c r="L86" i="1"/>
  <c r="L85" i="1"/>
  <c r="L84" i="1"/>
  <c r="L83" i="1"/>
  <c r="L80" i="1"/>
  <c r="L79" i="1"/>
  <c r="L78" i="1"/>
  <c r="L77" i="1"/>
  <c r="L76" i="1"/>
  <c r="L75" i="1"/>
  <c r="L74" i="1"/>
  <c r="L73" i="1"/>
  <c r="L70" i="1"/>
  <c r="L69" i="1"/>
  <c r="L68" i="1"/>
  <c r="L67" i="1"/>
  <c r="L66" i="1"/>
  <c r="L63" i="1"/>
  <c r="L62" i="1"/>
  <c r="L61" i="1"/>
  <c r="L58" i="1"/>
  <c r="L57" i="1"/>
  <c r="L56" i="1"/>
  <c r="L55" i="1"/>
  <c r="L54" i="1"/>
  <c r="L51" i="1"/>
  <c r="L50" i="1"/>
  <c r="L49" i="1"/>
  <c r="L48" i="1"/>
  <c r="L47" i="1"/>
  <c r="L44" i="1"/>
  <c r="L43" i="1"/>
  <c r="L42" i="1"/>
  <c r="L41" i="1"/>
  <c r="L40" i="1"/>
  <c r="L37" i="1"/>
  <c r="L36" i="1"/>
  <c r="L35" i="1"/>
  <c r="L34" i="1"/>
  <c r="L31" i="1"/>
  <c r="L30" i="1"/>
  <c r="L29" i="1"/>
  <c r="L28" i="1"/>
  <c r="L26" i="1"/>
  <c r="L25" i="1"/>
  <c r="L24" i="1"/>
  <c r="L23" i="1"/>
  <c r="L22" i="1"/>
  <c r="L21" i="1"/>
  <c r="L20" i="1"/>
  <c r="L17" i="1"/>
  <c r="L16" i="1"/>
  <c r="L15" i="1"/>
  <c r="L13" i="1"/>
  <c r="L10" i="1" l="1"/>
  <c r="L103" i="1"/>
  <c r="L88" i="1"/>
  <c r="L81" i="1"/>
  <c r="L71" i="1"/>
  <c r="L64" i="1"/>
  <c r="L59" i="1"/>
  <c r="L52" i="1"/>
  <c r="L45" i="1"/>
  <c r="L38" i="1"/>
  <c r="L32" i="1"/>
  <c r="L27" i="1"/>
  <c r="L18" i="1"/>
  <c r="B18" i="1"/>
  <c r="B10" i="1"/>
  <c r="O103" i="1"/>
  <c r="N103" i="1"/>
  <c r="M103" i="1"/>
  <c r="K103" i="1"/>
  <c r="J103" i="1"/>
  <c r="I103" i="1"/>
  <c r="O88" i="1"/>
  <c r="N88" i="1"/>
  <c r="M88" i="1"/>
  <c r="K88" i="1"/>
  <c r="J88" i="1"/>
  <c r="I88" i="1"/>
  <c r="O81" i="1"/>
  <c r="N81" i="1"/>
  <c r="M81" i="1"/>
  <c r="K81" i="1"/>
  <c r="J81" i="1"/>
  <c r="I81" i="1"/>
  <c r="O71" i="1"/>
  <c r="N71" i="1"/>
  <c r="M71" i="1"/>
  <c r="K71" i="1"/>
  <c r="J71" i="1"/>
  <c r="I71" i="1"/>
  <c r="O64" i="1"/>
  <c r="N64" i="1"/>
  <c r="M64" i="1"/>
  <c r="K64" i="1"/>
  <c r="J64" i="1"/>
  <c r="I64" i="1"/>
  <c r="O59" i="1"/>
  <c r="N59" i="1"/>
  <c r="M59" i="1"/>
  <c r="K59" i="1"/>
  <c r="J59" i="1"/>
  <c r="I59" i="1"/>
  <c r="O52" i="1"/>
  <c r="N52" i="1"/>
  <c r="M52" i="1"/>
  <c r="K52" i="1"/>
  <c r="J52" i="1"/>
  <c r="I52" i="1"/>
  <c r="O45" i="1"/>
  <c r="N45" i="1"/>
  <c r="M45" i="1"/>
  <c r="K45" i="1"/>
  <c r="J45" i="1"/>
  <c r="I45" i="1"/>
  <c r="O38" i="1"/>
  <c r="N38" i="1"/>
  <c r="M38" i="1"/>
  <c r="K38" i="1"/>
  <c r="J38" i="1"/>
  <c r="I38" i="1"/>
  <c r="O32" i="1"/>
  <c r="N32" i="1"/>
  <c r="M32" i="1"/>
  <c r="K32" i="1"/>
  <c r="J32" i="1"/>
  <c r="I32" i="1"/>
  <c r="O27" i="1"/>
  <c r="N27" i="1"/>
  <c r="M27" i="1"/>
  <c r="J27" i="1"/>
  <c r="K27" i="1"/>
  <c r="I27" i="1"/>
  <c r="O18" i="1"/>
  <c r="N18" i="1"/>
  <c r="M18" i="1"/>
  <c r="J18" i="1"/>
  <c r="K18" i="1"/>
  <c r="I18" i="1"/>
  <c r="O10" i="1"/>
  <c r="N10" i="1"/>
  <c r="M10" i="1"/>
  <c r="J10" i="1"/>
  <c r="K10" i="1"/>
  <c r="I10" i="1"/>
  <c r="I8" i="1" s="1"/>
  <c r="H108" i="1"/>
  <c r="H107" i="1"/>
  <c r="H106" i="1"/>
  <c r="H105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7" i="1"/>
  <c r="H86" i="1"/>
  <c r="H85" i="1"/>
  <c r="H84" i="1"/>
  <c r="H83" i="1"/>
  <c r="H70" i="1"/>
  <c r="H69" i="1"/>
  <c r="H68" i="1"/>
  <c r="H67" i="1"/>
  <c r="H66" i="1"/>
  <c r="H63" i="1"/>
  <c r="H62" i="1"/>
  <c r="H61" i="1"/>
  <c r="H58" i="1"/>
  <c r="H57" i="1"/>
  <c r="H56" i="1"/>
  <c r="H55" i="1"/>
  <c r="H54" i="1"/>
  <c r="H51" i="1"/>
  <c r="H50" i="1"/>
  <c r="H49" i="1"/>
  <c r="H48" i="1"/>
  <c r="H47" i="1"/>
  <c r="H44" i="1"/>
  <c r="H43" i="1"/>
  <c r="H42" i="1"/>
  <c r="H41" i="1"/>
  <c r="H40" i="1"/>
  <c r="H37" i="1"/>
  <c r="H36" i="1"/>
  <c r="H35" i="1"/>
  <c r="H34" i="1"/>
  <c r="H31" i="1"/>
  <c r="H30" i="1"/>
  <c r="H29" i="1"/>
  <c r="H28" i="1"/>
  <c r="H26" i="1"/>
  <c r="H25" i="1"/>
  <c r="H24" i="1"/>
  <c r="H23" i="1"/>
  <c r="H22" i="1"/>
  <c r="H21" i="1"/>
  <c r="H20" i="1"/>
  <c r="H17" i="1"/>
  <c r="H16" i="1"/>
  <c r="H15" i="1"/>
  <c r="D103" i="1"/>
  <c r="B103" i="1"/>
  <c r="D88" i="1"/>
  <c r="B88" i="1"/>
  <c r="D81" i="1"/>
  <c r="B81" i="1"/>
  <c r="D71" i="1"/>
  <c r="B71" i="1"/>
  <c r="D59" i="1"/>
  <c r="B59" i="1"/>
  <c r="D52" i="1"/>
  <c r="B52" i="1"/>
  <c r="D38" i="1"/>
  <c r="D32" i="1"/>
  <c r="D45" i="1"/>
  <c r="B45" i="1"/>
  <c r="B38" i="1"/>
  <c r="B32" i="1"/>
  <c r="D27" i="1"/>
  <c r="B27" i="1"/>
  <c r="D18" i="1"/>
  <c r="D10" i="1"/>
  <c r="D8" i="1" l="1"/>
  <c r="B8" i="1"/>
  <c r="H27" i="1"/>
  <c r="H32" i="1"/>
  <c r="H38" i="1"/>
  <c r="H52" i="1"/>
  <c r="H64" i="1"/>
  <c r="H88" i="1"/>
  <c r="H10" i="1"/>
  <c r="H18" i="1"/>
  <c r="H45" i="1"/>
  <c r="H59" i="1"/>
  <c r="H71" i="1"/>
  <c r="H81" i="1"/>
  <c r="H103" i="1"/>
  <c r="L8" i="1"/>
  <c r="O8" i="1"/>
  <c r="J8" i="1"/>
  <c r="M8" i="1"/>
  <c r="N8" i="1"/>
  <c r="K8" i="1"/>
  <c r="H8" i="1" l="1"/>
</calcChain>
</file>

<file path=xl/sharedStrings.xml><?xml version="1.0" encoding="utf-8"?>
<sst xmlns="http://schemas.openxmlformats.org/spreadsheetml/2006/main" count="479" uniqueCount="200">
  <si>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</si>
  <si>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</si>
  <si>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</si>
  <si>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</si>
  <si>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</si>
  <si>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</si>
  <si>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</si>
  <si>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</si>
  <si>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</si>
  <si>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</si>
  <si>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</si>
  <si>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</si>
  <si>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</si>
  <si>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</si>
  <si>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</si>
  <si>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</si>
  <si>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</si>
  <si>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</si>
  <si>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</si>
  <si>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</si>
  <si>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</si>
  <si>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</si>
  <si>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</si>
  <si>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</si>
  <si>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</si>
  <si>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</si>
  <si>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</si>
  <si>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</si>
  <si>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</si>
  <si>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</si>
  <si>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</si>
  <si>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</si>
  <si>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</si>
  <si>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</si>
  <si>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</si>
  <si>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</si>
  <si>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</si>
  <si>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</si>
  <si>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</si>
  <si>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</si>
  <si>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</si>
  <si>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</si>
  <si>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</si>
  <si>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</si>
  <si>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</si>
  <si>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</si>
  <si>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</si>
  <si>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</si>
  <si>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</si>
  <si>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</si>
  <si>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</si>
  <si>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</si>
  <si>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</si>
  <si>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</si>
  <si>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</si>
  <si>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</si>
  <si>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</si>
  <si>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</si>
  <si>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</si>
  <si>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</si>
  <si>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</si>
  <si>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</si>
  <si>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</si>
  <si>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</si>
  <si>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</si>
  <si>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</si>
  <si>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</si>
  <si>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</si>
  <si>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</si>
  <si>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</si>
  <si>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</si>
  <si>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</si>
  <si>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</si>
  <si>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</si>
  <si>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</si>
  <si>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</si>
  <si>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</si>
  <si>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</si>
  <si>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</si>
  <si>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</si>
  <si>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</si>
  <si>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</si>
  <si>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</si>
  <si>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</si>
  <si>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</si>
  <si>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</si>
  <si>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</si>
  <si>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</si>
  <si>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</si>
  <si>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</si>
  <si>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</si>
  <si>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</si>
  <si>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</si>
  <si>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</si>
  <si>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</si>
  <si>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</si>
  <si>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</si>
  <si>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</si>
  <si>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</si>
  <si>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</si>
  <si>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</si>
  <si>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</si>
  <si>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</si>
  <si>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</si>
  <si>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</si>
  <si>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</si>
  <si>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</si>
  <si>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</si>
  <si>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</si>
  <si>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</si>
  <si>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</si>
  <si>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</si>
  <si>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</si>
  <si>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</si>
  <si>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</si>
  <si>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</si>
  <si>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</si>
  <si>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</si>
  <si>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</si>
  <si>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</si>
  <si>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</si>
  <si>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</si>
  <si>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</si>
  <si>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</si>
  <si>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</si>
  <si>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</si>
  <si>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</si>
  <si>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</si>
  <si>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</si>
  <si>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</si>
  <si>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</si>
  <si>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</si>
  <si>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</si>
  <si>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</si>
  <si>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</si>
  <si>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</si>
  <si>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</si>
  <si>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</si>
  <si>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</si>
  <si>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</si>
  <si>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</si>
  <si>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</si>
  <si>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</si>
  <si>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</si>
  <si>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</si>
  <si>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</si>
  <si>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</si>
  <si>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</si>
  <si>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</si>
  <si>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</si>
  <si>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</si>
  <si>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</si>
  <si>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</si>
  <si>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</si>
  <si>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</si>
  <si>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</si>
  <si>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</si>
  <si>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</si>
  <si>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</si>
  <si>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</si>
  <si>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</si>
  <si>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</si>
  <si>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</si>
  <si>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</si>
  <si>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</si>
  <si>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</si>
  <si>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</si>
  <si>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</si>
  <si>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</si>
  <si>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</si>
  <si>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</si>
  <si>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</si>
  <si>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</si>
  <si>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</si>
  <si>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</si>
  <si>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</si>
  <si>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</si>
  <si>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</si>
  <si>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</si>
  <si>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</si>
  <si>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</si>
  <si>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</si>
  <si>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</si>
  <si>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</si>
  <si>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</si>
  <si>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</si>
  <si>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</si>
  <si>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</si>
  <si>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</si>
  <si>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</si>
  <si>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</si>
  <si>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Χοιρομητέρες Sows</t>
  </si>
  <si>
    <r>
      <t>Όρνιθες αναπαραγωγής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 Breeding hens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</si>
  <si>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 xml:space="preserve">(1) </t>
    </r>
    <r>
      <rPr>
        <sz val="11"/>
        <rFont val="Calibri"/>
        <family val="2"/>
        <charset val="161"/>
        <scheme val="minor"/>
      </rPr>
      <t>Αφορά τις όρνιθες που γέννησαν αυγά αποκλειστικά για την παραγωγή νεοσσών</t>
    </r>
  </si>
  <si>
    <r>
      <rPr>
        <vertAlign val="superscript"/>
        <sz val="11"/>
        <color rgb="FF000000"/>
        <rFont val="Calibri"/>
        <family val="2"/>
        <charset val="161"/>
        <scheme val="minor"/>
      </rPr>
      <t xml:space="preserve">(1) </t>
    </r>
    <r>
      <rPr>
        <sz val="11"/>
        <color indexed="8"/>
        <rFont val="Calibri"/>
        <family val="2"/>
        <charset val="161"/>
        <scheme val="minor"/>
      </rPr>
      <t>Regards reproducrtive hens, exclusively for the production of chicks</t>
    </r>
  </si>
  <si>
    <t>Όρνιθες ωοπαραγωγής
Hens for egg production</t>
  </si>
  <si>
    <t>Άλλες αγελάδες (για παραγωγή βοοειδών πάχυνσης, για σφαγή κλπ)
Other cows (for the production of bovine for fattening, slaughter, etc)</t>
  </si>
  <si>
    <t>—</t>
  </si>
  <si>
    <t>Πίνακας 6α. Ζώα που γέννησαν όλο το έτος 2020, κατά Περιφέρεια και Περιφερειακή Ενότητα</t>
  </si>
  <si>
    <t>Table 6. Breeding animals during 2020,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</si>
</sst>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1" fillId="0" borderId="0" xfId="0" applyFont="1" applyAlignment="1">
      <alignment horizontal="right" vertical="top"/>
    </xf>
    <xf numFmtId="3" fontId="4" fillId="0" borderId="3" xfId="0" quotePrefix="1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3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center" wrapText="1"/>
    </xf>
    <xf numFmtId="3" fontId="3" fillId="0" borderId="3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3" fontId="4" fillId="0" borderId="4" xfId="0" quotePrefix="1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3" fontId="3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right" vertical="top"/>
    </xf>
    <xf numFmtId="3" fontId="1" fillId="0" borderId="3" xfId="0" applyNumberFormat="1" applyFont="1" applyBorder="1" applyAlignment="1">
      <alignment horizontal="right" vertical="top"/>
    </xf>
    <xf numFmtId="49" fontId="9" fillId="0" borderId="2" xfId="0" applyNumberFormat="1" applyFont="1" applyBorder="1" applyAlignment="1">
      <alignment vertical="center"/>
    </xf>
    <xf numFmtId="3" fontId="3" fillId="0" borderId="0" xfId="0" applyNumberFormat="1" applyFont="1"/>
    <xf numFmtId="3" fontId="4" fillId="0" borderId="1" xfId="0" applyNumberFormat="1" applyFont="1" applyBorder="1" applyAlignment="1">
      <alignment horizontal="left"/>
    </xf>
    <xf numFmtId="3" fontId="2" fillId="0" borderId="18" xfId="0" applyNumberFormat="1" applyFont="1" applyBorder="1" applyAlignment="1">
      <alignment horizontal="right" vertical="top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/>
    <xf numFmtId="3" fontId="5" fillId="0" borderId="0" xfId="0" applyNumberFormat="1" applyFont="1"/>
    <xf numFmtId="3" fontId="4" fillId="0" borderId="0" xfId="0" applyNumberFormat="1" applyFont="1" applyAlignment="1">
      <alignment horizontal="left" indent="2"/>
    </xf>
    <xf numFmtId="3" fontId="4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left" indent="2"/>
    </xf>
    <xf numFmtId="3" fontId="6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horizontal="left" vertical="center"/>
    </xf>
    <xf numFmtId="3" fontId="1" fillId="0" borderId="27" xfId="0" applyNumberFormat="1" applyFont="1" applyBorder="1" applyAlignment="1">
      <alignment horizontal="right" vertical="top"/>
    </xf>
    <xf numFmtId="3" fontId="3" fillId="0" borderId="27" xfId="0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top"/>
    </xf>
    <xf numFmtId="0" fontId="2" fillId="0" borderId="27" xfId="0" applyFont="1" applyBorder="1" applyAlignment="1">
      <alignment horizontal="right" vertical="top"/>
    </xf>
    <xf numFmtId="3" fontId="2" fillId="0" borderId="28" xfId="0" applyNumberFormat="1" applyFont="1" applyBorder="1" applyAlignment="1">
      <alignment horizontal="right" vertical="top"/>
    </xf>
    <xf numFmtId="3" fontId="3" fillId="0" borderId="3" xfId="0" applyNumberFormat="1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/>
    </xf>
    <xf numFmtId="3" fontId="3" fillId="0" borderId="17" xfId="0" applyNumberFormat="1" applyFont="1" applyBorder="1" applyAlignment="1">
      <alignment horizontal="right" vertical="center"/>
    </xf>
    <xf numFmtId="3" fontId="3" fillId="0" borderId="26" xfId="0" applyNumberFormat="1" applyFont="1" applyBorder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wrapText="1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3" fontId="6" fillId="0" borderId="27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6" fillId="0" borderId="17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3" fontId="4" fillId="0" borderId="2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4"/>
  <sheetViews>
    <sheetView showGridLines="0" tabSelected="1" topLeftCell="B1" zoomScaleNormal="100" workbookViewId="0">
      <selection activeCell="H6" sqref="H6:H7"/>
    </sheetView>
  </sheetViews>
  <sheetFormatPr defaultRowHeight="14.4" x14ac:dyDescent="0.3"/>
  <cols>
    <col min="1" max="1" width="44.21875" style="6" customWidth="1"/>
    <col min="2" max="3" width="17.6640625" style="6" customWidth="1"/>
    <col min="4" max="4" width="9.109375" style="6" bestFit="1" customWidth="1"/>
    <col min="5" max="5" width="12.33203125" style="58" customWidth="1"/>
    <col min="6" max="6" width="16" style="58" bestFit="1" customWidth="1"/>
    <col min="7" max="7" width="13.6640625" style="58" customWidth="1"/>
    <col min="8" max="13" width="11.77734375" style="6" customWidth="1"/>
    <col min="14" max="14" width="13.77734375" style="6" customWidth="1"/>
    <col min="15" max="15" width="11.77734375" style="6" customWidth="1"/>
    <col min="16" max="16" width="9.6640625" style="6" customWidth="1"/>
    <col min="17" max="17" width="9.33203125" style="6" customWidth="1"/>
    <col min="18" max="18" width="11" style="6" customWidth="1"/>
    <col min="19" max="19" width="8.44140625" style="6" customWidth="1"/>
    <col min="20" max="16384" width="8.88671875" style="6"/>
  </cols>
  <sheetData>
    <row r="1" spans="1:19" x14ac:dyDescent="0.3">
      <c r="A1" s="3"/>
      <c r="B1" s="3"/>
      <c r="C1" s="3"/>
      <c r="D1" s="3"/>
      <c r="E1" s="53"/>
      <c r="F1" s="53"/>
      <c r="G1" s="5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5"/>
    </row>
    <row r="2" spans="1:19" s="45" customFormat="1" ht="18" x14ac:dyDescent="0.35">
      <c r="B2" s="110" t="s">
        <v>198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46"/>
      <c r="P2" s="46"/>
      <c r="Q2" s="46"/>
      <c r="R2" s="46"/>
      <c r="S2" s="47"/>
    </row>
    <row r="3" spans="1:19" s="45" customFormat="1" ht="18" x14ac:dyDescent="0.35">
      <c r="A3" s="48"/>
      <c r="B3" s="110" t="s">
        <v>199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48"/>
      <c r="P3" s="48"/>
      <c r="Q3" s="48"/>
      <c r="R3" s="48"/>
      <c r="S3" s="47"/>
    </row>
    <row r="4" spans="1:19" ht="15" thickBot="1" x14ac:dyDescent="0.35">
      <c r="A4" s="7" t="s">
        <v>0</v>
      </c>
      <c r="B4" s="7"/>
      <c r="C4" s="7"/>
      <c r="D4" s="7"/>
      <c r="E4" s="54"/>
      <c r="F4" s="54"/>
      <c r="G4" s="54"/>
      <c r="H4" s="7"/>
      <c r="I4" s="7"/>
      <c r="J4" s="7"/>
      <c r="K4" s="7"/>
      <c r="L4" s="7"/>
      <c r="M4" s="102"/>
      <c r="N4" s="102"/>
      <c r="O4" s="102"/>
      <c r="P4" s="8"/>
      <c r="Q4" s="102" t="s">
        <v>1</v>
      </c>
      <c r="R4" s="102"/>
      <c r="S4" s="9"/>
    </row>
    <row r="5" spans="1:19" ht="34.5" customHeight="1" x14ac:dyDescent="0.3">
      <c r="A5" s="103" t="s">
        <v>2</v>
      </c>
      <c r="B5" s="107" t="s">
        <v>190</v>
      </c>
      <c r="C5" s="70" t="s">
        <v>196</v>
      </c>
      <c r="D5" s="70" t="s">
        <v>180</v>
      </c>
      <c r="E5" s="125" t="s">
        <v>191</v>
      </c>
      <c r="F5" s="125" t="s">
        <v>192</v>
      </c>
      <c r="G5" s="125" t="s">
        <v>195</v>
      </c>
      <c r="H5" s="117" t="s">
        <v>189</v>
      </c>
      <c r="I5" s="118"/>
      <c r="J5" s="118"/>
      <c r="K5" s="119"/>
      <c r="L5" s="118" t="s">
        <v>188</v>
      </c>
      <c r="M5" s="118"/>
      <c r="N5" s="118"/>
      <c r="O5" s="120"/>
      <c r="P5" s="103" t="s">
        <v>3</v>
      </c>
      <c r="Q5" s="103"/>
      <c r="R5" s="103"/>
    </row>
    <row r="6" spans="1:19" ht="31.2" customHeight="1" x14ac:dyDescent="0.3">
      <c r="A6" s="99"/>
      <c r="B6" s="108"/>
      <c r="C6" s="71"/>
      <c r="D6" s="71"/>
      <c r="E6" s="126"/>
      <c r="F6" s="126"/>
      <c r="G6" s="126"/>
      <c r="H6" s="121" t="s">
        <v>181</v>
      </c>
      <c r="I6" s="114" t="s">
        <v>182</v>
      </c>
      <c r="J6" s="114" t="s">
        <v>183</v>
      </c>
      <c r="K6" s="114" t="s">
        <v>184</v>
      </c>
      <c r="L6" s="123" t="s">
        <v>181</v>
      </c>
      <c r="M6" s="114" t="s">
        <v>185</v>
      </c>
      <c r="N6" s="114" t="s">
        <v>186</v>
      </c>
      <c r="O6" s="115" t="s">
        <v>187</v>
      </c>
      <c r="P6" s="99"/>
      <c r="Q6" s="99"/>
      <c r="R6" s="99"/>
    </row>
    <row r="7" spans="1:19" ht="71.400000000000006" customHeight="1" x14ac:dyDescent="0.3">
      <c r="A7" s="104"/>
      <c r="B7" s="109"/>
      <c r="C7" s="72"/>
      <c r="D7" s="72"/>
      <c r="E7" s="127"/>
      <c r="F7" s="127"/>
      <c r="G7" s="127"/>
      <c r="H7" s="122"/>
      <c r="I7" s="71"/>
      <c r="J7" s="71"/>
      <c r="K7" s="71"/>
      <c r="L7" s="124"/>
      <c r="M7" s="71"/>
      <c r="N7" s="71"/>
      <c r="O7" s="116"/>
      <c r="P7" s="104"/>
      <c r="Q7" s="104"/>
      <c r="R7" s="104"/>
    </row>
    <row r="8" spans="1:19" x14ac:dyDescent="0.3">
      <c r="A8" s="105" t="s">
        <v>4</v>
      </c>
      <c r="B8" s="83">
        <f>SUM(B10,B18,B27,B32,B38,B45,B52,B59,B64,B71,B81,B88,B103)</f>
        <v>110156</v>
      </c>
      <c r="C8" s="73">
        <f>SUM(C10,C18,C27,C32,C38,C45,C52,C59,C64,C71,C81,C88,C103)</f>
        <v>146371</v>
      </c>
      <c r="D8" s="73">
        <f>SUM(D10,D18,D27,D32,D38,D45,D52,D59,D64,D71,D81,D88,D103)</f>
        <v>2679</v>
      </c>
      <c r="E8" s="73">
        <f t="shared" ref="E8" si="0">SUM(E10,E18,E27,E32,E38,E45,E52,E59,E64,E71,E81,E88,E103)</f>
        <v>95053</v>
      </c>
      <c r="F8" s="73">
        <f>SUM(F10,F18,F27,F32,F38,F45,F52,F59,F64,F71,F81,F88,F103)</f>
        <v>1062891</v>
      </c>
      <c r="G8" s="128">
        <f>SUM(G10,G18,G27,G32,G38,G45,G52,G59,G64,G71,G81,G88,G103)</f>
        <v>8783279</v>
      </c>
      <c r="H8" s="73">
        <f>SUM(H10,H18,H27,H32,H38,H45,H52,H59,H64,H71,H81,H88,H103)</f>
        <v>6905332</v>
      </c>
      <c r="I8" s="76">
        <f>SUM(I10,I18,I27,I32,I38,I45,I52,I59,I64,I71,I81,I88,I103)</f>
        <v>168765</v>
      </c>
      <c r="J8" s="73">
        <f t="shared" ref="J8:O8" si="1">SUM(J10,J18,J27,J32,J38,J45,J52,J59,J64,J71,J81,J88,J103)</f>
        <v>6492589</v>
      </c>
      <c r="K8" s="76">
        <f t="shared" si="1"/>
        <v>243978</v>
      </c>
      <c r="L8" s="73">
        <f>SUM(L10,L18,L27,L32,L38,L45,L52,L59,L64,L71,L81,L88,L103)</f>
        <v>2962951</v>
      </c>
      <c r="M8" s="76">
        <f t="shared" si="1"/>
        <v>131277</v>
      </c>
      <c r="N8" s="73">
        <f t="shared" si="1"/>
        <v>2733875</v>
      </c>
      <c r="O8" s="112">
        <f t="shared" si="1"/>
        <v>97799</v>
      </c>
      <c r="P8" s="111" t="s">
        <v>5</v>
      </c>
      <c r="Q8" s="111"/>
      <c r="R8" s="111"/>
    </row>
    <row r="9" spans="1:19" x14ac:dyDescent="0.3">
      <c r="A9" s="106"/>
      <c r="B9" s="84"/>
      <c r="C9" s="74"/>
      <c r="D9" s="96"/>
      <c r="E9" s="96"/>
      <c r="F9" s="74"/>
      <c r="G9" s="77"/>
      <c r="H9" s="74"/>
      <c r="I9" s="77"/>
      <c r="J9" s="74"/>
      <c r="K9" s="77"/>
      <c r="L9" s="74"/>
      <c r="M9" s="77"/>
      <c r="N9" s="74"/>
      <c r="O9" s="113"/>
      <c r="P9" s="99"/>
      <c r="Q9" s="99"/>
      <c r="R9" s="99"/>
    </row>
    <row r="10" spans="1:19" x14ac:dyDescent="0.3">
      <c r="A10" s="86" t="s">
        <v>6</v>
      </c>
      <c r="B10" s="97">
        <f>SUM(B12:B17)</f>
        <v>17045</v>
      </c>
      <c r="C10" s="75">
        <f>SUM(C12:C17)</f>
        <v>15379</v>
      </c>
      <c r="D10" s="101">
        <f t="shared" ref="D10:F10" si="2">SUM(D12:D17)</f>
        <v>6</v>
      </c>
      <c r="E10" s="101">
        <f>SUM(E12:E17)</f>
        <v>5779</v>
      </c>
      <c r="F10" s="75">
        <f t="shared" si="2"/>
        <v>1918</v>
      </c>
      <c r="G10" s="87">
        <f t="shared" ref="G10" si="3">SUM(G12:G17)</f>
        <v>153374</v>
      </c>
      <c r="H10" s="75">
        <f>SUM(H12:H17)</f>
        <v>378137</v>
      </c>
      <c r="I10" s="87">
        <f>SUM(I12:I17)</f>
        <v>4861</v>
      </c>
      <c r="J10" s="75">
        <f t="shared" ref="J10:K10" si="4">SUM(J12:J17)</f>
        <v>373276</v>
      </c>
      <c r="K10" s="87">
        <f t="shared" si="4"/>
        <v>0</v>
      </c>
      <c r="L10" s="75">
        <f>SUM(L12:L17)</f>
        <v>267658</v>
      </c>
      <c r="M10" s="87">
        <f t="shared" ref="M10:O10" si="5">SUM(M12:M17)</f>
        <v>687</v>
      </c>
      <c r="N10" s="75">
        <f t="shared" si="5"/>
        <v>266971</v>
      </c>
      <c r="O10" s="100">
        <f t="shared" si="5"/>
        <v>0</v>
      </c>
      <c r="P10" s="99" t="s">
        <v>7</v>
      </c>
      <c r="Q10" s="99"/>
      <c r="R10" s="99"/>
    </row>
    <row r="11" spans="1:19" x14ac:dyDescent="0.3">
      <c r="A11" s="86"/>
      <c r="B11" s="97"/>
      <c r="C11" s="75"/>
      <c r="D11" s="101"/>
      <c r="E11" s="101"/>
      <c r="F11" s="75"/>
      <c r="G11" s="87"/>
      <c r="H11" s="75"/>
      <c r="I11" s="87"/>
      <c r="J11" s="75"/>
      <c r="K11" s="87"/>
      <c r="L11" s="75"/>
      <c r="M11" s="87"/>
      <c r="N11" s="75"/>
      <c r="O11" s="100"/>
      <c r="P11" s="99"/>
      <c r="Q11" s="99"/>
      <c r="R11" s="99"/>
    </row>
    <row r="12" spans="1:19" x14ac:dyDescent="0.3">
      <c r="A12" s="10" t="s">
        <v>112</v>
      </c>
      <c r="B12" s="64">
        <v>2261</v>
      </c>
      <c r="C12" s="51">
        <v>5282</v>
      </c>
      <c r="D12" s="11" t="s">
        <v>197</v>
      </c>
      <c r="E12" s="51">
        <v>75</v>
      </c>
      <c r="F12" s="51">
        <v>48</v>
      </c>
      <c r="G12" s="16">
        <v>54528</v>
      </c>
      <c r="H12" s="12">
        <f>SUM(I12:K12)</f>
        <v>76055</v>
      </c>
      <c r="I12" s="2">
        <v>210</v>
      </c>
      <c r="J12" s="38">
        <v>75845</v>
      </c>
      <c r="K12" s="1" t="s">
        <v>197</v>
      </c>
      <c r="L12" s="13">
        <f>SUM(M12:O12)</f>
        <v>47079</v>
      </c>
      <c r="M12" s="38">
        <v>124</v>
      </c>
      <c r="N12" s="2">
        <v>46955</v>
      </c>
      <c r="O12" s="42" t="s">
        <v>197</v>
      </c>
      <c r="P12" s="14" t="s">
        <v>8</v>
      </c>
      <c r="Q12" s="15"/>
      <c r="R12" s="15"/>
    </row>
    <row r="13" spans="1:19" x14ac:dyDescent="0.3">
      <c r="A13" s="10" t="s">
        <v>113</v>
      </c>
      <c r="B13" s="64">
        <v>3347</v>
      </c>
      <c r="C13" s="51">
        <v>4246</v>
      </c>
      <c r="D13" s="11" t="s">
        <v>197</v>
      </c>
      <c r="E13" s="51">
        <v>4384</v>
      </c>
      <c r="F13" s="51" t="s">
        <v>197</v>
      </c>
      <c r="G13" s="16">
        <v>35948</v>
      </c>
      <c r="H13" s="12">
        <f>SUM(I13:K13)</f>
        <v>74370</v>
      </c>
      <c r="I13" s="2">
        <v>4002</v>
      </c>
      <c r="J13" s="38">
        <v>70368</v>
      </c>
      <c r="K13" s="1" t="s">
        <v>197</v>
      </c>
      <c r="L13" s="13">
        <f t="shared" ref="L13:L17" si="6">SUM(M13:O13)</f>
        <v>45016</v>
      </c>
      <c r="M13" s="38">
        <v>87</v>
      </c>
      <c r="N13" s="2">
        <v>44929</v>
      </c>
      <c r="O13" s="42" t="s">
        <v>197</v>
      </c>
      <c r="P13" s="14" t="s">
        <v>9</v>
      </c>
      <c r="Q13" s="15"/>
      <c r="R13" s="15"/>
    </row>
    <row r="14" spans="1:19" x14ac:dyDescent="0.3">
      <c r="A14" s="10" t="s">
        <v>114</v>
      </c>
      <c r="B14" s="64">
        <v>1972</v>
      </c>
      <c r="C14" s="51">
        <v>2148</v>
      </c>
      <c r="D14" s="16">
        <v>6</v>
      </c>
      <c r="E14" s="51">
        <v>499</v>
      </c>
      <c r="F14" s="51">
        <v>1420</v>
      </c>
      <c r="G14" s="16">
        <v>34100</v>
      </c>
      <c r="H14" s="12">
        <f>SUM(I14:K14)</f>
        <v>68861</v>
      </c>
      <c r="I14" s="2">
        <v>492</v>
      </c>
      <c r="J14" s="38">
        <v>68369</v>
      </c>
      <c r="K14" s="1" t="s">
        <v>197</v>
      </c>
      <c r="L14" s="13">
        <f>SUM(M14:O14)</f>
        <v>60340</v>
      </c>
      <c r="M14" s="38">
        <v>394</v>
      </c>
      <c r="N14" s="2">
        <v>59946</v>
      </c>
      <c r="O14" s="42" t="s">
        <v>197</v>
      </c>
      <c r="P14" s="14" t="s">
        <v>10</v>
      </c>
      <c r="Q14" s="15"/>
      <c r="R14" s="15"/>
    </row>
    <row r="15" spans="1:19" x14ac:dyDescent="0.3">
      <c r="A15" s="10" t="s">
        <v>115</v>
      </c>
      <c r="B15" s="64">
        <v>6</v>
      </c>
      <c r="C15" s="51">
        <v>1</v>
      </c>
      <c r="D15" s="11" t="s">
        <v>197</v>
      </c>
      <c r="E15" s="51">
        <v>1</v>
      </c>
      <c r="F15" s="51" t="s">
        <v>197</v>
      </c>
      <c r="G15" s="16">
        <v>150</v>
      </c>
      <c r="H15" s="12">
        <f t="shared" ref="H15:H17" si="7">SUM(I15:K15)</f>
        <v>19177</v>
      </c>
      <c r="I15" s="2">
        <v>47</v>
      </c>
      <c r="J15" s="38">
        <v>19130</v>
      </c>
      <c r="K15" s="1" t="s">
        <v>197</v>
      </c>
      <c r="L15" s="13">
        <f t="shared" si="6"/>
        <v>12647</v>
      </c>
      <c r="M15" s="38">
        <v>42</v>
      </c>
      <c r="N15" s="2">
        <v>12605</v>
      </c>
      <c r="O15" s="42" t="s">
        <v>197</v>
      </c>
      <c r="P15" s="14" t="s">
        <v>11</v>
      </c>
      <c r="Q15" s="15"/>
      <c r="R15" s="15"/>
    </row>
    <row r="16" spans="1:19" x14ac:dyDescent="0.3">
      <c r="A16" s="10" t="s">
        <v>116</v>
      </c>
      <c r="B16" s="64">
        <v>2082</v>
      </c>
      <c r="C16" s="51">
        <v>1505</v>
      </c>
      <c r="D16" s="11" t="s">
        <v>197</v>
      </c>
      <c r="E16" s="51">
        <v>345</v>
      </c>
      <c r="F16" s="51">
        <v>450</v>
      </c>
      <c r="G16" s="16">
        <v>13956</v>
      </c>
      <c r="H16" s="12">
        <f t="shared" si="7"/>
        <v>60485</v>
      </c>
      <c r="I16" s="2">
        <v>110</v>
      </c>
      <c r="J16" s="38">
        <v>60375</v>
      </c>
      <c r="K16" s="1" t="s">
        <v>197</v>
      </c>
      <c r="L16" s="13">
        <f t="shared" si="6"/>
        <v>56159</v>
      </c>
      <c r="M16" s="38">
        <v>40</v>
      </c>
      <c r="N16" s="2">
        <v>56119</v>
      </c>
      <c r="O16" s="42" t="s">
        <v>197</v>
      </c>
      <c r="P16" s="14" t="s">
        <v>12</v>
      </c>
      <c r="Q16" s="15"/>
      <c r="R16" s="15"/>
    </row>
    <row r="17" spans="1:18" x14ac:dyDescent="0.3">
      <c r="A17" s="10" t="s">
        <v>117</v>
      </c>
      <c r="B17" s="64">
        <v>7377</v>
      </c>
      <c r="C17" s="51">
        <v>2197</v>
      </c>
      <c r="D17" s="11" t="s">
        <v>197</v>
      </c>
      <c r="E17" s="51">
        <v>475</v>
      </c>
      <c r="F17" s="51" t="s">
        <v>197</v>
      </c>
      <c r="G17" s="16">
        <v>14692</v>
      </c>
      <c r="H17" s="12">
        <f t="shared" si="7"/>
        <v>79189</v>
      </c>
      <c r="I17" s="1" t="s">
        <v>197</v>
      </c>
      <c r="J17" s="38">
        <v>79189</v>
      </c>
      <c r="K17" s="1" t="s">
        <v>197</v>
      </c>
      <c r="L17" s="13">
        <f t="shared" si="6"/>
        <v>46417</v>
      </c>
      <c r="M17" s="38" t="s">
        <v>197</v>
      </c>
      <c r="N17" s="2">
        <v>46417</v>
      </c>
      <c r="O17" s="42" t="s">
        <v>197</v>
      </c>
      <c r="P17" s="14" t="s">
        <v>13</v>
      </c>
      <c r="Q17" s="15"/>
      <c r="R17" s="15"/>
    </row>
    <row r="18" spans="1:18" x14ac:dyDescent="0.3">
      <c r="A18" s="86" t="s">
        <v>14</v>
      </c>
      <c r="B18" s="78">
        <f>SUM(B20:B26)</f>
        <v>49767</v>
      </c>
      <c r="C18" s="69">
        <f>SUM(C20:C26)</f>
        <v>23813</v>
      </c>
      <c r="D18" s="79">
        <f t="shared" ref="D18:F18" si="8">SUM(D20:D26)</f>
        <v>1813</v>
      </c>
      <c r="E18" s="79">
        <f t="shared" si="8"/>
        <v>13033</v>
      </c>
      <c r="F18" s="69">
        <f t="shared" si="8"/>
        <v>40536</v>
      </c>
      <c r="G18" s="80">
        <f t="shared" ref="G18" si="9">SUM(G20:G26)</f>
        <v>1059702</v>
      </c>
      <c r="H18" s="69">
        <f>SUM(H20:H26)</f>
        <v>631966</v>
      </c>
      <c r="I18" s="80">
        <f>SUM(I20:I26)</f>
        <v>2288</v>
      </c>
      <c r="J18" s="69">
        <f t="shared" ref="J18:L18" si="10">SUM(J20:J26)</f>
        <v>628948</v>
      </c>
      <c r="K18" s="80">
        <f t="shared" si="10"/>
        <v>730</v>
      </c>
      <c r="L18" s="69">
        <f t="shared" si="10"/>
        <v>365782</v>
      </c>
      <c r="M18" s="80">
        <f t="shared" ref="M18:O18" si="11">SUM(M20:M26)</f>
        <v>2613</v>
      </c>
      <c r="N18" s="69">
        <f t="shared" si="11"/>
        <v>362862</v>
      </c>
      <c r="O18" s="82">
        <f t="shared" si="11"/>
        <v>307</v>
      </c>
      <c r="P18" s="98" t="s">
        <v>15</v>
      </c>
      <c r="Q18" s="98"/>
      <c r="R18" s="98"/>
    </row>
    <row r="19" spans="1:18" x14ac:dyDescent="0.3">
      <c r="A19" s="86"/>
      <c r="B19" s="78"/>
      <c r="C19" s="69"/>
      <c r="D19" s="79"/>
      <c r="E19" s="79"/>
      <c r="F19" s="69"/>
      <c r="G19" s="80"/>
      <c r="H19" s="69"/>
      <c r="I19" s="80"/>
      <c r="J19" s="69"/>
      <c r="K19" s="80"/>
      <c r="L19" s="69"/>
      <c r="M19" s="80"/>
      <c r="N19" s="69"/>
      <c r="O19" s="82"/>
      <c r="P19" s="98"/>
      <c r="Q19" s="98"/>
      <c r="R19" s="98"/>
    </row>
    <row r="20" spans="1:18" x14ac:dyDescent="0.3">
      <c r="A20" s="10" t="s">
        <v>118</v>
      </c>
      <c r="B20" s="64">
        <v>23075</v>
      </c>
      <c r="C20" s="51">
        <v>4824</v>
      </c>
      <c r="D20" s="16">
        <v>88</v>
      </c>
      <c r="E20" s="51">
        <v>716</v>
      </c>
      <c r="F20" s="51">
        <v>33500</v>
      </c>
      <c r="G20" s="16">
        <v>521062</v>
      </c>
      <c r="H20" s="12">
        <f t="shared" ref="H20:H26" si="12">SUM(I20:K20)</f>
        <v>117311</v>
      </c>
      <c r="I20" s="2" t="s">
        <v>197</v>
      </c>
      <c r="J20" s="38">
        <v>117311</v>
      </c>
      <c r="K20" s="1" t="s">
        <v>197</v>
      </c>
      <c r="L20" s="13">
        <f t="shared" ref="L20:L26" si="13">SUM(M20:O20)</f>
        <v>97553</v>
      </c>
      <c r="M20" s="38">
        <v>7</v>
      </c>
      <c r="N20" s="2">
        <v>97546</v>
      </c>
      <c r="O20" s="42" t="s">
        <v>197</v>
      </c>
      <c r="P20" s="14" t="s">
        <v>16</v>
      </c>
      <c r="Q20" s="15"/>
      <c r="R20" s="15"/>
    </row>
    <row r="21" spans="1:18" x14ac:dyDescent="0.3">
      <c r="A21" s="10" t="s">
        <v>119</v>
      </c>
      <c r="B21" s="64">
        <v>2013</v>
      </c>
      <c r="C21" s="51">
        <v>514</v>
      </c>
      <c r="D21" s="11" t="s">
        <v>197</v>
      </c>
      <c r="E21" s="51">
        <v>2058</v>
      </c>
      <c r="F21" s="51">
        <v>5000</v>
      </c>
      <c r="G21" s="16">
        <v>11156</v>
      </c>
      <c r="H21" s="12">
        <f t="shared" si="12"/>
        <v>30200</v>
      </c>
      <c r="I21" s="2">
        <v>4</v>
      </c>
      <c r="J21" s="38">
        <v>30193</v>
      </c>
      <c r="K21" s="2">
        <v>3</v>
      </c>
      <c r="L21" s="13">
        <f t="shared" si="13"/>
        <v>13705</v>
      </c>
      <c r="M21" s="38" t="s">
        <v>197</v>
      </c>
      <c r="N21" s="2">
        <v>13455</v>
      </c>
      <c r="O21" s="42">
        <v>250</v>
      </c>
      <c r="P21" s="14" t="s">
        <v>17</v>
      </c>
      <c r="Q21" s="15"/>
      <c r="R21" s="15"/>
    </row>
    <row r="22" spans="1:18" x14ac:dyDescent="0.3">
      <c r="A22" s="10" t="s">
        <v>120</v>
      </c>
      <c r="B22" s="64">
        <v>7583</v>
      </c>
      <c r="C22" s="51">
        <v>245</v>
      </c>
      <c r="D22" s="11" t="s">
        <v>197</v>
      </c>
      <c r="E22" s="51">
        <v>391</v>
      </c>
      <c r="F22" s="51" t="s">
        <v>197</v>
      </c>
      <c r="G22" s="16">
        <v>177817</v>
      </c>
      <c r="H22" s="12">
        <f t="shared" si="12"/>
        <v>84823</v>
      </c>
      <c r="I22" s="1" t="s">
        <v>197</v>
      </c>
      <c r="J22" s="38">
        <v>84823</v>
      </c>
      <c r="K22" s="1" t="s">
        <v>197</v>
      </c>
      <c r="L22" s="13">
        <f t="shared" si="13"/>
        <v>36343</v>
      </c>
      <c r="M22" s="38">
        <v>4</v>
      </c>
      <c r="N22" s="2">
        <v>36339</v>
      </c>
      <c r="O22" s="42" t="s">
        <v>197</v>
      </c>
      <c r="P22" s="14" t="s">
        <v>18</v>
      </c>
      <c r="Q22" s="15"/>
      <c r="R22" s="15"/>
    </row>
    <row r="23" spans="1:18" x14ac:dyDescent="0.3">
      <c r="A23" s="10" t="s">
        <v>121</v>
      </c>
      <c r="B23" s="64">
        <v>2589</v>
      </c>
      <c r="C23" s="51">
        <v>5607</v>
      </c>
      <c r="D23" s="11" t="s">
        <v>197</v>
      </c>
      <c r="E23" s="51">
        <v>1191</v>
      </c>
      <c r="F23" s="51">
        <v>800</v>
      </c>
      <c r="G23" s="16">
        <v>74755</v>
      </c>
      <c r="H23" s="12">
        <f t="shared" si="12"/>
        <v>91666</v>
      </c>
      <c r="I23" s="2">
        <v>392</v>
      </c>
      <c r="J23" s="38">
        <v>91274</v>
      </c>
      <c r="K23" s="1" t="s">
        <v>197</v>
      </c>
      <c r="L23" s="13">
        <f t="shared" si="13"/>
        <v>37039</v>
      </c>
      <c r="M23" s="38">
        <v>548</v>
      </c>
      <c r="N23" s="2">
        <v>36491</v>
      </c>
      <c r="O23" s="42" t="s">
        <v>197</v>
      </c>
      <c r="P23" s="14" t="s">
        <v>19</v>
      </c>
      <c r="Q23" s="15"/>
      <c r="R23" s="15"/>
    </row>
    <row r="24" spans="1:18" x14ac:dyDescent="0.3">
      <c r="A24" s="10" t="s">
        <v>122</v>
      </c>
      <c r="B24" s="64">
        <v>2031</v>
      </c>
      <c r="C24" s="51">
        <v>206</v>
      </c>
      <c r="D24" s="11" t="s">
        <v>197</v>
      </c>
      <c r="E24" s="51">
        <v>4761</v>
      </c>
      <c r="F24" s="51">
        <v>1</v>
      </c>
      <c r="G24" s="16">
        <v>55480</v>
      </c>
      <c r="H24" s="12">
        <f t="shared" si="12"/>
        <v>95833</v>
      </c>
      <c r="I24" s="2">
        <v>1880</v>
      </c>
      <c r="J24" s="38">
        <v>93226</v>
      </c>
      <c r="K24" s="2">
        <v>727</v>
      </c>
      <c r="L24" s="13">
        <f t="shared" si="13"/>
        <v>39354</v>
      </c>
      <c r="M24" s="38">
        <v>448</v>
      </c>
      <c r="N24" s="2">
        <v>38849</v>
      </c>
      <c r="O24" s="42">
        <v>57</v>
      </c>
      <c r="P24" s="14" t="s">
        <v>20</v>
      </c>
      <c r="Q24" s="15"/>
      <c r="R24" s="15"/>
    </row>
    <row r="25" spans="1:18" x14ac:dyDescent="0.3">
      <c r="A25" s="10" t="s">
        <v>123</v>
      </c>
      <c r="B25" s="64">
        <v>12040</v>
      </c>
      <c r="C25" s="51">
        <v>11895</v>
      </c>
      <c r="D25" s="16">
        <v>1725</v>
      </c>
      <c r="E25" s="51">
        <v>2181</v>
      </c>
      <c r="F25" s="51">
        <v>160</v>
      </c>
      <c r="G25" s="16">
        <v>71380</v>
      </c>
      <c r="H25" s="12">
        <f t="shared" si="12"/>
        <v>174918</v>
      </c>
      <c r="I25" s="2" t="s">
        <v>197</v>
      </c>
      <c r="J25" s="38">
        <v>174918</v>
      </c>
      <c r="K25" s="1" t="s">
        <v>197</v>
      </c>
      <c r="L25" s="13">
        <f t="shared" si="13"/>
        <v>80451</v>
      </c>
      <c r="M25" s="38">
        <v>15</v>
      </c>
      <c r="N25" s="2">
        <v>80436</v>
      </c>
      <c r="O25" s="42" t="s">
        <v>197</v>
      </c>
      <c r="P25" s="14" t="s">
        <v>21</v>
      </c>
      <c r="Q25" s="15"/>
      <c r="R25" s="15"/>
    </row>
    <row r="26" spans="1:18" x14ac:dyDescent="0.3">
      <c r="A26" s="10" t="s">
        <v>124</v>
      </c>
      <c r="B26" s="64">
        <v>436</v>
      </c>
      <c r="C26" s="51">
        <v>522</v>
      </c>
      <c r="D26" s="11" t="s">
        <v>197</v>
      </c>
      <c r="E26" s="51">
        <v>1735</v>
      </c>
      <c r="F26" s="51">
        <v>1075</v>
      </c>
      <c r="G26" s="16">
        <v>148052</v>
      </c>
      <c r="H26" s="12">
        <f t="shared" si="12"/>
        <v>37215</v>
      </c>
      <c r="I26" s="2">
        <v>12</v>
      </c>
      <c r="J26" s="38">
        <v>37203</v>
      </c>
      <c r="K26" s="1" t="s">
        <v>197</v>
      </c>
      <c r="L26" s="13">
        <f t="shared" si="13"/>
        <v>61337</v>
      </c>
      <c r="M26" s="38">
        <v>1591</v>
      </c>
      <c r="N26" s="2">
        <v>59746</v>
      </c>
      <c r="O26" s="42" t="s">
        <v>197</v>
      </c>
      <c r="P26" s="14" t="s">
        <v>22</v>
      </c>
      <c r="Q26" s="15"/>
      <c r="R26" s="15"/>
    </row>
    <row r="27" spans="1:18" ht="29.4" customHeight="1" x14ac:dyDescent="0.3">
      <c r="A27" s="17" t="s">
        <v>179</v>
      </c>
      <c r="B27" s="65">
        <f>SUM(B28:B31)</f>
        <v>7286</v>
      </c>
      <c r="C27" s="18">
        <f>SUM(C28:C31)</f>
        <v>9596</v>
      </c>
      <c r="D27" s="49">
        <f t="shared" ref="D27:G27" si="14">SUM(D28:D31)</f>
        <v>0</v>
      </c>
      <c r="E27" s="49">
        <f t="shared" si="14"/>
        <v>1541</v>
      </c>
      <c r="F27" s="18">
        <f t="shared" si="14"/>
        <v>8001</v>
      </c>
      <c r="G27" s="19">
        <f t="shared" si="14"/>
        <v>203123</v>
      </c>
      <c r="H27" s="18">
        <f>SUM(H28:H31)</f>
        <v>332878</v>
      </c>
      <c r="I27" s="19">
        <f>SUM(I28:I31)</f>
        <v>292</v>
      </c>
      <c r="J27" s="18">
        <f t="shared" ref="J27:K27" si="15">SUM(J28:J31)</f>
        <v>332586</v>
      </c>
      <c r="K27" s="19">
        <f t="shared" si="15"/>
        <v>0</v>
      </c>
      <c r="L27" s="18">
        <f t="shared" ref="L27:M27" si="16">SUM(L28:L31)</f>
        <v>126445</v>
      </c>
      <c r="M27" s="19">
        <f t="shared" si="16"/>
        <v>158</v>
      </c>
      <c r="N27" s="18">
        <f t="shared" ref="N27" si="17">SUM(N28:N31)</f>
        <v>126287</v>
      </c>
      <c r="O27" s="20">
        <f t="shared" ref="O27" si="18">SUM(O28:O31)</f>
        <v>0</v>
      </c>
      <c r="P27" s="21" t="s">
        <v>178</v>
      </c>
      <c r="Q27" s="15"/>
      <c r="R27" s="15"/>
    </row>
    <row r="28" spans="1:18" x14ac:dyDescent="0.3">
      <c r="A28" s="10" t="s">
        <v>125</v>
      </c>
      <c r="B28" s="66">
        <v>3276</v>
      </c>
      <c r="C28" s="38">
        <v>5391</v>
      </c>
      <c r="D28" s="1" t="s">
        <v>197</v>
      </c>
      <c r="E28" s="38">
        <v>824</v>
      </c>
      <c r="F28" s="38">
        <v>8001</v>
      </c>
      <c r="G28" s="2">
        <v>110461</v>
      </c>
      <c r="H28" s="12">
        <f t="shared" ref="H28:H31" si="19">SUM(I28:K28)</f>
        <v>128454</v>
      </c>
      <c r="I28" s="2">
        <v>197</v>
      </c>
      <c r="J28" s="38">
        <v>128257</v>
      </c>
      <c r="K28" s="1" t="s">
        <v>197</v>
      </c>
      <c r="L28" s="13">
        <f t="shared" ref="L28:L31" si="20">SUM(M28:O28)</f>
        <v>54960</v>
      </c>
      <c r="M28" s="38">
        <v>125</v>
      </c>
      <c r="N28" s="2">
        <v>54835</v>
      </c>
      <c r="O28" s="42" t="s">
        <v>197</v>
      </c>
      <c r="P28" s="14" t="s">
        <v>23</v>
      </c>
      <c r="Q28" s="15"/>
      <c r="R28" s="15"/>
    </row>
    <row r="29" spans="1:18" x14ac:dyDescent="0.3">
      <c r="A29" s="10" t="s">
        <v>126</v>
      </c>
      <c r="B29" s="66">
        <v>817</v>
      </c>
      <c r="C29" s="38">
        <v>1803</v>
      </c>
      <c r="D29" s="1" t="s">
        <v>197</v>
      </c>
      <c r="E29" s="38">
        <v>347</v>
      </c>
      <c r="F29" s="38" t="s">
        <v>197</v>
      </c>
      <c r="G29" s="2">
        <v>51451</v>
      </c>
      <c r="H29" s="12">
        <f t="shared" si="19"/>
        <v>65258</v>
      </c>
      <c r="I29" s="2">
        <v>95</v>
      </c>
      <c r="J29" s="38">
        <v>65163</v>
      </c>
      <c r="K29" s="1" t="s">
        <v>197</v>
      </c>
      <c r="L29" s="13">
        <f t="shared" si="20"/>
        <v>37028</v>
      </c>
      <c r="M29" s="38">
        <v>33</v>
      </c>
      <c r="N29" s="2">
        <v>36995</v>
      </c>
      <c r="O29" s="42" t="s">
        <v>197</v>
      </c>
      <c r="P29" s="14" t="s">
        <v>24</v>
      </c>
      <c r="Q29" s="15"/>
      <c r="R29" s="15"/>
    </row>
    <row r="30" spans="1:18" x14ac:dyDescent="0.3">
      <c r="A30" s="10" t="s">
        <v>127</v>
      </c>
      <c r="B30" s="66">
        <v>183</v>
      </c>
      <c r="C30" s="38">
        <v>706</v>
      </c>
      <c r="D30" s="1" t="s">
        <v>197</v>
      </c>
      <c r="E30" s="38">
        <v>55</v>
      </c>
      <c r="F30" s="38" t="s">
        <v>197</v>
      </c>
      <c r="G30" s="2">
        <v>13041</v>
      </c>
      <c r="H30" s="12">
        <f t="shared" si="19"/>
        <v>48156</v>
      </c>
      <c r="I30" s="2" t="s">
        <v>197</v>
      </c>
      <c r="J30" s="38">
        <v>48156</v>
      </c>
      <c r="K30" s="1" t="s">
        <v>197</v>
      </c>
      <c r="L30" s="13">
        <f t="shared" si="20"/>
        <v>11592</v>
      </c>
      <c r="M30" s="38" t="s">
        <v>197</v>
      </c>
      <c r="N30" s="2">
        <v>11592</v>
      </c>
      <c r="O30" s="42" t="s">
        <v>197</v>
      </c>
      <c r="P30" s="14" t="s">
        <v>25</v>
      </c>
      <c r="Q30" s="15"/>
      <c r="R30" s="15"/>
    </row>
    <row r="31" spans="1:18" x14ac:dyDescent="0.3">
      <c r="A31" s="10" t="s">
        <v>128</v>
      </c>
      <c r="B31" s="66">
        <v>3010</v>
      </c>
      <c r="C31" s="38">
        <v>1696</v>
      </c>
      <c r="D31" s="1" t="s">
        <v>197</v>
      </c>
      <c r="E31" s="38">
        <v>315</v>
      </c>
      <c r="F31" s="38" t="s">
        <v>197</v>
      </c>
      <c r="G31" s="2">
        <v>28170</v>
      </c>
      <c r="H31" s="12">
        <f t="shared" si="19"/>
        <v>91010</v>
      </c>
      <c r="I31" s="2" t="s">
        <v>197</v>
      </c>
      <c r="J31" s="38">
        <v>91010</v>
      </c>
      <c r="K31" s="1" t="s">
        <v>197</v>
      </c>
      <c r="L31" s="13">
        <f t="shared" si="20"/>
        <v>22865</v>
      </c>
      <c r="M31" s="38" t="s">
        <v>197</v>
      </c>
      <c r="N31" s="2">
        <v>22865</v>
      </c>
      <c r="O31" s="42" t="s">
        <v>197</v>
      </c>
      <c r="P31" s="14" t="s">
        <v>26</v>
      </c>
      <c r="Q31" s="15"/>
      <c r="R31" s="15"/>
    </row>
    <row r="32" spans="1:18" x14ac:dyDescent="0.3">
      <c r="A32" s="86" t="s">
        <v>27</v>
      </c>
      <c r="B32" s="78">
        <f>SUM(B34:B37)</f>
        <v>4153</v>
      </c>
      <c r="C32" s="69">
        <f>SUM(C34:C37)</f>
        <v>23671</v>
      </c>
      <c r="D32" s="79">
        <f t="shared" ref="D32:F32" si="21">SUM(D34:D37)</f>
        <v>0</v>
      </c>
      <c r="E32" s="79">
        <f t="shared" si="21"/>
        <v>12332</v>
      </c>
      <c r="F32" s="69">
        <f t="shared" si="21"/>
        <v>613953</v>
      </c>
      <c r="G32" s="80">
        <f t="shared" ref="G32" si="22">SUM(G34:G37)</f>
        <v>1612212</v>
      </c>
      <c r="H32" s="69">
        <f>SUM(H34:H37)</f>
        <v>427600</v>
      </c>
      <c r="I32" s="80">
        <f>SUM(I34:I37)</f>
        <v>3671</v>
      </c>
      <c r="J32" s="69">
        <f t="shared" ref="J32:L32" si="23">SUM(J34:J37)</f>
        <v>412368</v>
      </c>
      <c r="K32" s="80">
        <f t="shared" si="23"/>
        <v>11561</v>
      </c>
      <c r="L32" s="69">
        <f t="shared" si="23"/>
        <v>117466</v>
      </c>
      <c r="M32" s="80">
        <f t="shared" ref="M32:O32" si="24">SUM(M34:M37)</f>
        <v>1578</v>
      </c>
      <c r="N32" s="69">
        <f t="shared" si="24"/>
        <v>112137</v>
      </c>
      <c r="O32" s="82">
        <f t="shared" si="24"/>
        <v>3751</v>
      </c>
      <c r="P32" s="85" t="s">
        <v>28</v>
      </c>
      <c r="Q32" s="85"/>
      <c r="R32" s="85"/>
    </row>
    <row r="33" spans="1:18" x14ac:dyDescent="0.3">
      <c r="A33" s="86"/>
      <c r="B33" s="78"/>
      <c r="C33" s="69"/>
      <c r="D33" s="79"/>
      <c r="E33" s="79"/>
      <c r="F33" s="69"/>
      <c r="G33" s="80"/>
      <c r="H33" s="69"/>
      <c r="I33" s="80"/>
      <c r="J33" s="69"/>
      <c r="K33" s="80"/>
      <c r="L33" s="69"/>
      <c r="M33" s="80"/>
      <c r="N33" s="69"/>
      <c r="O33" s="82"/>
      <c r="P33" s="85"/>
      <c r="Q33" s="85"/>
      <c r="R33" s="85"/>
    </row>
    <row r="34" spans="1:18" x14ac:dyDescent="0.3">
      <c r="A34" s="10" t="s">
        <v>129</v>
      </c>
      <c r="B34" s="66">
        <v>1381</v>
      </c>
      <c r="C34" s="38">
        <v>4520</v>
      </c>
      <c r="D34" s="1" t="s">
        <v>197</v>
      </c>
      <c r="E34" s="38">
        <v>1483</v>
      </c>
      <c r="F34" s="38">
        <v>561910</v>
      </c>
      <c r="G34" s="2">
        <v>1253304</v>
      </c>
      <c r="H34" s="12">
        <f t="shared" ref="H34:H37" si="25">SUM(I34:K34)</f>
        <v>145873</v>
      </c>
      <c r="I34" s="2">
        <v>3406</v>
      </c>
      <c r="J34" s="38">
        <v>140587</v>
      </c>
      <c r="K34" s="2">
        <v>1880</v>
      </c>
      <c r="L34" s="13">
        <f t="shared" ref="L34:L37" si="26">SUM(M34:O34)</f>
        <v>37815</v>
      </c>
      <c r="M34" s="38">
        <v>1285</v>
      </c>
      <c r="N34" s="2">
        <v>35545</v>
      </c>
      <c r="O34" s="42">
        <v>985</v>
      </c>
      <c r="P34" s="14" t="s">
        <v>29</v>
      </c>
      <c r="Q34" s="15"/>
      <c r="R34" s="15"/>
    </row>
    <row r="35" spans="1:18" x14ac:dyDescent="0.3">
      <c r="A35" s="10" t="s">
        <v>130</v>
      </c>
      <c r="B35" s="66">
        <v>609</v>
      </c>
      <c r="C35" s="38">
        <v>1223</v>
      </c>
      <c r="D35" s="1" t="s">
        <v>197</v>
      </c>
      <c r="E35" s="38">
        <v>3940</v>
      </c>
      <c r="F35" s="38">
        <v>50033</v>
      </c>
      <c r="G35" s="2">
        <v>317141</v>
      </c>
      <c r="H35" s="12">
        <f t="shared" si="25"/>
        <v>101432</v>
      </c>
      <c r="I35" s="1">
        <v>8</v>
      </c>
      <c r="J35" s="38">
        <v>97470</v>
      </c>
      <c r="K35" s="2">
        <v>3954</v>
      </c>
      <c r="L35" s="13">
        <f t="shared" si="26"/>
        <v>15880</v>
      </c>
      <c r="M35" s="38" t="s">
        <v>197</v>
      </c>
      <c r="N35" s="2">
        <v>15880</v>
      </c>
      <c r="O35" s="42" t="s">
        <v>197</v>
      </c>
      <c r="P35" s="14" t="s">
        <v>30</v>
      </c>
      <c r="Q35" s="15"/>
      <c r="R35" s="15"/>
    </row>
    <row r="36" spans="1:18" x14ac:dyDescent="0.3">
      <c r="A36" s="10" t="s">
        <v>131</v>
      </c>
      <c r="B36" s="66">
        <v>234</v>
      </c>
      <c r="C36" s="38">
        <v>14016</v>
      </c>
      <c r="D36" s="1" t="s">
        <v>197</v>
      </c>
      <c r="E36" s="38">
        <v>89</v>
      </c>
      <c r="F36" s="38" t="s">
        <v>197</v>
      </c>
      <c r="G36" s="2">
        <v>22435</v>
      </c>
      <c r="H36" s="12">
        <f t="shared" si="25"/>
        <v>88227</v>
      </c>
      <c r="I36" s="2">
        <v>146</v>
      </c>
      <c r="J36" s="38">
        <v>82354</v>
      </c>
      <c r="K36" s="2">
        <v>5727</v>
      </c>
      <c r="L36" s="13">
        <f t="shared" si="26"/>
        <v>39294</v>
      </c>
      <c r="M36" s="38">
        <v>104</v>
      </c>
      <c r="N36" s="2">
        <v>36424</v>
      </c>
      <c r="O36" s="42">
        <v>2766</v>
      </c>
      <c r="P36" s="14" t="s">
        <v>31</v>
      </c>
      <c r="Q36" s="15"/>
      <c r="R36" s="15"/>
    </row>
    <row r="37" spans="1:18" x14ac:dyDescent="0.3">
      <c r="A37" s="10" t="s">
        <v>132</v>
      </c>
      <c r="B37" s="66">
        <v>1929</v>
      </c>
      <c r="C37" s="38">
        <v>3912</v>
      </c>
      <c r="D37" s="1" t="s">
        <v>197</v>
      </c>
      <c r="E37" s="38">
        <v>6820</v>
      </c>
      <c r="F37" s="38">
        <v>2010</v>
      </c>
      <c r="G37" s="2">
        <v>19332</v>
      </c>
      <c r="H37" s="12">
        <f t="shared" si="25"/>
        <v>92068</v>
      </c>
      <c r="I37" s="2">
        <v>111</v>
      </c>
      <c r="J37" s="38">
        <v>91957</v>
      </c>
      <c r="K37" s="1" t="s">
        <v>197</v>
      </c>
      <c r="L37" s="13">
        <f t="shared" si="26"/>
        <v>24477</v>
      </c>
      <c r="M37" s="38">
        <v>189</v>
      </c>
      <c r="N37" s="2">
        <v>24288</v>
      </c>
      <c r="O37" s="42" t="s">
        <v>197</v>
      </c>
      <c r="P37" s="14" t="s">
        <v>32</v>
      </c>
      <c r="Q37" s="15"/>
      <c r="R37" s="15"/>
    </row>
    <row r="38" spans="1:18" x14ac:dyDescent="0.3">
      <c r="A38" s="86" t="s">
        <v>33</v>
      </c>
      <c r="B38" s="78">
        <f>SUM(B40:B44)</f>
        <v>15613</v>
      </c>
      <c r="C38" s="69">
        <f>SUM(C40:C44)</f>
        <v>48155</v>
      </c>
      <c r="D38" s="79">
        <f t="shared" ref="D38:F38" si="27">SUM(D40:D44)</f>
        <v>819</v>
      </c>
      <c r="E38" s="79">
        <f t="shared" si="27"/>
        <v>17527</v>
      </c>
      <c r="F38" s="69">
        <f t="shared" si="27"/>
        <v>4128</v>
      </c>
      <c r="G38" s="80">
        <f t="shared" ref="G38" si="28">SUM(G40:G44)</f>
        <v>371529</v>
      </c>
      <c r="H38" s="69">
        <f>SUM(H40:H44)</f>
        <v>961129</v>
      </c>
      <c r="I38" s="80">
        <f>SUM(I40:I44)</f>
        <v>3149</v>
      </c>
      <c r="J38" s="69">
        <f t="shared" ref="J38:L38" si="29">SUM(J40:J44)</f>
        <v>873391</v>
      </c>
      <c r="K38" s="80">
        <f t="shared" si="29"/>
        <v>84589</v>
      </c>
      <c r="L38" s="69">
        <f t="shared" si="29"/>
        <v>303342</v>
      </c>
      <c r="M38" s="80">
        <f t="shared" ref="M38:O38" si="30">SUM(M40:M44)</f>
        <v>3393</v>
      </c>
      <c r="N38" s="69">
        <f t="shared" si="30"/>
        <v>266665</v>
      </c>
      <c r="O38" s="82">
        <f t="shared" si="30"/>
        <v>33284</v>
      </c>
      <c r="P38" s="85" t="s">
        <v>34</v>
      </c>
      <c r="Q38" s="85"/>
      <c r="R38" s="85"/>
    </row>
    <row r="39" spans="1:18" x14ac:dyDescent="0.3">
      <c r="A39" s="86"/>
      <c r="B39" s="78"/>
      <c r="C39" s="69"/>
      <c r="D39" s="79"/>
      <c r="E39" s="79"/>
      <c r="F39" s="69"/>
      <c r="G39" s="80"/>
      <c r="H39" s="69"/>
      <c r="I39" s="80"/>
      <c r="J39" s="69"/>
      <c r="K39" s="80"/>
      <c r="L39" s="69"/>
      <c r="M39" s="80"/>
      <c r="N39" s="69"/>
      <c r="O39" s="82"/>
      <c r="P39" s="85"/>
      <c r="Q39" s="85"/>
      <c r="R39" s="85"/>
    </row>
    <row r="40" spans="1:18" x14ac:dyDescent="0.3">
      <c r="A40" s="10" t="s">
        <v>133</v>
      </c>
      <c r="B40" s="66">
        <v>11394</v>
      </c>
      <c r="C40" s="38">
        <v>23747</v>
      </c>
      <c r="D40" s="1" t="s">
        <v>197</v>
      </c>
      <c r="E40" s="38">
        <v>10052</v>
      </c>
      <c r="F40" s="38">
        <v>4023</v>
      </c>
      <c r="G40" s="2">
        <v>102110</v>
      </c>
      <c r="H40" s="12">
        <f t="shared" ref="H40:H44" si="31">SUM(I40:K40)</f>
        <v>565687</v>
      </c>
      <c r="I40" s="2">
        <v>572</v>
      </c>
      <c r="J40" s="38">
        <v>506166</v>
      </c>
      <c r="K40" s="2">
        <v>58949</v>
      </c>
      <c r="L40" s="13">
        <f t="shared" ref="L40:L44" si="32">SUM(M40:O40)</f>
        <v>173494</v>
      </c>
      <c r="M40" s="38">
        <v>1482</v>
      </c>
      <c r="N40" s="2">
        <v>147222</v>
      </c>
      <c r="O40" s="42">
        <v>24790</v>
      </c>
      <c r="P40" s="14" t="s">
        <v>35</v>
      </c>
      <c r="Q40" s="15"/>
      <c r="R40" s="15"/>
    </row>
    <row r="41" spans="1:18" x14ac:dyDescent="0.3">
      <c r="A41" s="10" t="s">
        <v>134</v>
      </c>
      <c r="B41" s="66">
        <v>1072</v>
      </c>
      <c r="C41" s="38">
        <v>1318</v>
      </c>
      <c r="D41" s="1" t="s">
        <v>197</v>
      </c>
      <c r="E41" s="38">
        <v>930</v>
      </c>
      <c r="F41" s="38">
        <v>1</v>
      </c>
      <c r="G41" s="2">
        <v>97763</v>
      </c>
      <c r="H41" s="12">
        <f t="shared" si="31"/>
        <v>109230</v>
      </c>
      <c r="I41" s="2">
        <v>666</v>
      </c>
      <c r="J41" s="38">
        <v>97769</v>
      </c>
      <c r="K41" s="2">
        <v>10795</v>
      </c>
      <c r="L41" s="13">
        <f t="shared" si="32"/>
        <v>21159</v>
      </c>
      <c r="M41" s="38">
        <v>543</v>
      </c>
      <c r="N41" s="2">
        <v>17381</v>
      </c>
      <c r="O41" s="42">
        <v>3235</v>
      </c>
      <c r="P41" s="14" t="s">
        <v>36</v>
      </c>
      <c r="Q41" s="15"/>
      <c r="R41" s="15"/>
    </row>
    <row r="42" spans="1:18" x14ac:dyDescent="0.3">
      <c r="A42" s="10" t="s">
        <v>135</v>
      </c>
      <c r="B42" s="66">
        <v>895</v>
      </c>
      <c r="C42" s="38">
        <v>8679</v>
      </c>
      <c r="D42" s="1" t="s">
        <v>197</v>
      </c>
      <c r="E42" s="38">
        <v>319</v>
      </c>
      <c r="F42" s="38">
        <v>4</v>
      </c>
      <c r="G42" s="2">
        <v>23310</v>
      </c>
      <c r="H42" s="12">
        <f t="shared" si="31"/>
        <v>119212</v>
      </c>
      <c r="I42" s="2">
        <v>54</v>
      </c>
      <c r="J42" s="38">
        <v>119158</v>
      </c>
      <c r="K42" s="1" t="s">
        <v>197</v>
      </c>
      <c r="L42" s="13">
        <f t="shared" si="32"/>
        <v>46119</v>
      </c>
      <c r="M42" s="38">
        <v>13</v>
      </c>
      <c r="N42" s="2">
        <v>46106</v>
      </c>
      <c r="O42" s="42" t="s">
        <v>197</v>
      </c>
      <c r="P42" s="14" t="s">
        <v>37</v>
      </c>
      <c r="Q42" s="15"/>
      <c r="R42" s="15"/>
    </row>
    <row r="43" spans="1:18" x14ac:dyDescent="0.3">
      <c r="A43" s="10" t="s">
        <v>136</v>
      </c>
      <c r="B43" s="67">
        <v>1</v>
      </c>
      <c r="C43" s="39">
        <v>3</v>
      </c>
      <c r="D43" s="1" t="s">
        <v>197</v>
      </c>
      <c r="E43" s="38" t="s">
        <v>197</v>
      </c>
      <c r="F43" s="38" t="s">
        <v>197</v>
      </c>
      <c r="G43" s="2" t="s">
        <v>197</v>
      </c>
      <c r="H43" s="12">
        <f t="shared" si="31"/>
        <v>605</v>
      </c>
      <c r="I43" s="2" t="s">
        <v>197</v>
      </c>
      <c r="J43" s="39">
        <v>605</v>
      </c>
      <c r="K43" s="1" t="s">
        <v>197</v>
      </c>
      <c r="L43" s="13">
        <f t="shared" si="32"/>
        <v>7086</v>
      </c>
      <c r="M43" s="39" t="s">
        <v>197</v>
      </c>
      <c r="N43" s="2">
        <v>7086</v>
      </c>
      <c r="O43" s="43" t="s">
        <v>197</v>
      </c>
      <c r="P43" s="14" t="s">
        <v>38</v>
      </c>
      <c r="Q43" s="15"/>
      <c r="R43" s="15"/>
    </row>
    <row r="44" spans="1:18" x14ac:dyDescent="0.3">
      <c r="A44" s="10" t="s">
        <v>137</v>
      </c>
      <c r="B44" s="66">
        <v>2251</v>
      </c>
      <c r="C44" s="38">
        <v>14408</v>
      </c>
      <c r="D44" s="2">
        <v>819</v>
      </c>
      <c r="E44" s="38">
        <v>6226</v>
      </c>
      <c r="F44" s="38">
        <v>100</v>
      </c>
      <c r="G44" s="2">
        <v>148346</v>
      </c>
      <c r="H44" s="12">
        <f t="shared" si="31"/>
        <v>166395</v>
      </c>
      <c r="I44" s="2">
        <v>1857</v>
      </c>
      <c r="J44" s="38">
        <v>149693</v>
      </c>
      <c r="K44" s="2">
        <v>14845</v>
      </c>
      <c r="L44" s="13">
        <f t="shared" si="32"/>
        <v>55484</v>
      </c>
      <c r="M44" s="38">
        <v>1355</v>
      </c>
      <c r="N44" s="2">
        <v>48870</v>
      </c>
      <c r="O44" s="42">
        <v>5259</v>
      </c>
      <c r="P44" s="14" t="s">
        <v>39</v>
      </c>
      <c r="Q44" s="15"/>
      <c r="R44" s="15"/>
    </row>
    <row r="45" spans="1:18" x14ac:dyDescent="0.3">
      <c r="A45" s="86" t="s">
        <v>40</v>
      </c>
      <c r="B45" s="78">
        <f>SUM(B47:B51)</f>
        <v>3493</v>
      </c>
      <c r="C45" s="69">
        <f>SUM(C47:C51)</f>
        <v>6690</v>
      </c>
      <c r="D45" s="79">
        <f>SUM(D47:D51)</f>
        <v>41</v>
      </c>
      <c r="E45" s="79">
        <f t="shared" ref="E45:F45" si="33">SUM(E47:E51)</f>
        <v>13680</v>
      </c>
      <c r="F45" s="69">
        <f t="shared" si="33"/>
        <v>56</v>
      </c>
      <c r="G45" s="80">
        <f t="shared" ref="G45" si="34">SUM(G47:G51)</f>
        <v>859976</v>
      </c>
      <c r="H45" s="69">
        <f>SUM(H47:H51)</f>
        <v>427967</v>
      </c>
      <c r="I45" s="80">
        <f>SUM(I47:I51)</f>
        <v>8542</v>
      </c>
      <c r="J45" s="69">
        <f t="shared" ref="J45:L45" si="35">SUM(J47:J51)</f>
        <v>387856</v>
      </c>
      <c r="K45" s="80">
        <f t="shared" si="35"/>
        <v>31569</v>
      </c>
      <c r="L45" s="69">
        <f t="shared" si="35"/>
        <v>250130</v>
      </c>
      <c r="M45" s="80">
        <f t="shared" ref="M45:O45" si="36">SUM(M47:M51)</f>
        <v>6394</v>
      </c>
      <c r="N45" s="69">
        <f t="shared" si="36"/>
        <v>232746</v>
      </c>
      <c r="O45" s="82">
        <f t="shared" si="36"/>
        <v>10990</v>
      </c>
      <c r="P45" s="85" t="s">
        <v>41</v>
      </c>
      <c r="Q45" s="85"/>
      <c r="R45" s="85"/>
    </row>
    <row r="46" spans="1:18" x14ac:dyDescent="0.3">
      <c r="A46" s="86"/>
      <c r="B46" s="78"/>
      <c r="C46" s="69"/>
      <c r="D46" s="79"/>
      <c r="E46" s="79"/>
      <c r="F46" s="69"/>
      <c r="G46" s="80"/>
      <c r="H46" s="69"/>
      <c r="I46" s="80"/>
      <c r="J46" s="69"/>
      <c r="K46" s="80"/>
      <c r="L46" s="69"/>
      <c r="M46" s="80"/>
      <c r="N46" s="69"/>
      <c r="O46" s="82"/>
      <c r="P46" s="85"/>
      <c r="Q46" s="85"/>
      <c r="R46" s="85"/>
    </row>
    <row r="47" spans="1:18" x14ac:dyDescent="0.3">
      <c r="A47" s="10" t="s">
        <v>138</v>
      </c>
      <c r="B47" s="66">
        <v>1449</v>
      </c>
      <c r="C47" s="38">
        <v>558</v>
      </c>
      <c r="D47" s="1">
        <v>41</v>
      </c>
      <c r="E47" s="38">
        <v>666</v>
      </c>
      <c r="F47" s="38">
        <v>5</v>
      </c>
      <c r="G47" s="2">
        <v>90647</v>
      </c>
      <c r="H47" s="12">
        <f t="shared" ref="H47:H51" si="37">SUM(I47:K47)</f>
        <v>126091</v>
      </c>
      <c r="I47" s="2">
        <v>2999</v>
      </c>
      <c r="J47" s="38">
        <v>98661</v>
      </c>
      <c r="K47" s="2">
        <v>24431</v>
      </c>
      <c r="L47" s="13">
        <f t="shared" ref="L47:L51" si="38">SUM(M47:O47)</f>
        <v>45726</v>
      </c>
      <c r="M47" s="38">
        <v>1254</v>
      </c>
      <c r="N47" s="2">
        <v>35263</v>
      </c>
      <c r="O47" s="42">
        <v>9209</v>
      </c>
      <c r="P47" s="14" t="s">
        <v>42</v>
      </c>
      <c r="Q47" s="15"/>
      <c r="R47" s="15"/>
    </row>
    <row r="48" spans="1:18" x14ac:dyDescent="0.3">
      <c r="A48" s="10" t="s">
        <v>139</v>
      </c>
      <c r="B48" s="66">
        <v>1862</v>
      </c>
      <c r="C48" s="38">
        <v>1313</v>
      </c>
      <c r="D48" s="1" t="s">
        <v>197</v>
      </c>
      <c r="E48" s="38">
        <v>1558</v>
      </c>
      <c r="F48" s="38">
        <v>8</v>
      </c>
      <c r="G48" s="2">
        <v>671450</v>
      </c>
      <c r="H48" s="12">
        <f t="shared" si="37"/>
        <v>82056</v>
      </c>
      <c r="I48" s="2">
        <v>1260</v>
      </c>
      <c r="J48" s="38">
        <v>77408</v>
      </c>
      <c r="K48" s="2">
        <v>3388</v>
      </c>
      <c r="L48" s="13">
        <f t="shared" si="38"/>
        <v>38732</v>
      </c>
      <c r="M48" s="38">
        <v>753</v>
      </c>
      <c r="N48" s="2">
        <v>36803</v>
      </c>
      <c r="O48" s="42">
        <v>1176</v>
      </c>
      <c r="P48" s="14" t="s">
        <v>43</v>
      </c>
      <c r="Q48" s="15"/>
      <c r="R48" s="15"/>
    </row>
    <row r="49" spans="1:18" x14ac:dyDescent="0.3">
      <c r="A49" s="10" t="s">
        <v>140</v>
      </c>
      <c r="B49" s="66">
        <v>44</v>
      </c>
      <c r="C49" s="38">
        <v>198</v>
      </c>
      <c r="D49" s="1" t="s">
        <v>197</v>
      </c>
      <c r="E49" s="38">
        <v>11383</v>
      </c>
      <c r="F49" s="38">
        <v>42</v>
      </c>
      <c r="G49" s="2">
        <v>59165</v>
      </c>
      <c r="H49" s="12">
        <f t="shared" si="37"/>
        <v>146208</v>
      </c>
      <c r="I49" s="2">
        <v>1750</v>
      </c>
      <c r="J49" s="38">
        <v>140708</v>
      </c>
      <c r="K49" s="2">
        <v>3750</v>
      </c>
      <c r="L49" s="13">
        <f t="shared" si="38"/>
        <v>107746</v>
      </c>
      <c r="M49" s="38">
        <v>1947</v>
      </c>
      <c r="N49" s="2">
        <v>105194</v>
      </c>
      <c r="O49" s="42">
        <v>605</v>
      </c>
      <c r="P49" s="14" t="s">
        <v>44</v>
      </c>
      <c r="Q49" s="15"/>
      <c r="R49" s="15"/>
    </row>
    <row r="50" spans="1:18" x14ac:dyDescent="0.3">
      <c r="A50" s="10" t="s">
        <v>141</v>
      </c>
      <c r="B50" s="66">
        <v>3</v>
      </c>
      <c r="C50" s="38">
        <v>1308</v>
      </c>
      <c r="D50" s="1" t="s">
        <v>197</v>
      </c>
      <c r="E50" s="38">
        <v>28</v>
      </c>
      <c r="F50" s="38" t="s">
        <v>197</v>
      </c>
      <c r="G50" s="2">
        <v>11090</v>
      </c>
      <c r="H50" s="12">
        <f t="shared" si="37"/>
        <v>29332</v>
      </c>
      <c r="I50" s="2">
        <v>1361</v>
      </c>
      <c r="J50" s="38">
        <v>27971</v>
      </c>
      <c r="K50" s="1" t="s">
        <v>197</v>
      </c>
      <c r="L50" s="13">
        <f t="shared" si="38"/>
        <v>24159</v>
      </c>
      <c r="M50" s="38">
        <v>1772</v>
      </c>
      <c r="N50" s="2">
        <v>22387</v>
      </c>
      <c r="O50" s="42" t="s">
        <v>197</v>
      </c>
      <c r="P50" s="14" t="s">
        <v>45</v>
      </c>
      <c r="Q50" s="15"/>
      <c r="R50" s="15"/>
    </row>
    <row r="51" spans="1:18" x14ac:dyDescent="0.3">
      <c r="A51" s="10" t="s">
        <v>142</v>
      </c>
      <c r="B51" s="66">
        <v>135</v>
      </c>
      <c r="C51" s="38">
        <v>3313</v>
      </c>
      <c r="D51" s="1" t="s">
        <v>197</v>
      </c>
      <c r="E51" s="38">
        <v>45</v>
      </c>
      <c r="F51" s="38">
        <v>1</v>
      </c>
      <c r="G51" s="2">
        <v>27624</v>
      </c>
      <c r="H51" s="12">
        <f t="shared" si="37"/>
        <v>44280</v>
      </c>
      <c r="I51" s="2">
        <v>1172</v>
      </c>
      <c r="J51" s="38">
        <v>43108</v>
      </c>
      <c r="K51" s="2" t="s">
        <v>197</v>
      </c>
      <c r="L51" s="13">
        <f t="shared" si="38"/>
        <v>33767</v>
      </c>
      <c r="M51" s="38">
        <v>668</v>
      </c>
      <c r="N51" s="2">
        <v>33099</v>
      </c>
      <c r="O51" s="42" t="s">
        <v>197</v>
      </c>
      <c r="P51" s="14" t="s">
        <v>46</v>
      </c>
      <c r="Q51" s="15"/>
      <c r="R51" s="15"/>
    </row>
    <row r="52" spans="1:18" x14ac:dyDescent="0.3">
      <c r="A52" s="86" t="s">
        <v>47</v>
      </c>
      <c r="B52" s="78">
        <f>SUM(B54:B58)</f>
        <v>526</v>
      </c>
      <c r="C52" s="69">
        <f>SUM(C54:C58)</f>
        <v>570</v>
      </c>
      <c r="D52" s="79">
        <f t="shared" ref="D52:F52" si="39">SUM(D54:D58)</f>
        <v>0</v>
      </c>
      <c r="E52" s="79">
        <f t="shared" si="39"/>
        <v>102</v>
      </c>
      <c r="F52" s="69">
        <f t="shared" si="39"/>
        <v>594</v>
      </c>
      <c r="G52" s="80">
        <f t="shared" ref="G52" si="40">SUM(G54:G58)</f>
        <v>55092</v>
      </c>
      <c r="H52" s="69">
        <f>SUM(H54:H58)</f>
        <v>94028</v>
      </c>
      <c r="I52" s="80">
        <f>SUM(I54:I58)</f>
        <v>3814</v>
      </c>
      <c r="J52" s="69">
        <f t="shared" ref="J52:L52" si="41">SUM(J54:J58)</f>
        <v>90214</v>
      </c>
      <c r="K52" s="80">
        <f t="shared" si="41"/>
        <v>0</v>
      </c>
      <c r="L52" s="69">
        <f t="shared" si="41"/>
        <v>82345</v>
      </c>
      <c r="M52" s="80">
        <f t="shared" ref="M52:O52" si="42">SUM(M54:M58)</f>
        <v>3327</v>
      </c>
      <c r="N52" s="69">
        <f t="shared" si="42"/>
        <v>79018</v>
      </c>
      <c r="O52" s="82">
        <f t="shared" si="42"/>
        <v>0</v>
      </c>
      <c r="P52" s="85" t="s">
        <v>48</v>
      </c>
      <c r="Q52" s="85"/>
      <c r="R52" s="85"/>
    </row>
    <row r="53" spans="1:18" x14ac:dyDescent="0.3">
      <c r="A53" s="86"/>
      <c r="B53" s="78"/>
      <c r="C53" s="69"/>
      <c r="D53" s="79"/>
      <c r="E53" s="79"/>
      <c r="F53" s="69"/>
      <c r="G53" s="80"/>
      <c r="H53" s="69"/>
      <c r="I53" s="80"/>
      <c r="J53" s="69"/>
      <c r="K53" s="80"/>
      <c r="L53" s="69"/>
      <c r="M53" s="80"/>
      <c r="N53" s="69"/>
      <c r="O53" s="82"/>
      <c r="P53" s="85"/>
      <c r="Q53" s="85"/>
      <c r="R53" s="85"/>
    </row>
    <row r="54" spans="1:18" x14ac:dyDescent="0.3">
      <c r="A54" s="10" t="s">
        <v>143</v>
      </c>
      <c r="B54" s="66">
        <v>392</v>
      </c>
      <c r="C54" s="38">
        <v>66</v>
      </c>
      <c r="D54" s="1" t="s">
        <v>197</v>
      </c>
      <c r="E54" s="38">
        <v>16</v>
      </c>
      <c r="F54" s="38">
        <v>594</v>
      </c>
      <c r="G54" s="2">
        <v>17126</v>
      </c>
      <c r="H54" s="12">
        <f t="shared" ref="H54:H58" si="43">SUM(I54:K54)</f>
        <v>4503</v>
      </c>
      <c r="I54" s="2">
        <v>942</v>
      </c>
      <c r="J54" s="38">
        <v>3561</v>
      </c>
      <c r="K54" s="1" t="s">
        <v>197</v>
      </c>
      <c r="L54" s="13">
        <f t="shared" ref="L54:L58" si="44">SUM(M54:O54)</f>
        <v>2553</v>
      </c>
      <c r="M54" s="38">
        <v>1019</v>
      </c>
      <c r="N54" s="2">
        <v>1534</v>
      </c>
      <c r="O54" s="42" t="s">
        <v>197</v>
      </c>
      <c r="P54" s="14" t="s">
        <v>49</v>
      </c>
      <c r="Q54" s="15"/>
      <c r="R54" s="15"/>
    </row>
    <row r="55" spans="1:18" x14ac:dyDescent="0.3">
      <c r="A55" s="10" t="s">
        <v>144</v>
      </c>
      <c r="B55" s="66">
        <v>53</v>
      </c>
      <c r="C55" s="38">
        <v>82</v>
      </c>
      <c r="D55" s="1" t="s">
        <v>197</v>
      </c>
      <c r="E55" s="38">
        <v>18</v>
      </c>
      <c r="F55" s="38" t="s">
        <v>197</v>
      </c>
      <c r="G55" s="2">
        <v>26430</v>
      </c>
      <c r="H55" s="12">
        <f t="shared" si="43"/>
        <v>4287</v>
      </c>
      <c r="I55" s="2">
        <v>1658</v>
      </c>
      <c r="J55" s="38">
        <v>2629</v>
      </c>
      <c r="K55" s="1" t="s">
        <v>197</v>
      </c>
      <c r="L55" s="13">
        <f t="shared" si="44"/>
        <v>4206</v>
      </c>
      <c r="M55" s="38">
        <v>1987</v>
      </c>
      <c r="N55" s="2">
        <v>2219</v>
      </c>
      <c r="O55" s="42" t="s">
        <v>197</v>
      </c>
      <c r="P55" s="14" t="s">
        <v>50</v>
      </c>
      <c r="Q55" s="15"/>
      <c r="R55" s="15"/>
    </row>
    <row r="56" spans="1:18" x14ac:dyDescent="0.3">
      <c r="A56" s="10" t="s">
        <v>145</v>
      </c>
      <c r="B56" s="66">
        <v>5</v>
      </c>
      <c r="C56" s="38">
        <v>35</v>
      </c>
      <c r="D56" s="1" t="s">
        <v>197</v>
      </c>
      <c r="E56" s="38">
        <v>12</v>
      </c>
      <c r="F56" s="38" t="s">
        <v>197</v>
      </c>
      <c r="G56" s="2" t="s">
        <v>197</v>
      </c>
      <c r="H56" s="12">
        <f t="shared" si="43"/>
        <v>1941</v>
      </c>
      <c r="I56" s="2">
        <v>26</v>
      </c>
      <c r="J56" s="38">
        <v>1915</v>
      </c>
      <c r="K56" s="1" t="s">
        <v>197</v>
      </c>
      <c r="L56" s="13">
        <f t="shared" si="44"/>
        <v>3182</v>
      </c>
      <c r="M56" s="38">
        <v>142</v>
      </c>
      <c r="N56" s="2">
        <v>3040</v>
      </c>
      <c r="O56" s="42" t="s">
        <v>197</v>
      </c>
      <c r="P56" s="14" t="s">
        <v>51</v>
      </c>
      <c r="Q56" s="15"/>
      <c r="R56" s="15"/>
    </row>
    <row r="57" spans="1:18" x14ac:dyDescent="0.3">
      <c r="A57" s="10" t="s">
        <v>146</v>
      </c>
      <c r="B57" s="66">
        <v>26</v>
      </c>
      <c r="C57" s="38">
        <v>206</v>
      </c>
      <c r="D57" s="1" t="s">
        <v>197</v>
      </c>
      <c r="E57" s="38">
        <v>56</v>
      </c>
      <c r="F57" s="38" t="s">
        <v>197</v>
      </c>
      <c r="G57" s="2">
        <v>6521</v>
      </c>
      <c r="H57" s="12">
        <f t="shared" si="43"/>
        <v>80193</v>
      </c>
      <c r="I57" s="2">
        <v>963</v>
      </c>
      <c r="J57" s="38">
        <v>79230</v>
      </c>
      <c r="K57" s="1" t="s">
        <v>197</v>
      </c>
      <c r="L57" s="13">
        <f t="shared" si="44"/>
        <v>69355</v>
      </c>
      <c r="M57" s="38">
        <v>67</v>
      </c>
      <c r="N57" s="2">
        <v>69288</v>
      </c>
      <c r="O57" s="42" t="s">
        <v>197</v>
      </c>
      <c r="P57" s="14" t="s">
        <v>52</v>
      </c>
      <c r="Q57" s="15"/>
      <c r="R57" s="15"/>
    </row>
    <row r="58" spans="1:18" x14ac:dyDescent="0.3">
      <c r="A58" s="10" t="s">
        <v>147</v>
      </c>
      <c r="B58" s="66">
        <v>50</v>
      </c>
      <c r="C58" s="38">
        <v>181</v>
      </c>
      <c r="D58" s="1" t="s">
        <v>197</v>
      </c>
      <c r="E58" s="38" t="s">
        <v>197</v>
      </c>
      <c r="F58" s="38" t="s">
        <v>197</v>
      </c>
      <c r="G58" s="2">
        <v>5015</v>
      </c>
      <c r="H58" s="12">
        <f t="shared" si="43"/>
        <v>3104</v>
      </c>
      <c r="I58" s="2">
        <v>225</v>
      </c>
      <c r="J58" s="38">
        <v>2879</v>
      </c>
      <c r="K58" s="1" t="s">
        <v>197</v>
      </c>
      <c r="L58" s="13">
        <f t="shared" si="44"/>
        <v>3049</v>
      </c>
      <c r="M58" s="38">
        <v>112</v>
      </c>
      <c r="N58" s="2">
        <v>2937</v>
      </c>
      <c r="O58" s="42" t="s">
        <v>197</v>
      </c>
      <c r="P58" s="14" t="s">
        <v>53</v>
      </c>
      <c r="Q58" s="15"/>
      <c r="R58" s="15"/>
    </row>
    <row r="59" spans="1:18" x14ac:dyDescent="0.3">
      <c r="A59" s="86" t="s">
        <v>54</v>
      </c>
      <c r="B59" s="78">
        <f>SUM(B61:B63)</f>
        <v>4381</v>
      </c>
      <c r="C59" s="69">
        <f>SUM(C61:C63)</f>
        <v>12620</v>
      </c>
      <c r="D59" s="79">
        <f t="shared" ref="D59:F59" si="45">SUM(D61:D63)</f>
        <v>0</v>
      </c>
      <c r="E59" s="79">
        <f t="shared" si="45"/>
        <v>11450</v>
      </c>
      <c r="F59" s="69">
        <f t="shared" si="45"/>
        <v>23922</v>
      </c>
      <c r="G59" s="80">
        <f t="shared" ref="G59" si="46">SUM(G61:G63)</f>
        <v>637694</v>
      </c>
      <c r="H59" s="69">
        <f>SUM(H61:H63)</f>
        <v>1058869</v>
      </c>
      <c r="I59" s="80">
        <f>SUM(I61:I63)</f>
        <v>54840</v>
      </c>
      <c r="J59" s="69">
        <f t="shared" ref="J59:L59" si="47">SUM(J61:J63)</f>
        <v>961925</v>
      </c>
      <c r="K59" s="80">
        <f t="shared" si="47"/>
        <v>42104</v>
      </c>
      <c r="L59" s="69">
        <f t="shared" si="47"/>
        <v>354947</v>
      </c>
      <c r="M59" s="80">
        <f t="shared" ref="M59:O59" si="48">SUM(M61:M63)</f>
        <v>42967</v>
      </c>
      <c r="N59" s="69">
        <f t="shared" si="48"/>
        <v>306970</v>
      </c>
      <c r="O59" s="82">
        <f t="shared" si="48"/>
        <v>5010</v>
      </c>
      <c r="P59" s="85" t="s">
        <v>55</v>
      </c>
      <c r="Q59" s="85"/>
      <c r="R59" s="85"/>
    </row>
    <row r="60" spans="1:18" x14ac:dyDescent="0.3">
      <c r="A60" s="86"/>
      <c r="B60" s="78"/>
      <c r="C60" s="69"/>
      <c r="D60" s="79"/>
      <c r="E60" s="79"/>
      <c r="F60" s="69"/>
      <c r="G60" s="80"/>
      <c r="H60" s="69"/>
      <c r="I60" s="80"/>
      <c r="J60" s="69"/>
      <c r="K60" s="80"/>
      <c r="L60" s="69"/>
      <c r="M60" s="80"/>
      <c r="N60" s="69"/>
      <c r="O60" s="82"/>
      <c r="P60" s="85"/>
      <c r="Q60" s="85"/>
      <c r="R60" s="85"/>
    </row>
    <row r="61" spans="1:18" x14ac:dyDescent="0.3">
      <c r="A61" s="10" t="s">
        <v>148</v>
      </c>
      <c r="B61" s="66">
        <v>1564</v>
      </c>
      <c r="C61" s="38">
        <v>297</v>
      </c>
      <c r="D61" s="1" t="s">
        <v>197</v>
      </c>
      <c r="E61" s="38">
        <v>130</v>
      </c>
      <c r="F61" s="38">
        <v>740</v>
      </c>
      <c r="G61" s="2">
        <v>91809</v>
      </c>
      <c r="H61" s="12">
        <f t="shared" ref="H61:H63" si="49">SUM(I61:K61)</f>
        <v>300297</v>
      </c>
      <c r="I61" s="2">
        <v>14137</v>
      </c>
      <c r="J61" s="38">
        <v>286160</v>
      </c>
      <c r="K61" s="2" t="s">
        <v>197</v>
      </c>
      <c r="L61" s="13">
        <f t="shared" ref="L61:L63" si="50">SUM(M61:O61)</f>
        <v>108386</v>
      </c>
      <c r="M61" s="38">
        <v>4121</v>
      </c>
      <c r="N61" s="2">
        <v>104265</v>
      </c>
      <c r="O61" s="42" t="s">
        <v>197</v>
      </c>
      <c r="P61" s="14" t="s">
        <v>56</v>
      </c>
      <c r="Q61" s="15"/>
      <c r="R61" s="15"/>
    </row>
    <row r="62" spans="1:18" x14ac:dyDescent="0.3">
      <c r="A62" s="10" t="s">
        <v>149</v>
      </c>
      <c r="B62" s="67">
        <v>15</v>
      </c>
      <c r="C62" s="39">
        <v>12124</v>
      </c>
      <c r="D62" s="1" t="s">
        <v>197</v>
      </c>
      <c r="E62" s="38">
        <v>10475</v>
      </c>
      <c r="F62" s="38">
        <v>2</v>
      </c>
      <c r="G62" s="2">
        <v>313187</v>
      </c>
      <c r="H62" s="12">
        <f t="shared" si="49"/>
        <v>525007</v>
      </c>
      <c r="I62" s="2">
        <v>34864</v>
      </c>
      <c r="J62" s="39">
        <v>448039</v>
      </c>
      <c r="K62" s="2">
        <v>42104</v>
      </c>
      <c r="L62" s="13">
        <f t="shared" si="50"/>
        <v>200174</v>
      </c>
      <c r="M62" s="39">
        <v>35610</v>
      </c>
      <c r="N62" s="2">
        <v>159554</v>
      </c>
      <c r="O62" s="43">
        <v>5010</v>
      </c>
      <c r="P62" s="14" t="s">
        <v>57</v>
      </c>
      <c r="Q62" s="15"/>
      <c r="R62" s="15"/>
    </row>
    <row r="63" spans="1:18" x14ac:dyDescent="0.3">
      <c r="A63" s="10" t="s">
        <v>150</v>
      </c>
      <c r="B63" s="66">
        <v>2802</v>
      </c>
      <c r="C63" s="38">
        <v>199</v>
      </c>
      <c r="D63" s="1" t="s">
        <v>197</v>
      </c>
      <c r="E63" s="38">
        <v>845</v>
      </c>
      <c r="F63" s="38">
        <v>23180</v>
      </c>
      <c r="G63" s="2">
        <v>232698</v>
      </c>
      <c r="H63" s="12">
        <f t="shared" si="49"/>
        <v>233565</v>
      </c>
      <c r="I63" s="2">
        <v>5839</v>
      </c>
      <c r="J63" s="38">
        <v>227726</v>
      </c>
      <c r="K63" s="1" t="s">
        <v>197</v>
      </c>
      <c r="L63" s="13">
        <f t="shared" si="50"/>
        <v>46387</v>
      </c>
      <c r="M63" s="38">
        <v>3236</v>
      </c>
      <c r="N63" s="2">
        <v>43151</v>
      </c>
      <c r="O63" s="42" t="s">
        <v>197</v>
      </c>
      <c r="P63" s="14" t="s">
        <v>58</v>
      </c>
      <c r="Q63" s="15"/>
      <c r="R63" s="15"/>
    </row>
    <row r="64" spans="1:18" x14ac:dyDescent="0.3">
      <c r="A64" s="86" t="s">
        <v>59</v>
      </c>
      <c r="B64" s="78">
        <f>SUM(B66:B70)</f>
        <v>1542</v>
      </c>
      <c r="C64" s="69">
        <f>SUM(C66:C70)</f>
        <v>2117</v>
      </c>
      <c r="D64" s="79">
        <f t="shared" ref="D64:F64" si="51">SUM(D66:D70)</f>
        <v>0</v>
      </c>
      <c r="E64" s="79">
        <f t="shared" si="51"/>
        <v>5541</v>
      </c>
      <c r="F64" s="69">
        <f t="shared" si="51"/>
        <v>1648</v>
      </c>
      <c r="G64" s="80">
        <f t="shared" ref="G64" si="52">SUM(G66:G70)</f>
        <v>1023861</v>
      </c>
      <c r="H64" s="69">
        <f>SUM(H66:H70)</f>
        <v>349072</v>
      </c>
      <c r="I64" s="80">
        <f>SUM(I66:I70)</f>
        <v>11559</v>
      </c>
      <c r="J64" s="69">
        <f t="shared" ref="J64:L64" si="53">SUM(J66:J70)</f>
        <v>320701</v>
      </c>
      <c r="K64" s="80">
        <f t="shared" si="53"/>
        <v>16812</v>
      </c>
      <c r="L64" s="69">
        <f t="shared" si="53"/>
        <v>334995</v>
      </c>
      <c r="M64" s="80">
        <f t="shared" ref="M64:O64" si="54">SUM(M66:M70)</f>
        <v>9201</v>
      </c>
      <c r="N64" s="69">
        <f t="shared" si="54"/>
        <v>301685</v>
      </c>
      <c r="O64" s="82">
        <f t="shared" si="54"/>
        <v>24109</v>
      </c>
      <c r="P64" s="85" t="s">
        <v>60</v>
      </c>
      <c r="Q64" s="85"/>
      <c r="R64" s="85"/>
    </row>
    <row r="65" spans="1:18" x14ac:dyDescent="0.3">
      <c r="A65" s="86"/>
      <c r="B65" s="78"/>
      <c r="C65" s="69"/>
      <c r="D65" s="79"/>
      <c r="E65" s="79"/>
      <c r="F65" s="69"/>
      <c r="G65" s="80"/>
      <c r="H65" s="69"/>
      <c r="I65" s="80"/>
      <c r="J65" s="69"/>
      <c r="K65" s="80"/>
      <c r="L65" s="69"/>
      <c r="M65" s="80"/>
      <c r="N65" s="69"/>
      <c r="O65" s="82"/>
      <c r="P65" s="85"/>
      <c r="Q65" s="85"/>
      <c r="R65" s="85"/>
    </row>
    <row r="66" spans="1:18" x14ac:dyDescent="0.3">
      <c r="A66" s="10" t="s">
        <v>151</v>
      </c>
      <c r="B66" s="66">
        <v>162</v>
      </c>
      <c r="C66" s="38">
        <v>401</v>
      </c>
      <c r="D66" s="1" t="s">
        <v>197</v>
      </c>
      <c r="E66" s="38">
        <v>288</v>
      </c>
      <c r="F66" s="38">
        <v>300</v>
      </c>
      <c r="G66" s="2">
        <v>75517</v>
      </c>
      <c r="H66" s="12">
        <f t="shared" ref="H66:H70" si="55">SUM(I66:K66)</f>
        <v>98175</v>
      </c>
      <c r="I66" s="2">
        <v>4006</v>
      </c>
      <c r="J66" s="38">
        <v>94169</v>
      </c>
      <c r="K66" s="1" t="s">
        <v>197</v>
      </c>
      <c r="L66" s="13">
        <f t="shared" ref="L66:L70" si="56">SUM(M66:O66)</f>
        <v>70757</v>
      </c>
      <c r="M66" s="38">
        <v>2248</v>
      </c>
      <c r="N66" s="2">
        <v>68509</v>
      </c>
      <c r="O66" s="42" t="s">
        <v>197</v>
      </c>
      <c r="P66" s="14" t="s">
        <v>61</v>
      </c>
      <c r="Q66" s="15"/>
      <c r="R66" s="15"/>
    </row>
    <row r="67" spans="1:18" x14ac:dyDescent="0.3">
      <c r="A67" s="10" t="s">
        <v>152</v>
      </c>
      <c r="B67" s="66">
        <v>651</v>
      </c>
      <c r="C67" s="38">
        <v>76</v>
      </c>
      <c r="D67" s="1" t="s">
        <v>197</v>
      </c>
      <c r="E67" s="38">
        <v>1097</v>
      </c>
      <c r="F67" s="38" t="s">
        <v>197</v>
      </c>
      <c r="G67" s="2">
        <v>52662</v>
      </c>
      <c r="H67" s="12">
        <f t="shared" si="55"/>
        <v>85477</v>
      </c>
      <c r="I67" s="2">
        <v>4638</v>
      </c>
      <c r="J67" s="38">
        <v>71132</v>
      </c>
      <c r="K67" s="2">
        <v>9707</v>
      </c>
      <c r="L67" s="13">
        <f t="shared" si="56"/>
        <v>88750</v>
      </c>
      <c r="M67" s="38">
        <v>3024</v>
      </c>
      <c r="N67" s="2">
        <v>67148</v>
      </c>
      <c r="O67" s="42">
        <v>18578</v>
      </c>
      <c r="P67" s="14" t="s">
        <v>62</v>
      </c>
      <c r="Q67" s="15"/>
      <c r="R67" s="15"/>
    </row>
    <row r="68" spans="1:18" x14ac:dyDescent="0.3">
      <c r="A68" s="10" t="s">
        <v>153</v>
      </c>
      <c r="B68" s="66">
        <v>165</v>
      </c>
      <c r="C68" s="38">
        <v>25</v>
      </c>
      <c r="D68" s="1" t="s">
        <v>197</v>
      </c>
      <c r="E68" s="38">
        <v>2712</v>
      </c>
      <c r="F68" s="38">
        <v>578</v>
      </c>
      <c r="G68" s="2">
        <v>728069</v>
      </c>
      <c r="H68" s="12">
        <f t="shared" si="55"/>
        <v>55601</v>
      </c>
      <c r="I68" s="2">
        <v>806</v>
      </c>
      <c r="J68" s="38">
        <v>51570</v>
      </c>
      <c r="K68" s="2">
        <v>3225</v>
      </c>
      <c r="L68" s="13">
        <f t="shared" si="56"/>
        <v>44703</v>
      </c>
      <c r="M68" s="38">
        <v>813</v>
      </c>
      <c r="N68" s="2">
        <v>41209</v>
      </c>
      <c r="O68" s="42">
        <v>2681</v>
      </c>
      <c r="P68" s="14" t="s">
        <v>63</v>
      </c>
      <c r="Q68" s="15"/>
      <c r="R68" s="15"/>
    </row>
    <row r="69" spans="1:18" x14ac:dyDescent="0.3">
      <c r="A69" s="10" t="s">
        <v>154</v>
      </c>
      <c r="B69" s="66">
        <v>520</v>
      </c>
      <c r="C69" s="38">
        <v>820</v>
      </c>
      <c r="D69" s="1" t="s">
        <v>197</v>
      </c>
      <c r="E69" s="38">
        <v>1290</v>
      </c>
      <c r="F69" s="38">
        <v>685</v>
      </c>
      <c r="G69" s="2">
        <v>97434</v>
      </c>
      <c r="H69" s="12">
        <f t="shared" si="55"/>
        <v>58416</v>
      </c>
      <c r="I69" s="2">
        <v>1170</v>
      </c>
      <c r="J69" s="38">
        <v>57186</v>
      </c>
      <c r="K69" s="2">
        <v>60</v>
      </c>
      <c r="L69" s="13">
        <f t="shared" si="56"/>
        <v>100267</v>
      </c>
      <c r="M69" s="38">
        <v>1755</v>
      </c>
      <c r="N69" s="2">
        <v>98512</v>
      </c>
      <c r="O69" s="42" t="s">
        <v>197</v>
      </c>
      <c r="P69" s="14" t="s">
        <v>64</v>
      </c>
      <c r="Q69" s="15"/>
      <c r="R69" s="15"/>
    </row>
    <row r="70" spans="1:18" x14ac:dyDescent="0.3">
      <c r="A70" s="10" t="s">
        <v>155</v>
      </c>
      <c r="B70" s="66">
        <v>44</v>
      </c>
      <c r="C70" s="38">
        <v>795</v>
      </c>
      <c r="D70" s="1" t="s">
        <v>197</v>
      </c>
      <c r="E70" s="38">
        <v>154</v>
      </c>
      <c r="F70" s="38">
        <v>85</v>
      </c>
      <c r="G70" s="2">
        <v>70179</v>
      </c>
      <c r="H70" s="12">
        <f t="shared" si="55"/>
        <v>51403</v>
      </c>
      <c r="I70" s="2">
        <v>939</v>
      </c>
      <c r="J70" s="38">
        <v>46644</v>
      </c>
      <c r="K70" s="2">
        <v>3820</v>
      </c>
      <c r="L70" s="13">
        <f t="shared" si="56"/>
        <v>30518</v>
      </c>
      <c r="M70" s="38">
        <v>1361</v>
      </c>
      <c r="N70" s="2">
        <v>26307</v>
      </c>
      <c r="O70" s="42">
        <v>2850</v>
      </c>
      <c r="P70" s="14" t="s">
        <v>65</v>
      </c>
      <c r="Q70" s="15"/>
      <c r="R70" s="15"/>
    </row>
    <row r="71" spans="1:18" x14ac:dyDescent="0.3">
      <c r="A71" s="86" t="s">
        <v>66</v>
      </c>
      <c r="B71" s="78">
        <f>SUM(B73:B80)</f>
        <v>735</v>
      </c>
      <c r="C71" s="69">
        <f>SUM(C73:C80)</f>
        <v>20</v>
      </c>
      <c r="D71" s="79">
        <f t="shared" ref="D71:F71" si="57">SUM(D73:D80)</f>
        <v>0</v>
      </c>
      <c r="E71" s="79">
        <f t="shared" si="57"/>
        <v>1598</v>
      </c>
      <c r="F71" s="69">
        <f t="shared" si="57"/>
        <v>330181</v>
      </c>
      <c r="G71" s="80">
        <f t="shared" ref="G71" si="58">SUM(G73:G80)</f>
        <v>1972286</v>
      </c>
      <c r="H71" s="69">
        <f>SUM(H73:H80)</f>
        <v>68810</v>
      </c>
      <c r="I71" s="80">
        <f>SUM(I73:I80)</f>
        <v>821</v>
      </c>
      <c r="J71" s="69">
        <f t="shared" ref="J71:L71" si="59">SUM(J73:J80)</f>
        <v>64749</v>
      </c>
      <c r="K71" s="80">
        <f t="shared" si="59"/>
        <v>3240</v>
      </c>
      <c r="L71" s="69">
        <f t="shared" si="59"/>
        <v>29020</v>
      </c>
      <c r="M71" s="80">
        <f t="shared" ref="M71:O71" si="60">SUM(M73:M80)</f>
        <v>775</v>
      </c>
      <c r="N71" s="69">
        <f t="shared" si="60"/>
        <v>26560</v>
      </c>
      <c r="O71" s="82">
        <f t="shared" si="60"/>
        <v>1685</v>
      </c>
      <c r="P71" s="85" t="s">
        <v>67</v>
      </c>
      <c r="Q71" s="85"/>
      <c r="R71" s="85"/>
    </row>
    <row r="72" spans="1:18" x14ac:dyDescent="0.3">
      <c r="A72" s="86"/>
      <c r="B72" s="78"/>
      <c r="C72" s="69"/>
      <c r="D72" s="79"/>
      <c r="E72" s="79"/>
      <c r="F72" s="69"/>
      <c r="G72" s="80"/>
      <c r="H72" s="69"/>
      <c r="I72" s="80"/>
      <c r="J72" s="69"/>
      <c r="K72" s="80"/>
      <c r="L72" s="69"/>
      <c r="M72" s="80"/>
      <c r="N72" s="69"/>
      <c r="O72" s="82"/>
      <c r="P72" s="85"/>
      <c r="Q72" s="85"/>
      <c r="R72" s="85"/>
    </row>
    <row r="73" spans="1:18" x14ac:dyDescent="0.3">
      <c r="A73" s="22" t="s">
        <v>68</v>
      </c>
      <c r="B73" s="66" t="s">
        <v>197</v>
      </c>
      <c r="C73" s="38" t="s">
        <v>197</v>
      </c>
      <c r="D73" s="50" t="s">
        <v>197</v>
      </c>
      <c r="E73" s="38" t="s">
        <v>197</v>
      </c>
      <c r="F73" s="38" t="s">
        <v>197</v>
      </c>
      <c r="G73" s="55" t="s">
        <v>197</v>
      </c>
      <c r="H73" s="12">
        <f t="shared" ref="H73:H80" si="61">SUM(I73:K73)</f>
        <v>0</v>
      </c>
      <c r="I73" s="2" t="s">
        <v>197</v>
      </c>
      <c r="J73" s="38" t="s">
        <v>197</v>
      </c>
      <c r="K73" s="38" t="s">
        <v>197</v>
      </c>
      <c r="L73" s="13">
        <f t="shared" ref="L73:L80" si="62">SUM(M73:O73)</f>
        <v>0</v>
      </c>
      <c r="M73" s="38" t="s">
        <v>197</v>
      </c>
      <c r="N73" s="2" t="s">
        <v>197</v>
      </c>
      <c r="O73" s="42" t="s">
        <v>197</v>
      </c>
      <c r="P73" s="14" t="s">
        <v>69</v>
      </c>
      <c r="Q73" s="15"/>
      <c r="R73" s="15"/>
    </row>
    <row r="74" spans="1:18" x14ac:dyDescent="0.3">
      <c r="A74" s="22" t="s">
        <v>70</v>
      </c>
      <c r="B74" s="67" t="s">
        <v>197</v>
      </c>
      <c r="C74" s="39" t="s">
        <v>197</v>
      </c>
      <c r="D74" s="50" t="s">
        <v>197</v>
      </c>
      <c r="E74" s="38" t="s">
        <v>197</v>
      </c>
      <c r="F74" s="38" t="s">
        <v>197</v>
      </c>
      <c r="G74" s="55" t="s">
        <v>197</v>
      </c>
      <c r="H74" s="12">
        <f t="shared" si="61"/>
        <v>249</v>
      </c>
      <c r="I74" s="2">
        <v>30</v>
      </c>
      <c r="J74" s="39">
        <v>219</v>
      </c>
      <c r="K74" s="39" t="s">
        <v>197</v>
      </c>
      <c r="L74" s="13">
        <f t="shared" si="62"/>
        <v>870</v>
      </c>
      <c r="M74" s="39" t="s">
        <v>197</v>
      </c>
      <c r="N74" s="2">
        <v>870</v>
      </c>
      <c r="O74" s="43" t="s">
        <v>197</v>
      </c>
      <c r="P74" s="14" t="s">
        <v>71</v>
      </c>
      <c r="Q74" s="15"/>
      <c r="R74" s="15"/>
    </row>
    <row r="75" spans="1:18" x14ac:dyDescent="0.3">
      <c r="A75" s="22" t="s">
        <v>72</v>
      </c>
      <c r="B75" s="67" t="s">
        <v>197</v>
      </c>
      <c r="C75" s="39" t="s">
        <v>197</v>
      </c>
      <c r="D75" s="50" t="s">
        <v>197</v>
      </c>
      <c r="E75" s="38" t="s">
        <v>197</v>
      </c>
      <c r="F75" s="38" t="s">
        <v>197</v>
      </c>
      <c r="G75" s="55" t="s">
        <v>197</v>
      </c>
      <c r="H75" s="12">
        <f t="shared" si="61"/>
        <v>104</v>
      </c>
      <c r="I75" s="1" t="s">
        <v>197</v>
      </c>
      <c r="J75" s="39">
        <v>104</v>
      </c>
      <c r="K75" s="39" t="s">
        <v>197</v>
      </c>
      <c r="L75" s="13">
        <f t="shared" si="62"/>
        <v>0</v>
      </c>
      <c r="M75" s="39" t="s">
        <v>197</v>
      </c>
      <c r="N75" s="1" t="s">
        <v>197</v>
      </c>
      <c r="O75" s="43" t="s">
        <v>197</v>
      </c>
      <c r="P75" s="14" t="s">
        <v>73</v>
      </c>
      <c r="Q75" s="15"/>
      <c r="R75" s="15"/>
    </row>
    <row r="76" spans="1:18" x14ac:dyDescent="0.3">
      <c r="A76" s="22" t="s">
        <v>74</v>
      </c>
      <c r="B76" s="67" t="s">
        <v>197</v>
      </c>
      <c r="C76" s="39" t="s">
        <v>197</v>
      </c>
      <c r="D76" s="50" t="s">
        <v>197</v>
      </c>
      <c r="E76" s="38" t="s">
        <v>197</v>
      </c>
      <c r="F76" s="38" t="s">
        <v>197</v>
      </c>
      <c r="G76" s="55" t="s">
        <v>197</v>
      </c>
      <c r="H76" s="12">
        <f t="shared" si="61"/>
        <v>0</v>
      </c>
      <c r="I76" s="1" t="s">
        <v>197</v>
      </c>
      <c r="J76" s="39" t="s">
        <v>197</v>
      </c>
      <c r="K76" s="39" t="s">
        <v>197</v>
      </c>
      <c r="L76" s="13">
        <f t="shared" si="62"/>
        <v>0</v>
      </c>
      <c r="M76" s="39" t="s">
        <v>197</v>
      </c>
      <c r="N76" s="1" t="s">
        <v>197</v>
      </c>
      <c r="O76" s="43" t="s">
        <v>197</v>
      </c>
      <c r="P76" s="14" t="s">
        <v>75</v>
      </c>
      <c r="Q76" s="15"/>
      <c r="R76" s="15"/>
    </row>
    <row r="77" spans="1:18" x14ac:dyDescent="0.3">
      <c r="A77" s="22" t="s">
        <v>76</v>
      </c>
      <c r="B77" s="66">
        <v>86</v>
      </c>
      <c r="C77" s="38">
        <v>2</v>
      </c>
      <c r="D77" s="50" t="s">
        <v>197</v>
      </c>
      <c r="E77" s="38">
        <v>854</v>
      </c>
      <c r="F77" s="38">
        <v>30001</v>
      </c>
      <c r="G77" s="55">
        <v>291103</v>
      </c>
      <c r="H77" s="12">
        <f t="shared" si="61"/>
        <v>39311</v>
      </c>
      <c r="I77" s="2">
        <v>409</v>
      </c>
      <c r="J77" s="38">
        <v>38902</v>
      </c>
      <c r="K77" s="38" t="s">
        <v>197</v>
      </c>
      <c r="L77" s="13">
        <f t="shared" si="62"/>
        <v>8518</v>
      </c>
      <c r="M77" s="38">
        <v>354</v>
      </c>
      <c r="N77" s="2">
        <v>8164</v>
      </c>
      <c r="O77" s="42" t="s">
        <v>197</v>
      </c>
      <c r="P77" s="14" t="s">
        <v>77</v>
      </c>
      <c r="Q77" s="15"/>
      <c r="R77" s="15"/>
    </row>
    <row r="78" spans="1:18" x14ac:dyDescent="0.3">
      <c r="A78" s="22" t="s">
        <v>78</v>
      </c>
      <c r="B78" s="66">
        <v>537</v>
      </c>
      <c r="C78" s="38">
        <v>16</v>
      </c>
      <c r="D78" s="50" t="s">
        <v>197</v>
      </c>
      <c r="E78" s="38">
        <v>744</v>
      </c>
      <c r="F78" s="38">
        <v>300180</v>
      </c>
      <c r="G78" s="55">
        <v>1678068</v>
      </c>
      <c r="H78" s="12">
        <f t="shared" si="61"/>
        <v>20626</v>
      </c>
      <c r="I78" s="2">
        <v>97</v>
      </c>
      <c r="J78" s="38">
        <v>17289</v>
      </c>
      <c r="K78" s="39">
        <v>3240</v>
      </c>
      <c r="L78" s="13">
        <f t="shared" si="62"/>
        <v>12234</v>
      </c>
      <c r="M78" s="38">
        <v>123</v>
      </c>
      <c r="N78" s="2">
        <v>10426</v>
      </c>
      <c r="O78" s="42">
        <v>1685</v>
      </c>
      <c r="P78" s="14" t="s">
        <v>79</v>
      </c>
      <c r="Q78" s="15"/>
      <c r="R78" s="15"/>
    </row>
    <row r="79" spans="1:18" x14ac:dyDescent="0.3">
      <c r="A79" s="22" t="s">
        <v>80</v>
      </c>
      <c r="B79" s="66" t="s">
        <v>197</v>
      </c>
      <c r="C79" s="38" t="s">
        <v>197</v>
      </c>
      <c r="D79" s="50" t="s">
        <v>197</v>
      </c>
      <c r="E79" s="38" t="s">
        <v>197</v>
      </c>
      <c r="F79" s="38" t="s">
        <v>197</v>
      </c>
      <c r="G79" s="55" t="s">
        <v>197</v>
      </c>
      <c r="H79" s="12">
        <f t="shared" si="61"/>
        <v>0</v>
      </c>
      <c r="I79" s="2" t="s">
        <v>197</v>
      </c>
      <c r="J79" s="38" t="s">
        <v>197</v>
      </c>
      <c r="K79" s="39" t="s">
        <v>197</v>
      </c>
      <c r="L79" s="13">
        <f t="shared" si="62"/>
        <v>0</v>
      </c>
      <c r="M79" s="38" t="s">
        <v>197</v>
      </c>
      <c r="N79" s="2" t="s">
        <v>197</v>
      </c>
      <c r="O79" s="42" t="s">
        <v>197</v>
      </c>
      <c r="P79" s="14" t="s">
        <v>81</v>
      </c>
      <c r="Q79" s="15"/>
      <c r="R79" s="15"/>
    </row>
    <row r="80" spans="1:18" x14ac:dyDescent="0.3">
      <c r="A80" s="22" t="s">
        <v>82</v>
      </c>
      <c r="B80" s="66">
        <v>112</v>
      </c>
      <c r="C80" s="38">
        <v>2</v>
      </c>
      <c r="D80" s="50" t="s">
        <v>197</v>
      </c>
      <c r="E80" s="38" t="s">
        <v>197</v>
      </c>
      <c r="F80" s="38" t="s">
        <v>197</v>
      </c>
      <c r="G80" s="55">
        <v>3115</v>
      </c>
      <c r="H80" s="12">
        <f t="shared" si="61"/>
        <v>8520</v>
      </c>
      <c r="I80" s="2">
        <v>285</v>
      </c>
      <c r="J80" s="38">
        <v>8235</v>
      </c>
      <c r="K80" s="39" t="s">
        <v>197</v>
      </c>
      <c r="L80" s="13">
        <f t="shared" si="62"/>
        <v>7398</v>
      </c>
      <c r="M80" s="38">
        <v>298</v>
      </c>
      <c r="N80" s="2">
        <v>7100</v>
      </c>
      <c r="O80" s="42" t="s">
        <v>197</v>
      </c>
      <c r="P80" s="14" t="s">
        <v>83</v>
      </c>
      <c r="Q80" s="15"/>
      <c r="R80" s="15"/>
    </row>
    <row r="81" spans="1:18" x14ac:dyDescent="0.3">
      <c r="A81" s="86" t="s">
        <v>84</v>
      </c>
      <c r="B81" s="78">
        <f>SUM(B83:B87)</f>
        <v>348</v>
      </c>
      <c r="C81" s="69">
        <f>SUM(C83:C87)</f>
        <v>1473</v>
      </c>
      <c r="D81" s="79">
        <f t="shared" ref="D81:F81" si="63">SUM(D83:D87)</f>
        <v>0</v>
      </c>
      <c r="E81" s="79">
        <f t="shared" si="63"/>
        <v>753</v>
      </c>
      <c r="F81" s="69">
        <f t="shared" si="63"/>
        <v>70</v>
      </c>
      <c r="G81" s="80">
        <f t="shared" ref="G81" si="64">SUM(G83:G87)</f>
        <v>73579</v>
      </c>
      <c r="H81" s="69">
        <f>SUM(H83:H87)</f>
        <v>426414</v>
      </c>
      <c r="I81" s="80">
        <f>SUM(I83:I87)</f>
        <v>2605</v>
      </c>
      <c r="J81" s="69">
        <f t="shared" ref="J81:L81" si="65">SUM(J83:J87)</f>
        <v>421794</v>
      </c>
      <c r="K81" s="80">
        <f t="shared" si="65"/>
        <v>2015</v>
      </c>
      <c r="L81" s="69">
        <f t="shared" si="65"/>
        <v>93492</v>
      </c>
      <c r="M81" s="80">
        <f t="shared" ref="M81:O81" si="66">SUM(M83:M87)</f>
        <v>5484</v>
      </c>
      <c r="N81" s="69">
        <f t="shared" si="66"/>
        <v>78008</v>
      </c>
      <c r="O81" s="82">
        <f t="shared" si="66"/>
        <v>10000</v>
      </c>
      <c r="P81" s="85" t="s">
        <v>85</v>
      </c>
      <c r="Q81" s="85"/>
      <c r="R81" s="85"/>
    </row>
    <row r="82" spans="1:18" x14ac:dyDescent="0.3">
      <c r="A82" s="86"/>
      <c r="B82" s="78"/>
      <c r="C82" s="69"/>
      <c r="D82" s="79"/>
      <c r="E82" s="79"/>
      <c r="F82" s="69"/>
      <c r="G82" s="80"/>
      <c r="H82" s="69"/>
      <c r="I82" s="80"/>
      <c r="J82" s="69"/>
      <c r="K82" s="80"/>
      <c r="L82" s="69"/>
      <c r="M82" s="80"/>
      <c r="N82" s="69"/>
      <c r="O82" s="82"/>
      <c r="P82" s="85"/>
      <c r="Q82" s="85"/>
      <c r="R82" s="85"/>
    </row>
    <row r="83" spans="1:18" x14ac:dyDescent="0.3">
      <c r="A83" s="10" t="s">
        <v>156</v>
      </c>
      <c r="B83" s="66">
        <v>16</v>
      </c>
      <c r="C83" s="38">
        <v>1200</v>
      </c>
      <c r="D83" s="1" t="s">
        <v>197</v>
      </c>
      <c r="E83" s="38">
        <v>451</v>
      </c>
      <c r="F83" s="38">
        <v>70</v>
      </c>
      <c r="G83" s="2">
        <v>31870</v>
      </c>
      <c r="H83" s="12">
        <f t="shared" ref="H83:H87" si="67">SUM(I83:K83)</f>
        <v>356920</v>
      </c>
      <c r="I83" s="2">
        <v>1083</v>
      </c>
      <c r="J83" s="38">
        <v>355837</v>
      </c>
      <c r="K83" s="39" t="s">
        <v>197</v>
      </c>
      <c r="L83" s="13">
        <f t="shared" ref="L83:L87" si="68">SUM(M83:O83)</f>
        <v>28866</v>
      </c>
      <c r="M83" s="38">
        <v>2266</v>
      </c>
      <c r="N83" s="2">
        <v>26600</v>
      </c>
      <c r="O83" s="42" t="s">
        <v>197</v>
      </c>
      <c r="P83" s="14" t="s">
        <v>86</v>
      </c>
      <c r="Q83" s="15"/>
      <c r="R83" s="15"/>
    </row>
    <row r="84" spans="1:18" x14ac:dyDescent="0.3">
      <c r="A84" s="10" t="s">
        <v>157</v>
      </c>
      <c r="B84" s="66">
        <v>23</v>
      </c>
      <c r="C84" s="38">
        <v>93</v>
      </c>
      <c r="D84" s="1" t="s">
        <v>197</v>
      </c>
      <c r="E84" s="38">
        <v>208</v>
      </c>
      <c r="F84" s="38" t="s">
        <v>197</v>
      </c>
      <c r="G84" s="2">
        <v>10450</v>
      </c>
      <c r="H84" s="12">
        <f t="shared" si="67"/>
        <v>5385</v>
      </c>
      <c r="I84" s="2">
        <v>1445</v>
      </c>
      <c r="J84" s="38">
        <v>3940</v>
      </c>
      <c r="K84" s="39" t="s">
        <v>197</v>
      </c>
      <c r="L84" s="13">
        <f t="shared" si="68"/>
        <v>17335</v>
      </c>
      <c r="M84" s="38">
        <v>3055</v>
      </c>
      <c r="N84" s="2">
        <v>14280</v>
      </c>
      <c r="O84" s="42" t="s">
        <v>197</v>
      </c>
      <c r="P84" s="14" t="s">
        <v>87</v>
      </c>
      <c r="Q84" s="15"/>
      <c r="R84" s="15"/>
    </row>
    <row r="85" spans="1:18" x14ac:dyDescent="0.3">
      <c r="A85" s="10" t="s">
        <v>158</v>
      </c>
      <c r="B85" s="66" t="s">
        <v>197</v>
      </c>
      <c r="C85" s="38">
        <v>109</v>
      </c>
      <c r="D85" s="1" t="s">
        <v>197</v>
      </c>
      <c r="E85" s="38">
        <v>26</v>
      </c>
      <c r="F85" s="38" t="s">
        <v>197</v>
      </c>
      <c r="G85" s="2">
        <v>3676</v>
      </c>
      <c r="H85" s="12">
        <f t="shared" si="67"/>
        <v>57172</v>
      </c>
      <c r="I85" s="2" t="s">
        <v>197</v>
      </c>
      <c r="J85" s="38">
        <v>57172</v>
      </c>
      <c r="K85" s="39" t="s">
        <v>197</v>
      </c>
      <c r="L85" s="13">
        <f t="shared" si="68"/>
        <v>10018</v>
      </c>
      <c r="M85" s="38" t="s">
        <v>197</v>
      </c>
      <c r="N85" s="2">
        <v>10018</v>
      </c>
      <c r="O85" s="42" t="s">
        <v>197</v>
      </c>
      <c r="P85" s="14" t="s">
        <v>88</v>
      </c>
      <c r="Q85" s="15"/>
      <c r="R85" s="15"/>
    </row>
    <row r="86" spans="1:18" x14ac:dyDescent="0.3">
      <c r="A86" s="10" t="s">
        <v>159</v>
      </c>
      <c r="B86" s="66">
        <v>3</v>
      </c>
      <c r="C86" s="38">
        <v>9</v>
      </c>
      <c r="D86" s="1" t="s">
        <v>197</v>
      </c>
      <c r="E86" s="38">
        <v>27</v>
      </c>
      <c r="F86" s="38" t="s">
        <v>197</v>
      </c>
      <c r="G86" s="2">
        <v>3005</v>
      </c>
      <c r="H86" s="12">
        <f t="shared" si="67"/>
        <v>948</v>
      </c>
      <c r="I86" s="2">
        <v>62</v>
      </c>
      <c r="J86" s="38">
        <v>886</v>
      </c>
      <c r="K86" s="39" t="s">
        <v>197</v>
      </c>
      <c r="L86" s="13">
        <f t="shared" si="68"/>
        <v>3901</v>
      </c>
      <c r="M86" s="38">
        <v>138</v>
      </c>
      <c r="N86" s="2">
        <v>3763</v>
      </c>
      <c r="O86" s="42" t="s">
        <v>197</v>
      </c>
      <c r="P86" s="14" t="s">
        <v>89</v>
      </c>
      <c r="Q86" s="15"/>
      <c r="R86" s="15"/>
    </row>
    <row r="87" spans="1:18" x14ac:dyDescent="0.3">
      <c r="A87" s="10" t="s">
        <v>160</v>
      </c>
      <c r="B87" s="66">
        <v>306</v>
      </c>
      <c r="C87" s="38">
        <v>62</v>
      </c>
      <c r="D87" s="1" t="s">
        <v>197</v>
      </c>
      <c r="E87" s="38">
        <v>41</v>
      </c>
      <c r="F87" s="38" t="s">
        <v>197</v>
      </c>
      <c r="G87" s="2">
        <v>24578</v>
      </c>
      <c r="H87" s="12">
        <f t="shared" si="67"/>
        <v>5989</v>
      </c>
      <c r="I87" s="2">
        <v>15</v>
      </c>
      <c r="J87" s="38">
        <v>3959</v>
      </c>
      <c r="K87" s="38">
        <v>2015</v>
      </c>
      <c r="L87" s="13">
        <f t="shared" si="68"/>
        <v>33372</v>
      </c>
      <c r="M87" s="38">
        <v>25</v>
      </c>
      <c r="N87" s="2">
        <v>23347</v>
      </c>
      <c r="O87" s="42">
        <v>10000</v>
      </c>
      <c r="P87" s="14" t="s">
        <v>90</v>
      </c>
      <c r="Q87" s="15"/>
      <c r="R87" s="15"/>
    </row>
    <row r="88" spans="1:18" x14ac:dyDescent="0.3">
      <c r="A88" s="86" t="s">
        <v>91</v>
      </c>
      <c r="B88" s="78">
        <f>SUM(B90:B102)</f>
        <v>4939</v>
      </c>
      <c r="C88" s="69">
        <f>SUM(C90:C102)</f>
        <v>2074</v>
      </c>
      <c r="D88" s="79">
        <f t="shared" ref="D88:F88" si="69">SUM(D90:D102)</f>
        <v>0</v>
      </c>
      <c r="E88" s="79">
        <f t="shared" si="69"/>
        <v>1678</v>
      </c>
      <c r="F88" s="69">
        <f t="shared" si="69"/>
        <v>5650</v>
      </c>
      <c r="G88" s="80">
        <f t="shared" ref="G88" si="70">SUM(G90:G102)</f>
        <v>223066</v>
      </c>
      <c r="H88" s="69">
        <f>SUM(H90:H102)</f>
        <v>161425</v>
      </c>
      <c r="I88" s="80">
        <f>SUM(I90:I102)</f>
        <v>24519</v>
      </c>
      <c r="J88" s="69">
        <f t="shared" ref="J88:L88" si="71">SUM(J90:J102)</f>
        <v>136906</v>
      </c>
      <c r="K88" s="80">
        <f t="shared" si="71"/>
        <v>0</v>
      </c>
      <c r="L88" s="69">
        <f t="shared" si="71"/>
        <v>168420</v>
      </c>
      <c r="M88" s="80">
        <f t="shared" ref="M88:O88" si="72">SUM(M90:M102)</f>
        <v>19153</v>
      </c>
      <c r="N88" s="69">
        <f t="shared" si="72"/>
        <v>149267</v>
      </c>
      <c r="O88" s="82">
        <f t="shared" si="72"/>
        <v>0</v>
      </c>
      <c r="P88" s="85" t="s">
        <v>92</v>
      </c>
      <c r="Q88" s="85"/>
      <c r="R88" s="85"/>
    </row>
    <row r="89" spans="1:18" x14ac:dyDescent="0.3">
      <c r="A89" s="86"/>
      <c r="B89" s="78"/>
      <c r="C89" s="69"/>
      <c r="D89" s="79"/>
      <c r="E89" s="79"/>
      <c r="F89" s="69"/>
      <c r="G89" s="80"/>
      <c r="H89" s="69"/>
      <c r="I89" s="80"/>
      <c r="J89" s="69"/>
      <c r="K89" s="80"/>
      <c r="L89" s="69"/>
      <c r="M89" s="80"/>
      <c r="N89" s="69"/>
      <c r="O89" s="82"/>
      <c r="P89" s="85"/>
      <c r="Q89" s="85"/>
      <c r="R89" s="85"/>
    </row>
    <row r="90" spans="1:18" x14ac:dyDescent="0.3">
      <c r="A90" s="10" t="s">
        <v>161</v>
      </c>
      <c r="B90" s="66">
        <v>113</v>
      </c>
      <c r="C90" s="38">
        <v>83</v>
      </c>
      <c r="D90" s="1" t="s">
        <v>197</v>
      </c>
      <c r="E90" s="38">
        <v>28</v>
      </c>
      <c r="F90" s="38" t="s">
        <v>197</v>
      </c>
      <c r="G90" s="2">
        <v>4139</v>
      </c>
      <c r="H90" s="12">
        <f t="shared" ref="H90:H102" si="73">SUM(I90:K90)</f>
        <v>1359</v>
      </c>
      <c r="I90" s="2">
        <v>845</v>
      </c>
      <c r="J90" s="38">
        <v>514</v>
      </c>
      <c r="K90" s="39" t="s">
        <v>197</v>
      </c>
      <c r="L90" s="13">
        <f t="shared" ref="L90:L102" si="74">SUM(M90:O90)</f>
        <v>1078</v>
      </c>
      <c r="M90" s="38">
        <v>601</v>
      </c>
      <c r="N90" s="2">
        <v>477</v>
      </c>
      <c r="O90" s="42" t="s">
        <v>197</v>
      </c>
      <c r="P90" s="14" t="s">
        <v>93</v>
      </c>
      <c r="Q90" s="15"/>
      <c r="R90" s="15"/>
    </row>
    <row r="91" spans="1:18" x14ac:dyDescent="0.3">
      <c r="A91" s="10" t="s">
        <v>162</v>
      </c>
      <c r="B91" s="66">
        <v>249</v>
      </c>
      <c r="C91" s="38">
        <v>114</v>
      </c>
      <c r="D91" s="1" t="s">
        <v>197</v>
      </c>
      <c r="E91" s="38">
        <v>117</v>
      </c>
      <c r="F91" s="38" t="s">
        <v>197</v>
      </c>
      <c r="G91" s="2">
        <v>16935</v>
      </c>
      <c r="H91" s="12">
        <f t="shared" si="73"/>
        <v>23877</v>
      </c>
      <c r="I91" s="2">
        <v>307</v>
      </c>
      <c r="J91" s="38">
        <v>23570</v>
      </c>
      <c r="K91" s="39" t="s">
        <v>197</v>
      </c>
      <c r="L91" s="13">
        <f t="shared" si="74"/>
        <v>12022</v>
      </c>
      <c r="M91" s="38">
        <v>367</v>
      </c>
      <c r="N91" s="2">
        <v>11655</v>
      </c>
      <c r="O91" s="42" t="s">
        <v>197</v>
      </c>
      <c r="P91" s="14" t="s">
        <v>94</v>
      </c>
      <c r="Q91" s="15"/>
      <c r="R91" s="15"/>
    </row>
    <row r="92" spans="1:18" x14ac:dyDescent="0.3">
      <c r="A92" s="10" t="s">
        <v>163</v>
      </c>
      <c r="B92" s="66">
        <v>118</v>
      </c>
      <c r="C92" s="38">
        <v>7</v>
      </c>
      <c r="D92" s="1" t="s">
        <v>197</v>
      </c>
      <c r="E92" s="38">
        <v>259</v>
      </c>
      <c r="F92" s="38" t="s">
        <v>197</v>
      </c>
      <c r="G92" s="2">
        <v>13390</v>
      </c>
      <c r="H92" s="12">
        <f t="shared" si="73"/>
        <v>1561</v>
      </c>
      <c r="I92" s="2">
        <v>417</v>
      </c>
      <c r="J92" s="38">
        <v>1144</v>
      </c>
      <c r="K92" s="39" t="s">
        <v>197</v>
      </c>
      <c r="L92" s="13">
        <f t="shared" si="74"/>
        <v>6367</v>
      </c>
      <c r="M92" s="38">
        <v>1547</v>
      </c>
      <c r="N92" s="2">
        <v>4820</v>
      </c>
      <c r="O92" s="42" t="s">
        <v>197</v>
      </c>
      <c r="P92" s="14" t="s">
        <v>95</v>
      </c>
      <c r="Q92" s="15"/>
      <c r="R92" s="15"/>
    </row>
    <row r="93" spans="1:18" x14ac:dyDescent="0.3">
      <c r="A93" s="10" t="s">
        <v>164</v>
      </c>
      <c r="B93" s="66">
        <v>119</v>
      </c>
      <c r="C93" s="38">
        <v>40</v>
      </c>
      <c r="D93" s="1" t="s">
        <v>197</v>
      </c>
      <c r="E93" s="38">
        <v>40</v>
      </c>
      <c r="F93" s="38">
        <v>50</v>
      </c>
      <c r="G93" s="2">
        <v>17900</v>
      </c>
      <c r="H93" s="12">
        <f t="shared" si="73"/>
        <v>8158</v>
      </c>
      <c r="I93" s="2">
        <v>120</v>
      </c>
      <c r="J93" s="38">
        <v>8038</v>
      </c>
      <c r="K93" s="39" t="s">
        <v>197</v>
      </c>
      <c r="L93" s="13">
        <f t="shared" si="74"/>
        <v>23455</v>
      </c>
      <c r="M93" s="38">
        <v>250</v>
      </c>
      <c r="N93" s="2">
        <v>23205</v>
      </c>
      <c r="O93" s="42" t="s">
        <v>197</v>
      </c>
      <c r="P93" s="14" t="s">
        <v>96</v>
      </c>
      <c r="Q93" s="15"/>
      <c r="R93" s="15"/>
    </row>
    <row r="94" spans="1:18" x14ac:dyDescent="0.3">
      <c r="A94" s="10" t="s">
        <v>165</v>
      </c>
      <c r="B94" s="66" t="s">
        <v>197</v>
      </c>
      <c r="C94" s="38" t="s">
        <v>197</v>
      </c>
      <c r="D94" s="1" t="s">
        <v>197</v>
      </c>
      <c r="E94" s="38" t="s">
        <v>197</v>
      </c>
      <c r="F94" s="38" t="s">
        <v>197</v>
      </c>
      <c r="G94" s="2">
        <v>250</v>
      </c>
      <c r="H94" s="12">
        <f t="shared" si="73"/>
        <v>5624</v>
      </c>
      <c r="I94" s="1" t="s">
        <v>197</v>
      </c>
      <c r="J94" s="38">
        <v>5624</v>
      </c>
      <c r="K94" s="39" t="s">
        <v>197</v>
      </c>
      <c r="L94" s="13">
        <f t="shared" si="74"/>
        <v>5608</v>
      </c>
      <c r="M94" s="38" t="s">
        <v>197</v>
      </c>
      <c r="N94" s="2">
        <v>5608</v>
      </c>
      <c r="O94" s="42" t="s">
        <v>197</v>
      </c>
      <c r="P94" s="14" t="s">
        <v>97</v>
      </c>
      <c r="Q94" s="15"/>
      <c r="R94" s="15"/>
    </row>
    <row r="95" spans="1:18" x14ac:dyDescent="0.3">
      <c r="A95" s="10" t="s">
        <v>166</v>
      </c>
      <c r="B95" s="66">
        <v>74</v>
      </c>
      <c r="C95" s="38">
        <v>263</v>
      </c>
      <c r="D95" s="1" t="s">
        <v>197</v>
      </c>
      <c r="E95" s="38">
        <v>150</v>
      </c>
      <c r="F95" s="38" t="s">
        <v>197</v>
      </c>
      <c r="G95" s="2">
        <v>8009</v>
      </c>
      <c r="H95" s="12">
        <f t="shared" si="73"/>
        <v>20387</v>
      </c>
      <c r="I95" s="2">
        <v>10623</v>
      </c>
      <c r="J95" s="38">
        <v>9764</v>
      </c>
      <c r="K95" s="39" t="s">
        <v>197</v>
      </c>
      <c r="L95" s="13">
        <f t="shared" si="74"/>
        <v>8408</v>
      </c>
      <c r="M95" s="38">
        <v>7168</v>
      </c>
      <c r="N95" s="2">
        <v>1240</v>
      </c>
      <c r="O95" s="42" t="s">
        <v>197</v>
      </c>
      <c r="P95" s="14" t="s">
        <v>98</v>
      </c>
      <c r="Q95" s="15"/>
      <c r="R95" s="15"/>
    </row>
    <row r="96" spans="1:18" x14ac:dyDescent="0.3">
      <c r="A96" s="10" t="s">
        <v>167</v>
      </c>
      <c r="B96" s="66">
        <v>460</v>
      </c>
      <c r="C96" s="38">
        <v>454</v>
      </c>
      <c r="D96" s="1" t="s">
        <v>197</v>
      </c>
      <c r="E96" s="38">
        <v>325</v>
      </c>
      <c r="F96" s="38">
        <v>400</v>
      </c>
      <c r="G96" s="2">
        <v>13905</v>
      </c>
      <c r="H96" s="12">
        <f t="shared" si="73"/>
        <v>11338</v>
      </c>
      <c r="I96" s="2">
        <v>1020</v>
      </c>
      <c r="J96" s="38">
        <v>10318</v>
      </c>
      <c r="K96" s="39" t="s">
        <v>197</v>
      </c>
      <c r="L96" s="13">
        <f t="shared" si="74"/>
        <v>11463</v>
      </c>
      <c r="M96" s="38">
        <v>975</v>
      </c>
      <c r="N96" s="2">
        <v>10488</v>
      </c>
      <c r="O96" s="42" t="s">
        <v>197</v>
      </c>
      <c r="P96" s="14" t="s">
        <v>99</v>
      </c>
      <c r="Q96" s="15"/>
      <c r="R96" s="15"/>
    </row>
    <row r="97" spans="1:18" x14ac:dyDescent="0.3">
      <c r="A97" s="10" t="s">
        <v>168</v>
      </c>
      <c r="B97" s="66">
        <v>55</v>
      </c>
      <c r="C97" s="38">
        <v>7</v>
      </c>
      <c r="D97" s="1" t="s">
        <v>197</v>
      </c>
      <c r="E97" s="38">
        <v>41</v>
      </c>
      <c r="F97" s="38" t="s">
        <v>197</v>
      </c>
      <c r="G97" s="2">
        <v>8780</v>
      </c>
      <c r="H97" s="12">
        <f t="shared" si="73"/>
        <v>5380</v>
      </c>
      <c r="I97" s="2">
        <v>580</v>
      </c>
      <c r="J97" s="38">
        <v>4800</v>
      </c>
      <c r="K97" s="39" t="s">
        <v>197</v>
      </c>
      <c r="L97" s="13">
        <f t="shared" si="74"/>
        <v>8266</v>
      </c>
      <c r="M97" s="38">
        <v>728</v>
      </c>
      <c r="N97" s="2">
        <v>7538</v>
      </c>
      <c r="O97" s="42" t="s">
        <v>197</v>
      </c>
      <c r="P97" s="14" t="s">
        <v>100</v>
      </c>
      <c r="Q97" s="15"/>
      <c r="R97" s="15"/>
    </row>
    <row r="98" spans="1:18" x14ac:dyDescent="0.3">
      <c r="A98" s="10" t="s">
        <v>169</v>
      </c>
      <c r="B98" s="66">
        <v>328</v>
      </c>
      <c r="C98" s="38">
        <v>160</v>
      </c>
      <c r="D98" s="1" t="s">
        <v>197</v>
      </c>
      <c r="E98" s="38">
        <v>5</v>
      </c>
      <c r="F98" s="38" t="s">
        <v>197</v>
      </c>
      <c r="G98" s="2">
        <v>4035</v>
      </c>
      <c r="H98" s="12">
        <f t="shared" si="73"/>
        <v>2343</v>
      </c>
      <c r="I98" s="2">
        <v>1850</v>
      </c>
      <c r="J98" s="38">
        <v>493</v>
      </c>
      <c r="K98" s="39" t="s">
        <v>197</v>
      </c>
      <c r="L98" s="13">
        <f t="shared" si="74"/>
        <v>738</v>
      </c>
      <c r="M98" s="38">
        <v>545</v>
      </c>
      <c r="N98" s="2">
        <v>193</v>
      </c>
      <c r="O98" s="42" t="s">
        <v>197</v>
      </c>
      <c r="P98" s="14" t="s">
        <v>101</v>
      </c>
      <c r="Q98" s="15"/>
      <c r="R98" s="15"/>
    </row>
    <row r="99" spans="1:18" x14ac:dyDescent="0.3">
      <c r="A99" s="10" t="s">
        <v>170</v>
      </c>
      <c r="B99" s="66">
        <v>3040</v>
      </c>
      <c r="C99" s="38">
        <v>715</v>
      </c>
      <c r="D99" s="1" t="s">
        <v>197</v>
      </c>
      <c r="E99" s="38">
        <v>273</v>
      </c>
      <c r="F99" s="38" t="s">
        <v>197</v>
      </c>
      <c r="G99" s="2">
        <v>30795</v>
      </c>
      <c r="H99" s="12">
        <f t="shared" si="73"/>
        <v>52300</v>
      </c>
      <c r="I99" s="2">
        <v>1346</v>
      </c>
      <c r="J99" s="38">
        <v>50954</v>
      </c>
      <c r="K99" s="39" t="s">
        <v>197</v>
      </c>
      <c r="L99" s="13">
        <f t="shared" si="74"/>
        <v>49783</v>
      </c>
      <c r="M99" s="38">
        <v>2220</v>
      </c>
      <c r="N99" s="2">
        <v>47563</v>
      </c>
      <c r="O99" s="42" t="s">
        <v>197</v>
      </c>
      <c r="P99" s="14" t="s">
        <v>102</v>
      </c>
      <c r="Q99" s="15"/>
      <c r="R99" s="15"/>
    </row>
    <row r="100" spans="1:18" x14ac:dyDescent="0.3">
      <c r="A100" s="10" t="s">
        <v>171</v>
      </c>
      <c r="B100" s="66">
        <v>80</v>
      </c>
      <c r="C100" s="38">
        <v>35</v>
      </c>
      <c r="D100" s="1" t="s">
        <v>197</v>
      </c>
      <c r="E100" s="38">
        <v>43</v>
      </c>
      <c r="F100" s="38">
        <v>1000</v>
      </c>
      <c r="G100" s="2">
        <v>1730</v>
      </c>
      <c r="H100" s="12">
        <f t="shared" si="73"/>
        <v>2111</v>
      </c>
      <c r="I100" s="2">
        <v>243</v>
      </c>
      <c r="J100" s="38">
        <v>1868</v>
      </c>
      <c r="K100" s="39" t="s">
        <v>197</v>
      </c>
      <c r="L100" s="13">
        <f t="shared" si="74"/>
        <v>2819</v>
      </c>
      <c r="M100" s="38">
        <v>720</v>
      </c>
      <c r="N100" s="2">
        <v>2099</v>
      </c>
      <c r="O100" s="42" t="s">
        <v>197</v>
      </c>
      <c r="P100" s="14" t="s">
        <v>103</v>
      </c>
      <c r="Q100" s="15"/>
      <c r="R100" s="15"/>
    </row>
    <row r="101" spans="1:18" x14ac:dyDescent="0.3">
      <c r="A101" s="10" t="s">
        <v>172</v>
      </c>
      <c r="B101" s="66">
        <v>266</v>
      </c>
      <c r="C101" s="38">
        <v>22</v>
      </c>
      <c r="D101" s="1" t="s">
        <v>197</v>
      </c>
      <c r="E101" s="38">
        <v>360</v>
      </c>
      <c r="F101" s="38">
        <v>4200</v>
      </c>
      <c r="G101" s="2">
        <v>95920</v>
      </c>
      <c r="H101" s="12">
        <f t="shared" si="73"/>
        <v>18514</v>
      </c>
      <c r="I101" s="2" t="s">
        <v>197</v>
      </c>
      <c r="J101" s="38">
        <v>18514</v>
      </c>
      <c r="K101" s="39" t="s">
        <v>197</v>
      </c>
      <c r="L101" s="13">
        <f t="shared" si="74"/>
        <v>32316</v>
      </c>
      <c r="M101" s="38" t="s">
        <v>197</v>
      </c>
      <c r="N101" s="2">
        <v>32316</v>
      </c>
      <c r="O101" s="42" t="s">
        <v>197</v>
      </c>
      <c r="P101" s="14" t="s">
        <v>104</v>
      </c>
      <c r="Q101" s="15"/>
      <c r="R101" s="15"/>
    </row>
    <row r="102" spans="1:18" x14ac:dyDescent="0.3">
      <c r="A102" s="10" t="s">
        <v>173</v>
      </c>
      <c r="B102" s="66">
        <v>37</v>
      </c>
      <c r="C102" s="38">
        <v>174</v>
      </c>
      <c r="D102" s="1" t="s">
        <v>197</v>
      </c>
      <c r="E102" s="38">
        <v>37</v>
      </c>
      <c r="F102" s="38" t="s">
        <v>197</v>
      </c>
      <c r="G102" s="2">
        <v>7278</v>
      </c>
      <c r="H102" s="12">
        <f t="shared" si="73"/>
        <v>8473</v>
      </c>
      <c r="I102" s="1">
        <v>7168</v>
      </c>
      <c r="J102" s="38">
        <v>1305</v>
      </c>
      <c r="K102" s="39" t="s">
        <v>197</v>
      </c>
      <c r="L102" s="13">
        <f t="shared" si="74"/>
        <v>6097</v>
      </c>
      <c r="M102" s="38">
        <v>4032</v>
      </c>
      <c r="N102" s="2">
        <v>2065</v>
      </c>
      <c r="O102" s="42" t="s">
        <v>197</v>
      </c>
      <c r="P102" s="14" t="s">
        <v>105</v>
      </c>
      <c r="Q102" s="15"/>
      <c r="R102" s="15"/>
    </row>
    <row r="103" spans="1:18" x14ac:dyDescent="0.3">
      <c r="A103" s="86" t="s">
        <v>106</v>
      </c>
      <c r="B103" s="78">
        <f>SUM(B105:B108)</f>
        <v>328</v>
      </c>
      <c r="C103" s="69">
        <f>SUM(C105:C108)</f>
        <v>193</v>
      </c>
      <c r="D103" s="79">
        <f t="shared" ref="D103:F103" si="75">SUM(D105:D108)</f>
        <v>0</v>
      </c>
      <c r="E103" s="79">
        <f t="shared" si="75"/>
        <v>10039</v>
      </c>
      <c r="F103" s="69">
        <f t="shared" si="75"/>
        <v>32234</v>
      </c>
      <c r="G103" s="80">
        <f t="shared" ref="G103" si="76">SUM(G105:G108)</f>
        <v>537785</v>
      </c>
      <c r="H103" s="69">
        <f>SUM(H105:H108)</f>
        <v>1587037</v>
      </c>
      <c r="I103" s="80">
        <f>SUM(I105:I108)</f>
        <v>47804</v>
      </c>
      <c r="J103" s="69">
        <f t="shared" ref="J103:L103" si="77">SUM(J105:J108)</f>
        <v>1487875</v>
      </c>
      <c r="K103" s="80">
        <f t="shared" si="77"/>
        <v>51358</v>
      </c>
      <c r="L103" s="69">
        <f t="shared" si="77"/>
        <v>468909</v>
      </c>
      <c r="M103" s="80">
        <f t="shared" ref="M103:O103" si="78">SUM(M105:M108)</f>
        <v>35547</v>
      </c>
      <c r="N103" s="69">
        <f t="shared" si="78"/>
        <v>424699</v>
      </c>
      <c r="O103" s="82">
        <f t="shared" si="78"/>
        <v>8663</v>
      </c>
      <c r="P103" s="85" t="s">
        <v>107</v>
      </c>
      <c r="Q103" s="85"/>
      <c r="R103" s="85"/>
    </row>
    <row r="104" spans="1:18" x14ac:dyDescent="0.3">
      <c r="A104" s="86"/>
      <c r="B104" s="78"/>
      <c r="C104" s="69"/>
      <c r="D104" s="79"/>
      <c r="E104" s="79"/>
      <c r="F104" s="69"/>
      <c r="G104" s="80"/>
      <c r="H104" s="69"/>
      <c r="I104" s="80"/>
      <c r="J104" s="69"/>
      <c r="K104" s="80"/>
      <c r="L104" s="69"/>
      <c r="M104" s="80"/>
      <c r="N104" s="69"/>
      <c r="O104" s="82"/>
      <c r="P104" s="85"/>
      <c r="Q104" s="85"/>
      <c r="R104" s="85"/>
    </row>
    <row r="105" spans="1:18" x14ac:dyDescent="0.3">
      <c r="A105" s="10" t="s">
        <v>174</v>
      </c>
      <c r="B105" s="66">
        <v>118</v>
      </c>
      <c r="C105" s="38">
        <v>152</v>
      </c>
      <c r="D105" s="2" t="s">
        <v>197</v>
      </c>
      <c r="E105" s="38">
        <v>2121</v>
      </c>
      <c r="F105" s="38">
        <v>26889</v>
      </c>
      <c r="G105" s="2">
        <v>199075</v>
      </c>
      <c r="H105" s="12">
        <f t="shared" ref="H105:H108" si="79">SUM(I105:K105)</f>
        <v>529200</v>
      </c>
      <c r="I105" s="2">
        <v>12045</v>
      </c>
      <c r="J105" s="38">
        <v>517155</v>
      </c>
      <c r="K105" s="38" t="s">
        <v>197</v>
      </c>
      <c r="L105" s="13">
        <f t="shared" ref="L105:L108" si="80">SUM(M105:O105)</f>
        <v>167172</v>
      </c>
      <c r="M105" s="38">
        <v>13124</v>
      </c>
      <c r="N105" s="2">
        <v>154048</v>
      </c>
      <c r="O105" s="42" t="s">
        <v>197</v>
      </c>
      <c r="P105" s="14" t="s">
        <v>108</v>
      </c>
      <c r="Q105" s="15"/>
      <c r="R105" s="15"/>
    </row>
    <row r="106" spans="1:18" x14ac:dyDescent="0.3">
      <c r="A106" s="10" t="s">
        <v>175</v>
      </c>
      <c r="B106" s="66">
        <v>1</v>
      </c>
      <c r="C106" s="38">
        <v>2</v>
      </c>
      <c r="D106" s="2" t="s">
        <v>197</v>
      </c>
      <c r="E106" s="38">
        <v>12</v>
      </c>
      <c r="F106" s="38" t="s">
        <v>197</v>
      </c>
      <c r="G106" s="2">
        <v>16095</v>
      </c>
      <c r="H106" s="12">
        <f t="shared" si="79"/>
        <v>107282</v>
      </c>
      <c r="I106" s="2">
        <v>757</v>
      </c>
      <c r="J106" s="39">
        <v>106525</v>
      </c>
      <c r="K106" s="38" t="s">
        <v>197</v>
      </c>
      <c r="L106" s="13">
        <f t="shared" si="80"/>
        <v>33475</v>
      </c>
      <c r="M106" s="39">
        <v>938</v>
      </c>
      <c r="N106" s="2">
        <v>32537</v>
      </c>
      <c r="O106" s="43" t="s">
        <v>197</v>
      </c>
      <c r="P106" s="14" t="s">
        <v>109</v>
      </c>
      <c r="Q106" s="15"/>
      <c r="R106" s="15"/>
    </row>
    <row r="107" spans="1:18" x14ac:dyDescent="0.3">
      <c r="A107" s="10" t="s">
        <v>176</v>
      </c>
      <c r="B107" s="66">
        <v>173</v>
      </c>
      <c r="C107" s="38">
        <v>26</v>
      </c>
      <c r="D107" s="2" t="s">
        <v>197</v>
      </c>
      <c r="E107" s="38">
        <v>7239</v>
      </c>
      <c r="F107" s="38" t="s">
        <v>197</v>
      </c>
      <c r="G107" s="2">
        <v>205941</v>
      </c>
      <c r="H107" s="12">
        <f t="shared" si="79"/>
        <v>698401</v>
      </c>
      <c r="I107" s="2">
        <v>11801</v>
      </c>
      <c r="J107" s="38">
        <v>638356</v>
      </c>
      <c r="K107" s="38">
        <v>48244</v>
      </c>
      <c r="L107" s="13">
        <f t="shared" si="80"/>
        <v>161691</v>
      </c>
      <c r="M107" s="38">
        <v>6329</v>
      </c>
      <c r="N107" s="2">
        <v>148566</v>
      </c>
      <c r="O107" s="42">
        <v>6796</v>
      </c>
      <c r="P107" s="14" t="s">
        <v>110</v>
      </c>
      <c r="Q107" s="15"/>
      <c r="R107" s="15"/>
    </row>
    <row r="108" spans="1:18" ht="15" thickBot="1" x14ac:dyDescent="0.35">
      <c r="A108" s="23" t="s">
        <v>177</v>
      </c>
      <c r="B108" s="68">
        <v>36</v>
      </c>
      <c r="C108" s="41">
        <v>13</v>
      </c>
      <c r="D108" s="40" t="s">
        <v>197</v>
      </c>
      <c r="E108" s="41">
        <v>667</v>
      </c>
      <c r="F108" s="41">
        <v>5345</v>
      </c>
      <c r="G108" s="40">
        <v>116674</v>
      </c>
      <c r="H108" s="24">
        <f t="shared" si="79"/>
        <v>252154</v>
      </c>
      <c r="I108" s="40">
        <v>23201</v>
      </c>
      <c r="J108" s="41">
        <v>225839</v>
      </c>
      <c r="K108" s="41">
        <v>3114</v>
      </c>
      <c r="L108" s="25">
        <f t="shared" si="80"/>
        <v>106571</v>
      </c>
      <c r="M108" s="41">
        <v>15156</v>
      </c>
      <c r="N108" s="40">
        <v>89548</v>
      </c>
      <c r="O108" s="44">
        <v>1867</v>
      </c>
      <c r="P108" s="26" t="s">
        <v>111</v>
      </c>
      <c r="Q108" s="27"/>
      <c r="R108" s="27"/>
    </row>
    <row r="109" spans="1:18" ht="16.2" x14ac:dyDescent="0.3">
      <c r="A109" s="52" t="s">
        <v>193</v>
      </c>
      <c r="B109" s="28"/>
      <c r="C109" s="28"/>
      <c r="D109" s="28"/>
      <c r="E109" s="56"/>
      <c r="F109" s="56"/>
      <c r="G109" s="56"/>
      <c r="M109" s="81" t="s">
        <v>194</v>
      </c>
      <c r="N109" s="81"/>
      <c r="O109" s="81"/>
      <c r="P109" s="81"/>
      <c r="Q109" s="81"/>
      <c r="R109" s="81"/>
    </row>
    <row r="110" spans="1:18" x14ac:dyDescent="0.3">
      <c r="A110" s="28"/>
      <c r="B110" s="28"/>
      <c r="C110" s="28"/>
      <c r="D110" s="28"/>
      <c r="E110" s="56"/>
      <c r="F110" s="56"/>
      <c r="G110" s="56"/>
      <c r="P110" s="28"/>
      <c r="Q110" s="28"/>
      <c r="R110" s="28"/>
    </row>
    <row r="111" spans="1:18" x14ac:dyDescent="0.3">
      <c r="A111" s="29"/>
      <c r="B111" s="29"/>
      <c r="C111" s="29"/>
      <c r="D111" s="29"/>
      <c r="E111" s="57"/>
      <c r="F111" s="57"/>
      <c r="G111" s="57"/>
      <c r="H111" s="30"/>
      <c r="I111" s="30"/>
      <c r="J111" s="30"/>
      <c r="K111" s="30"/>
      <c r="P111" s="30"/>
      <c r="Q111" s="30"/>
      <c r="R111" s="30"/>
    </row>
    <row r="112" spans="1:18" x14ac:dyDescent="0.3">
      <c r="A112" s="29"/>
      <c r="B112" s="29"/>
      <c r="C112" s="29"/>
      <c r="D112" s="29"/>
      <c r="E112" s="57"/>
      <c r="F112" s="57"/>
      <c r="G112" s="57"/>
      <c r="H112" s="30"/>
      <c r="I112" s="30"/>
      <c r="J112" s="30"/>
      <c r="K112" s="30"/>
      <c r="P112" s="30"/>
      <c r="Q112" s="30"/>
      <c r="R112" s="30"/>
    </row>
    <row r="113" spans="1:18" x14ac:dyDescent="0.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N113" s="1"/>
      <c r="P113" s="89"/>
      <c r="Q113" s="89"/>
      <c r="R113" s="89"/>
    </row>
    <row r="114" spans="1:18" x14ac:dyDescent="0.3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P114" s="89"/>
      <c r="Q114" s="89"/>
      <c r="R114" s="89"/>
    </row>
    <row r="123" spans="1:18" x14ac:dyDescent="0.3">
      <c r="A123" s="31"/>
      <c r="B123" s="31"/>
      <c r="C123" s="31"/>
      <c r="D123" s="31"/>
      <c r="E123" s="59"/>
      <c r="F123" s="59"/>
      <c r="G123" s="59"/>
    </row>
    <row r="124" spans="1:18" x14ac:dyDescent="0.3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2"/>
      <c r="N124" s="92"/>
      <c r="O124" s="92"/>
    </row>
    <row r="125" spans="1:18" x14ac:dyDescent="0.3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2"/>
      <c r="N125" s="92"/>
      <c r="O125" s="92"/>
    </row>
    <row r="126" spans="1:18" x14ac:dyDescent="0.3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2"/>
      <c r="N126" s="92"/>
      <c r="O126" s="92"/>
    </row>
    <row r="127" spans="1:18" x14ac:dyDescent="0.3">
      <c r="A127" s="31"/>
      <c r="B127" s="31"/>
      <c r="C127" s="31"/>
      <c r="D127" s="31"/>
      <c r="E127" s="59"/>
      <c r="F127" s="59"/>
      <c r="G127" s="59"/>
      <c r="L127" s="93"/>
      <c r="M127" s="93"/>
      <c r="N127" s="93"/>
      <c r="O127" s="93"/>
    </row>
    <row r="128" spans="1:18" x14ac:dyDescent="0.3">
      <c r="A128" s="90"/>
      <c r="B128" s="32"/>
      <c r="C128" s="32"/>
      <c r="D128" s="32"/>
      <c r="E128" s="60"/>
      <c r="F128" s="60"/>
      <c r="G128" s="60"/>
      <c r="H128" s="90"/>
      <c r="I128" s="90"/>
      <c r="J128" s="90"/>
      <c r="K128" s="90"/>
      <c r="L128" s="90"/>
      <c r="M128" s="90"/>
      <c r="N128" s="90"/>
      <c r="O128" s="90"/>
    </row>
    <row r="129" spans="1:15" x14ac:dyDescent="0.3">
      <c r="A129" s="90"/>
      <c r="B129" s="32"/>
      <c r="C129" s="32"/>
      <c r="D129" s="32"/>
      <c r="E129" s="60"/>
      <c r="F129" s="60"/>
      <c r="G129" s="60"/>
      <c r="H129" s="90"/>
      <c r="I129" s="90"/>
      <c r="J129" s="90"/>
      <c r="K129" s="90"/>
      <c r="L129" s="90"/>
      <c r="M129" s="90"/>
      <c r="N129" s="90"/>
      <c r="O129" s="90"/>
    </row>
    <row r="130" spans="1:15" x14ac:dyDescent="0.3">
      <c r="A130" s="90"/>
      <c r="B130" s="32"/>
      <c r="C130" s="32"/>
      <c r="D130" s="32"/>
      <c r="E130" s="60"/>
      <c r="F130" s="60"/>
      <c r="G130" s="60"/>
      <c r="H130" s="90"/>
      <c r="I130" s="90"/>
      <c r="J130" s="90"/>
      <c r="K130" s="90"/>
      <c r="L130" s="90"/>
      <c r="M130" s="90"/>
      <c r="N130" s="90"/>
      <c r="O130" s="90"/>
    </row>
    <row r="131" spans="1:15" x14ac:dyDescent="0.3">
      <c r="A131" s="90"/>
      <c r="B131" s="32"/>
      <c r="C131" s="32"/>
      <c r="D131" s="32"/>
      <c r="E131" s="60"/>
      <c r="F131" s="60"/>
      <c r="G131" s="60"/>
      <c r="H131" s="33"/>
      <c r="I131" s="33"/>
      <c r="J131" s="33"/>
      <c r="K131" s="33"/>
      <c r="L131" s="33"/>
      <c r="M131" s="33"/>
      <c r="N131" s="33"/>
      <c r="O131" s="33"/>
    </row>
    <row r="132" spans="1:15" x14ac:dyDescent="0.3">
      <c r="A132" s="34"/>
      <c r="B132" s="34"/>
      <c r="C132" s="34"/>
      <c r="D132" s="34"/>
      <c r="E132" s="61"/>
      <c r="F132" s="61"/>
      <c r="G132" s="61"/>
    </row>
    <row r="133" spans="1:15" x14ac:dyDescent="0.3">
      <c r="A133" s="35"/>
      <c r="B133" s="35"/>
      <c r="C133" s="35"/>
      <c r="D133" s="35"/>
    </row>
    <row r="134" spans="1:15" x14ac:dyDescent="0.3">
      <c r="A134" s="95"/>
      <c r="B134" s="36"/>
      <c r="C134" s="36"/>
      <c r="D134" s="36"/>
      <c r="E134" s="62"/>
      <c r="F134" s="62"/>
      <c r="G134" s="62"/>
      <c r="H134" s="94"/>
      <c r="I134" s="94"/>
      <c r="J134" s="94"/>
      <c r="K134" s="94"/>
      <c r="L134" s="94"/>
      <c r="M134" s="94"/>
      <c r="N134" s="94"/>
      <c r="O134" s="94"/>
    </row>
    <row r="135" spans="1:15" x14ac:dyDescent="0.3">
      <c r="A135" s="95"/>
      <c r="B135" s="36"/>
      <c r="C135" s="36"/>
      <c r="D135" s="36"/>
      <c r="E135" s="62"/>
      <c r="F135" s="62"/>
      <c r="G135" s="62"/>
      <c r="H135" s="94"/>
      <c r="I135" s="94"/>
      <c r="J135" s="94"/>
      <c r="K135" s="94"/>
      <c r="L135" s="94"/>
      <c r="M135" s="94"/>
      <c r="N135" s="94"/>
      <c r="O135" s="94"/>
    </row>
    <row r="136" spans="1:15" x14ac:dyDescent="0.3">
      <c r="A136" s="95"/>
      <c r="B136" s="36"/>
      <c r="C136" s="36"/>
      <c r="D136" s="36"/>
      <c r="E136" s="62"/>
      <c r="F136" s="62"/>
      <c r="G136" s="62"/>
      <c r="H136" s="94"/>
      <c r="I136" s="94"/>
      <c r="J136" s="94"/>
      <c r="K136" s="94"/>
      <c r="L136" s="94"/>
      <c r="M136" s="94"/>
      <c r="N136" s="94"/>
      <c r="O136" s="94"/>
    </row>
    <row r="137" spans="1:15" x14ac:dyDescent="0.3">
      <c r="A137" s="35"/>
      <c r="B137" s="35"/>
      <c r="C137" s="35"/>
      <c r="D137" s="35"/>
      <c r="L137" s="9"/>
      <c r="M137" s="9"/>
    </row>
    <row r="138" spans="1:15" x14ac:dyDescent="0.3">
      <c r="A138" s="35"/>
      <c r="B138" s="35"/>
      <c r="C138" s="35"/>
      <c r="D138" s="35"/>
      <c r="L138" s="9"/>
      <c r="M138" s="9"/>
    </row>
    <row r="139" spans="1:15" x14ac:dyDescent="0.3">
      <c r="A139" s="35"/>
      <c r="B139" s="35"/>
      <c r="C139" s="35"/>
      <c r="D139" s="35"/>
      <c r="L139" s="9"/>
      <c r="M139" s="9"/>
    </row>
    <row r="140" spans="1:15" x14ac:dyDescent="0.3">
      <c r="A140" s="35"/>
      <c r="B140" s="35"/>
      <c r="C140" s="35"/>
      <c r="D140" s="35"/>
      <c r="L140" s="9"/>
      <c r="M140" s="9"/>
    </row>
    <row r="141" spans="1:15" x14ac:dyDescent="0.3">
      <c r="A141" s="35"/>
      <c r="B141" s="35"/>
      <c r="C141" s="35"/>
      <c r="D141" s="35"/>
      <c r="L141" s="9"/>
      <c r="M141" s="9"/>
    </row>
    <row r="142" spans="1:15" x14ac:dyDescent="0.3">
      <c r="A142" s="35"/>
      <c r="B142" s="35"/>
      <c r="C142" s="35"/>
      <c r="D142" s="35"/>
      <c r="L142" s="9"/>
      <c r="M142" s="9"/>
    </row>
    <row r="143" spans="1:15" x14ac:dyDescent="0.3">
      <c r="A143" s="95"/>
      <c r="B143" s="36"/>
      <c r="C143" s="36"/>
      <c r="D143" s="36"/>
      <c r="E143" s="62"/>
      <c r="F143" s="62"/>
      <c r="G143" s="62"/>
    </row>
    <row r="144" spans="1:15" x14ac:dyDescent="0.3">
      <c r="A144" s="95"/>
      <c r="B144" s="36"/>
      <c r="C144" s="36"/>
      <c r="D144" s="36"/>
      <c r="E144" s="62"/>
      <c r="F144" s="62"/>
      <c r="G144" s="62"/>
    </row>
    <row r="145" spans="1:13" x14ac:dyDescent="0.3">
      <c r="A145" s="35"/>
      <c r="B145" s="35"/>
      <c r="C145" s="35"/>
      <c r="D145" s="35"/>
      <c r="L145" s="9"/>
      <c r="M145" s="9"/>
    </row>
    <row r="146" spans="1:13" x14ac:dyDescent="0.3">
      <c r="A146" s="35"/>
      <c r="B146" s="35"/>
      <c r="C146" s="35"/>
      <c r="D146" s="35"/>
      <c r="L146" s="9"/>
      <c r="M146" s="9"/>
    </row>
    <row r="147" spans="1:13" x14ac:dyDescent="0.3">
      <c r="A147" s="35"/>
      <c r="B147" s="35"/>
      <c r="C147" s="35"/>
      <c r="D147" s="35"/>
      <c r="L147" s="9"/>
      <c r="M147" s="9"/>
    </row>
    <row r="148" spans="1:13" x14ac:dyDescent="0.3">
      <c r="A148" s="35"/>
      <c r="B148" s="35"/>
      <c r="C148" s="35"/>
      <c r="D148" s="35"/>
      <c r="L148" s="9"/>
      <c r="M148" s="9"/>
    </row>
    <row r="149" spans="1:13" x14ac:dyDescent="0.3">
      <c r="A149" s="35"/>
      <c r="B149" s="35"/>
      <c r="C149" s="35"/>
      <c r="D149" s="35"/>
      <c r="L149" s="9"/>
      <c r="M149" s="9"/>
    </row>
    <row r="150" spans="1:13" x14ac:dyDescent="0.3">
      <c r="A150" s="35"/>
      <c r="B150" s="35"/>
      <c r="C150" s="35"/>
      <c r="D150" s="35"/>
      <c r="L150" s="9"/>
      <c r="M150" s="9"/>
    </row>
    <row r="151" spans="1:13" x14ac:dyDescent="0.3">
      <c r="A151" s="35"/>
      <c r="B151" s="35"/>
      <c r="C151" s="35"/>
      <c r="D151" s="35"/>
      <c r="L151" s="9"/>
      <c r="M151" s="9"/>
    </row>
    <row r="152" spans="1:13" x14ac:dyDescent="0.3">
      <c r="A152" s="35"/>
      <c r="B152" s="35"/>
      <c r="C152" s="35"/>
      <c r="D152" s="35"/>
      <c r="L152" s="9"/>
      <c r="M152" s="9"/>
    </row>
    <row r="153" spans="1:13" x14ac:dyDescent="0.3">
      <c r="A153" s="35"/>
      <c r="B153" s="35"/>
      <c r="C153" s="35"/>
      <c r="D153" s="35"/>
      <c r="L153" s="9"/>
      <c r="M153" s="9"/>
    </row>
    <row r="154" spans="1:13" x14ac:dyDescent="0.3">
      <c r="A154" s="35"/>
      <c r="B154" s="35"/>
      <c r="C154" s="35"/>
      <c r="D154" s="35"/>
      <c r="L154" s="9"/>
      <c r="M154" s="9"/>
    </row>
    <row r="155" spans="1:13" x14ac:dyDescent="0.3">
      <c r="A155" s="35"/>
      <c r="B155" s="35"/>
      <c r="C155" s="35"/>
      <c r="D155" s="35"/>
      <c r="L155" s="9"/>
      <c r="M155" s="9"/>
    </row>
    <row r="156" spans="1:13" x14ac:dyDescent="0.3">
      <c r="A156" s="88"/>
      <c r="B156" s="37"/>
      <c r="C156" s="37"/>
      <c r="D156" s="37"/>
      <c r="E156" s="63"/>
      <c r="F156" s="63"/>
      <c r="G156" s="63"/>
    </row>
    <row r="157" spans="1:13" x14ac:dyDescent="0.3">
      <c r="A157" s="88"/>
      <c r="B157" s="37"/>
      <c r="C157" s="37"/>
      <c r="D157" s="37"/>
      <c r="E157" s="63"/>
      <c r="F157" s="63"/>
      <c r="G157" s="63"/>
    </row>
    <row r="158" spans="1:13" x14ac:dyDescent="0.3">
      <c r="A158" s="35"/>
      <c r="B158" s="35"/>
      <c r="C158" s="35"/>
      <c r="D158" s="35"/>
      <c r="L158" s="9"/>
      <c r="M158" s="9"/>
    </row>
    <row r="159" spans="1:13" x14ac:dyDescent="0.3">
      <c r="A159" s="35"/>
      <c r="B159" s="35"/>
      <c r="C159" s="35"/>
      <c r="D159" s="35"/>
      <c r="L159" s="9"/>
      <c r="M159" s="9"/>
    </row>
    <row r="160" spans="1:13" x14ac:dyDescent="0.3">
      <c r="A160" s="35"/>
      <c r="B160" s="35"/>
      <c r="C160" s="35"/>
      <c r="D160" s="35"/>
      <c r="L160" s="9"/>
      <c r="M160" s="9"/>
    </row>
    <row r="161" spans="1:13" x14ac:dyDescent="0.3">
      <c r="A161" s="35"/>
      <c r="B161" s="35"/>
      <c r="C161" s="35"/>
      <c r="D161" s="35"/>
      <c r="L161" s="9"/>
      <c r="M161" s="9"/>
    </row>
    <row r="162" spans="1:13" x14ac:dyDescent="0.3">
      <c r="A162" s="88"/>
      <c r="B162" s="37"/>
      <c r="C162" s="37"/>
      <c r="D162" s="37"/>
      <c r="E162" s="63"/>
      <c r="F162" s="63"/>
      <c r="G162" s="63"/>
    </row>
    <row r="163" spans="1:13" x14ac:dyDescent="0.3">
      <c r="A163" s="88"/>
      <c r="B163" s="37"/>
      <c r="C163" s="37"/>
      <c r="D163" s="37"/>
      <c r="E163" s="63"/>
      <c r="F163" s="63"/>
      <c r="G163" s="63"/>
    </row>
    <row r="164" spans="1:13" x14ac:dyDescent="0.3">
      <c r="A164" s="35"/>
      <c r="B164" s="35"/>
      <c r="C164" s="35"/>
      <c r="D164" s="35"/>
      <c r="L164" s="9"/>
      <c r="M164" s="9"/>
    </row>
    <row r="165" spans="1:13" x14ac:dyDescent="0.3">
      <c r="A165" s="35"/>
      <c r="B165" s="35"/>
      <c r="C165" s="35"/>
      <c r="D165" s="35"/>
      <c r="L165" s="9"/>
      <c r="M165" s="9"/>
    </row>
    <row r="166" spans="1:13" x14ac:dyDescent="0.3">
      <c r="A166" s="35"/>
      <c r="B166" s="35"/>
      <c r="C166" s="35"/>
      <c r="D166" s="35"/>
      <c r="L166" s="9"/>
      <c r="M166" s="9"/>
    </row>
    <row r="167" spans="1:13" x14ac:dyDescent="0.3">
      <c r="A167" s="35"/>
      <c r="B167" s="35"/>
      <c r="C167" s="35"/>
      <c r="D167" s="35"/>
      <c r="L167" s="9"/>
      <c r="M167" s="9"/>
    </row>
    <row r="168" spans="1:13" x14ac:dyDescent="0.3">
      <c r="A168" s="35"/>
      <c r="B168" s="35"/>
      <c r="C168" s="35"/>
      <c r="D168" s="35"/>
      <c r="L168" s="9"/>
      <c r="M168" s="9"/>
    </row>
    <row r="169" spans="1:13" x14ac:dyDescent="0.3">
      <c r="A169" s="88"/>
      <c r="B169" s="37"/>
      <c r="C169" s="37"/>
      <c r="D169" s="37"/>
      <c r="E169" s="63"/>
      <c r="F169" s="63"/>
      <c r="G169" s="63"/>
    </row>
    <row r="170" spans="1:13" x14ac:dyDescent="0.3">
      <c r="A170" s="88"/>
      <c r="B170" s="37"/>
      <c r="C170" s="37"/>
      <c r="D170" s="37"/>
      <c r="E170" s="63"/>
      <c r="F170" s="63"/>
      <c r="G170" s="63"/>
    </row>
    <row r="171" spans="1:13" x14ac:dyDescent="0.3">
      <c r="A171" s="35"/>
      <c r="B171" s="35"/>
      <c r="C171" s="35"/>
      <c r="D171" s="35"/>
      <c r="L171" s="9"/>
      <c r="M171" s="9"/>
    </row>
    <row r="172" spans="1:13" x14ac:dyDescent="0.3">
      <c r="A172" s="35"/>
      <c r="B172" s="35"/>
      <c r="C172" s="35"/>
      <c r="D172" s="35"/>
      <c r="L172" s="9"/>
      <c r="M172" s="9"/>
    </row>
    <row r="173" spans="1:13" x14ac:dyDescent="0.3">
      <c r="A173" s="35"/>
      <c r="B173" s="35"/>
      <c r="C173" s="35"/>
      <c r="D173" s="35"/>
      <c r="L173" s="9"/>
      <c r="M173" s="9"/>
    </row>
    <row r="174" spans="1:13" x14ac:dyDescent="0.3">
      <c r="A174" s="35"/>
      <c r="B174" s="35"/>
      <c r="C174" s="35"/>
      <c r="D174" s="35"/>
      <c r="L174" s="9"/>
      <c r="M174" s="9"/>
    </row>
    <row r="175" spans="1:13" x14ac:dyDescent="0.3">
      <c r="A175" s="35"/>
      <c r="B175" s="35"/>
      <c r="C175" s="35"/>
      <c r="D175" s="35"/>
      <c r="L175" s="9"/>
      <c r="M175" s="9"/>
    </row>
    <row r="176" spans="1:13" x14ac:dyDescent="0.3">
      <c r="A176" s="88"/>
      <c r="B176" s="37"/>
      <c r="C176" s="37"/>
      <c r="D176" s="37"/>
      <c r="E176" s="63"/>
      <c r="F176" s="63"/>
      <c r="G176" s="63"/>
    </row>
    <row r="177" spans="1:13" x14ac:dyDescent="0.3">
      <c r="A177" s="88"/>
      <c r="B177" s="37"/>
      <c r="C177" s="37"/>
      <c r="D177" s="37"/>
      <c r="E177" s="63"/>
      <c r="F177" s="63"/>
      <c r="G177" s="63"/>
    </row>
    <row r="178" spans="1:13" x14ac:dyDescent="0.3">
      <c r="A178" s="35"/>
      <c r="B178" s="35"/>
      <c r="C178" s="35"/>
      <c r="D178" s="35"/>
      <c r="L178" s="9"/>
      <c r="M178" s="9"/>
    </row>
    <row r="179" spans="1:13" x14ac:dyDescent="0.3">
      <c r="A179" s="35"/>
      <c r="B179" s="35"/>
      <c r="C179" s="35"/>
      <c r="D179" s="35"/>
      <c r="L179" s="9"/>
      <c r="M179" s="9"/>
    </row>
    <row r="180" spans="1:13" x14ac:dyDescent="0.3">
      <c r="A180" s="35"/>
      <c r="B180" s="35"/>
      <c r="C180" s="35"/>
      <c r="D180" s="35"/>
      <c r="L180" s="9"/>
      <c r="M180" s="9"/>
    </row>
    <row r="181" spans="1:13" x14ac:dyDescent="0.3">
      <c r="A181" s="35"/>
      <c r="B181" s="35"/>
      <c r="C181" s="35"/>
      <c r="D181" s="35"/>
      <c r="L181" s="9"/>
      <c r="M181" s="9"/>
    </row>
    <row r="182" spans="1:13" x14ac:dyDescent="0.3">
      <c r="A182" s="35"/>
      <c r="B182" s="35"/>
      <c r="C182" s="35"/>
      <c r="D182" s="35"/>
      <c r="L182" s="9"/>
      <c r="M182" s="9"/>
    </row>
    <row r="183" spans="1:13" x14ac:dyDescent="0.3">
      <c r="A183" s="88"/>
      <c r="B183" s="37"/>
      <c r="C183" s="37"/>
      <c r="D183" s="37"/>
      <c r="E183" s="63"/>
      <c r="F183" s="63"/>
      <c r="G183" s="63"/>
    </row>
    <row r="184" spans="1:13" x14ac:dyDescent="0.3">
      <c r="A184" s="88"/>
      <c r="B184" s="37"/>
      <c r="C184" s="37"/>
      <c r="D184" s="37"/>
      <c r="E184" s="63"/>
      <c r="F184" s="63"/>
      <c r="G184" s="63"/>
    </row>
    <row r="185" spans="1:13" x14ac:dyDescent="0.3">
      <c r="A185" s="35"/>
      <c r="B185" s="35"/>
      <c r="C185" s="35"/>
      <c r="D185" s="35"/>
      <c r="L185" s="9"/>
      <c r="M185" s="9"/>
    </row>
    <row r="186" spans="1:13" x14ac:dyDescent="0.3">
      <c r="A186" s="35"/>
      <c r="B186" s="35"/>
      <c r="C186" s="35"/>
      <c r="D186" s="35"/>
      <c r="L186" s="9"/>
      <c r="M186" s="9"/>
    </row>
    <row r="187" spans="1:13" x14ac:dyDescent="0.3">
      <c r="A187" s="35"/>
      <c r="B187" s="35"/>
      <c r="C187" s="35"/>
      <c r="D187" s="35"/>
      <c r="L187" s="9"/>
      <c r="M187" s="9"/>
    </row>
    <row r="188" spans="1:13" x14ac:dyDescent="0.3">
      <c r="A188" s="88"/>
      <c r="B188" s="37"/>
      <c r="C188" s="37"/>
      <c r="D188" s="37"/>
      <c r="E188" s="63"/>
      <c r="F188" s="63"/>
      <c r="G188" s="63"/>
    </row>
    <row r="189" spans="1:13" x14ac:dyDescent="0.3">
      <c r="A189" s="88"/>
      <c r="B189" s="37"/>
      <c r="C189" s="37"/>
      <c r="D189" s="37"/>
      <c r="E189" s="63"/>
      <c r="F189" s="63"/>
      <c r="G189" s="63"/>
    </row>
    <row r="190" spans="1:13" x14ac:dyDescent="0.3">
      <c r="A190" s="35"/>
      <c r="B190" s="35"/>
      <c r="C190" s="35"/>
      <c r="D190" s="35"/>
      <c r="L190" s="9"/>
      <c r="M190" s="9"/>
    </row>
    <row r="191" spans="1:13" x14ac:dyDescent="0.3">
      <c r="A191" s="35"/>
      <c r="B191" s="35"/>
      <c r="C191" s="35"/>
      <c r="D191" s="35"/>
      <c r="L191" s="9"/>
      <c r="M191" s="9"/>
    </row>
    <row r="192" spans="1:13" x14ac:dyDescent="0.3">
      <c r="A192" s="35"/>
      <c r="B192" s="35"/>
      <c r="C192" s="35"/>
      <c r="D192" s="35"/>
      <c r="L192" s="9"/>
      <c r="M192" s="9"/>
    </row>
    <row r="193" spans="1:13" x14ac:dyDescent="0.3">
      <c r="A193" s="35"/>
      <c r="B193" s="35"/>
      <c r="C193" s="35"/>
      <c r="D193" s="35"/>
      <c r="L193" s="9"/>
      <c r="M193" s="9"/>
    </row>
    <row r="194" spans="1:13" x14ac:dyDescent="0.3">
      <c r="A194" s="35"/>
      <c r="B194" s="35"/>
      <c r="C194" s="35"/>
      <c r="D194" s="35"/>
      <c r="L194" s="9"/>
      <c r="M194" s="9"/>
    </row>
    <row r="195" spans="1:13" x14ac:dyDescent="0.3">
      <c r="A195" s="88"/>
      <c r="B195" s="37"/>
      <c r="C195" s="37"/>
      <c r="D195" s="37"/>
      <c r="E195" s="63"/>
      <c r="F195" s="63"/>
      <c r="G195" s="63"/>
    </row>
    <row r="196" spans="1:13" x14ac:dyDescent="0.3">
      <c r="A196" s="88"/>
      <c r="B196" s="37"/>
      <c r="C196" s="37"/>
      <c r="D196" s="37"/>
      <c r="E196" s="63"/>
      <c r="F196" s="63"/>
      <c r="G196" s="63"/>
    </row>
    <row r="197" spans="1:13" x14ac:dyDescent="0.3">
      <c r="A197" s="35"/>
      <c r="B197" s="35"/>
      <c r="C197" s="35"/>
      <c r="D197" s="35"/>
      <c r="L197" s="9"/>
      <c r="M197" s="9"/>
    </row>
    <row r="198" spans="1:13" x14ac:dyDescent="0.3">
      <c r="A198" s="35"/>
      <c r="B198" s="35"/>
      <c r="C198" s="35"/>
      <c r="D198" s="35"/>
      <c r="L198" s="9"/>
      <c r="M198" s="9"/>
    </row>
    <row r="199" spans="1:13" x14ac:dyDescent="0.3">
      <c r="A199" s="35"/>
      <c r="B199" s="35"/>
      <c r="C199" s="35"/>
      <c r="D199" s="35"/>
      <c r="L199" s="9"/>
      <c r="M199" s="9"/>
    </row>
    <row r="200" spans="1:13" x14ac:dyDescent="0.3">
      <c r="A200" s="35"/>
      <c r="B200" s="35"/>
      <c r="C200" s="35"/>
      <c r="D200" s="35"/>
      <c r="L200" s="9"/>
      <c r="M200" s="9"/>
    </row>
    <row r="201" spans="1:13" x14ac:dyDescent="0.3">
      <c r="A201" s="35"/>
      <c r="B201" s="35"/>
      <c r="C201" s="35"/>
      <c r="D201" s="35"/>
      <c r="L201" s="9"/>
      <c r="M201" s="9"/>
    </row>
    <row r="202" spans="1:13" x14ac:dyDescent="0.3">
      <c r="A202" s="35"/>
      <c r="B202" s="35"/>
      <c r="C202" s="35"/>
      <c r="D202" s="35"/>
      <c r="L202" s="9"/>
      <c r="M202" s="9"/>
    </row>
    <row r="203" spans="1:13" x14ac:dyDescent="0.3">
      <c r="A203" s="35"/>
      <c r="B203" s="35"/>
      <c r="C203" s="35"/>
      <c r="D203" s="35"/>
      <c r="L203" s="9"/>
      <c r="M203" s="9"/>
    </row>
    <row r="204" spans="1:13" x14ac:dyDescent="0.3">
      <c r="A204" s="35"/>
      <c r="B204" s="35"/>
      <c r="C204" s="35"/>
      <c r="D204" s="35"/>
      <c r="L204" s="9"/>
      <c r="M204" s="9"/>
    </row>
    <row r="205" spans="1:13" x14ac:dyDescent="0.3">
      <c r="A205" s="88"/>
      <c r="B205" s="37"/>
      <c r="C205" s="37"/>
      <c r="D205" s="37"/>
      <c r="E205" s="63"/>
      <c r="F205" s="63"/>
      <c r="G205" s="63"/>
    </row>
    <row r="206" spans="1:13" x14ac:dyDescent="0.3">
      <c r="A206" s="88"/>
      <c r="B206" s="37"/>
      <c r="C206" s="37"/>
      <c r="D206" s="37"/>
      <c r="E206" s="63"/>
      <c r="F206" s="63"/>
      <c r="G206" s="63"/>
    </row>
    <row r="207" spans="1:13" x14ac:dyDescent="0.3">
      <c r="A207" s="35"/>
      <c r="B207" s="35"/>
      <c r="C207" s="35"/>
      <c r="D207" s="35"/>
      <c r="L207" s="9"/>
      <c r="M207" s="9"/>
    </row>
    <row r="208" spans="1:13" x14ac:dyDescent="0.3">
      <c r="A208" s="35"/>
      <c r="B208" s="35"/>
      <c r="C208" s="35"/>
      <c r="D208" s="35"/>
      <c r="L208" s="9"/>
      <c r="M208" s="9"/>
    </row>
    <row r="209" spans="1:13" x14ac:dyDescent="0.3">
      <c r="A209" s="35"/>
      <c r="B209" s="35"/>
      <c r="C209" s="35"/>
      <c r="D209" s="35"/>
      <c r="L209" s="9"/>
      <c r="M209" s="9"/>
    </row>
    <row r="210" spans="1:13" x14ac:dyDescent="0.3">
      <c r="A210" s="35"/>
      <c r="B210" s="35"/>
      <c r="C210" s="35"/>
      <c r="D210" s="35"/>
      <c r="L210" s="9"/>
      <c r="M210" s="9"/>
    </row>
    <row r="211" spans="1:13" x14ac:dyDescent="0.3">
      <c r="A211" s="35"/>
      <c r="B211" s="35"/>
      <c r="C211" s="35"/>
      <c r="D211" s="35"/>
      <c r="L211" s="9"/>
      <c r="M211" s="9"/>
    </row>
    <row r="212" spans="1:13" x14ac:dyDescent="0.3">
      <c r="A212" s="88"/>
      <c r="B212" s="37"/>
      <c r="C212" s="37"/>
      <c r="D212" s="37"/>
      <c r="E212" s="63"/>
      <c r="F212" s="63"/>
      <c r="G212" s="63"/>
    </row>
    <row r="213" spans="1:13" x14ac:dyDescent="0.3">
      <c r="A213" s="88"/>
      <c r="B213" s="37"/>
      <c r="C213" s="37"/>
      <c r="D213" s="37"/>
      <c r="E213" s="63"/>
      <c r="F213" s="63"/>
      <c r="G213" s="63"/>
    </row>
    <row r="214" spans="1:13" x14ac:dyDescent="0.3">
      <c r="A214" s="35"/>
      <c r="B214" s="35"/>
      <c r="C214" s="35"/>
      <c r="D214" s="35"/>
      <c r="L214" s="9"/>
      <c r="M214" s="9"/>
    </row>
    <row r="215" spans="1:13" x14ac:dyDescent="0.3">
      <c r="A215" s="35"/>
      <c r="B215" s="35"/>
      <c r="C215" s="35"/>
      <c r="D215" s="35"/>
      <c r="L215" s="9"/>
      <c r="M215" s="9"/>
    </row>
    <row r="216" spans="1:13" x14ac:dyDescent="0.3">
      <c r="A216" s="35"/>
      <c r="B216" s="35"/>
      <c r="C216" s="35"/>
      <c r="D216" s="35"/>
      <c r="L216" s="9"/>
      <c r="M216" s="9"/>
    </row>
    <row r="217" spans="1:13" x14ac:dyDescent="0.3">
      <c r="A217" s="35"/>
      <c r="B217" s="35"/>
      <c r="C217" s="35"/>
      <c r="D217" s="35"/>
      <c r="L217" s="9"/>
      <c r="M217" s="9"/>
    </row>
    <row r="218" spans="1:13" x14ac:dyDescent="0.3">
      <c r="A218" s="35"/>
      <c r="B218" s="35"/>
      <c r="C218" s="35"/>
      <c r="D218" s="35"/>
      <c r="L218" s="9"/>
      <c r="M218" s="9"/>
    </row>
    <row r="219" spans="1:13" x14ac:dyDescent="0.3">
      <c r="A219" s="35"/>
      <c r="B219" s="35"/>
      <c r="C219" s="35"/>
      <c r="D219" s="35"/>
      <c r="L219" s="9"/>
      <c r="M219" s="9"/>
    </row>
    <row r="220" spans="1:13" x14ac:dyDescent="0.3">
      <c r="A220" s="35"/>
      <c r="B220" s="35"/>
      <c r="C220" s="35"/>
      <c r="D220" s="35"/>
      <c r="L220" s="9"/>
      <c r="M220" s="9"/>
    </row>
    <row r="221" spans="1:13" x14ac:dyDescent="0.3">
      <c r="A221" s="35"/>
      <c r="B221" s="35"/>
      <c r="C221" s="35"/>
      <c r="D221" s="35"/>
      <c r="L221" s="9"/>
      <c r="M221" s="9"/>
    </row>
    <row r="222" spans="1:13" x14ac:dyDescent="0.3">
      <c r="A222" s="35"/>
      <c r="B222" s="35"/>
      <c r="C222" s="35"/>
      <c r="D222" s="35"/>
      <c r="L222" s="9"/>
      <c r="M222" s="9"/>
    </row>
    <row r="223" spans="1:13" x14ac:dyDescent="0.3">
      <c r="A223" s="35"/>
      <c r="B223" s="35"/>
      <c r="C223" s="35"/>
      <c r="D223" s="35"/>
      <c r="L223" s="9"/>
      <c r="M223" s="9"/>
    </row>
    <row r="224" spans="1:13" x14ac:dyDescent="0.3">
      <c r="A224" s="35"/>
      <c r="B224" s="35"/>
      <c r="C224" s="35"/>
      <c r="D224" s="35"/>
      <c r="L224" s="9"/>
      <c r="M224" s="9"/>
    </row>
    <row r="225" spans="1:13" x14ac:dyDescent="0.3">
      <c r="A225" s="35"/>
      <c r="B225" s="35"/>
      <c r="C225" s="35"/>
      <c r="D225" s="35"/>
      <c r="L225" s="9"/>
      <c r="M225" s="9"/>
    </row>
    <row r="226" spans="1:13" x14ac:dyDescent="0.3">
      <c r="A226" s="35"/>
      <c r="B226" s="35"/>
      <c r="C226" s="35"/>
      <c r="D226" s="35"/>
      <c r="L226" s="9"/>
      <c r="M226" s="9"/>
    </row>
    <row r="227" spans="1:13" x14ac:dyDescent="0.3">
      <c r="A227" s="88"/>
      <c r="B227" s="37"/>
      <c r="C227" s="37"/>
      <c r="D227" s="37"/>
      <c r="E227" s="63"/>
      <c r="F227" s="63"/>
      <c r="G227" s="63"/>
    </row>
    <row r="228" spans="1:13" x14ac:dyDescent="0.3">
      <c r="A228" s="88"/>
      <c r="B228" s="37"/>
      <c r="C228" s="37"/>
      <c r="D228" s="37"/>
      <c r="E228" s="63"/>
      <c r="F228" s="63"/>
      <c r="G228" s="63"/>
    </row>
    <row r="229" spans="1:13" x14ac:dyDescent="0.3">
      <c r="A229" s="35"/>
      <c r="B229" s="35"/>
      <c r="C229" s="35"/>
      <c r="D229" s="35"/>
      <c r="L229" s="9"/>
      <c r="M229" s="9"/>
    </row>
    <row r="230" spans="1:13" x14ac:dyDescent="0.3">
      <c r="A230" s="35"/>
      <c r="B230" s="35"/>
      <c r="C230" s="35"/>
      <c r="D230" s="35"/>
      <c r="L230" s="9"/>
      <c r="M230" s="9"/>
    </row>
    <row r="231" spans="1:13" x14ac:dyDescent="0.3">
      <c r="A231" s="35"/>
      <c r="B231" s="35"/>
      <c r="C231" s="35"/>
      <c r="D231" s="35"/>
      <c r="L231" s="9"/>
      <c r="M231" s="9"/>
    </row>
    <row r="232" spans="1:13" x14ac:dyDescent="0.3">
      <c r="A232" s="35"/>
      <c r="B232" s="35"/>
      <c r="C232" s="35"/>
      <c r="D232" s="35"/>
      <c r="L232" s="9"/>
      <c r="M232" s="9"/>
    </row>
    <row r="233" spans="1:13" x14ac:dyDescent="0.3">
      <c r="A233" s="35"/>
      <c r="B233" s="35"/>
      <c r="C233" s="35"/>
      <c r="D233" s="35"/>
    </row>
    <row r="234" spans="1:13" x14ac:dyDescent="0.3">
      <c r="A234" s="35"/>
      <c r="B234" s="35"/>
      <c r="C234" s="35"/>
      <c r="D234" s="35"/>
    </row>
  </sheetData>
  <mergeCells count="264">
    <mergeCell ref="G5:G7"/>
    <mergeCell ref="G8:G9"/>
    <mergeCell ref="G10:G11"/>
    <mergeCell ref="G18:G19"/>
    <mergeCell ref="G32:G33"/>
    <mergeCell ref="G38:G39"/>
    <mergeCell ref="G45:G46"/>
    <mergeCell ref="G52:G53"/>
    <mergeCell ref="G59:G60"/>
    <mergeCell ref="F5:F7"/>
    <mergeCell ref="E8:E9"/>
    <mergeCell ref="F8:F9"/>
    <mergeCell ref="E10:E11"/>
    <mergeCell ref="F10:F11"/>
    <mergeCell ref="E18:E19"/>
    <mergeCell ref="F18:F19"/>
    <mergeCell ref="E32:E33"/>
    <mergeCell ref="F32:F33"/>
    <mergeCell ref="M4:O4"/>
    <mergeCell ref="A5:A7"/>
    <mergeCell ref="A8:A9"/>
    <mergeCell ref="B5:B7"/>
    <mergeCell ref="B2:N2"/>
    <mergeCell ref="B3:N3"/>
    <mergeCell ref="P8:R9"/>
    <mergeCell ref="L8:L9"/>
    <mergeCell ref="M8:M9"/>
    <mergeCell ref="N8:N9"/>
    <mergeCell ref="O8:O9"/>
    <mergeCell ref="N6:N7"/>
    <mergeCell ref="O6:O7"/>
    <mergeCell ref="Q4:R4"/>
    <mergeCell ref="P5:R7"/>
    <mergeCell ref="H5:K5"/>
    <mergeCell ref="L5:O5"/>
    <mergeCell ref="H6:H7"/>
    <mergeCell ref="I6:I7"/>
    <mergeCell ref="J6:J7"/>
    <mergeCell ref="K6:K7"/>
    <mergeCell ref="L6:L7"/>
    <mergeCell ref="M6:M7"/>
    <mergeCell ref="E5:E7"/>
    <mergeCell ref="P38:R39"/>
    <mergeCell ref="H18:H19"/>
    <mergeCell ref="I18:I19"/>
    <mergeCell ref="J18:J19"/>
    <mergeCell ref="K18:K19"/>
    <mergeCell ref="L18:L19"/>
    <mergeCell ref="D18:D19"/>
    <mergeCell ref="H10:H11"/>
    <mergeCell ref="P18:R19"/>
    <mergeCell ref="H32:H33"/>
    <mergeCell ref="I32:I33"/>
    <mergeCell ref="J32:J33"/>
    <mergeCell ref="K32:K33"/>
    <mergeCell ref="P32:R33"/>
    <mergeCell ref="L32:L33"/>
    <mergeCell ref="M32:M33"/>
    <mergeCell ref="N32:N33"/>
    <mergeCell ref="O32:O33"/>
    <mergeCell ref="P10:R11"/>
    <mergeCell ref="M18:M19"/>
    <mergeCell ref="O10:O11"/>
    <mergeCell ref="M10:M11"/>
    <mergeCell ref="N10:N11"/>
    <mergeCell ref="D10:D11"/>
    <mergeCell ref="P45:R46"/>
    <mergeCell ref="A52:A53"/>
    <mergeCell ref="H52:H53"/>
    <mergeCell ref="I52:I53"/>
    <mergeCell ref="J52:J53"/>
    <mergeCell ref="K52:K53"/>
    <mergeCell ref="P52:R53"/>
    <mergeCell ref="L52:L53"/>
    <mergeCell ref="M52:M53"/>
    <mergeCell ref="N52:N53"/>
    <mergeCell ref="B52:B53"/>
    <mergeCell ref="D52:D53"/>
    <mergeCell ref="A45:A46"/>
    <mergeCell ref="H45:H46"/>
    <mergeCell ref="I45:I46"/>
    <mergeCell ref="J45:J46"/>
    <mergeCell ref="K45:K46"/>
    <mergeCell ref="L45:L46"/>
    <mergeCell ref="M45:M46"/>
    <mergeCell ref="B45:B46"/>
    <mergeCell ref="E45:E46"/>
    <mergeCell ref="F45:F46"/>
    <mergeCell ref="E52:E53"/>
    <mergeCell ref="F52:F53"/>
    <mergeCell ref="P71:R72"/>
    <mergeCell ref="L71:L72"/>
    <mergeCell ref="M71:M72"/>
    <mergeCell ref="N71:N72"/>
    <mergeCell ref="P59:R60"/>
    <mergeCell ref="H64:H65"/>
    <mergeCell ref="I64:I65"/>
    <mergeCell ref="J64:J65"/>
    <mergeCell ref="K64:K65"/>
    <mergeCell ref="L64:L65"/>
    <mergeCell ref="M64:M65"/>
    <mergeCell ref="H59:H60"/>
    <mergeCell ref="P64:R65"/>
    <mergeCell ref="M59:M60"/>
    <mergeCell ref="N59:N60"/>
    <mergeCell ref="O59:O60"/>
    <mergeCell ref="I59:I60"/>
    <mergeCell ref="J59:J60"/>
    <mergeCell ref="K59:K60"/>
    <mergeCell ref="L59:L60"/>
    <mergeCell ref="H71:H72"/>
    <mergeCell ref="I71:I72"/>
    <mergeCell ref="J71:J72"/>
    <mergeCell ref="K71:K72"/>
    <mergeCell ref="N88:N89"/>
    <mergeCell ref="O88:O89"/>
    <mergeCell ref="P88:R89"/>
    <mergeCell ref="B81:B82"/>
    <mergeCell ref="H81:H82"/>
    <mergeCell ref="I81:I82"/>
    <mergeCell ref="J81:J82"/>
    <mergeCell ref="K81:K82"/>
    <mergeCell ref="D81:D82"/>
    <mergeCell ref="N81:N82"/>
    <mergeCell ref="O81:O82"/>
    <mergeCell ref="D88:D89"/>
    <mergeCell ref="E81:E82"/>
    <mergeCell ref="F81:F82"/>
    <mergeCell ref="E88:E89"/>
    <mergeCell ref="F88:F89"/>
    <mergeCell ref="G81:G82"/>
    <mergeCell ref="G88:G89"/>
    <mergeCell ref="H88:H89"/>
    <mergeCell ref="I88:I89"/>
    <mergeCell ref="P113:R113"/>
    <mergeCell ref="D103:D104"/>
    <mergeCell ref="A103:A104"/>
    <mergeCell ref="H103:H104"/>
    <mergeCell ref="A114:K114"/>
    <mergeCell ref="P114:R114"/>
    <mergeCell ref="D5:D7"/>
    <mergeCell ref="D32:D33"/>
    <mergeCell ref="D8:D9"/>
    <mergeCell ref="D64:D65"/>
    <mergeCell ref="D71:D72"/>
    <mergeCell ref="B10:B11"/>
    <mergeCell ref="D45:D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P81:R82"/>
    <mergeCell ref="A88:A89"/>
    <mergeCell ref="M134:M136"/>
    <mergeCell ref="N134:N136"/>
    <mergeCell ref="A143:A144"/>
    <mergeCell ref="L134:L136"/>
    <mergeCell ref="H134:H136"/>
    <mergeCell ref="I134:I136"/>
    <mergeCell ref="J134:J136"/>
    <mergeCell ref="K134:K136"/>
    <mergeCell ref="O134:O136"/>
    <mergeCell ref="A134:A136"/>
    <mergeCell ref="L128:M130"/>
    <mergeCell ref="N128:O130"/>
    <mergeCell ref="H130:I130"/>
    <mergeCell ref="J130:K130"/>
    <mergeCell ref="N64:N65"/>
    <mergeCell ref="O64:O65"/>
    <mergeCell ref="N45:N46"/>
    <mergeCell ref="O45:O46"/>
    <mergeCell ref="O52:O53"/>
    <mergeCell ref="A124:L126"/>
    <mergeCell ref="M124:O126"/>
    <mergeCell ref="L127:O127"/>
    <mergeCell ref="A128:A131"/>
    <mergeCell ref="H128:K129"/>
    <mergeCell ref="A81:A82"/>
    <mergeCell ref="I103:I104"/>
    <mergeCell ref="J103:J104"/>
    <mergeCell ref="O71:O72"/>
    <mergeCell ref="M88:M89"/>
    <mergeCell ref="L81:L82"/>
    <mergeCell ref="M81:M82"/>
    <mergeCell ref="J88:J89"/>
    <mergeCell ref="K88:K89"/>
    <mergeCell ref="L88:L8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A113:K113"/>
    <mergeCell ref="E103:E104"/>
    <mergeCell ref="F103:F104"/>
    <mergeCell ref="G103:G104"/>
    <mergeCell ref="K103:K104"/>
    <mergeCell ref="A10:A11"/>
    <mergeCell ref="M38:M39"/>
    <mergeCell ref="N38:N39"/>
    <mergeCell ref="O38:O39"/>
    <mergeCell ref="D38:D39"/>
    <mergeCell ref="I38:I39"/>
    <mergeCell ref="J38:J39"/>
    <mergeCell ref="K38:K39"/>
    <mergeCell ref="L38:L39"/>
    <mergeCell ref="I10:I11"/>
    <mergeCell ref="N18:N19"/>
    <mergeCell ref="J10:J11"/>
    <mergeCell ref="K10:K11"/>
    <mergeCell ref="L10:L11"/>
    <mergeCell ref="H38:H39"/>
    <mergeCell ref="B38:B39"/>
    <mergeCell ref="E38:E39"/>
    <mergeCell ref="F38:F39"/>
    <mergeCell ref="J8:J9"/>
    <mergeCell ref="K8:K9"/>
    <mergeCell ref="B71:B72"/>
    <mergeCell ref="B64:B65"/>
    <mergeCell ref="E71:E72"/>
    <mergeCell ref="F71:F72"/>
    <mergeCell ref="G64:G65"/>
    <mergeCell ref="G71:G72"/>
    <mergeCell ref="M109:R109"/>
    <mergeCell ref="O18:O19"/>
    <mergeCell ref="B32:B33"/>
    <mergeCell ref="B8:B9"/>
    <mergeCell ref="H8:H9"/>
    <mergeCell ref="I8:I9"/>
    <mergeCell ref="D59:D60"/>
    <mergeCell ref="E59:E60"/>
    <mergeCell ref="F59:F60"/>
    <mergeCell ref="E64:E65"/>
    <mergeCell ref="F64:F65"/>
    <mergeCell ref="L103:L104"/>
    <mergeCell ref="M103:M104"/>
    <mergeCell ref="N103:N104"/>
    <mergeCell ref="P103:R104"/>
    <mergeCell ref="O103:O104"/>
    <mergeCell ref="C71:C72"/>
    <mergeCell ref="C81:C82"/>
    <mergeCell ref="C88:C89"/>
    <mergeCell ref="C103:C104"/>
    <mergeCell ref="C5:C7"/>
    <mergeCell ref="C8:C9"/>
    <mergeCell ref="C10:C11"/>
    <mergeCell ref="C18:C19"/>
    <mergeCell ref="C32:C33"/>
    <mergeCell ref="C38:C39"/>
    <mergeCell ref="C45:C46"/>
    <mergeCell ref="C52:C53"/>
    <mergeCell ref="C59:C60"/>
    <mergeCell ref="C64:C65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H15:H17 I10:K11 M10:O11 H20:H26 I18:K19 H28:H31 I27:K27 H34:H37 I32:K33 H40:H44 I38:K39 H47:H51 I45:K46 H54:H58 I52:K53 H61:H63 I59:K60 H66:H70 I64:K65 I71:K72 H83:H87 I81:K82 H90:H102 I88:K89 H105:H108 I103:K104 M18:O19 M27:O27 M32:O33 M38:O39 M45:O46 M52:O53 M59:O60 M64:O65 M71:O72 M81:O82 M88:O89 M103:O104" formula="1"/>
    <ignoredError sqref="D27 D38:D39 D52:D53 D81:D82 D103:D104 D88:D89 D71:D72 D59:D60 D45:D46 D32:D33 B32:B33 B45:B46 B59:B60 B71:B72 B88:B89 B103:B104 B81:B82 B52:B53 B38:B39 B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2023-08-26T14:46:17Z</dcterms:modified>
</cp:coreProperties>
</file>