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1. 2021 ΑΝΑΛΥΤΙΚΟΙ ΠΙΝΑΚΕΣ\"/>
    </mc:Choice>
  </mc:AlternateContent>
  <xr:revisionPtr revIDLastSave="0" documentId="13_ncr:1_{97308A83-0EDE-485A-A5F6-0193DFD19311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4" i="1" l="1"/>
  <c r="D89" i="1"/>
  <c r="D82" i="1"/>
  <c r="D72" i="1"/>
  <c r="D65" i="1"/>
  <c r="D60" i="1"/>
  <c r="D53" i="1"/>
  <c r="D46" i="1"/>
  <c r="D39" i="1"/>
  <c r="D33" i="1"/>
  <c r="D28" i="1"/>
  <c r="D19" i="1"/>
  <c r="D11" i="1"/>
  <c r="D9" i="1" l="1"/>
  <c r="B11" i="1"/>
  <c r="C104" i="1" l="1"/>
  <c r="E104" i="1"/>
  <c r="F104" i="1"/>
  <c r="G104" i="1"/>
  <c r="H104" i="1"/>
  <c r="I104" i="1"/>
  <c r="J104" i="1"/>
  <c r="B104" i="1"/>
  <c r="C89" i="1"/>
  <c r="E89" i="1"/>
  <c r="F89" i="1"/>
  <c r="G89" i="1"/>
  <c r="H89" i="1"/>
  <c r="I89" i="1"/>
  <c r="J89" i="1"/>
  <c r="B89" i="1"/>
  <c r="C82" i="1"/>
  <c r="E82" i="1"/>
  <c r="F82" i="1"/>
  <c r="G82" i="1"/>
  <c r="H82" i="1"/>
  <c r="I82" i="1"/>
  <c r="J82" i="1"/>
  <c r="B82" i="1"/>
  <c r="C72" i="1"/>
  <c r="E72" i="1"/>
  <c r="F72" i="1"/>
  <c r="G72" i="1"/>
  <c r="H72" i="1"/>
  <c r="I72" i="1"/>
  <c r="J72" i="1"/>
  <c r="B72" i="1"/>
  <c r="B65" i="1"/>
  <c r="C65" i="1"/>
  <c r="E65" i="1"/>
  <c r="F65" i="1"/>
  <c r="G65" i="1"/>
  <c r="H65" i="1"/>
  <c r="I65" i="1"/>
  <c r="J65" i="1"/>
  <c r="C60" i="1"/>
  <c r="E60" i="1"/>
  <c r="F60" i="1"/>
  <c r="G60" i="1"/>
  <c r="H60" i="1"/>
  <c r="I60" i="1"/>
  <c r="J60" i="1"/>
  <c r="B60" i="1"/>
  <c r="C53" i="1"/>
  <c r="E53" i="1"/>
  <c r="F53" i="1"/>
  <c r="G53" i="1"/>
  <c r="H53" i="1"/>
  <c r="I53" i="1"/>
  <c r="J53" i="1"/>
  <c r="B53" i="1"/>
  <c r="C46" i="1"/>
  <c r="E46" i="1"/>
  <c r="F46" i="1"/>
  <c r="G46" i="1"/>
  <c r="H46" i="1"/>
  <c r="I46" i="1"/>
  <c r="J46" i="1"/>
  <c r="B46" i="1"/>
  <c r="C39" i="1"/>
  <c r="E39" i="1"/>
  <c r="F39" i="1"/>
  <c r="G39" i="1"/>
  <c r="H39" i="1"/>
  <c r="I39" i="1"/>
  <c r="J39" i="1"/>
  <c r="B39" i="1"/>
  <c r="C33" i="1"/>
  <c r="E33" i="1"/>
  <c r="F33" i="1"/>
  <c r="G33" i="1"/>
  <c r="H33" i="1"/>
  <c r="I33" i="1"/>
  <c r="J33" i="1"/>
  <c r="B33" i="1"/>
  <c r="C28" i="1"/>
  <c r="E28" i="1"/>
  <c r="F28" i="1"/>
  <c r="G28" i="1"/>
  <c r="H28" i="1"/>
  <c r="I28" i="1"/>
  <c r="J28" i="1"/>
  <c r="B28" i="1"/>
  <c r="C19" i="1"/>
  <c r="E19" i="1"/>
  <c r="F19" i="1"/>
  <c r="G19" i="1"/>
  <c r="H19" i="1"/>
  <c r="I19" i="1"/>
  <c r="J19" i="1"/>
  <c r="B19" i="1"/>
  <c r="C11" i="1"/>
  <c r="E11" i="1"/>
  <c r="F11" i="1"/>
  <c r="G11" i="1"/>
  <c r="H11" i="1"/>
  <c r="I11" i="1"/>
  <c r="J11" i="1"/>
  <c r="C9" i="1" l="1"/>
  <c r="B9" i="1"/>
  <c r="J9" i="1"/>
  <c r="G9" i="1"/>
  <c r="H9" i="1"/>
  <c r="E9" i="1"/>
  <c r="I9" i="1"/>
  <c r="F9" i="1"/>
</calcChain>
</file>

<file path=xl/sharedStrings.xml><?xml version="1.0" encoding="utf-8"?>
<sst xmlns="http://schemas.openxmlformats.org/spreadsheetml/2006/main" count="416" uniqueCount="193">
  <si>
    <t>Σε τόννους</t>
  </si>
  <si>
    <t>In tons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</si>
  <si>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</si>
  <si>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</si>
  <si>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</si>
  <si>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</si>
  <si>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</si>
  <si>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</si>
  <si>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</si>
  <si>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</si>
  <si>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</si>
  <si>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</si>
  <si>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</si>
  <si>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</si>
  <si>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</si>
  <si>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</si>
  <si>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</si>
  <si>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</si>
  <si>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</si>
  <si>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</si>
  <si>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</si>
  <si>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</si>
  <si>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</si>
  <si>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</si>
  <si>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</si>
  <si>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</si>
  <si>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</si>
  <si>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</si>
  <si>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</si>
  <si>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</si>
  <si>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</si>
  <si>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</si>
  <si>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</si>
  <si>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</si>
  <si>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</si>
  <si>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</si>
  <si>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</si>
  <si>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</si>
  <si>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</si>
  <si>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</si>
  <si>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</si>
  <si>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</si>
  <si>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</si>
  <si>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</si>
  <si>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</si>
  <si>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</si>
  <si>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</si>
  <si>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</si>
  <si>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</si>
  <si>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</si>
  <si>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</si>
  <si>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</si>
  <si>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</si>
  <si>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</si>
  <si>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</si>
  <si>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</si>
  <si>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</si>
  <si>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</si>
  <si>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</si>
  <si>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</si>
  <si>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</si>
  <si>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</si>
  <si>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</si>
  <si>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</si>
  <si>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</si>
  <si>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</si>
  <si>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</si>
  <si>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</si>
  <si>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</si>
  <si>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</si>
  <si>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</si>
  <si>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</si>
  <si>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</si>
  <si>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</si>
  <si>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</si>
  <si>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</si>
  <si>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</si>
  <si>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</si>
  <si>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</si>
  <si>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</si>
  <si>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</si>
  <si>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</si>
  <si>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</si>
  <si>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</si>
  <si>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</si>
  <si>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</si>
  <si>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</si>
  <si>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</si>
  <si>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</si>
  <si>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</si>
  <si>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</si>
  <si>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</si>
  <si>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</si>
  <si>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</si>
  <si>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</si>
  <si>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</si>
  <si>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</si>
  <si>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</si>
  <si>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</si>
  <si>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</si>
  <si>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</si>
  <si>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</si>
  <si>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</si>
  <si>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</si>
  <si>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</si>
  <si>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</si>
  <si>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</si>
  <si>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</si>
  <si>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</si>
  <si>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</si>
  <si>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</si>
  <si>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</si>
  <si>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</si>
  <si>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</si>
  <si>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</si>
  <si>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</si>
  <si>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</si>
  <si>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</si>
  <si>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</si>
  <si>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</si>
  <si>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</si>
  <si>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</si>
  <si>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</si>
  <si>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</si>
  <si>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</si>
  <si>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</si>
  <si>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</si>
  <si>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</si>
  <si>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</si>
  <si>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</si>
  <si>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</si>
  <si>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</si>
  <si>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</si>
  <si>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</si>
  <si>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</si>
  <si>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</si>
  <si>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</si>
  <si>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</si>
  <si>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</si>
  <si>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</si>
  <si>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</si>
  <si>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</si>
  <si>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</si>
  <si>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</si>
  <si>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</si>
  <si>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</si>
  <si>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</si>
  <si>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</si>
  <si>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</si>
  <si>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</si>
  <si>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</si>
  <si>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</si>
  <si>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</si>
  <si>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</si>
  <si>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</si>
  <si>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</si>
  <si>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</si>
  <si>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</si>
  <si>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</si>
  <si>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</si>
  <si>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</si>
  <si>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</si>
  <si>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</si>
  <si>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</si>
  <si>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</si>
  <si>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</si>
  <si>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</si>
  <si>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</si>
  <si>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</si>
  <si>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</si>
  <si>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</si>
  <si>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</si>
  <si>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</si>
  <si>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</si>
  <si>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</si>
  <si>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</si>
  <si>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</si>
  <si>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</si>
  <si>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Περιφέρεια Δυτικής Μακεδονίας</t>
  </si>
  <si>
    <t>Region of Western Macedonia</t>
  </si>
  <si>
    <t>Μικρών ζώων
Small animals</t>
  </si>
  <si>
    <t>Μαλλιά προβάτων
Sheep wool</t>
  </si>
  <si>
    <t>Τρίχες αιγών
Goat hairs</t>
  </si>
  <si>
    <t>Λίπος χοιρινό
Lard</t>
  </si>
  <si>
    <t>Μέλι
Honey</t>
  </si>
  <si>
    <t>Κερί
Wax</t>
  </si>
  <si>
    <t>Κουκούλια, χλωρά
Cocoons, fresh</t>
  </si>
  <si>
    <t>Δέρματα νωπά (τεμάχια) 
Hides and skins
(pieces)</t>
  </si>
  <si>
    <t>Μεγάλων ζώων 
Large animals</t>
  </si>
  <si>
    <t>Αυγά 
(χιλιάδες τεμάχια)
Eggs 
(thousand pieces)</t>
  </si>
  <si>
    <t>Πίνακας 7γ. Παραγωγή λοιπών κτηνοτροφικών προϊόντων, κατά Περιφέρεια και Περιφερειακή Ενότητα, 2021</t>
  </si>
  <si>
    <t>Table 7c. Production of other primary livestock by-products, by Region and Regional Unities, 2021</t>
  </si>
  <si>
    <t xml:space="preserve">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</si>
</sst>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0" xfId="0" applyFont="1"/>
    <xf numFmtId="49" fontId="3" fillId="0" borderId="0" xfId="0" applyNumberFormat="1" applyFont="1" applyAlignment="1">
      <alignment horizontal="left" wrapText="1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vertical="center" wrapText="1"/>
    </xf>
    <xf numFmtId="3" fontId="1" fillId="0" borderId="2" xfId="0" applyNumberFormat="1" applyFont="1" applyBorder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3" fontId="1" fillId="0" borderId="4" xfId="0" applyNumberFormat="1" applyFont="1" applyBorder="1" applyAlignment="1">
      <alignment horizontal="right" vertical="center"/>
    </xf>
    <xf numFmtId="0" fontId="4" fillId="0" borderId="0" xfId="0" applyFont="1"/>
    <xf numFmtId="49" fontId="2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3" fontId="7" fillId="0" borderId="3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3" fontId="7" fillId="0" borderId="2" xfId="0" applyNumberFormat="1" applyFont="1" applyBorder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5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6" xfId="0" applyNumberFormat="1" applyFont="1" applyBorder="1" applyAlignment="1">
      <alignment horizontal="right" vertical="top"/>
    </xf>
    <xf numFmtId="3" fontId="7" fillId="0" borderId="7" xfId="0" applyNumberFormat="1" applyFont="1" applyBorder="1" applyAlignment="1">
      <alignment horizontal="right" vertical="top"/>
    </xf>
    <xf numFmtId="0" fontId="7" fillId="0" borderId="2" xfId="0" applyFont="1" applyBorder="1" applyAlignment="1">
      <alignment horizontal="right" vertical="top"/>
    </xf>
    <xf numFmtId="0" fontId="7" fillId="0" borderId="3" xfId="0" applyFont="1" applyBorder="1" applyAlignment="1">
      <alignment horizontal="right" vertical="top"/>
    </xf>
    <xf numFmtId="3" fontId="4" fillId="0" borderId="3" xfId="0" applyNumberFormat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3" fontId="4" fillId="0" borderId="2" xfId="0" applyNumberFormat="1" applyFont="1" applyBorder="1" applyAlignment="1">
      <alignment horizontal="right" vertical="center"/>
    </xf>
    <xf numFmtId="3" fontId="4" fillId="0" borderId="20" xfId="0" applyNumberFormat="1" applyFont="1" applyBorder="1" applyAlignment="1">
      <alignment horizontal="right" vertical="center"/>
    </xf>
    <xf numFmtId="0" fontId="1" fillId="0" borderId="14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3" fontId="4" fillId="0" borderId="22" xfId="0" applyNumberFormat="1" applyFont="1" applyBorder="1" applyAlignment="1">
      <alignment horizontal="right" vertical="center"/>
    </xf>
    <xf numFmtId="3" fontId="4" fillId="0" borderId="8" xfId="0" applyNumberFormat="1" applyFont="1" applyBorder="1" applyAlignment="1">
      <alignment horizontal="right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left" vertical="center" wrapText="1"/>
    </xf>
    <xf numFmtId="3" fontId="4" fillId="0" borderId="18" xfId="0" applyNumberFormat="1" applyFont="1" applyBorder="1" applyAlignment="1">
      <alignment horizontal="right" vertical="center"/>
    </xf>
    <xf numFmtId="3" fontId="4" fillId="0" borderId="15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09"/>
  <sheetViews>
    <sheetView showGridLines="0" tabSelected="1" zoomScaleNormal="100" workbookViewId="0">
      <selection activeCell="F15" sqref="F15"/>
    </sheetView>
  </sheetViews>
  <sheetFormatPr defaultRowHeight="14.4" x14ac:dyDescent="0.3"/>
  <cols>
    <col min="1" max="1" width="43.109375" style="2" bestFit="1" customWidth="1"/>
    <col min="2" max="2" width="12.33203125" style="2" customWidth="1"/>
    <col min="3" max="3" width="14.21875" style="2" bestFit="1" customWidth="1"/>
    <col min="4" max="4" width="14.21875" style="2" customWidth="1"/>
    <col min="5" max="5" width="13" style="2" customWidth="1"/>
    <col min="6" max="6" width="10.109375" style="2" customWidth="1"/>
    <col min="7" max="7" width="8.6640625" style="2" customWidth="1"/>
    <col min="8" max="8" width="8.21875" style="2" bestFit="1" customWidth="1"/>
    <col min="9" max="9" width="6.21875" style="2" bestFit="1" customWidth="1"/>
    <col min="10" max="10" width="10.77734375" style="2" bestFit="1" customWidth="1"/>
    <col min="11" max="11" width="10.21875" style="2" customWidth="1"/>
    <col min="12" max="12" width="14.44140625" style="2" customWidth="1"/>
    <col min="13" max="13" width="14.33203125" style="2" customWidth="1"/>
    <col min="14" max="16384" width="8.88671875" style="2"/>
  </cols>
  <sheetData>
    <row r="2" spans="1:16" ht="18" x14ac:dyDescent="0.3">
      <c r="A2" s="47" t="s">
        <v>190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1"/>
      <c r="O2" s="1"/>
      <c r="P2" s="1"/>
    </row>
    <row r="3" spans="1:16" ht="18" x14ac:dyDescent="0.3">
      <c r="A3" s="47" t="s">
        <v>191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1"/>
      <c r="O3" s="1"/>
      <c r="P3" s="1"/>
    </row>
    <row r="4" spans="1:16" ht="15" thickBot="1" x14ac:dyDescent="0.35">
      <c r="A4" s="18" t="s">
        <v>0</v>
      </c>
      <c r="B4" s="3"/>
      <c r="C4" s="3"/>
      <c r="D4" s="3"/>
      <c r="E4" s="3"/>
      <c r="F4" s="3"/>
      <c r="G4" s="3"/>
      <c r="H4" s="3"/>
      <c r="I4" s="3"/>
      <c r="J4" s="3"/>
      <c r="K4" s="4"/>
      <c r="L4" s="48" t="s">
        <v>1</v>
      </c>
      <c r="M4" s="48"/>
      <c r="N4" s="5"/>
      <c r="O4" s="5"/>
      <c r="P4" s="5"/>
    </row>
    <row r="5" spans="1:16" x14ac:dyDescent="0.3">
      <c r="A5" s="49" t="s">
        <v>2</v>
      </c>
      <c r="B5" s="52" t="s">
        <v>187</v>
      </c>
      <c r="C5" s="38"/>
      <c r="D5" s="42" t="s">
        <v>189</v>
      </c>
      <c r="E5" s="42" t="s">
        <v>181</v>
      </c>
      <c r="F5" s="42" t="s">
        <v>182</v>
      </c>
      <c r="G5" s="42" t="s">
        <v>183</v>
      </c>
      <c r="H5" s="38" t="s">
        <v>184</v>
      </c>
      <c r="I5" s="42" t="s">
        <v>185</v>
      </c>
      <c r="J5" s="55" t="s">
        <v>186</v>
      </c>
      <c r="K5" s="57" t="s">
        <v>3</v>
      </c>
      <c r="L5" s="58"/>
      <c r="M5" s="58"/>
    </row>
    <row r="6" spans="1:16" ht="58.8" customHeight="1" x14ac:dyDescent="0.3">
      <c r="A6" s="50"/>
      <c r="B6" s="53"/>
      <c r="C6" s="54"/>
      <c r="D6" s="43"/>
      <c r="E6" s="43"/>
      <c r="F6" s="43"/>
      <c r="G6" s="43"/>
      <c r="H6" s="39"/>
      <c r="I6" s="43"/>
      <c r="J6" s="56"/>
      <c r="K6" s="59"/>
      <c r="L6" s="60"/>
      <c r="M6" s="60"/>
    </row>
    <row r="7" spans="1:16" x14ac:dyDescent="0.3">
      <c r="A7" s="50"/>
      <c r="B7" s="63" t="s">
        <v>180</v>
      </c>
      <c r="C7" s="65" t="s">
        <v>188</v>
      </c>
      <c r="D7" s="43"/>
      <c r="E7" s="43"/>
      <c r="F7" s="43"/>
      <c r="G7" s="43"/>
      <c r="H7" s="39"/>
      <c r="I7" s="43"/>
      <c r="J7" s="56"/>
      <c r="K7" s="59"/>
      <c r="L7" s="60"/>
      <c r="M7" s="60"/>
    </row>
    <row r="8" spans="1:16" ht="53.85" customHeight="1" thickBot="1" x14ac:dyDescent="0.35">
      <c r="A8" s="51"/>
      <c r="B8" s="64"/>
      <c r="C8" s="43"/>
      <c r="D8" s="43"/>
      <c r="E8" s="43"/>
      <c r="F8" s="43"/>
      <c r="G8" s="43"/>
      <c r="H8" s="39"/>
      <c r="I8" s="43"/>
      <c r="J8" s="56"/>
      <c r="K8" s="61"/>
      <c r="L8" s="62"/>
      <c r="M8" s="62"/>
    </row>
    <row r="9" spans="1:16" x14ac:dyDescent="0.3">
      <c r="A9" s="44" t="s">
        <v>4</v>
      </c>
      <c r="B9" s="45">
        <f>SUM(B11,B19,B28,B33,B39,B46,B53,B60,B65,B72,B82,B89,B104)</f>
        <v>6898.6500000000005</v>
      </c>
      <c r="C9" s="40">
        <f>SUM(C11,C19,C28,C33,C39,C46,C53,C60,C65,C72,C82,C89,C104)</f>
        <v>141.76300000000001</v>
      </c>
      <c r="D9" s="40">
        <f>SUM(D11,D19,D28,D33,D39,D46,D53,D60,D65,D72,D82,D89,D104)</f>
        <v>1495947.2610000002</v>
      </c>
      <c r="E9" s="40">
        <f t="shared" ref="E9:J9" si="0">SUM(E11,E19,E28,E33,E39,E46,E53,E60,E65,E72,E82,E89,E104)</f>
        <v>5666.8469999999998</v>
      </c>
      <c r="F9" s="40">
        <f t="shared" si="0"/>
        <v>936.96199999999999</v>
      </c>
      <c r="G9" s="40">
        <f t="shared" si="0"/>
        <v>1640.5240000000003</v>
      </c>
      <c r="H9" s="40">
        <f t="shared" si="0"/>
        <v>23468.910000000003</v>
      </c>
      <c r="I9" s="40">
        <f t="shared" si="0"/>
        <v>872.41399999999999</v>
      </c>
      <c r="J9" s="36">
        <f t="shared" si="0"/>
        <v>36.561999999999998</v>
      </c>
      <c r="K9" s="37" t="s">
        <v>5</v>
      </c>
      <c r="L9" s="37"/>
      <c r="M9" s="37"/>
    </row>
    <row r="10" spans="1:16" x14ac:dyDescent="0.3">
      <c r="A10" s="34"/>
      <c r="B10" s="46"/>
      <c r="C10" s="41"/>
      <c r="D10" s="41"/>
      <c r="E10" s="41"/>
      <c r="F10" s="41"/>
      <c r="G10" s="41"/>
      <c r="H10" s="41"/>
      <c r="I10" s="41"/>
      <c r="J10" s="30"/>
      <c r="K10" s="33"/>
      <c r="L10" s="33"/>
      <c r="M10" s="33"/>
    </row>
    <row r="11" spans="1:16" x14ac:dyDescent="0.3">
      <c r="A11" s="34" t="s">
        <v>6</v>
      </c>
      <c r="B11" s="35">
        <f>SUM(B13:B18)</f>
        <v>260.19</v>
      </c>
      <c r="C11" s="29">
        <f t="shared" ref="C11:J11" si="1">SUM(C13:C18)</f>
        <v>21.792999999999999</v>
      </c>
      <c r="D11" s="29">
        <f t="shared" ref="D11" si="2">SUM(D13:D18)</f>
        <v>29270.623</v>
      </c>
      <c r="E11" s="29">
        <f t="shared" si="1"/>
        <v>193.72099999999998</v>
      </c>
      <c r="F11" s="29">
        <f t="shared" si="1"/>
        <v>76.080999999999989</v>
      </c>
      <c r="G11" s="29">
        <f t="shared" si="1"/>
        <v>1215.0740000000001</v>
      </c>
      <c r="H11" s="29">
        <f t="shared" si="1"/>
        <v>2691.0779999999995</v>
      </c>
      <c r="I11" s="29">
        <f t="shared" si="1"/>
        <v>58.873999999999995</v>
      </c>
      <c r="J11" s="30">
        <f t="shared" si="1"/>
        <v>34.387999999999998</v>
      </c>
      <c r="K11" s="33" t="s">
        <v>7</v>
      </c>
      <c r="L11" s="33"/>
      <c r="M11" s="33"/>
    </row>
    <row r="12" spans="1:16" x14ac:dyDescent="0.3">
      <c r="A12" s="34"/>
      <c r="B12" s="35"/>
      <c r="C12" s="29"/>
      <c r="D12" s="29"/>
      <c r="E12" s="29"/>
      <c r="F12" s="29"/>
      <c r="G12" s="29"/>
      <c r="H12" s="29"/>
      <c r="I12" s="29"/>
      <c r="J12" s="30"/>
      <c r="K12" s="33"/>
      <c r="L12" s="33"/>
      <c r="M12" s="33"/>
    </row>
    <row r="13" spans="1:16" x14ac:dyDescent="0.3">
      <c r="A13" s="6" t="s">
        <v>8</v>
      </c>
      <c r="B13" s="21">
        <v>30.186</v>
      </c>
      <c r="C13" s="19">
        <v>3.3580000000000001</v>
      </c>
      <c r="D13" s="19">
        <v>4428.0460000000003</v>
      </c>
      <c r="E13" s="19">
        <v>51.814999999999998</v>
      </c>
      <c r="F13" s="20">
        <v>10.109</v>
      </c>
      <c r="G13" s="19" t="s">
        <v>192</v>
      </c>
      <c r="H13" s="19">
        <v>116.705</v>
      </c>
      <c r="I13" s="19">
        <v>1.409</v>
      </c>
      <c r="J13" s="22" t="s">
        <v>192</v>
      </c>
      <c r="K13" s="7" t="s">
        <v>9</v>
      </c>
      <c r="L13" s="8"/>
      <c r="M13" s="8"/>
    </row>
    <row r="14" spans="1:16" x14ac:dyDescent="0.3">
      <c r="A14" s="6" t="s">
        <v>10</v>
      </c>
      <c r="B14" s="21">
        <v>58.555</v>
      </c>
      <c r="C14" s="19">
        <v>4.97</v>
      </c>
      <c r="D14" s="19">
        <v>4374.2910000000002</v>
      </c>
      <c r="E14" s="19">
        <v>12.273</v>
      </c>
      <c r="F14" s="20">
        <v>1.998</v>
      </c>
      <c r="G14" s="19">
        <v>1136.346</v>
      </c>
      <c r="H14" s="19">
        <v>294.89</v>
      </c>
      <c r="I14" s="19">
        <v>8.1820000000000004</v>
      </c>
      <c r="J14" s="22" t="s">
        <v>192</v>
      </c>
      <c r="K14" s="7" t="s">
        <v>11</v>
      </c>
      <c r="L14" s="8"/>
      <c r="M14" s="8"/>
    </row>
    <row r="15" spans="1:16" x14ac:dyDescent="0.3">
      <c r="A15" s="6" t="s">
        <v>12</v>
      </c>
      <c r="B15" s="21">
        <v>17.302</v>
      </c>
      <c r="C15" s="19">
        <v>3.2639999999999998</v>
      </c>
      <c r="D15" s="19">
        <v>17112.666000000001</v>
      </c>
      <c r="E15" s="19">
        <v>62.51</v>
      </c>
      <c r="F15" s="20">
        <v>36.67</v>
      </c>
      <c r="G15" s="19">
        <v>78.727999999999994</v>
      </c>
      <c r="H15" s="19">
        <v>746.83299999999997</v>
      </c>
      <c r="I15" s="19">
        <v>0.02</v>
      </c>
      <c r="J15" s="22">
        <v>34.387999999999998</v>
      </c>
      <c r="K15" s="7" t="s">
        <v>13</v>
      </c>
      <c r="L15" s="8"/>
      <c r="M15" s="8"/>
    </row>
    <row r="16" spans="1:16" x14ac:dyDescent="0.3">
      <c r="A16" s="6" t="s">
        <v>14</v>
      </c>
      <c r="B16" s="21">
        <v>0.33400000000000002</v>
      </c>
      <c r="C16" s="19">
        <v>1E-3</v>
      </c>
      <c r="D16" s="19">
        <v>14</v>
      </c>
      <c r="E16" s="19">
        <v>0.374</v>
      </c>
      <c r="F16" s="20">
        <v>0.17100000000000001</v>
      </c>
      <c r="G16" s="19" t="s">
        <v>192</v>
      </c>
      <c r="H16" s="19">
        <v>923.89</v>
      </c>
      <c r="I16" s="19">
        <v>31.001999999999999</v>
      </c>
      <c r="J16" s="22" t="s">
        <v>192</v>
      </c>
      <c r="K16" s="7" t="s">
        <v>15</v>
      </c>
      <c r="L16" s="8"/>
      <c r="M16" s="8"/>
    </row>
    <row r="17" spans="1:13" x14ac:dyDescent="0.3">
      <c r="A17" s="6" t="s">
        <v>16</v>
      </c>
      <c r="B17" s="21">
        <v>103.286</v>
      </c>
      <c r="C17" s="19">
        <v>3.7519999999999998</v>
      </c>
      <c r="D17" s="19">
        <v>2561.8000000000002</v>
      </c>
      <c r="E17" s="19">
        <v>18.998999999999999</v>
      </c>
      <c r="F17" s="20">
        <v>4.7969999999999997</v>
      </c>
      <c r="G17" s="19" t="s">
        <v>192</v>
      </c>
      <c r="H17" s="19">
        <v>387.06400000000002</v>
      </c>
      <c r="I17" s="19">
        <v>10.288</v>
      </c>
      <c r="J17" s="22" t="s">
        <v>192</v>
      </c>
      <c r="K17" s="7" t="s">
        <v>17</v>
      </c>
      <c r="L17" s="8"/>
      <c r="M17" s="8"/>
    </row>
    <row r="18" spans="1:13" x14ac:dyDescent="0.3">
      <c r="A18" s="6" t="s">
        <v>18</v>
      </c>
      <c r="B18" s="21">
        <v>50.527000000000001</v>
      </c>
      <c r="C18" s="19">
        <v>6.4480000000000004</v>
      </c>
      <c r="D18" s="19">
        <v>779.82</v>
      </c>
      <c r="E18" s="19">
        <v>47.75</v>
      </c>
      <c r="F18" s="20">
        <v>22.335999999999999</v>
      </c>
      <c r="G18" s="19" t="s">
        <v>192</v>
      </c>
      <c r="H18" s="19">
        <v>221.696</v>
      </c>
      <c r="I18" s="19">
        <v>7.9729999999999999</v>
      </c>
      <c r="J18" s="22" t="s">
        <v>192</v>
      </c>
      <c r="K18" s="7" t="s">
        <v>19</v>
      </c>
      <c r="L18" s="8"/>
      <c r="M18" s="8"/>
    </row>
    <row r="19" spans="1:13" x14ac:dyDescent="0.3">
      <c r="A19" s="34" t="s">
        <v>20</v>
      </c>
      <c r="B19" s="35">
        <f>SUM(B21:B27)</f>
        <v>564.32799999999997</v>
      </c>
      <c r="C19" s="29">
        <f t="shared" ref="C19:J19" si="3">SUM(C21:C27)</f>
        <v>44.71</v>
      </c>
      <c r="D19" s="29">
        <f t="shared" ref="D19" si="4">SUM(D21:D27)</f>
        <v>188730.092</v>
      </c>
      <c r="E19" s="29">
        <f t="shared" si="3"/>
        <v>1023.628</v>
      </c>
      <c r="F19" s="29">
        <f t="shared" si="3"/>
        <v>195.87700000000001</v>
      </c>
      <c r="G19" s="29">
        <f t="shared" si="3"/>
        <v>124.804</v>
      </c>
      <c r="H19" s="29">
        <f t="shared" si="3"/>
        <v>4992.0390000000007</v>
      </c>
      <c r="I19" s="29">
        <f t="shared" si="3"/>
        <v>130.721</v>
      </c>
      <c r="J19" s="30">
        <f t="shared" si="3"/>
        <v>2.1739999999999999</v>
      </c>
      <c r="K19" s="32" t="s">
        <v>21</v>
      </c>
      <c r="L19" s="32"/>
      <c r="M19" s="32"/>
    </row>
    <row r="20" spans="1:13" x14ac:dyDescent="0.3">
      <c r="A20" s="34"/>
      <c r="B20" s="35"/>
      <c r="C20" s="29"/>
      <c r="D20" s="29"/>
      <c r="E20" s="29"/>
      <c r="F20" s="29"/>
      <c r="G20" s="29"/>
      <c r="H20" s="29"/>
      <c r="I20" s="29"/>
      <c r="J20" s="30"/>
      <c r="K20" s="32"/>
      <c r="L20" s="32"/>
      <c r="M20" s="32"/>
    </row>
    <row r="21" spans="1:13" x14ac:dyDescent="0.3">
      <c r="A21" s="6" t="s">
        <v>22</v>
      </c>
      <c r="B21" s="21">
        <v>151.36600000000001</v>
      </c>
      <c r="C21" s="19">
        <v>8.952</v>
      </c>
      <c r="D21" s="19">
        <v>113776.67</v>
      </c>
      <c r="E21" s="19">
        <v>169.93</v>
      </c>
      <c r="F21" s="20">
        <v>35.959000000000003</v>
      </c>
      <c r="G21" s="19" t="s">
        <v>192</v>
      </c>
      <c r="H21" s="19">
        <v>773.19899999999996</v>
      </c>
      <c r="I21" s="19">
        <v>15.159000000000001</v>
      </c>
      <c r="J21" s="22" t="s">
        <v>192</v>
      </c>
      <c r="K21" s="7" t="s">
        <v>23</v>
      </c>
      <c r="L21" s="8"/>
      <c r="M21" s="8"/>
    </row>
    <row r="22" spans="1:13" x14ac:dyDescent="0.3">
      <c r="A22" s="6" t="s">
        <v>24</v>
      </c>
      <c r="B22" s="21">
        <v>16.361000000000001</v>
      </c>
      <c r="C22" s="19">
        <v>12.65</v>
      </c>
      <c r="D22" s="19">
        <v>1515.78</v>
      </c>
      <c r="E22" s="19">
        <v>29.951000000000001</v>
      </c>
      <c r="F22" s="20">
        <v>13.993</v>
      </c>
      <c r="G22" s="19" t="s">
        <v>192</v>
      </c>
      <c r="H22" s="19">
        <v>241.28</v>
      </c>
      <c r="I22" s="19">
        <v>24.032</v>
      </c>
      <c r="J22" s="22" t="s">
        <v>192</v>
      </c>
      <c r="K22" s="7" t="s">
        <v>25</v>
      </c>
      <c r="L22" s="8"/>
      <c r="M22" s="8"/>
    </row>
    <row r="23" spans="1:13" x14ac:dyDescent="0.3">
      <c r="A23" s="6" t="s">
        <v>26</v>
      </c>
      <c r="B23" s="21">
        <v>109.946</v>
      </c>
      <c r="C23" s="19">
        <v>6.0640000000000001</v>
      </c>
      <c r="D23" s="19">
        <v>19895.36</v>
      </c>
      <c r="E23" s="19">
        <v>164.089</v>
      </c>
      <c r="F23" s="20">
        <v>37.545999999999999</v>
      </c>
      <c r="G23" s="19" t="s">
        <v>192</v>
      </c>
      <c r="H23" s="19">
        <v>148.72399999999999</v>
      </c>
      <c r="I23" s="19">
        <v>17.285</v>
      </c>
      <c r="J23" s="22" t="s">
        <v>192</v>
      </c>
      <c r="K23" s="7" t="s">
        <v>27</v>
      </c>
      <c r="L23" s="8"/>
      <c r="M23" s="8"/>
    </row>
    <row r="24" spans="1:13" x14ac:dyDescent="0.3">
      <c r="A24" s="6" t="s">
        <v>28</v>
      </c>
      <c r="B24" s="21">
        <v>93.89</v>
      </c>
      <c r="C24" s="19">
        <v>5.4770000000000003</v>
      </c>
      <c r="D24" s="19">
        <v>7964.1120000000001</v>
      </c>
      <c r="E24" s="19">
        <v>82.149000000000001</v>
      </c>
      <c r="F24" s="20">
        <v>19.082000000000001</v>
      </c>
      <c r="G24" s="19">
        <v>0.92500000000000004</v>
      </c>
      <c r="H24" s="19">
        <v>586.27</v>
      </c>
      <c r="I24" s="19">
        <v>17.492999999999999</v>
      </c>
      <c r="J24" s="22" t="s">
        <v>192</v>
      </c>
      <c r="K24" s="7" t="s">
        <v>29</v>
      </c>
      <c r="L24" s="8"/>
      <c r="M24" s="8"/>
    </row>
    <row r="25" spans="1:13" x14ac:dyDescent="0.3">
      <c r="A25" s="6" t="s">
        <v>30</v>
      </c>
      <c r="B25" s="21">
        <v>64.631</v>
      </c>
      <c r="C25" s="19">
        <v>1.2290000000000001</v>
      </c>
      <c r="D25" s="19">
        <v>5736.15</v>
      </c>
      <c r="E25" s="19">
        <v>276.589</v>
      </c>
      <c r="F25" s="20">
        <v>14.045</v>
      </c>
      <c r="G25" s="19">
        <v>123.879</v>
      </c>
      <c r="H25" s="19">
        <v>256.56799999999998</v>
      </c>
      <c r="I25" s="19">
        <v>0.42699999999999999</v>
      </c>
      <c r="J25" s="22" t="s">
        <v>192</v>
      </c>
      <c r="K25" s="7" t="s">
        <v>31</v>
      </c>
      <c r="L25" s="8"/>
      <c r="M25" s="8"/>
    </row>
    <row r="26" spans="1:13" x14ac:dyDescent="0.3">
      <c r="A26" s="6" t="s">
        <v>32</v>
      </c>
      <c r="B26" s="21">
        <v>98.215999999999994</v>
      </c>
      <c r="C26" s="19">
        <v>9.6440000000000001</v>
      </c>
      <c r="D26" s="19">
        <v>12686.07</v>
      </c>
      <c r="E26" s="19">
        <v>300.79000000000002</v>
      </c>
      <c r="F26" s="20">
        <v>74.951999999999998</v>
      </c>
      <c r="G26" s="19" t="s">
        <v>192</v>
      </c>
      <c r="H26" s="19">
        <v>798.26800000000003</v>
      </c>
      <c r="I26" s="19">
        <v>1.534</v>
      </c>
      <c r="J26" s="22">
        <v>2.1739999999999999</v>
      </c>
      <c r="K26" s="7" t="s">
        <v>33</v>
      </c>
      <c r="L26" s="8"/>
      <c r="M26" s="8"/>
    </row>
    <row r="27" spans="1:13" x14ac:dyDescent="0.3">
      <c r="A27" s="6" t="s">
        <v>34</v>
      </c>
      <c r="B27" s="21">
        <v>29.917999999999999</v>
      </c>
      <c r="C27" s="19">
        <v>0.69399999999999995</v>
      </c>
      <c r="D27" s="19">
        <v>27155.95</v>
      </c>
      <c r="E27" s="19">
        <v>0.13</v>
      </c>
      <c r="F27" s="20">
        <v>0.3</v>
      </c>
      <c r="G27" s="19" t="s">
        <v>192</v>
      </c>
      <c r="H27" s="19">
        <v>2187.73</v>
      </c>
      <c r="I27" s="19">
        <v>54.790999999999997</v>
      </c>
      <c r="J27" s="22" t="s">
        <v>192</v>
      </c>
      <c r="K27" s="7" t="s">
        <v>35</v>
      </c>
      <c r="L27" s="8"/>
      <c r="M27" s="8"/>
    </row>
    <row r="28" spans="1:13" ht="27.6" customHeight="1" x14ac:dyDescent="0.3">
      <c r="A28" s="9" t="s">
        <v>178</v>
      </c>
      <c r="B28" s="10">
        <f>SUM(B29:B32)</f>
        <v>146.88499999999999</v>
      </c>
      <c r="C28" s="11">
        <f t="shared" ref="C28:J28" si="5">SUM(C29:C32)</f>
        <v>1.4379999999999999</v>
      </c>
      <c r="D28" s="11">
        <f t="shared" si="5"/>
        <v>32828.206999999995</v>
      </c>
      <c r="E28" s="11">
        <f t="shared" si="5"/>
        <v>580.89799999999991</v>
      </c>
      <c r="F28" s="11">
        <f t="shared" si="5"/>
        <v>112.069</v>
      </c>
      <c r="G28" s="11">
        <f t="shared" si="5"/>
        <v>15.190999999999999</v>
      </c>
      <c r="H28" s="11">
        <f t="shared" si="5"/>
        <v>477.54200000000003</v>
      </c>
      <c r="I28" s="11">
        <f t="shared" si="5"/>
        <v>31.554000000000002</v>
      </c>
      <c r="J28" s="12">
        <f t="shared" si="5"/>
        <v>0</v>
      </c>
      <c r="K28" s="13" t="s">
        <v>179</v>
      </c>
      <c r="L28" s="8"/>
      <c r="M28" s="8"/>
    </row>
    <row r="29" spans="1:13" x14ac:dyDescent="0.3">
      <c r="A29" s="6" t="s">
        <v>36</v>
      </c>
      <c r="B29" s="21">
        <v>95.275999999999996</v>
      </c>
      <c r="C29" s="19">
        <v>0.372</v>
      </c>
      <c r="D29" s="19">
        <v>23901.493999999999</v>
      </c>
      <c r="E29" s="19">
        <v>227.649</v>
      </c>
      <c r="F29" s="20">
        <v>57.195999999999998</v>
      </c>
      <c r="G29" s="19" t="s">
        <v>192</v>
      </c>
      <c r="H29" s="19">
        <v>113.71299999999999</v>
      </c>
      <c r="I29" s="19">
        <v>21.908000000000001</v>
      </c>
      <c r="J29" s="22" t="s">
        <v>192</v>
      </c>
      <c r="K29" s="7" t="s">
        <v>37</v>
      </c>
      <c r="L29" s="8"/>
      <c r="M29" s="8"/>
    </row>
    <row r="30" spans="1:13" x14ac:dyDescent="0.3">
      <c r="A30" s="6" t="s">
        <v>38</v>
      </c>
      <c r="B30" s="21">
        <v>34.942999999999998</v>
      </c>
      <c r="C30" s="19">
        <v>0.376</v>
      </c>
      <c r="D30" s="19">
        <v>4937.1000000000004</v>
      </c>
      <c r="E30" s="19">
        <v>55.646999999999998</v>
      </c>
      <c r="F30" s="20">
        <v>18.827999999999999</v>
      </c>
      <c r="G30" s="19">
        <v>5.0599999999999996</v>
      </c>
      <c r="H30" s="19">
        <v>126.578</v>
      </c>
      <c r="I30" s="19">
        <v>0.93200000000000005</v>
      </c>
      <c r="J30" s="22" t="s">
        <v>192</v>
      </c>
      <c r="K30" s="7" t="s">
        <v>39</v>
      </c>
      <c r="L30" s="8"/>
      <c r="M30" s="8"/>
    </row>
    <row r="31" spans="1:13" x14ac:dyDescent="0.3">
      <c r="A31" s="6" t="s">
        <v>40</v>
      </c>
      <c r="B31" s="21">
        <v>14.657999999999999</v>
      </c>
      <c r="C31" s="19">
        <v>0.66500000000000004</v>
      </c>
      <c r="D31" s="19">
        <v>1257.665</v>
      </c>
      <c r="E31" s="19">
        <v>8.5</v>
      </c>
      <c r="F31" s="20">
        <v>0.5</v>
      </c>
      <c r="G31" s="19">
        <v>0.4</v>
      </c>
      <c r="H31" s="19">
        <v>128.94900000000001</v>
      </c>
      <c r="I31" s="19">
        <v>0.5</v>
      </c>
      <c r="J31" s="22" t="s">
        <v>192</v>
      </c>
      <c r="K31" s="7" t="s">
        <v>41</v>
      </c>
      <c r="L31" s="8"/>
      <c r="M31" s="8"/>
    </row>
    <row r="32" spans="1:13" x14ac:dyDescent="0.3">
      <c r="A32" s="6" t="s">
        <v>42</v>
      </c>
      <c r="B32" s="21">
        <v>2.008</v>
      </c>
      <c r="C32" s="19">
        <v>2.5000000000000001E-2</v>
      </c>
      <c r="D32" s="19">
        <v>2731.9479999999999</v>
      </c>
      <c r="E32" s="19">
        <v>289.10199999999998</v>
      </c>
      <c r="F32" s="20">
        <v>35.545000000000002</v>
      </c>
      <c r="G32" s="19">
        <v>9.7309999999999999</v>
      </c>
      <c r="H32" s="19">
        <v>108.30200000000001</v>
      </c>
      <c r="I32" s="19">
        <v>8.2140000000000004</v>
      </c>
      <c r="J32" s="22" t="s">
        <v>192</v>
      </c>
      <c r="K32" s="7" t="s">
        <v>43</v>
      </c>
      <c r="L32" s="8"/>
      <c r="M32" s="8"/>
    </row>
    <row r="33" spans="1:13" x14ac:dyDescent="0.3">
      <c r="A33" s="34" t="s">
        <v>44</v>
      </c>
      <c r="B33" s="35">
        <f>SUM(B35:B38)</f>
        <v>108.559</v>
      </c>
      <c r="C33" s="29">
        <f t="shared" ref="C33:J33" si="6">SUM(C35:C38)</f>
        <v>2.6080000000000001</v>
      </c>
      <c r="D33" s="29">
        <f t="shared" ref="D33" si="7">SUM(D35:D38)</f>
        <v>207965.28000000003</v>
      </c>
      <c r="E33" s="29">
        <f t="shared" si="6"/>
        <v>302.90700000000004</v>
      </c>
      <c r="F33" s="29">
        <f t="shared" si="6"/>
        <v>31.612000000000002</v>
      </c>
      <c r="G33" s="29">
        <f t="shared" si="6"/>
        <v>0</v>
      </c>
      <c r="H33" s="29">
        <f t="shared" si="6"/>
        <v>1065.7230000000002</v>
      </c>
      <c r="I33" s="29">
        <f t="shared" si="6"/>
        <v>136.85399999999998</v>
      </c>
      <c r="J33" s="30">
        <f t="shared" si="6"/>
        <v>0</v>
      </c>
      <c r="K33" s="31" t="s">
        <v>45</v>
      </c>
      <c r="L33" s="31"/>
      <c r="M33" s="31"/>
    </row>
    <row r="34" spans="1:13" x14ac:dyDescent="0.3">
      <c r="A34" s="34"/>
      <c r="B34" s="35"/>
      <c r="C34" s="29"/>
      <c r="D34" s="29"/>
      <c r="E34" s="29"/>
      <c r="F34" s="29"/>
      <c r="G34" s="29"/>
      <c r="H34" s="29"/>
      <c r="I34" s="29"/>
      <c r="J34" s="30"/>
      <c r="K34" s="31"/>
      <c r="L34" s="31"/>
      <c r="M34" s="31"/>
    </row>
    <row r="35" spans="1:13" x14ac:dyDescent="0.3">
      <c r="A35" s="6" t="s">
        <v>46</v>
      </c>
      <c r="B35" s="21">
        <v>8.0000000000000002E-3</v>
      </c>
      <c r="C35" s="19">
        <v>0.2</v>
      </c>
      <c r="D35" s="19">
        <v>163523.45000000001</v>
      </c>
      <c r="E35" s="19">
        <v>115.93600000000001</v>
      </c>
      <c r="F35" s="20">
        <v>5.1840000000000002</v>
      </c>
      <c r="G35" s="19" t="s">
        <v>192</v>
      </c>
      <c r="H35" s="19">
        <v>317.363</v>
      </c>
      <c r="I35" s="19">
        <v>12.31</v>
      </c>
      <c r="J35" s="22" t="s">
        <v>192</v>
      </c>
      <c r="K35" s="7" t="s">
        <v>47</v>
      </c>
      <c r="L35" s="8"/>
      <c r="M35" s="8"/>
    </row>
    <row r="36" spans="1:13" x14ac:dyDescent="0.3">
      <c r="A36" s="6" t="s">
        <v>48</v>
      </c>
      <c r="B36" s="21">
        <v>0.46</v>
      </c>
      <c r="C36" s="19">
        <v>7.0000000000000001E-3</v>
      </c>
      <c r="D36" s="19">
        <v>40140.339999999997</v>
      </c>
      <c r="E36" s="19">
        <v>104.251</v>
      </c>
      <c r="F36" s="20">
        <v>15.167999999999999</v>
      </c>
      <c r="G36" s="19" t="s">
        <v>192</v>
      </c>
      <c r="H36" s="19">
        <v>363.71300000000002</v>
      </c>
      <c r="I36" s="19">
        <v>120.711</v>
      </c>
      <c r="J36" s="22" t="s">
        <v>192</v>
      </c>
      <c r="K36" s="7" t="s">
        <v>49</v>
      </c>
      <c r="L36" s="8"/>
      <c r="M36" s="8"/>
    </row>
    <row r="37" spans="1:13" x14ac:dyDescent="0.3">
      <c r="A37" s="6" t="s">
        <v>50</v>
      </c>
      <c r="B37" s="21">
        <v>92.697999999999993</v>
      </c>
      <c r="C37" s="19">
        <v>1.165</v>
      </c>
      <c r="D37" s="19">
        <v>1956.7</v>
      </c>
      <c r="E37" s="19">
        <v>82.72</v>
      </c>
      <c r="F37" s="20">
        <v>11.26</v>
      </c>
      <c r="G37" s="19" t="s">
        <v>192</v>
      </c>
      <c r="H37" s="19">
        <v>247.93</v>
      </c>
      <c r="I37" s="19">
        <v>2.488</v>
      </c>
      <c r="J37" s="22" t="s">
        <v>192</v>
      </c>
      <c r="K37" s="7" t="s">
        <v>51</v>
      </c>
      <c r="L37" s="8"/>
      <c r="M37" s="8"/>
    </row>
    <row r="38" spans="1:13" x14ac:dyDescent="0.3">
      <c r="A38" s="6" t="s">
        <v>52</v>
      </c>
      <c r="B38" s="21">
        <v>15.393000000000001</v>
      </c>
      <c r="C38" s="19">
        <v>1.236</v>
      </c>
      <c r="D38" s="19">
        <v>2344.79</v>
      </c>
      <c r="E38" s="19" t="s">
        <v>192</v>
      </c>
      <c r="F38" s="20" t="s">
        <v>192</v>
      </c>
      <c r="G38" s="19" t="s">
        <v>192</v>
      </c>
      <c r="H38" s="19">
        <v>136.71700000000001</v>
      </c>
      <c r="I38" s="19">
        <v>1.345</v>
      </c>
      <c r="J38" s="22" t="s">
        <v>192</v>
      </c>
      <c r="K38" s="7" t="s">
        <v>53</v>
      </c>
      <c r="L38" s="8"/>
      <c r="M38" s="8"/>
    </row>
    <row r="39" spans="1:13" x14ac:dyDescent="0.3">
      <c r="A39" s="34" t="s">
        <v>54</v>
      </c>
      <c r="B39" s="35">
        <f>SUM(B41:B45)</f>
        <v>2363.5470000000005</v>
      </c>
      <c r="C39" s="29">
        <f t="shared" ref="C39:J39" si="8">SUM(C41:C45)</f>
        <v>41.412000000000006</v>
      </c>
      <c r="D39" s="29">
        <f t="shared" ref="D39" si="9">SUM(D41:D45)</f>
        <v>43100.342999999993</v>
      </c>
      <c r="E39" s="29">
        <f t="shared" si="8"/>
        <v>853.67800000000011</v>
      </c>
      <c r="F39" s="29">
        <f t="shared" si="8"/>
        <v>108.627</v>
      </c>
      <c r="G39" s="29">
        <f t="shared" si="8"/>
        <v>48.874000000000002</v>
      </c>
      <c r="H39" s="29">
        <f t="shared" si="8"/>
        <v>2431.1010000000001</v>
      </c>
      <c r="I39" s="29">
        <f t="shared" si="8"/>
        <v>71.278000000000006</v>
      </c>
      <c r="J39" s="30">
        <f t="shared" si="8"/>
        <v>0</v>
      </c>
      <c r="K39" s="31" t="s">
        <v>55</v>
      </c>
      <c r="L39" s="31"/>
      <c r="M39" s="31"/>
    </row>
    <row r="40" spans="1:13" x14ac:dyDescent="0.3">
      <c r="A40" s="34"/>
      <c r="B40" s="35"/>
      <c r="C40" s="29"/>
      <c r="D40" s="29"/>
      <c r="E40" s="29"/>
      <c r="F40" s="29"/>
      <c r="G40" s="29"/>
      <c r="H40" s="29"/>
      <c r="I40" s="29"/>
      <c r="J40" s="30"/>
      <c r="K40" s="31"/>
      <c r="L40" s="31"/>
      <c r="M40" s="31"/>
    </row>
    <row r="41" spans="1:13" x14ac:dyDescent="0.3">
      <c r="A41" s="6" t="s">
        <v>56</v>
      </c>
      <c r="B41" s="21">
        <v>2009.23</v>
      </c>
      <c r="C41" s="19">
        <v>21.978000000000002</v>
      </c>
      <c r="D41" s="19">
        <v>13904.133</v>
      </c>
      <c r="E41" s="19">
        <v>357.87700000000001</v>
      </c>
      <c r="F41" s="20">
        <v>39.348999999999997</v>
      </c>
      <c r="G41" s="19">
        <v>48.874000000000002</v>
      </c>
      <c r="H41" s="19">
        <v>1057.4870000000001</v>
      </c>
      <c r="I41" s="19">
        <v>23.66</v>
      </c>
      <c r="J41" s="22" t="s">
        <v>192</v>
      </c>
      <c r="K41" s="7" t="s">
        <v>57</v>
      </c>
      <c r="L41" s="8"/>
      <c r="M41" s="8"/>
    </row>
    <row r="42" spans="1:13" x14ac:dyDescent="0.3">
      <c r="A42" s="6" t="s">
        <v>58</v>
      </c>
      <c r="B42" s="21">
        <v>83.045000000000002</v>
      </c>
      <c r="C42" s="19">
        <v>3.96</v>
      </c>
      <c r="D42" s="19">
        <v>9296.7000000000007</v>
      </c>
      <c r="E42" s="19">
        <v>93.260999999999996</v>
      </c>
      <c r="F42" s="20">
        <v>10.051</v>
      </c>
      <c r="G42" s="19" t="s">
        <v>192</v>
      </c>
      <c r="H42" s="19">
        <v>577.875</v>
      </c>
      <c r="I42" s="19">
        <v>10.311999999999999</v>
      </c>
      <c r="J42" s="22" t="s">
        <v>192</v>
      </c>
      <c r="K42" s="7" t="s">
        <v>59</v>
      </c>
      <c r="L42" s="8"/>
      <c r="M42" s="8"/>
    </row>
    <row r="43" spans="1:13" x14ac:dyDescent="0.3">
      <c r="A43" s="6" t="s">
        <v>60</v>
      </c>
      <c r="B43" s="21">
        <v>61.887</v>
      </c>
      <c r="C43" s="19">
        <v>2.5230000000000001</v>
      </c>
      <c r="D43" s="19">
        <v>4514.8</v>
      </c>
      <c r="E43" s="19">
        <v>107.788</v>
      </c>
      <c r="F43" s="20">
        <v>22.411999999999999</v>
      </c>
      <c r="G43" s="19" t="s">
        <v>192</v>
      </c>
      <c r="H43" s="19">
        <v>393.38900000000001</v>
      </c>
      <c r="I43" s="19">
        <v>10.862</v>
      </c>
      <c r="J43" s="22" t="s">
        <v>192</v>
      </c>
      <c r="K43" s="7" t="s">
        <v>61</v>
      </c>
      <c r="L43" s="8"/>
      <c r="M43" s="8"/>
    </row>
    <row r="44" spans="1:13" x14ac:dyDescent="0.3">
      <c r="A44" s="6" t="s">
        <v>62</v>
      </c>
      <c r="B44" s="21">
        <v>7.1999999999999995E-2</v>
      </c>
      <c r="C44" s="19" t="s">
        <v>192</v>
      </c>
      <c r="D44" s="19" t="s">
        <v>192</v>
      </c>
      <c r="E44" s="19">
        <v>1.2669999999999999</v>
      </c>
      <c r="F44" s="20">
        <v>1.143</v>
      </c>
      <c r="G44" s="19" t="s">
        <v>192</v>
      </c>
      <c r="H44" s="19">
        <v>13.432</v>
      </c>
      <c r="I44" s="19">
        <v>0.73499999999999999</v>
      </c>
      <c r="J44" s="22" t="s">
        <v>192</v>
      </c>
      <c r="K44" s="7" t="s">
        <v>63</v>
      </c>
      <c r="L44" s="8"/>
      <c r="M44" s="8"/>
    </row>
    <row r="45" spans="1:13" x14ac:dyDescent="0.3">
      <c r="A45" s="6" t="s">
        <v>64</v>
      </c>
      <c r="B45" s="21">
        <v>209.31299999999999</v>
      </c>
      <c r="C45" s="19">
        <v>12.951000000000001</v>
      </c>
      <c r="D45" s="19">
        <v>15384.71</v>
      </c>
      <c r="E45" s="19">
        <v>293.48500000000001</v>
      </c>
      <c r="F45" s="20">
        <v>35.671999999999997</v>
      </c>
      <c r="G45" s="19" t="s">
        <v>192</v>
      </c>
      <c r="H45" s="19">
        <v>388.91800000000001</v>
      </c>
      <c r="I45" s="19">
        <v>25.709</v>
      </c>
      <c r="J45" s="22" t="s">
        <v>192</v>
      </c>
      <c r="K45" s="7" t="s">
        <v>65</v>
      </c>
      <c r="L45" s="8"/>
      <c r="M45" s="8"/>
    </row>
    <row r="46" spans="1:13" x14ac:dyDescent="0.3">
      <c r="A46" s="34" t="s">
        <v>66</v>
      </c>
      <c r="B46" s="35">
        <f>SUM(B48:B52)</f>
        <v>385.11900000000003</v>
      </c>
      <c r="C46" s="29">
        <f t="shared" ref="C46:J46" si="10">SUM(C48:C52)</f>
        <v>6.4680000000000009</v>
      </c>
      <c r="D46" s="29">
        <f t="shared" ref="D46" si="11">SUM(D48:D52)</f>
        <v>224874.77000000002</v>
      </c>
      <c r="E46" s="29">
        <f t="shared" si="10"/>
        <v>203.53899999999999</v>
      </c>
      <c r="F46" s="29">
        <f t="shared" si="10"/>
        <v>29.187000000000001</v>
      </c>
      <c r="G46" s="29">
        <f t="shared" si="10"/>
        <v>1.044</v>
      </c>
      <c r="H46" s="29">
        <f t="shared" si="10"/>
        <v>1960.3969999999999</v>
      </c>
      <c r="I46" s="29">
        <f t="shared" si="10"/>
        <v>28.851999999999997</v>
      </c>
      <c r="J46" s="30">
        <f t="shared" si="10"/>
        <v>0</v>
      </c>
      <c r="K46" s="31" t="s">
        <v>67</v>
      </c>
      <c r="L46" s="31"/>
      <c r="M46" s="31"/>
    </row>
    <row r="47" spans="1:13" x14ac:dyDescent="0.3">
      <c r="A47" s="34"/>
      <c r="B47" s="35"/>
      <c r="C47" s="29"/>
      <c r="D47" s="29"/>
      <c r="E47" s="29"/>
      <c r="F47" s="29"/>
      <c r="G47" s="29"/>
      <c r="H47" s="29"/>
      <c r="I47" s="29"/>
      <c r="J47" s="30"/>
      <c r="K47" s="31"/>
      <c r="L47" s="31"/>
      <c r="M47" s="31"/>
    </row>
    <row r="48" spans="1:13" x14ac:dyDescent="0.3">
      <c r="A48" s="6" t="s">
        <v>68</v>
      </c>
      <c r="B48" s="21">
        <v>56.387999999999998</v>
      </c>
      <c r="C48" s="19">
        <v>3.4729999999999999</v>
      </c>
      <c r="D48" s="19">
        <v>9970.616</v>
      </c>
      <c r="E48" s="19">
        <v>161.84899999999999</v>
      </c>
      <c r="F48" s="20">
        <v>27.68</v>
      </c>
      <c r="G48" s="19">
        <v>0.95399999999999996</v>
      </c>
      <c r="H48" s="19">
        <v>367.75099999999998</v>
      </c>
      <c r="I48" s="19">
        <v>9.6620000000000008</v>
      </c>
      <c r="J48" s="22" t="s">
        <v>192</v>
      </c>
      <c r="K48" s="7" t="s">
        <v>69</v>
      </c>
      <c r="L48" s="8"/>
      <c r="M48" s="8"/>
    </row>
    <row r="49" spans="1:13" x14ac:dyDescent="0.3">
      <c r="A49" s="6" t="s">
        <v>70</v>
      </c>
      <c r="B49" s="21">
        <v>36.228000000000002</v>
      </c>
      <c r="C49" s="19">
        <v>0.93200000000000005</v>
      </c>
      <c r="D49" s="19">
        <v>200924.44099999999</v>
      </c>
      <c r="E49" s="19">
        <v>1.994</v>
      </c>
      <c r="F49" s="20" t="s">
        <v>192</v>
      </c>
      <c r="G49" s="19" t="s">
        <v>192</v>
      </c>
      <c r="H49" s="19">
        <v>378.959</v>
      </c>
      <c r="I49" s="19">
        <v>13.122</v>
      </c>
      <c r="J49" s="22" t="s">
        <v>192</v>
      </c>
      <c r="K49" s="7" t="s">
        <v>71</v>
      </c>
      <c r="L49" s="8"/>
      <c r="M49" s="8"/>
    </row>
    <row r="50" spans="1:13" x14ac:dyDescent="0.3">
      <c r="A50" s="6" t="s">
        <v>72</v>
      </c>
      <c r="B50" s="21">
        <v>255.803</v>
      </c>
      <c r="C50" s="19">
        <v>0.53</v>
      </c>
      <c r="D50" s="19">
        <v>7008.32</v>
      </c>
      <c r="E50" s="19" t="s">
        <v>192</v>
      </c>
      <c r="F50" s="20" t="s">
        <v>192</v>
      </c>
      <c r="G50" s="19" t="s">
        <v>192</v>
      </c>
      <c r="H50" s="19">
        <v>834.11500000000001</v>
      </c>
      <c r="I50" s="19">
        <v>0.80500000000000005</v>
      </c>
      <c r="J50" s="22" t="s">
        <v>192</v>
      </c>
      <c r="K50" s="7" t="s">
        <v>73</v>
      </c>
      <c r="L50" s="8"/>
      <c r="M50" s="8"/>
    </row>
    <row r="51" spans="1:13" x14ac:dyDescent="0.3">
      <c r="A51" s="6" t="s">
        <v>74</v>
      </c>
      <c r="B51" s="21">
        <v>6.22</v>
      </c>
      <c r="C51" s="19">
        <v>0.34899999999999998</v>
      </c>
      <c r="D51" s="19">
        <v>1316.25</v>
      </c>
      <c r="E51" s="19">
        <v>22.3</v>
      </c>
      <c r="F51" s="20">
        <v>1.19</v>
      </c>
      <c r="G51" s="19">
        <v>0.09</v>
      </c>
      <c r="H51" s="19">
        <v>202.87799999999999</v>
      </c>
      <c r="I51" s="19">
        <v>0.61299999999999999</v>
      </c>
      <c r="J51" s="22" t="s">
        <v>192</v>
      </c>
      <c r="K51" s="7" t="s">
        <v>75</v>
      </c>
      <c r="L51" s="8"/>
      <c r="M51" s="8"/>
    </row>
    <row r="52" spans="1:13" x14ac:dyDescent="0.3">
      <c r="A52" s="6" t="s">
        <v>76</v>
      </c>
      <c r="B52" s="21">
        <v>30.48</v>
      </c>
      <c r="C52" s="19">
        <v>1.1839999999999999</v>
      </c>
      <c r="D52" s="19">
        <v>5655.143</v>
      </c>
      <c r="E52" s="19">
        <v>17.396000000000001</v>
      </c>
      <c r="F52" s="20">
        <v>0.317</v>
      </c>
      <c r="G52" s="19" t="s">
        <v>192</v>
      </c>
      <c r="H52" s="19">
        <v>176.69399999999999</v>
      </c>
      <c r="I52" s="19">
        <v>4.6500000000000004</v>
      </c>
      <c r="J52" s="22" t="s">
        <v>192</v>
      </c>
      <c r="K52" s="7" t="s">
        <v>77</v>
      </c>
      <c r="L52" s="8"/>
      <c r="M52" s="8"/>
    </row>
    <row r="53" spans="1:13" x14ac:dyDescent="0.3">
      <c r="A53" s="34" t="s">
        <v>78</v>
      </c>
      <c r="B53" s="35">
        <f>SUM(B55:B59)</f>
        <v>8.9</v>
      </c>
      <c r="C53" s="29">
        <f t="shared" ref="C53:J53" si="12">SUM(C55:C59)</f>
        <v>0.19499999999999998</v>
      </c>
      <c r="D53" s="29">
        <f t="shared" ref="D53" si="13">SUM(D55:D59)</f>
        <v>5819.1200000000008</v>
      </c>
      <c r="E53" s="29">
        <f t="shared" si="12"/>
        <v>5.21</v>
      </c>
      <c r="F53" s="29">
        <f t="shared" si="12"/>
        <v>1.226</v>
      </c>
      <c r="G53" s="29">
        <f t="shared" si="12"/>
        <v>6.72</v>
      </c>
      <c r="H53" s="29">
        <f t="shared" si="12"/>
        <v>355.72199999999998</v>
      </c>
      <c r="I53" s="29">
        <f t="shared" si="12"/>
        <v>8.6999999999999993</v>
      </c>
      <c r="J53" s="30">
        <f t="shared" si="12"/>
        <v>0</v>
      </c>
      <c r="K53" s="31" t="s">
        <v>79</v>
      </c>
      <c r="L53" s="31"/>
      <c r="M53" s="31"/>
    </row>
    <row r="54" spans="1:13" x14ac:dyDescent="0.3">
      <c r="A54" s="34"/>
      <c r="B54" s="35"/>
      <c r="C54" s="29"/>
      <c r="D54" s="29"/>
      <c r="E54" s="29"/>
      <c r="F54" s="29"/>
      <c r="G54" s="29"/>
      <c r="H54" s="29"/>
      <c r="I54" s="29"/>
      <c r="J54" s="30"/>
      <c r="K54" s="31"/>
      <c r="L54" s="31"/>
      <c r="M54" s="31"/>
    </row>
    <row r="55" spans="1:13" x14ac:dyDescent="0.3">
      <c r="A55" s="6" t="s">
        <v>80</v>
      </c>
      <c r="B55" s="21">
        <v>8.9999999999999993E-3</v>
      </c>
      <c r="C55" s="19" t="s">
        <v>192</v>
      </c>
      <c r="D55" s="19">
        <v>1919.19</v>
      </c>
      <c r="E55" s="19" t="s">
        <v>192</v>
      </c>
      <c r="F55" s="20" t="s">
        <v>192</v>
      </c>
      <c r="G55" s="19" t="s">
        <v>192</v>
      </c>
      <c r="H55" s="19">
        <v>34.514000000000003</v>
      </c>
      <c r="I55" s="19">
        <v>1.4999999999999999E-2</v>
      </c>
      <c r="J55" s="22" t="s">
        <v>192</v>
      </c>
      <c r="K55" s="7" t="s">
        <v>81</v>
      </c>
      <c r="L55" s="8"/>
      <c r="M55" s="8"/>
    </row>
    <row r="56" spans="1:13" x14ac:dyDescent="0.3">
      <c r="A56" s="6" t="s">
        <v>82</v>
      </c>
      <c r="B56" s="21">
        <v>3.3809999999999998</v>
      </c>
      <c r="C56" s="19">
        <v>0.17199999999999999</v>
      </c>
      <c r="D56" s="19">
        <v>2297.25</v>
      </c>
      <c r="E56" s="19">
        <v>5.15</v>
      </c>
      <c r="F56" s="20">
        <v>1.226</v>
      </c>
      <c r="G56" s="19">
        <v>6.72</v>
      </c>
      <c r="H56" s="19">
        <v>51.88</v>
      </c>
      <c r="I56" s="19">
        <v>8.5749999999999993</v>
      </c>
      <c r="J56" s="22" t="s">
        <v>192</v>
      </c>
      <c r="K56" s="7" t="s">
        <v>83</v>
      </c>
      <c r="L56" s="8"/>
      <c r="M56" s="8"/>
    </row>
    <row r="57" spans="1:13" x14ac:dyDescent="0.3">
      <c r="A57" s="6" t="s">
        <v>84</v>
      </c>
      <c r="B57" s="21">
        <v>4.7770000000000001</v>
      </c>
      <c r="C57" s="19">
        <v>1E-3</v>
      </c>
      <c r="D57" s="19" t="s">
        <v>192</v>
      </c>
      <c r="E57" s="19" t="s">
        <v>192</v>
      </c>
      <c r="F57" s="20" t="s">
        <v>192</v>
      </c>
      <c r="G57" s="19" t="s">
        <v>192</v>
      </c>
      <c r="H57" s="19">
        <v>1.0720000000000001</v>
      </c>
      <c r="I57" s="19" t="s">
        <v>192</v>
      </c>
      <c r="J57" s="22" t="s">
        <v>192</v>
      </c>
      <c r="K57" s="7" t="s">
        <v>85</v>
      </c>
      <c r="L57" s="8"/>
      <c r="M57" s="8"/>
    </row>
    <row r="58" spans="1:13" x14ac:dyDescent="0.3">
      <c r="A58" s="6" t="s">
        <v>86</v>
      </c>
      <c r="B58" s="21">
        <v>0.73299999999999998</v>
      </c>
      <c r="C58" s="19">
        <v>1.9E-2</v>
      </c>
      <c r="D58" s="19">
        <v>1192.33</v>
      </c>
      <c r="E58" s="19" t="s">
        <v>192</v>
      </c>
      <c r="F58" s="20" t="s">
        <v>192</v>
      </c>
      <c r="G58" s="19" t="s">
        <v>192</v>
      </c>
      <c r="H58" s="19">
        <v>200.666</v>
      </c>
      <c r="I58" s="19" t="s">
        <v>192</v>
      </c>
      <c r="J58" s="22" t="s">
        <v>192</v>
      </c>
      <c r="K58" s="7" t="s">
        <v>87</v>
      </c>
      <c r="L58" s="8"/>
      <c r="M58" s="8"/>
    </row>
    <row r="59" spans="1:13" x14ac:dyDescent="0.3">
      <c r="A59" s="6" t="s">
        <v>88</v>
      </c>
      <c r="B59" s="21" t="s">
        <v>192</v>
      </c>
      <c r="C59" s="19">
        <v>3.0000000000000001E-3</v>
      </c>
      <c r="D59" s="19">
        <v>410.35</v>
      </c>
      <c r="E59" s="19">
        <v>0.06</v>
      </c>
      <c r="F59" s="20" t="s">
        <v>192</v>
      </c>
      <c r="G59" s="19" t="s">
        <v>192</v>
      </c>
      <c r="H59" s="19">
        <v>67.59</v>
      </c>
      <c r="I59" s="19">
        <v>0.11</v>
      </c>
      <c r="J59" s="22" t="s">
        <v>192</v>
      </c>
      <c r="K59" s="7" t="s">
        <v>89</v>
      </c>
      <c r="L59" s="8"/>
      <c r="M59" s="8"/>
    </row>
    <row r="60" spans="1:13" x14ac:dyDescent="0.3">
      <c r="A60" s="34" t="s">
        <v>90</v>
      </c>
      <c r="B60" s="35">
        <f>SUM(B62:B64)</f>
        <v>1334.5119999999999</v>
      </c>
      <c r="C60" s="29">
        <f t="shared" ref="C60:J60" si="14">SUM(C62:C64)</f>
        <v>12.234999999999999</v>
      </c>
      <c r="D60" s="29">
        <f t="shared" ref="D60" si="15">SUM(D62:D64)</f>
        <v>61530.603999999992</v>
      </c>
      <c r="E60" s="29">
        <f t="shared" si="14"/>
        <v>1367.6109999999999</v>
      </c>
      <c r="F60" s="29">
        <f t="shared" si="14"/>
        <v>225.72899999999998</v>
      </c>
      <c r="G60" s="29">
        <f t="shared" si="14"/>
        <v>21.652000000000001</v>
      </c>
      <c r="H60" s="29">
        <f t="shared" si="14"/>
        <v>1347.8509999999999</v>
      </c>
      <c r="I60" s="29">
        <f t="shared" si="14"/>
        <v>43.603999999999999</v>
      </c>
      <c r="J60" s="30">
        <f t="shared" si="14"/>
        <v>0</v>
      </c>
      <c r="K60" s="32" t="s">
        <v>91</v>
      </c>
      <c r="L60" s="32"/>
      <c r="M60" s="32"/>
    </row>
    <row r="61" spans="1:13" x14ac:dyDescent="0.3">
      <c r="A61" s="34"/>
      <c r="B61" s="35"/>
      <c r="C61" s="29"/>
      <c r="D61" s="29"/>
      <c r="E61" s="29"/>
      <c r="F61" s="29"/>
      <c r="G61" s="29"/>
      <c r="H61" s="29"/>
      <c r="I61" s="29"/>
      <c r="J61" s="30"/>
      <c r="K61" s="32"/>
      <c r="L61" s="32"/>
      <c r="M61" s="32"/>
    </row>
    <row r="62" spans="1:13" x14ac:dyDescent="0.3">
      <c r="A62" s="6" t="s">
        <v>92</v>
      </c>
      <c r="B62" s="21">
        <v>514.12400000000002</v>
      </c>
      <c r="C62" s="19">
        <v>0.91800000000000004</v>
      </c>
      <c r="D62" s="19">
        <v>8897.2639999999992</v>
      </c>
      <c r="E62" s="19">
        <v>362.61700000000002</v>
      </c>
      <c r="F62" s="20">
        <v>71.236000000000004</v>
      </c>
      <c r="G62" s="19">
        <v>2.706</v>
      </c>
      <c r="H62" s="19">
        <v>421.89499999999998</v>
      </c>
      <c r="I62" s="19">
        <v>4.6399999999999997</v>
      </c>
      <c r="J62" s="22" t="s">
        <v>192</v>
      </c>
      <c r="K62" s="7" t="s">
        <v>93</v>
      </c>
      <c r="L62" s="8"/>
      <c r="M62" s="8"/>
    </row>
    <row r="63" spans="1:13" x14ac:dyDescent="0.3">
      <c r="A63" s="6" t="s">
        <v>94</v>
      </c>
      <c r="B63" s="21">
        <v>734.89800000000002</v>
      </c>
      <c r="C63" s="19">
        <v>8.1769999999999996</v>
      </c>
      <c r="D63" s="19">
        <v>29171.25</v>
      </c>
      <c r="E63" s="19">
        <v>643.10799999999995</v>
      </c>
      <c r="F63" s="20">
        <v>147.96199999999999</v>
      </c>
      <c r="G63" s="19">
        <v>0.5</v>
      </c>
      <c r="H63" s="19">
        <v>635.89599999999996</v>
      </c>
      <c r="I63" s="19">
        <v>8.6959999999999997</v>
      </c>
      <c r="J63" s="22" t="s">
        <v>192</v>
      </c>
      <c r="K63" s="7" t="s">
        <v>95</v>
      </c>
      <c r="L63" s="8"/>
      <c r="M63" s="8"/>
    </row>
    <row r="64" spans="1:13" x14ac:dyDescent="0.3">
      <c r="A64" s="6" t="s">
        <v>96</v>
      </c>
      <c r="B64" s="21">
        <v>85.49</v>
      </c>
      <c r="C64" s="19">
        <v>3.14</v>
      </c>
      <c r="D64" s="19">
        <v>23462.09</v>
      </c>
      <c r="E64" s="19">
        <v>361.88600000000002</v>
      </c>
      <c r="F64" s="20">
        <v>6.5309999999999997</v>
      </c>
      <c r="G64" s="19">
        <v>18.446000000000002</v>
      </c>
      <c r="H64" s="19">
        <v>290.06</v>
      </c>
      <c r="I64" s="19">
        <v>30.268000000000001</v>
      </c>
      <c r="J64" s="22" t="s">
        <v>192</v>
      </c>
      <c r="K64" s="7" t="s">
        <v>97</v>
      </c>
      <c r="L64" s="8"/>
      <c r="M64" s="8"/>
    </row>
    <row r="65" spans="1:13" x14ac:dyDescent="0.3">
      <c r="A65" s="34" t="s">
        <v>98</v>
      </c>
      <c r="B65" s="35">
        <f>SUM(B67:B71)</f>
        <v>777.63499999999999</v>
      </c>
      <c r="C65" s="29">
        <f t="shared" ref="C65:J65" si="16">SUM(C67:C71)</f>
        <v>3.7809999999999997</v>
      </c>
      <c r="D65" s="29">
        <f t="shared" ref="D65" si="17">SUM(D67:D71)</f>
        <v>182072.84100000001</v>
      </c>
      <c r="E65" s="29">
        <f t="shared" si="16"/>
        <v>391.70999999999992</v>
      </c>
      <c r="F65" s="29">
        <f t="shared" si="16"/>
        <v>97.004000000000019</v>
      </c>
      <c r="G65" s="29">
        <f t="shared" si="16"/>
        <v>0</v>
      </c>
      <c r="H65" s="29">
        <f t="shared" si="16"/>
        <v>2738.6219999999998</v>
      </c>
      <c r="I65" s="29">
        <f t="shared" si="16"/>
        <v>73.799000000000007</v>
      </c>
      <c r="J65" s="30">
        <f t="shared" si="16"/>
        <v>0</v>
      </c>
      <c r="K65" s="31" t="s">
        <v>99</v>
      </c>
      <c r="L65" s="31"/>
      <c r="M65" s="31"/>
    </row>
    <row r="66" spans="1:13" x14ac:dyDescent="0.3">
      <c r="A66" s="34"/>
      <c r="B66" s="35"/>
      <c r="C66" s="29"/>
      <c r="D66" s="29"/>
      <c r="E66" s="29"/>
      <c r="F66" s="29"/>
      <c r="G66" s="29"/>
      <c r="H66" s="29"/>
      <c r="I66" s="29"/>
      <c r="J66" s="30"/>
      <c r="K66" s="31"/>
      <c r="L66" s="31"/>
      <c r="M66" s="31"/>
    </row>
    <row r="67" spans="1:13" x14ac:dyDescent="0.3">
      <c r="A67" s="6" t="s">
        <v>100</v>
      </c>
      <c r="B67" s="21">
        <v>46.457999999999998</v>
      </c>
      <c r="C67" s="19">
        <v>0.39900000000000002</v>
      </c>
      <c r="D67" s="19">
        <v>14848.09</v>
      </c>
      <c r="E67" s="19">
        <v>3.25</v>
      </c>
      <c r="F67" s="20">
        <v>1.28</v>
      </c>
      <c r="G67" s="19" t="s">
        <v>192</v>
      </c>
      <c r="H67" s="19">
        <v>650.72199999999998</v>
      </c>
      <c r="I67" s="19">
        <v>16.434000000000001</v>
      </c>
      <c r="J67" s="22" t="s">
        <v>192</v>
      </c>
      <c r="K67" s="7" t="s">
        <v>101</v>
      </c>
      <c r="L67" s="8"/>
      <c r="M67" s="8"/>
    </row>
    <row r="68" spans="1:13" x14ac:dyDescent="0.3">
      <c r="A68" s="6" t="s">
        <v>102</v>
      </c>
      <c r="B68" s="21">
        <v>30.48</v>
      </c>
      <c r="C68" s="19">
        <v>0.11700000000000001</v>
      </c>
      <c r="D68" s="19">
        <v>5641.9750000000004</v>
      </c>
      <c r="E68" s="19">
        <v>6.65</v>
      </c>
      <c r="F68" s="20">
        <v>1.111</v>
      </c>
      <c r="G68" s="19" t="s">
        <v>192</v>
      </c>
      <c r="H68" s="19">
        <v>471.87</v>
      </c>
      <c r="I68" s="19">
        <v>14.772</v>
      </c>
      <c r="J68" s="22" t="s">
        <v>192</v>
      </c>
      <c r="K68" s="7" t="s">
        <v>103</v>
      </c>
      <c r="L68" s="8"/>
      <c r="M68" s="8"/>
    </row>
    <row r="69" spans="1:13" x14ac:dyDescent="0.3">
      <c r="A69" s="6" t="s">
        <v>104</v>
      </c>
      <c r="B69" s="21">
        <v>549.19500000000005</v>
      </c>
      <c r="C69" s="19">
        <v>0.83799999999999997</v>
      </c>
      <c r="D69" s="19">
        <v>132126.81</v>
      </c>
      <c r="E69" s="19">
        <v>344.97899999999998</v>
      </c>
      <c r="F69" s="20">
        <v>94.212000000000003</v>
      </c>
      <c r="G69" s="19" t="s">
        <v>192</v>
      </c>
      <c r="H69" s="19">
        <v>269.22500000000002</v>
      </c>
      <c r="I69" s="19">
        <v>3.738</v>
      </c>
      <c r="J69" s="22" t="s">
        <v>192</v>
      </c>
      <c r="K69" s="7" t="s">
        <v>105</v>
      </c>
      <c r="L69" s="8"/>
      <c r="M69" s="8"/>
    </row>
    <row r="70" spans="1:13" x14ac:dyDescent="0.3">
      <c r="A70" s="6" t="s">
        <v>106</v>
      </c>
      <c r="B70" s="21">
        <v>125.976</v>
      </c>
      <c r="C70" s="19">
        <v>0.89600000000000002</v>
      </c>
      <c r="D70" s="19">
        <v>13292.075999999999</v>
      </c>
      <c r="E70" s="19">
        <v>36.825000000000003</v>
      </c>
      <c r="F70" s="20">
        <v>0.4</v>
      </c>
      <c r="G70" s="19" t="s">
        <v>192</v>
      </c>
      <c r="H70" s="19">
        <v>681.5</v>
      </c>
      <c r="I70" s="19">
        <v>17.649999999999999</v>
      </c>
      <c r="J70" s="22" t="s">
        <v>192</v>
      </c>
      <c r="K70" s="7" t="s">
        <v>107</v>
      </c>
      <c r="L70" s="8"/>
      <c r="M70" s="8"/>
    </row>
    <row r="71" spans="1:13" x14ac:dyDescent="0.3">
      <c r="A71" s="6" t="s">
        <v>108</v>
      </c>
      <c r="B71" s="21">
        <v>25.526</v>
      </c>
      <c r="C71" s="19">
        <v>1.5309999999999999</v>
      </c>
      <c r="D71" s="19">
        <v>16163.89</v>
      </c>
      <c r="E71" s="19">
        <v>6.0000000000000001E-3</v>
      </c>
      <c r="F71" s="20">
        <v>1E-3</v>
      </c>
      <c r="G71" s="19" t="s">
        <v>192</v>
      </c>
      <c r="H71" s="19">
        <v>665.30499999999995</v>
      </c>
      <c r="I71" s="19">
        <v>21.204999999999998</v>
      </c>
      <c r="J71" s="22" t="s">
        <v>192</v>
      </c>
      <c r="K71" s="7" t="s">
        <v>109</v>
      </c>
      <c r="L71" s="8"/>
      <c r="M71" s="8"/>
    </row>
    <row r="72" spans="1:13" x14ac:dyDescent="0.3">
      <c r="A72" s="34" t="s">
        <v>110</v>
      </c>
      <c r="B72" s="35">
        <f>SUM(B74:B81)</f>
        <v>1.4680000000000002</v>
      </c>
      <c r="C72" s="29">
        <f t="shared" ref="C72:J72" si="18">SUM(C74:C81)</f>
        <v>4.9000000000000002E-2</v>
      </c>
      <c r="D72" s="29">
        <f t="shared" ref="D72" si="19">SUM(D74:D81)</f>
        <v>361011.18800000002</v>
      </c>
      <c r="E72" s="29">
        <f t="shared" si="18"/>
        <v>22.875</v>
      </c>
      <c r="F72" s="29">
        <f t="shared" si="18"/>
        <v>1.089</v>
      </c>
      <c r="G72" s="29">
        <f t="shared" si="18"/>
        <v>0</v>
      </c>
      <c r="H72" s="29">
        <f t="shared" si="18"/>
        <v>425.87900000000002</v>
      </c>
      <c r="I72" s="29">
        <f t="shared" si="18"/>
        <v>15.947000000000001</v>
      </c>
      <c r="J72" s="30">
        <f t="shared" si="18"/>
        <v>0</v>
      </c>
      <c r="K72" s="31" t="s">
        <v>111</v>
      </c>
      <c r="L72" s="31"/>
      <c r="M72" s="31"/>
    </row>
    <row r="73" spans="1:13" x14ac:dyDescent="0.3">
      <c r="A73" s="34"/>
      <c r="B73" s="35"/>
      <c r="C73" s="29"/>
      <c r="D73" s="29"/>
      <c r="E73" s="29"/>
      <c r="F73" s="29"/>
      <c r="G73" s="29"/>
      <c r="H73" s="29"/>
      <c r="I73" s="29"/>
      <c r="J73" s="30"/>
      <c r="K73" s="31"/>
      <c r="L73" s="31"/>
      <c r="M73" s="31"/>
    </row>
    <row r="74" spans="1:13" x14ac:dyDescent="0.3">
      <c r="A74" s="14" t="s">
        <v>112</v>
      </c>
      <c r="B74" s="21" t="s">
        <v>192</v>
      </c>
      <c r="C74" s="19" t="s">
        <v>192</v>
      </c>
      <c r="D74" s="19" t="s">
        <v>192</v>
      </c>
      <c r="E74" s="19" t="s">
        <v>192</v>
      </c>
      <c r="F74" s="20" t="s">
        <v>192</v>
      </c>
      <c r="G74" s="19" t="s">
        <v>192</v>
      </c>
      <c r="H74" s="19" t="s">
        <v>192</v>
      </c>
      <c r="I74" s="19" t="s">
        <v>192</v>
      </c>
      <c r="J74" s="22" t="s">
        <v>192</v>
      </c>
      <c r="K74" s="7" t="s">
        <v>113</v>
      </c>
      <c r="L74" s="8"/>
      <c r="M74" s="8"/>
    </row>
    <row r="75" spans="1:13" x14ac:dyDescent="0.3">
      <c r="A75" s="14" t="s">
        <v>114</v>
      </c>
      <c r="B75" s="27" t="s">
        <v>192</v>
      </c>
      <c r="C75" s="19" t="s">
        <v>192</v>
      </c>
      <c r="D75" s="19" t="s">
        <v>192</v>
      </c>
      <c r="E75" s="19" t="s">
        <v>192</v>
      </c>
      <c r="F75" s="20" t="s">
        <v>192</v>
      </c>
      <c r="G75" s="19" t="s">
        <v>192</v>
      </c>
      <c r="H75" s="19">
        <v>21.16</v>
      </c>
      <c r="I75" s="19" t="s">
        <v>192</v>
      </c>
      <c r="J75" s="22" t="s">
        <v>192</v>
      </c>
      <c r="K75" s="7" t="s">
        <v>115</v>
      </c>
      <c r="L75" s="8"/>
      <c r="M75" s="8"/>
    </row>
    <row r="76" spans="1:13" x14ac:dyDescent="0.3">
      <c r="A76" s="14" t="s">
        <v>116</v>
      </c>
      <c r="B76" s="27" t="s">
        <v>192</v>
      </c>
      <c r="C76" s="19" t="s">
        <v>192</v>
      </c>
      <c r="D76" s="19" t="s">
        <v>192</v>
      </c>
      <c r="E76" s="19" t="s">
        <v>192</v>
      </c>
      <c r="F76" s="20" t="s">
        <v>192</v>
      </c>
      <c r="G76" s="19" t="s">
        <v>192</v>
      </c>
      <c r="H76" s="19">
        <v>1.7</v>
      </c>
      <c r="I76" s="19" t="s">
        <v>192</v>
      </c>
      <c r="J76" s="22" t="s">
        <v>192</v>
      </c>
      <c r="K76" s="7" t="s">
        <v>117</v>
      </c>
      <c r="L76" s="8"/>
      <c r="M76" s="8"/>
    </row>
    <row r="77" spans="1:13" x14ac:dyDescent="0.3">
      <c r="A77" s="14" t="s">
        <v>118</v>
      </c>
      <c r="B77" s="27" t="s">
        <v>192</v>
      </c>
      <c r="C77" s="19" t="s">
        <v>192</v>
      </c>
      <c r="D77" s="19" t="s">
        <v>192</v>
      </c>
      <c r="E77" s="19" t="s">
        <v>192</v>
      </c>
      <c r="F77" s="20" t="s">
        <v>192</v>
      </c>
      <c r="G77" s="19" t="s">
        <v>192</v>
      </c>
      <c r="H77" s="19" t="s">
        <v>192</v>
      </c>
      <c r="I77" s="19" t="s">
        <v>192</v>
      </c>
      <c r="J77" s="22" t="s">
        <v>192</v>
      </c>
      <c r="K77" s="7" t="s">
        <v>119</v>
      </c>
      <c r="L77" s="8"/>
      <c r="M77" s="8"/>
    </row>
    <row r="78" spans="1:13" x14ac:dyDescent="0.3">
      <c r="A78" s="14" t="s">
        <v>120</v>
      </c>
      <c r="B78" s="21">
        <v>1.3420000000000001</v>
      </c>
      <c r="C78" s="19">
        <v>4.5999999999999999E-2</v>
      </c>
      <c r="D78" s="19">
        <v>42533.063000000002</v>
      </c>
      <c r="E78" s="19">
        <v>5.6529999999999996</v>
      </c>
      <c r="F78" s="20">
        <v>0.23899999999999999</v>
      </c>
      <c r="G78" s="19" t="s">
        <v>192</v>
      </c>
      <c r="H78" s="19">
        <v>243.274</v>
      </c>
      <c r="I78" s="19">
        <v>8.6069999999999993</v>
      </c>
      <c r="J78" s="22" t="s">
        <v>192</v>
      </c>
      <c r="K78" s="7" t="s">
        <v>121</v>
      </c>
      <c r="L78" s="8"/>
      <c r="M78" s="8"/>
    </row>
    <row r="79" spans="1:13" x14ac:dyDescent="0.3">
      <c r="A79" s="14" t="s">
        <v>122</v>
      </c>
      <c r="B79" s="21">
        <v>1.2E-2</v>
      </c>
      <c r="C79" s="19">
        <v>3.0000000000000001E-3</v>
      </c>
      <c r="D79" s="19">
        <v>318006.25</v>
      </c>
      <c r="E79" s="19">
        <v>17.222000000000001</v>
      </c>
      <c r="F79" s="20">
        <v>0.85</v>
      </c>
      <c r="G79" s="19" t="s">
        <v>192</v>
      </c>
      <c r="H79" s="19">
        <v>138.315</v>
      </c>
      <c r="I79" s="19">
        <v>6.03</v>
      </c>
      <c r="J79" s="22" t="s">
        <v>192</v>
      </c>
      <c r="K79" s="7" t="s">
        <v>123</v>
      </c>
      <c r="L79" s="8"/>
      <c r="M79" s="8"/>
    </row>
    <row r="80" spans="1:13" x14ac:dyDescent="0.3">
      <c r="A80" s="14" t="s">
        <v>124</v>
      </c>
      <c r="B80" s="27" t="s">
        <v>192</v>
      </c>
      <c r="C80" s="19" t="s">
        <v>192</v>
      </c>
      <c r="D80" s="19" t="s">
        <v>192</v>
      </c>
      <c r="E80" s="19" t="s">
        <v>192</v>
      </c>
      <c r="F80" s="20" t="s">
        <v>192</v>
      </c>
      <c r="G80" s="19" t="s">
        <v>192</v>
      </c>
      <c r="H80" s="19">
        <v>0.08</v>
      </c>
      <c r="I80" s="19" t="s">
        <v>192</v>
      </c>
      <c r="J80" s="22" t="s">
        <v>192</v>
      </c>
      <c r="K80" s="7" t="s">
        <v>125</v>
      </c>
      <c r="L80" s="8"/>
      <c r="M80" s="8"/>
    </row>
    <row r="81" spans="1:13" x14ac:dyDescent="0.3">
      <c r="A81" s="14" t="s">
        <v>126</v>
      </c>
      <c r="B81" s="21">
        <v>0.114</v>
      </c>
      <c r="C81" s="28" t="s">
        <v>192</v>
      </c>
      <c r="D81" s="28">
        <v>471.875</v>
      </c>
      <c r="E81" s="19" t="s">
        <v>192</v>
      </c>
      <c r="F81" s="20" t="s">
        <v>192</v>
      </c>
      <c r="G81" s="19" t="s">
        <v>192</v>
      </c>
      <c r="H81" s="19">
        <v>21.35</v>
      </c>
      <c r="I81" s="19">
        <v>1.31</v>
      </c>
      <c r="J81" s="22" t="s">
        <v>192</v>
      </c>
      <c r="K81" s="7" t="s">
        <v>127</v>
      </c>
      <c r="L81" s="8"/>
      <c r="M81" s="8"/>
    </row>
    <row r="82" spans="1:13" x14ac:dyDescent="0.3">
      <c r="A82" s="34" t="s">
        <v>128</v>
      </c>
      <c r="B82" s="35">
        <f>SUM(B84:B88)</f>
        <v>353.66800000000001</v>
      </c>
      <c r="C82" s="29">
        <f t="shared" ref="C82:J82" si="20">SUM(C84:C88)</f>
        <v>2.4830000000000001</v>
      </c>
      <c r="D82" s="29">
        <f t="shared" ref="D82" si="21">SUM(D84:D88)</f>
        <v>12447.441999999999</v>
      </c>
      <c r="E82" s="29">
        <f t="shared" si="20"/>
        <v>364.322</v>
      </c>
      <c r="F82" s="29">
        <f t="shared" si="20"/>
        <v>0</v>
      </c>
      <c r="G82" s="29">
        <f t="shared" si="20"/>
        <v>0</v>
      </c>
      <c r="H82" s="29">
        <f t="shared" si="20"/>
        <v>512.226</v>
      </c>
      <c r="I82" s="29">
        <f t="shared" si="20"/>
        <v>13.548999999999999</v>
      </c>
      <c r="J82" s="30">
        <f t="shared" si="20"/>
        <v>0</v>
      </c>
      <c r="K82" s="31" t="s">
        <v>129</v>
      </c>
      <c r="L82" s="31"/>
      <c r="M82" s="31"/>
    </row>
    <row r="83" spans="1:13" x14ac:dyDescent="0.3">
      <c r="A83" s="34"/>
      <c r="B83" s="35"/>
      <c r="C83" s="29"/>
      <c r="D83" s="29"/>
      <c r="E83" s="29"/>
      <c r="F83" s="29"/>
      <c r="G83" s="29"/>
      <c r="H83" s="29"/>
      <c r="I83" s="29"/>
      <c r="J83" s="30"/>
      <c r="K83" s="31"/>
      <c r="L83" s="31"/>
      <c r="M83" s="31"/>
    </row>
    <row r="84" spans="1:13" x14ac:dyDescent="0.3">
      <c r="A84" s="6" t="s">
        <v>130</v>
      </c>
      <c r="B84" s="21">
        <v>303.30900000000003</v>
      </c>
      <c r="C84" s="28">
        <v>1.53</v>
      </c>
      <c r="D84" s="28">
        <v>6273.35</v>
      </c>
      <c r="E84" s="19">
        <v>363.92200000000003</v>
      </c>
      <c r="F84" s="20" t="s">
        <v>192</v>
      </c>
      <c r="G84" s="19" t="s">
        <v>192</v>
      </c>
      <c r="H84" s="19">
        <v>210.82</v>
      </c>
      <c r="I84" s="19">
        <v>5.9240000000000004</v>
      </c>
      <c r="J84" s="22" t="s">
        <v>192</v>
      </c>
      <c r="K84" s="7" t="s">
        <v>131</v>
      </c>
      <c r="L84" s="8"/>
      <c r="M84" s="8"/>
    </row>
    <row r="85" spans="1:13" x14ac:dyDescent="0.3">
      <c r="A85" s="6" t="s">
        <v>132</v>
      </c>
      <c r="B85" s="21">
        <v>0.72899999999999998</v>
      </c>
      <c r="C85" s="28">
        <v>3.5000000000000003E-2</v>
      </c>
      <c r="D85" s="28">
        <v>1088.25</v>
      </c>
      <c r="E85" s="19" t="s">
        <v>192</v>
      </c>
      <c r="F85" s="20" t="s">
        <v>192</v>
      </c>
      <c r="G85" s="19" t="s">
        <v>192</v>
      </c>
      <c r="H85" s="19">
        <v>54.061</v>
      </c>
      <c r="I85" s="19">
        <v>2.2829999999999999</v>
      </c>
      <c r="J85" s="22" t="s">
        <v>192</v>
      </c>
      <c r="K85" s="7" t="s">
        <v>133</v>
      </c>
      <c r="L85" s="8"/>
      <c r="M85" s="8"/>
    </row>
    <row r="86" spans="1:13" x14ac:dyDescent="0.3">
      <c r="A86" s="6" t="s">
        <v>134</v>
      </c>
      <c r="B86" s="21">
        <v>36.83</v>
      </c>
      <c r="C86" s="19">
        <v>0.46300000000000002</v>
      </c>
      <c r="D86" s="19">
        <v>471.392</v>
      </c>
      <c r="E86" s="19" t="s">
        <v>192</v>
      </c>
      <c r="F86" s="20" t="s">
        <v>192</v>
      </c>
      <c r="G86" s="19" t="s">
        <v>192</v>
      </c>
      <c r="H86" s="19">
        <v>33.234999999999999</v>
      </c>
      <c r="I86" s="19" t="s">
        <v>192</v>
      </c>
      <c r="J86" s="22" t="s">
        <v>192</v>
      </c>
      <c r="K86" s="7" t="s">
        <v>135</v>
      </c>
      <c r="L86" s="8"/>
      <c r="M86" s="8"/>
    </row>
    <row r="87" spans="1:13" x14ac:dyDescent="0.3">
      <c r="A87" s="6" t="s">
        <v>136</v>
      </c>
      <c r="B87" s="21">
        <v>0.8</v>
      </c>
      <c r="C87" s="19">
        <v>3.0000000000000001E-3</v>
      </c>
      <c r="D87" s="19">
        <v>246.2</v>
      </c>
      <c r="E87" s="19" t="s">
        <v>192</v>
      </c>
      <c r="F87" s="20" t="s">
        <v>192</v>
      </c>
      <c r="G87" s="19" t="s">
        <v>192</v>
      </c>
      <c r="H87" s="19">
        <v>134.38999999999999</v>
      </c>
      <c r="I87" s="19">
        <v>1.347</v>
      </c>
      <c r="J87" s="22" t="s">
        <v>192</v>
      </c>
      <c r="K87" s="7" t="s">
        <v>137</v>
      </c>
      <c r="L87" s="8"/>
      <c r="M87" s="8"/>
    </row>
    <row r="88" spans="1:13" x14ac:dyDescent="0.3">
      <c r="A88" s="6" t="s">
        <v>138</v>
      </c>
      <c r="B88" s="21">
        <v>12</v>
      </c>
      <c r="C88" s="28">
        <v>0.45200000000000001</v>
      </c>
      <c r="D88" s="28">
        <v>4368.25</v>
      </c>
      <c r="E88" s="19">
        <v>0.4</v>
      </c>
      <c r="F88" s="20" t="s">
        <v>192</v>
      </c>
      <c r="G88" s="19" t="s">
        <v>192</v>
      </c>
      <c r="H88" s="19">
        <v>79.72</v>
      </c>
      <c r="I88" s="19">
        <v>3.9950000000000001</v>
      </c>
      <c r="J88" s="22" t="s">
        <v>192</v>
      </c>
      <c r="K88" s="7" t="s">
        <v>139</v>
      </c>
      <c r="L88" s="8"/>
      <c r="M88" s="8"/>
    </row>
    <row r="89" spans="1:13" x14ac:dyDescent="0.3">
      <c r="A89" s="34" t="s">
        <v>140</v>
      </c>
      <c r="B89" s="35">
        <f>SUM(B91:B103)</f>
        <v>86.275999999999996</v>
      </c>
      <c r="C89" s="29">
        <f t="shared" ref="C89:J89" si="22">SUM(C91:C103)</f>
        <v>2.2479999999999998</v>
      </c>
      <c r="D89" s="29">
        <f t="shared" ref="D89" si="23">SUM(D91:D103)</f>
        <v>29951.983999999997</v>
      </c>
      <c r="E89" s="29">
        <f t="shared" si="22"/>
        <v>14.67</v>
      </c>
      <c r="F89" s="29">
        <f t="shared" si="22"/>
        <v>5.64</v>
      </c>
      <c r="G89" s="29">
        <f t="shared" si="22"/>
        <v>7.1649999999999991</v>
      </c>
      <c r="H89" s="29">
        <f t="shared" si="22"/>
        <v>993.36199999999997</v>
      </c>
      <c r="I89" s="29">
        <f t="shared" si="22"/>
        <v>8.2540000000000013</v>
      </c>
      <c r="J89" s="30">
        <f t="shared" si="22"/>
        <v>0</v>
      </c>
      <c r="K89" s="31" t="s">
        <v>141</v>
      </c>
      <c r="L89" s="31"/>
      <c r="M89" s="31"/>
    </row>
    <row r="90" spans="1:13" x14ac:dyDescent="0.3">
      <c r="A90" s="34"/>
      <c r="B90" s="35"/>
      <c r="C90" s="29"/>
      <c r="D90" s="29"/>
      <c r="E90" s="29"/>
      <c r="F90" s="29"/>
      <c r="G90" s="29"/>
      <c r="H90" s="29"/>
      <c r="I90" s="29"/>
      <c r="J90" s="30"/>
      <c r="K90" s="31"/>
      <c r="L90" s="31"/>
      <c r="M90" s="31"/>
    </row>
    <row r="91" spans="1:13" x14ac:dyDescent="0.3">
      <c r="A91" s="6" t="s">
        <v>142</v>
      </c>
      <c r="B91" s="21">
        <v>7.0000000000000001E-3</v>
      </c>
      <c r="C91" s="19">
        <v>1E-3</v>
      </c>
      <c r="D91" s="19">
        <v>458</v>
      </c>
      <c r="E91" s="19" t="s">
        <v>192</v>
      </c>
      <c r="F91" s="20" t="s">
        <v>192</v>
      </c>
      <c r="G91" s="19" t="s">
        <v>192</v>
      </c>
      <c r="H91" s="19">
        <v>9.9960000000000004</v>
      </c>
      <c r="I91" s="19" t="s">
        <v>192</v>
      </c>
      <c r="J91" s="22" t="s">
        <v>192</v>
      </c>
      <c r="K91" s="7" t="s">
        <v>143</v>
      </c>
      <c r="L91" s="8"/>
      <c r="M91" s="8"/>
    </row>
    <row r="92" spans="1:13" x14ac:dyDescent="0.3">
      <c r="A92" s="6" t="s">
        <v>144</v>
      </c>
      <c r="B92" s="21">
        <v>0.62</v>
      </c>
      <c r="C92" s="19">
        <v>0.25800000000000001</v>
      </c>
      <c r="D92" s="19">
        <v>1470.79</v>
      </c>
      <c r="E92" s="19" t="s">
        <v>192</v>
      </c>
      <c r="F92" s="20" t="s">
        <v>192</v>
      </c>
      <c r="G92" s="19">
        <v>4.4649999999999999</v>
      </c>
      <c r="H92" s="19">
        <v>12.05</v>
      </c>
      <c r="I92" s="19" t="s">
        <v>192</v>
      </c>
      <c r="J92" s="22" t="s">
        <v>192</v>
      </c>
      <c r="K92" s="7" t="s">
        <v>145</v>
      </c>
      <c r="L92" s="8"/>
      <c r="M92" s="8"/>
    </row>
    <row r="93" spans="1:13" x14ac:dyDescent="0.3">
      <c r="A93" s="6" t="s">
        <v>146</v>
      </c>
      <c r="B93" s="21">
        <v>0.13100000000000001</v>
      </c>
      <c r="C93" s="19">
        <v>3.0000000000000001E-3</v>
      </c>
      <c r="D93" s="19">
        <v>1418.1</v>
      </c>
      <c r="E93" s="19" t="s">
        <v>192</v>
      </c>
      <c r="F93" s="20" t="s">
        <v>192</v>
      </c>
      <c r="G93" s="19" t="s">
        <v>192</v>
      </c>
      <c r="H93" s="19">
        <v>76.63</v>
      </c>
      <c r="I93" s="19">
        <v>1.595</v>
      </c>
      <c r="J93" s="22" t="s">
        <v>192</v>
      </c>
      <c r="K93" s="7" t="s">
        <v>147</v>
      </c>
      <c r="L93" s="8"/>
      <c r="M93" s="8"/>
    </row>
    <row r="94" spans="1:13" x14ac:dyDescent="0.3">
      <c r="A94" s="6" t="s">
        <v>148</v>
      </c>
      <c r="B94" s="21">
        <v>5.8120000000000003</v>
      </c>
      <c r="C94" s="19">
        <v>1.7000000000000001E-2</v>
      </c>
      <c r="D94" s="19">
        <v>2327.1</v>
      </c>
      <c r="E94" s="19" t="s">
        <v>192</v>
      </c>
      <c r="F94" s="20" t="s">
        <v>192</v>
      </c>
      <c r="G94" s="19" t="s">
        <v>192</v>
      </c>
      <c r="H94" s="19">
        <v>180.25200000000001</v>
      </c>
      <c r="I94" s="19">
        <v>0.59</v>
      </c>
      <c r="J94" s="22" t="s">
        <v>192</v>
      </c>
      <c r="K94" s="7" t="s">
        <v>149</v>
      </c>
      <c r="L94" s="8"/>
      <c r="M94" s="8"/>
    </row>
    <row r="95" spans="1:13" x14ac:dyDescent="0.3">
      <c r="A95" s="6" t="s">
        <v>150</v>
      </c>
      <c r="B95" s="21">
        <v>3.1E-2</v>
      </c>
      <c r="C95" s="19" t="s">
        <v>192</v>
      </c>
      <c r="D95" s="19">
        <v>30</v>
      </c>
      <c r="E95" s="19" t="s">
        <v>192</v>
      </c>
      <c r="F95" s="20" t="s">
        <v>192</v>
      </c>
      <c r="G95" s="19" t="s">
        <v>192</v>
      </c>
      <c r="H95" s="19">
        <v>49.11</v>
      </c>
      <c r="I95" s="19">
        <v>0.90500000000000003</v>
      </c>
      <c r="J95" s="22" t="s">
        <v>192</v>
      </c>
      <c r="K95" s="7" t="s">
        <v>151</v>
      </c>
      <c r="L95" s="8"/>
      <c r="M95" s="8"/>
    </row>
    <row r="96" spans="1:13" x14ac:dyDescent="0.3">
      <c r="A96" s="6" t="s">
        <v>152</v>
      </c>
      <c r="B96" s="21">
        <v>2.5000000000000001E-2</v>
      </c>
      <c r="C96" s="19">
        <v>3.0000000000000001E-3</v>
      </c>
      <c r="D96" s="19">
        <v>904.86</v>
      </c>
      <c r="E96" s="19" t="s">
        <v>192</v>
      </c>
      <c r="F96" s="20" t="s">
        <v>192</v>
      </c>
      <c r="G96" s="19" t="s">
        <v>192</v>
      </c>
      <c r="H96" s="19">
        <v>64.028999999999996</v>
      </c>
      <c r="I96" s="19" t="s">
        <v>192</v>
      </c>
      <c r="J96" s="22" t="s">
        <v>192</v>
      </c>
      <c r="K96" s="7" t="s">
        <v>153</v>
      </c>
      <c r="L96" s="8"/>
      <c r="M96" s="8"/>
    </row>
    <row r="97" spans="1:13" x14ac:dyDescent="0.3">
      <c r="A97" s="6" t="s">
        <v>154</v>
      </c>
      <c r="B97" s="21">
        <v>7.875</v>
      </c>
      <c r="C97" s="19">
        <v>0.42099999999999999</v>
      </c>
      <c r="D97" s="19">
        <v>1393.673</v>
      </c>
      <c r="E97" s="19">
        <v>14.67</v>
      </c>
      <c r="F97" s="20">
        <v>5.64</v>
      </c>
      <c r="G97" s="19">
        <v>1.35</v>
      </c>
      <c r="H97" s="19">
        <v>174.52</v>
      </c>
      <c r="I97" s="19">
        <v>1.964</v>
      </c>
      <c r="J97" s="22" t="s">
        <v>192</v>
      </c>
      <c r="K97" s="7" t="s">
        <v>155</v>
      </c>
      <c r="L97" s="8"/>
      <c r="M97" s="8"/>
    </row>
    <row r="98" spans="1:13" x14ac:dyDescent="0.3">
      <c r="A98" s="6" t="s">
        <v>156</v>
      </c>
      <c r="B98" s="21">
        <v>13.67</v>
      </c>
      <c r="C98" s="19">
        <v>2E-3</v>
      </c>
      <c r="D98" s="19">
        <v>874</v>
      </c>
      <c r="E98" s="19" t="s">
        <v>192</v>
      </c>
      <c r="F98" s="20" t="s">
        <v>192</v>
      </c>
      <c r="G98" s="19">
        <v>1.35</v>
      </c>
      <c r="H98" s="19">
        <v>15.585000000000001</v>
      </c>
      <c r="I98" s="19">
        <v>0.35499999999999998</v>
      </c>
      <c r="J98" s="22" t="s">
        <v>192</v>
      </c>
      <c r="K98" s="7" t="s">
        <v>157</v>
      </c>
      <c r="L98" s="8"/>
      <c r="M98" s="8"/>
    </row>
    <row r="99" spans="1:13" x14ac:dyDescent="0.3">
      <c r="A99" s="6" t="s">
        <v>158</v>
      </c>
      <c r="B99" s="21">
        <v>1.4999999999999999E-2</v>
      </c>
      <c r="C99" s="19">
        <v>1E-3</v>
      </c>
      <c r="D99" s="19">
        <v>494.2</v>
      </c>
      <c r="E99" s="19" t="s">
        <v>192</v>
      </c>
      <c r="F99" s="20" t="s">
        <v>192</v>
      </c>
      <c r="G99" s="19" t="s">
        <v>192</v>
      </c>
      <c r="H99" s="19">
        <v>0.621</v>
      </c>
      <c r="I99" s="19" t="s">
        <v>192</v>
      </c>
      <c r="J99" s="22" t="s">
        <v>192</v>
      </c>
      <c r="K99" s="7" t="s">
        <v>159</v>
      </c>
      <c r="L99" s="8"/>
      <c r="M99" s="8"/>
    </row>
    <row r="100" spans="1:13" x14ac:dyDescent="0.3">
      <c r="A100" s="6" t="s">
        <v>160</v>
      </c>
      <c r="B100" s="21">
        <v>57.261000000000003</v>
      </c>
      <c r="C100" s="19">
        <v>1.532</v>
      </c>
      <c r="D100" s="19">
        <v>3644.33</v>
      </c>
      <c r="E100" s="19" t="s">
        <v>192</v>
      </c>
      <c r="F100" s="20" t="s">
        <v>192</v>
      </c>
      <c r="G100" s="19" t="s">
        <v>192</v>
      </c>
      <c r="H100" s="19">
        <v>53.470999999999997</v>
      </c>
      <c r="I100" s="19">
        <v>1.1000000000000001</v>
      </c>
      <c r="J100" s="22" t="s">
        <v>192</v>
      </c>
      <c r="K100" s="7" t="s">
        <v>161</v>
      </c>
      <c r="L100" s="8"/>
      <c r="M100" s="8"/>
    </row>
    <row r="101" spans="1:13" x14ac:dyDescent="0.3">
      <c r="A101" s="6" t="s">
        <v>162</v>
      </c>
      <c r="B101" s="21">
        <v>2E-3</v>
      </c>
      <c r="C101" s="19">
        <v>1E-3</v>
      </c>
      <c r="D101" s="19">
        <v>177.6</v>
      </c>
      <c r="E101" s="19" t="s">
        <v>192</v>
      </c>
      <c r="F101" s="20" t="s">
        <v>192</v>
      </c>
      <c r="G101" s="19" t="s">
        <v>192</v>
      </c>
      <c r="H101" s="19">
        <v>12.97</v>
      </c>
      <c r="I101" s="19">
        <v>0.53</v>
      </c>
      <c r="J101" s="22" t="s">
        <v>192</v>
      </c>
      <c r="K101" s="7" t="s">
        <v>163</v>
      </c>
      <c r="L101" s="8"/>
      <c r="M101" s="8"/>
    </row>
    <row r="102" spans="1:13" x14ac:dyDescent="0.3">
      <c r="A102" s="6" t="s">
        <v>164</v>
      </c>
      <c r="B102" s="21">
        <v>0.82</v>
      </c>
      <c r="C102" s="19">
        <v>8.0000000000000002E-3</v>
      </c>
      <c r="D102" s="19">
        <v>16026.231</v>
      </c>
      <c r="E102" s="19" t="s">
        <v>192</v>
      </c>
      <c r="F102" s="20" t="s">
        <v>192</v>
      </c>
      <c r="G102" s="19" t="s">
        <v>192</v>
      </c>
      <c r="H102" s="19">
        <v>311.54899999999998</v>
      </c>
      <c r="I102" s="19">
        <v>1.2150000000000001</v>
      </c>
      <c r="J102" s="22" t="s">
        <v>192</v>
      </c>
      <c r="K102" s="7" t="s">
        <v>165</v>
      </c>
      <c r="L102" s="8"/>
      <c r="M102" s="8"/>
    </row>
    <row r="103" spans="1:13" x14ac:dyDescent="0.3">
      <c r="A103" s="6" t="s">
        <v>166</v>
      </c>
      <c r="B103" s="21">
        <v>7.0000000000000001E-3</v>
      </c>
      <c r="C103" s="19">
        <v>1E-3</v>
      </c>
      <c r="D103" s="19">
        <v>733.1</v>
      </c>
      <c r="E103" s="19" t="s">
        <v>192</v>
      </c>
      <c r="F103" s="20" t="s">
        <v>192</v>
      </c>
      <c r="G103" s="19" t="s">
        <v>192</v>
      </c>
      <c r="H103" s="19">
        <v>32.579000000000001</v>
      </c>
      <c r="I103" s="19" t="s">
        <v>192</v>
      </c>
      <c r="J103" s="22" t="s">
        <v>192</v>
      </c>
      <c r="K103" s="7" t="s">
        <v>167</v>
      </c>
      <c r="L103" s="8"/>
      <c r="M103" s="8"/>
    </row>
    <row r="104" spans="1:13" x14ac:dyDescent="0.3">
      <c r="A104" s="34" t="s">
        <v>168</v>
      </c>
      <c r="B104" s="35">
        <f>SUM(B106:B109)</f>
        <v>507.56299999999999</v>
      </c>
      <c r="C104" s="29">
        <f t="shared" ref="C104:J104" si="24">SUM(C106:C109)</f>
        <v>2.343</v>
      </c>
      <c r="D104" s="29">
        <f t="shared" ref="D104" si="25">SUM(D106:D109)</f>
        <v>116344.76700000001</v>
      </c>
      <c r="E104" s="29">
        <f t="shared" si="24"/>
        <v>342.07799999999997</v>
      </c>
      <c r="F104" s="29">
        <f t="shared" si="24"/>
        <v>52.820999999999998</v>
      </c>
      <c r="G104" s="29">
        <f t="shared" si="24"/>
        <v>200</v>
      </c>
      <c r="H104" s="29">
        <f t="shared" si="24"/>
        <v>3477.3680000000004</v>
      </c>
      <c r="I104" s="29">
        <f t="shared" si="24"/>
        <v>250.428</v>
      </c>
      <c r="J104" s="30">
        <f t="shared" si="24"/>
        <v>0</v>
      </c>
      <c r="K104" s="31" t="s">
        <v>169</v>
      </c>
      <c r="L104" s="31"/>
      <c r="M104" s="31"/>
    </row>
    <row r="105" spans="1:13" x14ac:dyDescent="0.3">
      <c r="A105" s="34"/>
      <c r="B105" s="35"/>
      <c r="C105" s="29"/>
      <c r="D105" s="29"/>
      <c r="E105" s="29"/>
      <c r="F105" s="29"/>
      <c r="G105" s="29"/>
      <c r="H105" s="29"/>
      <c r="I105" s="29"/>
      <c r="J105" s="30"/>
      <c r="K105" s="31"/>
      <c r="L105" s="31"/>
      <c r="M105" s="31"/>
    </row>
    <row r="106" spans="1:13" x14ac:dyDescent="0.3">
      <c r="A106" s="6" t="s">
        <v>170</v>
      </c>
      <c r="B106" s="21">
        <v>65.054000000000002</v>
      </c>
      <c r="C106" s="19">
        <v>1.294</v>
      </c>
      <c r="D106" s="19">
        <v>29613.57</v>
      </c>
      <c r="E106" s="19">
        <v>197.88499999999999</v>
      </c>
      <c r="F106" s="20">
        <v>52.26</v>
      </c>
      <c r="G106" s="19" t="s">
        <v>192</v>
      </c>
      <c r="H106" s="19">
        <v>1833.865</v>
      </c>
      <c r="I106" s="19">
        <v>183.374</v>
      </c>
      <c r="J106" s="22" t="s">
        <v>192</v>
      </c>
      <c r="K106" s="7" t="s">
        <v>171</v>
      </c>
      <c r="L106" s="8"/>
      <c r="M106" s="8"/>
    </row>
    <row r="107" spans="1:13" x14ac:dyDescent="0.3">
      <c r="A107" s="6" t="s">
        <v>172</v>
      </c>
      <c r="B107" s="21">
        <v>6.55</v>
      </c>
      <c r="C107" s="19" t="s">
        <v>192</v>
      </c>
      <c r="D107" s="19">
        <v>1835.279</v>
      </c>
      <c r="E107" s="19">
        <v>24.291</v>
      </c>
      <c r="F107" s="20">
        <v>0.56100000000000005</v>
      </c>
      <c r="G107" s="19" t="s">
        <v>192</v>
      </c>
      <c r="H107" s="19">
        <v>204.245</v>
      </c>
      <c r="I107" s="19">
        <v>14.478999999999999</v>
      </c>
      <c r="J107" s="22" t="s">
        <v>192</v>
      </c>
      <c r="K107" s="7" t="s">
        <v>173</v>
      </c>
      <c r="L107" s="8"/>
      <c r="M107" s="8"/>
    </row>
    <row r="108" spans="1:13" x14ac:dyDescent="0.3">
      <c r="A108" s="6" t="s">
        <v>174</v>
      </c>
      <c r="B108" s="21">
        <v>240.232</v>
      </c>
      <c r="C108" s="19">
        <v>3.0000000000000001E-3</v>
      </c>
      <c r="D108" s="19">
        <v>73410.75</v>
      </c>
      <c r="E108" s="19">
        <v>35</v>
      </c>
      <c r="F108" s="20" t="s">
        <v>192</v>
      </c>
      <c r="G108" s="19">
        <v>200</v>
      </c>
      <c r="H108" s="19">
        <v>490.84</v>
      </c>
      <c r="I108" s="19">
        <v>11</v>
      </c>
      <c r="J108" s="22" t="s">
        <v>192</v>
      </c>
      <c r="K108" s="7" t="s">
        <v>175</v>
      </c>
      <c r="L108" s="8"/>
      <c r="M108" s="8"/>
    </row>
    <row r="109" spans="1:13" ht="15" thickBot="1" x14ac:dyDescent="0.35">
      <c r="A109" s="15" t="s">
        <v>176</v>
      </c>
      <c r="B109" s="23">
        <v>195.727</v>
      </c>
      <c r="C109" s="25">
        <v>1.046</v>
      </c>
      <c r="D109" s="25">
        <v>11485.168</v>
      </c>
      <c r="E109" s="25">
        <v>84.902000000000001</v>
      </c>
      <c r="F109" s="24" t="s">
        <v>192</v>
      </c>
      <c r="G109" s="25" t="s">
        <v>192</v>
      </c>
      <c r="H109" s="25">
        <v>948.41800000000001</v>
      </c>
      <c r="I109" s="25">
        <v>41.575000000000003</v>
      </c>
      <c r="J109" s="26" t="s">
        <v>192</v>
      </c>
      <c r="K109" s="16" t="s">
        <v>177</v>
      </c>
      <c r="L109" s="17"/>
      <c r="M109" s="17"/>
    </row>
  </sheetData>
  <mergeCells count="158">
    <mergeCell ref="A2:M2"/>
    <mergeCell ref="A3:M3"/>
    <mergeCell ref="L4:M4"/>
    <mergeCell ref="A5:A8"/>
    <mergeCell ref="B5:C6"/>
    <mergeCell ref="I5:I8"/>
    <mergeCell ref="J5:J8"/>
    <mergeCell ref="K5:M8"/>
    <mergeCell ref="B7:B8"/>
    <mergeCell ref="C7:C8"/>
    <mergeCell ref="D5:D8"/>
    <mergeCell ref="A11:A12"/>
    <mergeCell ref="B11:B12"/>
    <mergeCell ref="C11:C12"/>
    <mergeCell ref="E11:E12"/>
    <mergeCell ref="J9:J10"/>
    <mergeCell ref="K9:M10"/>
    <mergeCell ref="H5:H8"/>
    <mergeCell ref="F9:F10"/>
    <mergeCell ref="G9:G10"/>
    <mergeCell ref="F5:F8"/>
    <mergeCell ref="G5:G8"/>
    <mergeCell ref="A9:A10"/>
    <mergeCell ref="B9:B10"/>
    <mergeCell ref="C9:C10"/>
    <mergeCell ref="E9:E10"/>
    <mergeCell ref="E5:E8"/>
    <mergeCell ref="I9:I10"/>
    <mergeCell ref="F11:F12"/>
    <mergeCell ref="G11:G12"/>
    <mergeCell ref="H9:H10"/>
    <mergeCell ref="H11:H12"/>
    <mergeCell ref="D9:D10"/>
    <mergeCell ref="D11:D12"/>
    <mergeCell ref="A33:A34"/>
    <mergeCell ref="B33:B34"/>
    <mergeCell ref="C33:C34"/>
    <mergeCell ref="E33:E34"/>
    <mergeCell ref="H33:H34"/>
    <mergeCell ref="I33:I34"/>
    <mergeCell ref="J33:J34"/>
    <mergeCell ref="K33:M34"/>
    <mergeCell ref="A19:A20"/>
    <mergeCell ref="B19:B20"/>
    <mergeCell ref="C19:C20"/>
    <mergeCell ref="E19:E20"/>
    <mergeCell ref="H19:H20"/>
    <mergeCell ref="I19:I20"/>
    <mergeCell ref="G19:G20"/>
    <mergeCell ref="F33:F34"/>
    <mergeCell ref="G33:G34"/>
    <mergeCell ref="F19:F20"/>
    <mergeCell ref="D19:D20"/>
    <mergeCell ref="D33:D34"/>
    <mergeCell ref="A46:A47"/>
    <mergeCell ref="B46:B47"/>
    <mergeCell ref="C46:C47"/>
    <mergeCell ref="E46:E47"/>
    <mergeCell ref="H46:H47"/>
    <mergeCell ref="I46:I47"/>
    <mergeCell ref="F46:F47"/>
    <mergeCell ref="G46:G47"/>
    <mergeCell ref="A39:A40"/>
    <mergeCell ref="B39:B40"/>
    <mergeCell ref="C39:C40"/>
    <mergeCell ref="E39:E40"/>
    <mergeCell ref="H39:H40"/>
    <mergeCell ref="I39:I40"/>
    <mergeCell ref="F39:F40"/>
    <mergeCell ref="G39:G40"/>
    <mergeCell ref="D39:D40"/>
    <mergeCell ref="D46:D47"/>
    <mergeCell ref="A60:A61"/>
    <mergeCell ref="B60:B61"/>
    <mergeCell ref="C60:C61"/>
    <mergeCell ref="E60:E61"/>
    <mergeCell ref="H60:H61"/>
    <mergeCell ref="I60:I61"/>
    <mergeCell ref="J60:J61"/>
    <mergeCell ref="K60:M61"/>
    <mergeCell ref="G53:G54"/>
    <mergeCell ref="A53:A54"/>
    <mergeCell ref="B53:B54"/>
    <mergeCell ref="C53:C54"/>
    <mergeCell ref="E53:E54"/>
    <mergeCell ref="H53:H54"/>
    <mergeCell ref="I53:I54"/>
    <mergeCell ref="J53:J54"/>
    <mergeCell ref="K53:M54"/>
    <mergeCell ref="F53:F54"/>
    <mergeCell ref="F60:F61"/>
    <mergeCell ref="G60:G61"/>
    <mergeCell ref="D53:D54"/>
    <mergeCell ref="D60:D61"/>
    <mergeCell ref="A65:A66"/>
    <mergeCell ref="B65:B66"/>
    <mergeCell ref="C65:C66"/>
    <mergeCell ref="E65:E66"/>
    <mergeCell ref="H65:H66"/>
    <mergeCell ref="I65:I66"/>
    <mergeCell ref="J65:J66"/>
    <mergeCell ref="K65:M66"/>
    <mergeCell ref="F72:F73"/>
    <mergeCell ref="G72:G73"/>
    <mergeCell ref="F65:F66"/>
    <mergeCell ref="G65:G66"/>
    <mergeCell ref="D72:D73"/>
    <mergeCell ref="D65:D66"/>
    <mergeCell ref="E82:E83"/>
    <mergeCell ref="H82:H83"/>
    <mergeCell ref="I82:I83"/>
    <mergeCell ref="J104:J105"/>
    <mergeCell ref="K104:M105"/>
    <mergeCell ref="A72:A73"/>
    <mergeCell ref="B72:B73"/>
    <mergeCell ref="C72:C73"/>
    <mergeCell ref="E72:E73"/>
    <mergeCell ref="H72:H73"/>
    <mergeCell ref="I72:I73"/>
    <mergeCell ref="J72:J73"/>
    <mergeCell ref="K72:M73"/>
    <mergeCell ref="D82:D83"/>
    <mergeCell ref="D89:D90"/>
    <mergeCell ref="D104:D105"/>
    <mergeCell ref="J19:J20"/>
    <mergeCell ref="K19:M20"/>
    <mergeCell ref="I11:I12"/>
    <mergeCell ref="J11:J12"/>
    <mergeCell ref="K11:M12"/>
    <mergeCell ref="A104:A105"/>
    <mergeCell ref="B104:B105"/>
    <mergeCell ref="C104:C105"/>
    <mergeCell ref="E104:E105"/>
    <mergeCell ref="H104:H105"/>
    <mergeCell ref="I104:I105"/>
    <mergeCell ref="J82:J83"/>
    <mergeCell ref="K82:M83"/>
    <mergeCell ref="A89:A90"/>
    <mergeCell ref="B89:B90"/>
    <mergeCell ref="C89:C90"/>
    <mergeCell ref="E89:E90"/>
    <mergeCell ref="H89:H90"/>
    <mergeCell ref="I89:I90"/>
    <mergeCell ref="J89:J90"/>
    <mergeCell ref="K89:M90"/>
    <mergeCell ref="A82:A83"/>
    <mergeCell ref="B82:B83"/>
    <mergeCell ref="C82:C83"/>
    <mergeCell ref="F104:F105"/>
    <mergeCell ref="G104:G105"/>
    <mergeCell ref="F89:F90"/>
    <mergeCell ref="G89:G90"/>
    <mergeCell ref="F82:F83"/>
    <mergeCell ref="G82:G83"/>
    <mergeCell ref="J46:J47"/>
    <mergeCell ref="K46:M47"/>
    <mergeCell ref="J39:J40"/>
    <mergeCell ref="K39:M40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2015-05-19T07:21:10Z</cp:lastPrinted>
  <dcterms:created xsi:type="dcterms:W3CDTF">2015-05-19T06:55:03Z</dcterms:created>
  <dcterms:modified xsi:type="dcterms:W3CDTF">2023-08-22T09:46:25Z</dcterms:modified>
</cp:coreProperties>
</file>