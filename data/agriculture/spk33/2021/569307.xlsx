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55535C81-1188-4795-AC96-AD21A8B69956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9" i="1"/>
  <c r="B9" i="1"/>
  <c r="B35" i="1"/>
  <c r="F19" i="1"/>
  <c r="I8" i="1"/>
  <c r="E8" i="1"/>
  <c r="D8" i="1"/>
  <c r="F11" i="1"/>
  <c r="D90" i="1"/>
  <c r="E90" i="1"/>
  <c r="G90" i="1"/>
  <c r="H90" i="1"/>
  <c r="I90" i="1"/>
  <c r="J90" i="1"/>
  <c r="D76" i="1"/>
  <c r="E76" i="1"/>
  <c r="G76" i="1"/>
  <c r="H76" i="1"/>
  <c r="I76" i="1"/>
  <c r="J76" i="1"/>
  <c r="D70" i="1"/>
  <c r="E70" i="1"/>
  <c r="G70" i="1"/>
  <c r="H70" i="1"/>
  <c r="I70" i="1"/>
  <c r="J70" i="1"/>
  <c r="D61" i="1"/>
  <c r="E61" i="1"/>
  <c r="G61" i="1"/>
  <c r="H61" i="1"/>
  <c r="I61" i="1"/>
  <c r="J61" i="1"/>
  <c r="D55" i="1"/>
  <c r="E55" i="1"/>
  <c r="G55" i="1"/>
  <c r="H55" i="1"/>
  <c r="I55" i="1"/>
  <c r="J55" i="1"/>
  <c r="K55" i="1"/>
  <c r="E51" i="1"/>
  <c r="G51" i="1"/>
  <c r="H51" i="1"/>
  <c r="I51" i="1"/>
  <c r="J51" i="1"/>
  <c r="K51" i="1"/>
  <c r="D51" i="1"/>
  <c r="G39" i="1"/>
  <c r="J45" i="1"/>
  <c r="J39" i="1"/>
  <c r="D39" i="1"/>
  <c r="E39" i="1"/>
  <c r="H39" i="1"/>
  <c r="I39" i="1"/>
  <c r="K39" i="1"/>
  <c r="C39" i="1"/>
  <c r="K33" i="1"/>
  <c r="J33" i="1"/>
  <c r="I33" i="1"/>
  <c r="H33" i="1"/>
  <c r="G33" i="1"/>
  <c r="K28" i="1"/>
  <c r="G28" i="1"/>
  <c r="J28" i="1"/>
  <c r="J15" i="1"/>
  <c r="J23" i="1"/>
  <c r="J8" i="1"/>
  <c r="F69" i="1"/>
  <c r="F68" i="1"/>
  <c r="F67" i="1"/>
  <c r="F66" i="1"/>
  <c r="F65" i="1"/>
  <c r="F64" i="1"/>
  <c r="F63" i="1"/>
  <c r="F62" i="1"/>
  <c r="F75" i="1"/>
  <c r="F74" i="1"/>
  <c r="F73" i="1"/>
  <c r="F72" i="1"/>
  <c r="F71" i="1"/>
  <c r="F80" i="1"/>
  <c r="B62" i="1"/>
  <c r="B10" i="1"/>
  <c r="C8" i="1"/>
  <c r="K23" i="1"/>
  <c r="H23" i="1"/>
  <c r="I23" i="1"/>
  <c r="G23" i="1"/>
  <c r="D23" i="1"/>
  <c r="E23" i="1"/>
  <c r="C23" i="1"/>
  <c r="B20" i="1"/>
  <c r="K15" i="1"/>
  <c r="H15" i="1"/>
  <c r="I15" i="1"/>
  <c r="G15" i="1"/>
  <c r="D15" i="1"/>
  <c r="E15" i="1"/>
  <c r="C15" i="1"/>
  <c r="B16" i="1"/>
  <c r="K8" i="1"/>
  <c r="F92" i="1"/>
  <c r="F93" i="1"/>
  <c r="F94" i="1"/>
  <c r="F91" i="1"/>
  <c r="F88" i="1"/>
  <c r="F89" i="1"/>
  <c r="F87" i="1"/>
  <c r="F86" i="1"/>
  <c r="F85" i="1"/>
  <c r="F84" i="1"/>
  <c r="F83" i="1"/>
  <c r="F82" i="1"/>
  <c r="F81" i="1"/>
  <c r="F78" i="1"/>
  <c r="F79" i="1"/>
  <c r="F77" i="1"/>
  <c r="F57" i="1"/>
  <c r="F58" i="1"/>
  <c r="F59" i="1"/>
  <c r="F60" i="1"/>
  <c r="F56" i="1"/>
  <c r="F53" i="1"/>
  <c r="F54" i="1"/>
  <c r="F52" i="1"/>
  <c r="F50" i="1"/>
  <c r="F49" i="1"/>
  <c r="F47" i="1"/>
  <c r="F48" i="1"/>
  <c r="F46" i="1"/>
  <c r="F41" i="1"/>
  <c r="F42" i="1"/>
  <c r="F43" i="1"/>
  <c r="F44" i="1"/>
  <c r="F40" i="1"/>
  <c r="F35" i="1"/>
  <c r="F36" i="1"/>
  <c r="F37" i="1"/>
  <c r="F38" i="1"/>
  <c r="F34" i="1"/>
  <c r="F30" i="1"/>
  <c r="F31" i="1"/>
  <c r="F32" i="1"/>
  <c r="F29" i="1"/>
  <c r="F17" i="1"/>
  <c r="F18" i="1"/>
  <c r="F21" i="1"/>
  <c r="F22" i="1"/>
  <c r="F24" i="1"/>
  <c r="F25" i="1"/>
  <c r="F26" i="1"/>
  <c r="F27" i="1"/>
  <c r="F16" i="1"/>
  <c r="F10" i="1"/>
  <c r="F12" i="1"/>
  <c r="F13" i="1"/>
  <c r="F14" i="1"/>
  <c r="B92" i="1"/>
  <c r="B93" i="1"/>
  <c r="B94" i="1"/>
  <c r="B91" i="1"/>
  <c r="B78" i="1"/>
  <c r="B79" i="1"/>
  <c r="B80" i="1"/>
  <c r="B81" i="1"/>
  <c r="B82" i="1"/>
  <c r="B83" i="1"/>
  <c r="B84" i="1"/>
  <c r="B85" i="1"/>
  <c r="B86" i="1"/>
  <c r="B87" i="1"/>
  <c r="B88" i="1"/>
  <c r="B89" i="1"/>
  <c r="B77" i="1"/>
  <c r="B72" i="1"/>
  <c r="B73" i="1"/>
  <c r="B74" i="1"/>
  <c r="B75" i="1"/>
  <c r="B71" i="1"/>
  <c r="B64" i="1"/>
  <c r="B65" i="1"/>
  <c r="B66" i="1"/>
  <c r="B67" i="1"/>
  <c r="B68" i="1"/>
  <c r="B69" i="1"/>
  <c r="B63" i="1"/>
  <c r="B57" i="1"/>
  <c r="B58" i="1"/>
  <c r="B59" i="1"/>
  <c r="B60" i="1"/>
  <c r="B56" i="1"/>
  <c r="B53" i="1"/>
  <c r="B54" i="1"/>
  <c r="B52" i="1"/>
  <c r="B47" i="1"/>
  <c r="B48" i="1"/>
  <c r="B49" i="1"/>
  <c r="B50" i="1"/>
  <c r="B46" i="1"/>
  <c r="B41" i="1"/>
  <c r="B42" i="1"/>
  <c r="B43" i="1"/>
  <c r="B44" i="1"/>
  <c r="B40" i="1"/>
  <c r="B36" i="1"/>
  <c r="B37" i="1"/>
  <c r="B38" i="1"/>
  <c r="B34" i="1"/>
  <c r="B30" i="1"/>
  <c r="B31" i="1"/>
  <c r="B32" i="1"/>
  <c r="B29" i="1"/>
  <c r="B17" i="1"/>
  <c r="B18" i="1"/>
  <c r="B19" i="1"/>
  <c r="B21" i="1"/>
  <c r="B22" i="1"/>
  <c r="B24" i="1"/>
  <c r="B25" i="1"/>
  <c r="B26" i="1"/>
  <c r="B27" i="1"/>
  <c r="B11" i="1"/>
  <c r="B12" i="1"/>
  <c r="B13" i="1"/>
  <c r="B14" i="1"/>
  <c r="C90" i="1"/>
  <c r="C76" i="1"/>
  <c r="C70" i="1"/>
  <c r="C61" i="1"/>
  <c r="C55" i="1"/>
  <c r="C51" i="1"/>
  <c r="C45" i="1"/>
  <c r="C33" i="1"/>
  <c r="C28" i="1"/>
  <c r="K90" i="1"/>
  <c r="K76" i="1"/>
  <c r="K70" i="1"/>
  <c r="K61" i="1"/>
  <c r="K45" i="1"/>
  <c r="I45" i="1"/>
  <c r="H45" i="1"/>
  <c r="G45" i="1"/>
  <c r="E45" i="1"/>
  <c r="D45" i="1"/>
  <c r="E33" i="1"/>
  <c r="D33" i="1"/>
  <c r="I28" i="1"/>
  <c r="H28" i="1"/>
  <c r="E28" i="1"/>
  <c r="D28" i="1"/>
  <c r="H8" i="1"/>
  <c r="G8" i="1"/>
  <c r="B55" i="1" l="1"/>
  <c r="B70" i="1"/>
  <c r="B90" i="1"/>
  <c r="F15" i="1"/>
  <c r="F55" i="1"/>
  <c r="F33" i="1"/>
  <c r="B33" i="1"/>
  <c r="B28" i="1"/>
  <c r="B76" i="1"/>
  <c r="F70" i="1"/>
  <c r="F51" i="1"/>
  <c r="B45" i="1"/>
  <c r="B23" i="1"/>
  <c r="F90" i="1"/>
  <c r="F76" i="1"/>
  <c r="F61" i="1"/>
  <c r="B51" i="1"/>
  <c r="F39" i="1"/>
  <c r="B39" i="1"/>
  <c r="H7" i="1"/>
  <c r="F28" i="1"/>
  <c r="F23" i="1"/>
  <c r="C7" i="1"/>
  <c r="D7" i="1"/>
  <c r="B15" i="1"/>
  <c r="F45" i="1"/>
  <c r="F8" i="1"/>
  <c r="B61" i="1"/>
  <c r="B8" i="1"/>
  <c r="J7" i="1"/>
  <c r="G7" i="1"/>
  <c r="I7" i="1"/>
  <c r="K7" i="1"/>
  <c r="E7" i="1"/>
  <c r="F7" i="1" l="1"/>
  <c r="B7" i="1"/>
</calcChain>
</file>

<file path=xl/sharedStrings.xml><?xml version="1.0" encoding="utf-8"?>
<sst xmlns="http://schemas.openxmlformats.org/spreadsheetml/2006/main" count="364" uniqueCount="194">
  <si>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</si>
  <si>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</si>
  <si>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</si>
  <si>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</si>
  <si>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</si>
  <si>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</si>
  <si>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</si>
  <si>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</si>
  <si>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</si>
  <si>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</si>
  <si>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</si>
  <si>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</si>
  <si>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</si>
  <si>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</si>
  <si>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</si>
  <si>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</si>
  <si>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</si>
  <si>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</si>
  <si>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</si>
  <si>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</si>
  <si>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</si>
  <si>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</si>
  <si>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</si>
  <si>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</si>
  <si>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</si>
  <si>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</si>
  <si>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</si>
  <si>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</si>
  <si>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</si>
  <si>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</si>
  <si>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</si>
  <si>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</si>
  <si>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</si>
  <si>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</si>
  <si>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</si>
  <si>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</si>
  <si>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</si>
  <si>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</si>
  <si>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</si>
  <si>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</si>
  <si>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</si>
  <si>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</si>
  <si>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</si>
  <si>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</si>
  <si>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</si>
  <si>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</si>
  <si>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</si>
  <si>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</si>
  <si>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</si>
  <si>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</si>
  <si>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</si>
  <si>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</si>
  <si>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</si>
  <si>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</si>
  <si>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</si>
  <si>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</si>
  <si>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</si>
  <si>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</si>
  <si>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</si>
  <si>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</si>
  <si>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</si>
  <si>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</si>
  <si>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</si>
  <si>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</si>
  <si>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</si>
  <si>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</si>
  <si>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</si>
  <si>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</si>
  <si>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</si>
  <si>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</si>
  <si>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</si>
  <si>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</si>
  <si>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</si>
  <si>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</si>
  <si>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</si>
  <si>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</si>
  <si>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</si>
  <si>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</si>
  <si>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</si>
  <si>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</si>
  <si>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</si>
  <si>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</si>
  <si>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</si>
  <si>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</si>
  <si>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</si>
  <si>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</si>
  <si>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</si>
  <si>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</si>
  <si>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</si>
  <si>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</si>
  <si>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</si>
  <si>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</si>
  <si>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</si>
  <si>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</si>
  <si>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</si>
  <si>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</si>
  <si>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</si>
  <si>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</si>
  <si>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</si>
  <si>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</si>
  <si>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</si>
  <si>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</si>
  <si>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</si>
  <si>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</si>
  <si>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Από αυτούς για αναπαραγωγή Thereof for breeding</t>
  </si>
  <si>
    <t>Περιφέρεια Δυτικής Μακεδονίας</t>
  </si>
  <si>
    <t>Region of Western Macedonia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</si>
  <si>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</si>
  <si>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</si>
  <si>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</si>
  <si>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</si>
  <si>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</si>
  <si>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</si>
  <si>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</si>
  <si>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Πρόβατα
Sheep</t>
  </si>
  <si>
    <t>Αίγες
Goats</t>
  </si>
  <si>
    <t>Χοίροι
Pigs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</si>
  <si>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</si>
  <si>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</si>
  <si>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</si>
  <si>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</si>
  <si>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</si>
  <si>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</si>
  <si>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</si>
  <si>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</si>
  <si>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</si>
  <si>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</si>
  <si>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</si>
  <si>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</si>
  <si>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</si>
  <si>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</si>
  <si>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</si>
  <si>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</si>
  <si>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</si>
  <si>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</si>
  <si>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</si>
  <si>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</si>
  <si>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</si>
  <si>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</si>
  <si>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</si>
  <si>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</si>
  <si>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</si>
  <si>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</si>
  <si>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</si>
  <si>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</si>
  <si>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</si>
  <si>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</si>
  <si>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</si>
  <si>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</si>
  <si>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</si>
  <si>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</si>
  <si>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</si>
  <si>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</si>
  <si>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</si>
  <si>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</si>
  <si>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</si>
  <si>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</si>
  <si>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</si>
  <si>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</si>
  <si>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</si>
  <si>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</si>
  <si>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</si>
  <si>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</si>
  <si>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</si>
  <si>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</si>
  <si>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</si>
  <si>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</si>
  <si>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</si>
  <si>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</si>
  <si>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</si>
  <si>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</si>
  <si>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</si>
  <si>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</si>
  <si>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</si>
  <si>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</si>
  <si>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</si>
  <si>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</si>
  <si>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</si>
  <si>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</si>
  <si>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</si>
  <si>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</si>
  <si>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</si>
  <si>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</si>
  <si>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</si>
  <si>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</si>
  <si>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</si>
  <si>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</si>
  <si>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</si>
  <si>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</si>
  <si>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</si>
  <si>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</si>
  <si>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—</t>
  </si>
  <si>
    <t>Πίνακας 3. Πρόβατα, αίγες και χοίροι (όλων των ηλικιών) στις 31.12.2021, κατά Περιφέρεια και Περιφερειακή Ενότητα</t>
  </si>
  <si>
    <t>Table 3. Sheep, goats and pigs (all ages) on 31st December 2021,by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</si>
</sst>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3" fontId="3" fillId="0" borderId="9" xfId="0" quotePrefix="1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49" fontId="2" fillId="0" borderId="0" xfId="0" applyNumberFormat="1" applyFont="1" applyAlignment="1">
      <alignment vertical="center" wrapText="1"/>
    </xf>
    <xf numFmtId="3" fontId="2" fillId="0" borderId="9" xfId="0" quotePrefix="1" applyNumberFormat="1" applyFont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0" borderId="0" xfId="0" quotePrefix="1" applyNumberFormat="1" applyFont="1" applyAlignment="1">
      <alignment horizontal="right" vertical="center"/>
    </xf>
    <xf numFmtId="3" fontId="2" fillId="0" borderId="12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3" fontId="3" fillId="0" borderId="16" xfId="0" quotePrefix="1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indent="1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49" fontId="2" fillId="0" borderId="19" xfId="0" applyNumberFormat="1" applyFont="1" applyBorder="1" applyAlignment="1">
      <alignment vertical="center" wrapText="1"/>
    </xf>
    <xf numFmtId="3" fontId="2" fillId="0" borderId="20" xfId="0" applyNumberFormat="1" applyFont="1" applyBorder="1" applyAlignment="1">
      <alignment vertical="center" wrapText="1"/>
    </xf>
    <xf numFmtId="3" fontId="2" fillId="0" borderId="5" xfId="0" applyNumberFormat="1" applyFont="1" applyBorder="1" applyAlignment="1">
      <alignment vertical="center" wrapText="1"/>
    </xf>
    <xf numFmtId="3" fontId="2" fillId="0" borderId="11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49" fontId="2" fillId="0" borderId="17" xfId="0" applyNumberFormat="1" applyFont="1" applyBorder="1" applyAlignment="1">
      <alignment vertical="center" wrapText="1"/>
    </xf>
    <xf numFmtId="3" fontId="2" fillId="0" borderId="18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2" fillId="0" borderId="2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right" vertical="top"/>
    </xf>
    <xf numFmtId="3" fontId="8" fillId="0" borderId="0" xfId="0" applyNumberFormat="1" applyFont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3" fontId="8" fillId="0" borderId="13" xfId="0" applyNumberFormat="1" applyFont="1" applyBorder="1" applyAlignment="1">
      <alignment horizontal="right" vertical="top"/>
    </xf>
    <xf numFmtId="3" fontId="8" fillId="0" borderId="1" xfId="0" applyNumberFormat="1" applyFont="1" applyBorder="1" applyAlignment="1">
      <alignment horizontal="right" vertical="top"/>
    </xf>
    <xf numFmtId="3" fontId="8" fillId="0" borderId="12" xfId="0" applyNumberFormat="1" applyFont="1" applyBorder="1" applyAlignment="1">
      <alignment horizontal="right" vertical="top"/>
    </xf>
    <xf numFmtId="0" fontId="8" fillId="0" borderId="12" xfId="0" applyFont="1" applyBorder="1" applyAlignment="1">
      <alignment horizontal="right" vertical="top"/>
    </xf>
    <xf numFmtId="3" fontId="8" fillId="0" borderId="14" xfId="0" applyNumberFormat="1" applyFont="1" applyBorder="1" applyAlignment="1">
      <alignment horizontal="right" vertical="top"/>
    </xf>
    <xf numFmtId="0" fontId="7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0"/>
  <sheetViews>
    <sheetView showGridLines="0" tabSelected="1" zoomScaleNormal="100" workbookViewId="0">
      <selection activeCell="O15" sqref="O15"/>
    </sheetView>
  </sheetViews>
  <sheetFormatPr defaultRowHeight="14.4" x14ac:dyDescent="0.3"/>
  <cols>
    <col min="1" max="1" width="42.88671875" bestFit="1" customWidth="1"/>
    <col min="2" max="2" width="9.109375" bestFit="1" customWidth="1"/>
    <col min="3" max="3" width="8.6640625" bestFit="1" customWidth="1"/>
    <col min="4" max="4" width="11.5546875" bestFit="1" customWidth="1"/>
    <col min="5" max="5" width="9.21875" bestFit="1" customWidth="1"/>
    <col min="6" max="6" width="9.109375" bestFit="1" customWidth="1"/>
    <col min="7" max="7" width="9" bestFit="1" customWidth="1"/>
    <col min="8" max="8" width="12.109375" bestFit="1" customWidth="1"/>
    <col min="9" max="9" width="9.77734375" bestFit="1" customWidth="1"/>
    <col min="10" max="10" width="7.5546875" bestFit="1" customWidth="1"/>
    <col min="11" max="11" width="13.88671875" bestFit="1" customWidth="1"/>
    <col min="12" max="12" width="35.88671875" bestFit="1" customWidth="1"/>
    <col min="13" max="13" width="10.109375" customWidth="1"/>
  </cols>
  <sheetData>
    <row r="1" spans="1:13" ht="5.7" customHeight="1" x14ac:dyDescent="0.3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3"/>
      <c r="M1" s="4"/>
    </row>
    <row r="2" spans="1:13" ht="18" x14ac:dyDescent="0.3">
      <c r="A2" s="62" t="s">
        <v>192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4"/>
    </row>
    <row r="3" spans="1:13" ht="18" x14ac:dyDescent="0.3">
      <c r="A3" s="62" t="s">
        <v>193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4"/>
    </row>
    <row r="4" spans="1:13" ht="15" thickBot="1" x14ac:dyDescent="0.35">
      <c r="A4" s="49" t="s">
        <v>0</v>
      </c>
      <c r="B4" s="6"/>
      <c r="C4" s="6"/>
      <c r="D4" s="6"/>
      <c r="E4" s="6"/>
      <c r="F4" s="6"/>
      <c r="G4" s="7"/>
      <c r="H4" s="7"/>
      <c r="I4" s="7"/>
      <c r="J4" s="7"/>
      <c r="K4" s="7"/>
      <c r="L4" s="48" t="s">
        <v>1</v>
      </c>
      <c r="M4" s="8"/>
    </row>
    <row r="5" spans="1:13" ht="39.450000000000003" customHeight="1" x14ac:dyDescent="0.3">
      <c r="A5" s="68" t="s">
        <v>2</v>
      </c>
      <c r="B5" s="65" t="s">
        <v>114</v>
      </c>
      <c r="C5" s="66"/>
      <c r="D5" s="66"/>
      <c r="E5" s="67"/>
      <c r="F5" s="63" t="s">
        <v>115</v>
      </c>
      <c r="G5" s="66"/>
      <c r="H5" s="66"/>
      <c r="I5" s="67"/>
      <c r="J5" s="63" t="s">
        <v>116</v>
      </c>
      <c r="K5" s="64"/>
      <c r="L5" s="70" t="s">
        <v>3</v>
      </c>
    </row>
    <row r="6" spans="1:13" ht="57.6" x14ac:dyDescent="0.3">
      <c r="A6" s="69"/>
      <c r="B6" s="50" t="s">
        <v>107</v>
      </c>
      <c r="C6" s="51" t="s">
        <v>108</v>
      </c>
      <c r="D6" s="51" t="s">
        <v>109</v>
      </c>
      <c r="E6" s="51" t="s">
        <v>110</v>
      </c>
      <c r="F6" s="52" t="s">
        <v>107</v>
      </c>
      <c r="G6" s="51" t="s">
        <v>111</v>
      </c>
      <c r="H6" s="51" t="s">
        <v>112</v>
      </c>
      <c r="I6" s="51" t="s">
        <v>113</v>
      </c>
      <c r="J6" s="52" t="s">
        <v>107</v>
      </c>
      <c r="K6" s="53" t="s">
        <v>104</v>
      </c>
      <c r="L6" s="71"/>
    </row>
    <row r="7" spans="1:13" ht="25.65" customHeight="1" x14ac:dyDescent="0.3">
      <c r="A7" s="34" t="s">
        <v>4</v>
      </c>
      <c r="B7" s="35">
        <f t="shared" ref="B7:K7" si="0">SUM(B8,B15,B23,B28,B33,B39,B45,B51,B55,B61,B70,B76,B90)</f>
        <v>9052105</v>
      </c>
      <c r="C7" s="36">
        <f t="shared" si="0"/>
        <v>216407</v>
      </c>
      <c r="D7" s="36">
        <f t="shared" si="0"/>
        <v>8365391</v>
      </c>
      <c r="E7" s="36">
        <f t="shared" si="0"/>
        <v>470307</v>
      </c>
      <c r="F7" s="36">
        <f t="shared" si="0"/>
        <v>3751549</v>
      </c>
      <c r="G7" s="36">
        <f t="shared" si="0"/>
        <v>162556</v>
      </c>
      <c r="H7" s="36">
        <f t="shared" si="0"/>
        <v>3493340</v>
      </c>
      <c r="I7" s="36">
        <f t="shared" si="0"/>
        <v>95653</v>
      </c>
      <c r="J7" s="36">
        <f t="shared" si="0"/>
        <v>664636</v>
      </c>
      <c r="K7" s="37">
        <f t="shared" si="0"/>
        <v>100994</v>
      </c>
      <c r="L7" s="38" t="s">
        <v>5</v>
      </c>
    </row>
    <row r="8" spans="1:13" ht="21.3" customHeight="1" x14ac:dyDescent="0.3">
      <c r="A8" s="39" t="s">
        <v>6</v>
      </c>
      <c r="B8" s="40">
        <f>SUM(B9:B14)</f>
        <v>435629</v>
      </c>
      <c r="C8" s="41">
        <f>SUM(C9:C14)</f>
        <v>15627</v>
      </c>
      <c r="D8" s="41">
        <f>SUM(D9:D14)</f>
        <v>420002</v>
      </c>
      <c r="E8" s="41">
        <f>SUM(E9:E14)</f>
        <v>0</v>
      </c>
      <c r="F8" s="41">
        <f>SUM(F9:F14)</f>
        <v>346566</v>
      </c>
      <c r="G8" s="41">
        <f t="shared" ref="G8:H8" si="1">SUM(G9:G14)</f>
        <v>12117</v>
      </c>
      <c r="H8" s="41">
        <f t="shared" si="1"/>
        <v>334449</v>
      </c>
      <c r="I8" s="41">
        <f>SUM(I9:I14)</f>
        <v>0</v>
      </c>
      <c r="J8" s="41">
        <f>SUM(J9:J14)</f>
        <v>21976</v>
      </c>
      <c r="K8" s="42">
        <f>SUM(K9:K14)</f>
        <v>7309</v>
      </c>
      <c r="L8" s="5" t="s">
        <v>7</v>
      </c>
    </row>
    <row r="9" spans="1:13" x14ac:dyDescent="0.3">
      <c r="A9" s="9" t="s">
        <v>185</v>
      </c>
      <c r="B9" s="10">
        <f>SUM(C9:E9)</f>
        <v>102523</v>
      </c>
      <c r="C9" s="54">
        <v>248</v>
      </c>
      <c r="D9" s="55">
        <v>102275</v>
      </c>
      <c r="E9" s="54" t="s">
        <v>191</v>
      </c>
      <c r="F9" s="11">
        <f>SUM(G9:I9)</f>
        <v>69126</v>
      </c>
      <c r="G9" s="54">
        <v>180</v>
      </c>
      <c r="H9" s="55">
        <v>68946</v>
      </c>
      <c r="I9" s="54" t="s">
        <v>191</v>
      </c>
      <c r="J9" s="55">
        <v>379</v>
      </c>
      <c r="K9" s="59">
        <v>229</v>
      </c>
      <c r="L9" s="12" t="s">
        <v>8</v>
      </c>
    </row>
    <row r="10" spans="1:13" x14ac:dyDescent="0.3">
      <c r="A10" s="9" t="s">
        <v>186</v>
      </c>
      <c r="B10" s="10">
        <f>SUM(C10:E10)</f>
        <v>90155</v>
      </c>
      <c r="C10" s="54">
        <v>4275</v>
      </c>
      <c r="D10" s="55">
        <v>85880</v>
      </c>
      <c r="E10" s="54" t="s">
        <v>191</v>
      </c>
      <c r="F10" s="11">
        <f t="shared" ref="F10:F14" si="2">SUM(G10:I10)</f>
        <v>56778</v>
      </c>
      <c r="G10" s="54">
        <v>589</v>
      </c>
      <c r="H10" s="55">
        <v>56189</v>
      </c>
      <c r="I10" s="54" t="s">
        <v>191</v>
      </c>
      <c r="J10" s="55">
        <v>14810</v>
      </c>
      <c r="K10" s="59">
        <v>5519</v>
      </c>
      <c r="L10" s="12" t="s">
        <v>9</v>
      </c>
    </row>
    <row r="11" spans="1:13" x14ac:dyDescent="0.3">
      <c r="A11" s="9" t="s">
        <v>187</v>
      </c>
      <c r="B11" s="10">
        <f t="shared" ref="B11:B14" si="3">SUM(C11:E11)</f>
        <v>74439</v>
      </c>
      <c r="C11" s="54">
        <v>10928</v>
      </c>
      <c r="D11" s="55">
        <v>63511</v>
      </c>
      <c r="E11" s="54" t="s">
        <v>191</v>
      </c>
      <c r="F11" s="11">
        <f>SUM(G11:I11)</f>
        <v>82637</v>
      </c>
      <c r="G11" s="54">
        <v>11241</v>
      </c>
      <c r="H11" s="55">
        <v>71396</v>
      </c>
      <c r="I11" s="54" t="s">
        <v>191</v>
      </c>
      <c r="J11" s="55">
        <v>2226</v>
      </c>
      <c r="K11" s="59">
        <v>999</v>
      </c>
      <c r="L11" s="12" t="s">
        <v>10</v>
      </c>
    </row>
    <row r="12" spans="1:13" x14ac:dyDescent="0.3">
      <c r="A12" s="9" t="s">
        <v>188</v>
      </c>
      <c r="B12" s="10">
        <f t="shared" si="3"/>
        <v>19887</v>
      </c>
      <c r="C12" s="54">
        <v>46</v>
      </c>
      <c r="D12" s="55">
        <v>19841</v>
      </c>
      <c r="E12" s="54" t="s">
        <v>191</v>
      </c>
      <c r="F12" s="11">
        <f t="shared" si="2"/>
        <v>15279</v>
      </c>
      <c r="G12" s="54">
        <v>53</v>
      </c>
      <c r="H12" s="55">
        <v>15226</v>
      </c>
      <c r="I12" s="54" t="s">
        <v>191</v>
      </c>
      <c r="J12" s="55" t="s">
        <v>191</v>
      </c>
      <c r="K12" s="59" t="s">
        <v>191</v>
      </c>
      <c r="L12" s="12" t="s">
        <v>11</v>
      </c>
    </row>
    <row r="13" spans="1:13" x14ac:dyDescent="0.3">
      <c r="A13" s="9" t="s">
        <v>189</v>
      </c>
      <c r="B13" s="10">
        <f t="shared" si="3"/>
        <v>62025</v>
      </c>
      <c r="C13" s="54">
        <v>130</v>
      </c>
      <c r="D13" s="55">
        <v>61895</v>
      </c>
      <c r="E13" s="54" t="s">
        <v>191</v>
      </c>
      <c r="F13" s="11">
        <f t="shared" si="2"/>
        <v>57426</v>
      </c>
      <c r="G13" s="54">
        <v>54</v>
      </c>
      <c r="H13" s="55">
        <v>57372</v>
      </c>
      <c r="I13" s="54" t="s">
        <v>191</v>
      </c>
      <c r="J13" s="55">
        <v>2978</v>
      </c>
      <c r="K13" s="59">
        <v>192</v>
      </c>
      <c r="L13" s="12" t="s">
        <v>12</v>
      </c>
    </row>
    <row r="14" spans="1:13" x14ac:dyDescent="0.3">
      <c r="A14" s="9" t="s">
        <v>190</v>
      </c>
      <c r="B14" s="10">
        <f t="shared" si="3"/>
        <v>86600</v>
      </c>
      <c r="C14" s="56" t="s">
        <v>191</v>
      </c>
      <c r="D14" s="55">
        <v>86600</v>
      </c>
      <c r="E14" s="56" t="s">
        <v>191</v>
      </c>
      <c r="F14" s="11">
        <f t="shared" si="2"/>
        <v>65320</v>
      </c>
      <c r="G14" s="56" t="s">
        <v>191</v>
      </c>
      <c r="H14" s="55">
        <v>65320</v>
      </c>
      <c r="I14" s="56" t="s">
        <v>191</v>
      </c>
      <c r="J14" s="55">
        <v>1583</v>
      </c>
      <c r="K14" s="60">
        <v>370</v>
      </c>
      <c r="L14" s="12" t="s">
        <v>13</v>
      </c>
    </row>
    <row r="15" spans="1:13" ht="23.85" customHeight="1" x14ac:dyDescent="0.3">
      <c r="A15" s="39" t="s">
        <v>14</v>
      </c>
      <c r="B15" s="40">
        <f>SUM(B16:B22)</f>
        <v>733553</v>
      </c>
      <c r="C15" s="41">
        <f>SUM(C16:C22)</f>
        <v>2553</v>
      </c>
      <c r="D15" s="41">
        <f t="shared" ref="D15:E15" si="4">SUM(D16:D22)</f>
        <v>730810</v>
      </c>
      <c r="E15" s="41">
        <f t="shared" si="4"/>
        <v>190</v>
      </c>
      <c r="F15" s="41">
        <f>SUM(F16:F22)</f>
        <v>431691</v>
      </c>
      <c r="G15" s="41">
        <f>SUM(G16:G22)</f>
        <v>2626</v>
      </c>
      <c r="H15" s="41">
        <f t="shared" ref="H15:I15" si="5">SUM(H16:H22)</f>
        <v>429017</v>
      </c>
      <c r="I15" s="41">
        <f t="shared" si="5"/>
        <v>48</v>
      </c>
      <c r="J15" s="41">
        <f>SUM(J16:J22)</f>
        <v>109708</v>
      </c>
      <c r="K15" s="42">
        <f>SUM(K16:K22)</f>
        <v>14814</v>
      </c>
      <c r="L15" s="43" t="s">
        <v>15</v>
      </c>
    </row>
    <row r="16" spans="1:13" x14ac:dyDescent="0.3">
      <c r="A16" s="9" t="s">
        <v>117</v>
      </c>
      <c r="B16" s="10">
        <f>SUM(C16:E16)</f>
        <v>143681</v>
      </c>
      <c r="C16" s="54">
        <v>501</v>
      </c>
      <c r="D16" s="55">
        <v>143180</v>
      </c>
      <c r="E16" s="54" t="s">
        <v>191</v>
      </c>
      <c r="F16" s="11">
        <f>SUM(G16:I16)</f>
        <v>116658</v>
      </c>
      <c r="G16" s="54" t="s">
        <v>191</v>
      </c>
      <c r="H16" s="55">
        <v>116658</v>
      </c>
      <c r="I16" s="54" t="s">
        <v>191</v>
      </c>
      <c r="J16" s="55">
        <v>9694</v>
      </c>
      <c r="K16" s="59">
        <v>1296</v>
      </c>
      <c r="L16" s="12" t="s">
        <v>16</v>
      </c>
    </row>
    <row r="17" spans="1:12" x14ac:dyDescent="0.3">
      <c r="A17" s="9" t="s">
        <v>118</v>
      </c>
      <c r="B17" s="10">
        <f t="shared" ref="B17:B27" si="6">SUM(C17:E17)</f>
        <v>36836</v>
      </c>
      <c r="C17" s="54" t="s">
        <v>191</v>
      </c>
      <c r="D17" s="55">
        <v>36836</v>
      </c>
      <c r="E17" s="54" t="s">
        <v>191</v>
      </c>
      <c r="F17" s="11">
        <f t="shared" ref="F17:F27" si="7">SUM(G17:I17)</f>
        <v>16233</v>
      </c>
      <c r="G17" s="54" t="s">
        <v>191</v>
      </c>
      <c r="H17" s="55">
        <v>16233</v>
      </c>
      <c r="I17" s="54" t="s">
        <v>191</v>
      </c>
      <c r="J17" s="55">
        <v>8532</v>
      </c>
      <c r="K17" s="59">
        <v>2686</v>
      </c>
      <c r="L17" s="12" t="s">
        <v>17</v>
      </c>
    </row>
    <row r="18" spans="1:12" x14ac:dyDescent="0.3">
      <c r="A18" s="9" t="s">
        <v>119</v>
      </c>
      <c r="B18" s="10">
        <f t="shared" si="6"/>
        <v>100406</v>
      </c>
      <c r="C18" s="56">
        <v>1500</v>
      </c>
      <c r="D18" s="55">
        <v>98906</v>
      </c>
      <c r="E18" s="56" t="s">
        <v>191</v>
      </c>
      <c r="F18" s="11">
        <f t="shared" si="7"/>
        <v>43815</v>
      </c>
      <c r="G18" s="56">
        <v>1145</v>
      </c>
      <c r="H18" s="55">
        <v>42670</v>
      </c>
      <c r="I18" s="56" t="s">
        <v>191</v>
      </c>
      <c r="J18" s="55">
        <v>2218</v>
      </c>
      <c r="K18" s="60">
        <v>699</v>
      </c>
      <c r="L18" s="12" t="s">
        <v>18</v>
      </c>
    </row>
    <row r="19" spans="1:12" x14ac:dyDescent="0.3">
      <c r="A19" s="9" t="s">
        <v>120</v>
      </c>
      <c r="B19" s="10">
        <f t="shared" si="6"/>
        <v>111718</v>
      </c>
      <c r="C19" s="54">
        <v>373</v>
      </c>
      <c r="D19" s="55">
        <v>111345</v>
      </c>
      <c r="E19" s="54" t="s">
        <v>191</v>
      </c>
      <c r="F19" s="11">
        <f>SUM(G19:I19)</f>
        <v>43882</v>
      </c>
      <c r="G19" s="54">
        <v>502</v>
      </c>
      <c r="H19" s="55">
        <v>43380</v>
      </c>
      <c r="I19" s="54" t="s">
        <v>191</v>
      </c>
      <c r="J19" s="55">
        <v>9553</v>
      </c>
      <c r="K19" s="59">
        <v>1414</v>
      </c>
      <c r="L19" s="12" t="s">
        <v>19</v>
      </c>
    </row>
    <row r="20" spans="1:12" x14ac:dyDescent="0.3">
      <c r="A20" s="9" t="s">
        <v>121</v>
      </c>
      <c r="B20" s="10">
        <f>SUM(C20:E20)</f>
        <v>113731</v>
      </c>
      <c r="C20" s="54">
        <v>179</v>
      </c>
      <c r="D20" s="55">
        <v>113362</v>
      </c>
      <c r="E20" s="54">
        <v>190</v>
      </c>
      <c r="F20" s="11">
        <f>SUM(G20:I20)</f>
        <v>50779</v>
      </c>
      <c r="G20" s="54">
        <v>971</v>
      </c>
      <c r="H20" s="55">
        <v>49760</v>
      </c>
      <c r="I20" s="54">
        <v>48</v>
      </c>
      <c r="J20" s="55">
        <v>48703</v>
      </c>
      <c r="K20" s="59">
        <v>4745</v>
      </c>
      <c r="L20" s="12" t="s">
        <v>20</v>
      </c>
    </row>
    <row r="21" spans="1:12" x14ac:dyDescent="0.3">
      <c r="A21" s="9" t="s">
        <v>122</v>
      </c>
      <c r="B21" s="10">
        <f t="shared" si="6"/>
        <v>176249</v>
      </c>
      <c r="C21" s="54" t="s">
        <v>191</v>
      </c>
      <c r="D21" s="55">
        <v>176249</v>
      </c>
      <c r="E21" s="54" t="s">
        <v>191</v>
      </c>
      <c r="F21" s="11">
        <f t="shared" si="7"/>
        <v>85803</v>
      </c>
      <c r="G21" s="54" t="s">
        <v>191</v>
      </c>
      <c r="H21" s="55">
        <v>85803</v>
      </c>
      <c r="I21" s="54" t="s">
        <v>191</v>
      </c>
      <c r="J21" s="55">
        <v>9089</v>
      </c>
      <c r="K21" s="59">
        <v>2257</v>
      </c>
      <c r="L21" s="12" t="s">
        <v>21</v>
      </c>
    </row>
    <row r="22" spans="1:12" x14ac:dyDescent="0.3">
      <c r="A22" s="9" t="s">
        <v>123</v>
      </c>
      <c r="B22" s="10">
        <f t="shared" si="6"/>
        <v>50932</v>
      </c>
      <c r="C22" s="54" t="s">
        <v>191</v>
      </c>
      <c r="D22" s="55">
        <v>50932</v>
      </c>
      <c r="E22" s="54" t="s">
        <v>191</v>
      </c>
      <c r="F22" s="11">
        <f t="shared" si="7"/>
        <v>74521</v>
      </c>
      <c r="G22" s="54">
        <v>8</v>
      </c>
      <c r="H22" s="55">
        <v>74513</v>
      </c>
      <c r="I22" s="54" t="s">
        <v>191</v>
      </c>
      <c r="J22" s="55">
        <v>21919</v>
      </c>
      <c r="K22" s="59">
        <v>1717</v>
      </c>
      <c r="L22" s="12" t="s">
        <v>22</v>
      </c>
    </row>
    <row r="23" spans="1:12" ht="24" customHeight="1" x14ac:dyDescent="0.3">
      <c r="A23" s="13" t="s">
        <v>105</v>
      </c>
      <c r="B23" s="14">
        <f>SUM(B24:B27)</f>
        <v>402998</v>
      </c>
      <c r="C23" s="15">
        <f>SUM(C24:C27)</f>
        <v>1766</v>
      </c>
      <c r="D23" s="16">
        <f t="shared" ref="D23:E23" si="8">SUM(D24:D27)</f>
        <v>401232</v>
      </c>
      <c r="E23" s="15">
        <f t="shared" si="8"/>
        <v>0</v>
      </c>
      <c r="F23" s="17">
        <f>SUM(F24:F27)</f>
        <v>153231</v>
      </c>
      <c r="G23" s="15">
        <f>SUM(G24:G27)</f>
        <v>336</v>
      </c>
      <c r="H23" s="16">
        <f t="shared" ref="H23:I23" si="9">SUM(H24:H27)</f>
        <v>152895</v>
      </c>
      <c r="I23" s="15">
        <f t="shared" si="9"/>
        <v>0</v>
      </c>
      <c r="J23" s="17">
        <f>SUM(J24:J27)</f>
        <v>7491</v>
      </c>
      <c r="K23" s="18">
        <f>SUM(K24:K27)</f>
        <v>1420</v>
      </c>
      <c r="L23" s="19" t="s">
        <v>106</v>
      </c>
    </row>
    <row r="24" spans="1:12" x14ac:dyDescent="0.3">
      <c r="A24" s="9" t="s">
        <v>132</v>
      </c>
      <c r="B24" s="10">
        <f t="shared" si="6"/>
        <v>192416</v>
      </c>
      <c r="C24" s="54">
        <v>476</v>
      </c>
      <c r="D24" s="55">
        <v>191940</v>
      </c>
      <c r="E24" s="54" t="s">
        <v>191</v>
      </c>
      <c r="F24" s="11">
        <f t="shared" si="7"/>
        <v>75558</v>
      </c>
      <c r="G24" s="54">
        <v>305</v>
      </c>
      <c r="H24" s="55">
        <v>75253</v>
      </c>
      <c r="I24" s="54" t="s">
        <v>191</v>
      </c>
      <c r="J24" s="55">
        <v>5384</v>
      </c>
      <c r="K24" s="59">
        <v>714</v>
      </c>
      <c r="L24" s="12" t="s">
        <v>23</v>
      </c>
    </row>
    <row r="25" spans="1:12" x14ac:dyDescent="0.3">
      <c r="A25" s="9" t="s">
        <v>133</v>
      </c>
      <c r="B25" s="10">
        <f t="shared" si="6"/>
        <v>73997</v>
      </c>
      <c r="C25" s="54">
        <v>40</v>
      </c>
      <c r="D25" s="55">
        <v>73957</v>
      </c>
      <c r="E25" s="54" t="s">
        <v>191</v>
      </c>
      <c r="F25" s="11">
        <f t="shared" si="7"/>
        <v>40787</v>
      </c>
      <c r="G25" s="54">
        <v>11</v>
      </c>
      <c r="H25" s="55">
        <v>40776</v>
      </c>
      <c r="I25" s="54" t="s">
        <v>191</v>
      </c>
      <c r="J25" s="55">
        <v>555</v>
      </c>
      <c r="K25" s="59">
        <v>442</v>
      </c>
      <c r="L25" s="12" t="s">
        <v>24</v>
      </c>
    </row>
    <row r="26" spans="1:12" x14ac:dyDescent="0.3">
      <c r="A26" s="9" t="s">
        <v>134</v>
      </c>
      <c r="B26" s="10">
        <f t="shared" si="6"/>
        <v>51464</v>
      </c>
      <c r="C26" s="54">
        <v>1250</v>
      </c>
      <c r="D26" s="55">
        <v>50214</v>
      </c>
      <c r="E26" s="54" t="s">
        <v>191</v>
      </c>
      <c r="F26" s="11">
        <f t="shared" si="7"/>
        <v>11820</v>
      </c>
      <c r="G26" s="54" t="s">
        <v>191</v>
      </c>
      <c r="H26" s="55">
        <v>11820</v>
      </c>
      <c r="I26" s="54" t="s">
        <v>191</v>
      </c>
      <c r="J26" s="55">
        <v>698</v>
      </c>
      <c r="K26" s="59">
        <v>25</v>
      </c>
      <c r="L26" s="12" t="s">
        <v>25</v>
      </c>
    </row>
    <row r="27" spans="1:12" x14ac:dyDescent="0.3">
      <c r="A27" s="9" t="s">
        <v>135</v>
      </c>
      <c r="B27" s="10">
        <f t="shared" si="6"/>
        <v>85121</v>
      </c>
      <c r="C27" s="54" t="s">
        <v>191</v>
      </c>
      <c r="D27" s="55">
        <v>85121</v>
      </c>
      <c r="E27" s="54" t="s">
        <v>191</v>
      </c>
      <c r="F27" s="11">
        <f t="shared" si="7"/>
        <v>25066</v>
      </c>
      <c r="G27" s="54">
        <v>20</v>
      </c>
      <c r="H27" s="55">
        <v>25046</v>
      </c>
      <c r="I27" s="54" t="s">
        <v>191</v>
      </c>
      <c r="J27" s="55">
        <v>854</v>
      </c>
      <c r="K27" s="59">
        <v>239</v>
      </c>
      <c r="L27" s="12" t="s">
        <v>26</v>
      </c>
    </row>
    <row r="28" spans="1:12" ht="23.85" customHeight="1" x14ac:dyDescent="0.3">
      <c r="A28" s="39" t="s">
        <v>27</v>
      </c>
      <c r="B28" s="40">
        <f>SUM(B29:B32)</f>
        <v>541245</v>
      </c>
      <c r="C28" s="41">
        <f>SUM(C29:C32)</f>
        <v>4308</v>
      </c>
      <c r="D28" s="41">
        <f>SUM(D29:D32)</f>
        <v>522592</v>
      </c>
      <c r="E28" s="41">
        <f t="shared" ref="E28:I28" si="10">SUM(E29:E32)</f>
        <v>14345</v>
      </c>
      <c r="F28" s="41">
        <f>SUM(F29:F32)</f>
        <v>158678</v>
      </c>
      <c r="G28" s="41">
        <f>SUM(G29:G32)</f>
        <v>2317</v>
      </c>
      <c r="H28" s="41">
        <f t="shared" si="10"/>
        <v>150731</v>
      </c>
      <c r="I28" s="41">
        <f t="shared" si="10"/>
        <v>5630</v>
      </c>
      <c r="J28" s="41">
        <f>SUM(J29:J32)</f>
        <v>99269</v>
      </c>
      <c r="K28" s="42">
        <f>SUM(K29:K32)</f>
        <v>12915</v>
      </c>
      <c r="L28" s="19" t="s">
        <v>28</v>
      </c>
    </row>
    <row r="29" spans="1:12" x14ac:dyDescent="0.3">
      <c r="A29" s="9" t="s">
        <v>136</v>
      </c>
      <c r="B29" s="10">
        <f>SUM(C29:E29)</f>
        <v>185404</v>
      </c>
      <c r="C29" s="54">
        <v>3855</v>
      </c>
      <c r="D29" s="55">
        <v>180949</v>
      </c>
      <c r="E29" s="54">
        <v>600</v>
      </c>
      <c r="F29" s="11">
        <f>SUM(G29:I29)</f>
        <v>51064</v>
      </c>
      <c r="G29" s="54">
        <v>1701</v>
      </c>
      <c r="H29" s="55">
        <v>47913</v>
      </c>
      <c r="I29" s="54">
        <v>1450</v>
      </c>
      <c r="J29" s="55">
        <v>13155</v>
      </c>
      <c r="K29" s="59">
        <v>1669</v>
      </c>
      <c r="L29" s="12" t="s">
        <v>29</v>
      </c>
    </row>
    <row r="30" spans="1:12" x14ac:dyDescent="0.3">
      <c r="A30" s="9" t="s">
        <v>137</v>
      </c>
      <c r="B30" s="10">
        <f>SUM(C30:E30)</f>
        <v>104380</v>
      </c>
      <c r="C30" s="56">
        <v>7</v>
      </c>
      <c r="D30" s="55">
        <v>100263</v>
      </c>
      <c r="E30" s="56">
        <v>4110</v>
      </c>
      <c r="F30" s="11">
        <f>SUM(G30:I30)</f>
        <v>15403</v>
      </c>
      <c r="G30" s="56" t="s">
        <v>191</v>
      </c>
      <c r="H30" s="55">
        <v>15403</v>
      </c>
      <c r="I30" s="56" t="s">
        <v>191</v>
      </c>
      <c r="J30" s="55">
        <v>7974</v>
      </c>
      <c r="K30" s="60">
        <v>4084</v>
      </c>
      <c r="L30" s="12" t="s">
        <v>30</v>
      </c>
    </row>
    <row r="31" spans="1:12" x14ac:dyDescent="0.3">
      <c r="A31" s="9" t="s">
        <v>138</v>
      </c>
      <c r="B31" s="10">
        <f>SUM(C31:E31)</f>
        <v>126910</v>
      </c>
      <c r="C31" s="54">
        <v>263</v>
      </c>
      <c r="D31" s="55">
        <v>117978</v>
      </c>
      <c r="E31" s="54">
        <v>8669</v>
      </c>
      <c r="F31" s="11">
        <f>SUM(G31:I31)</f>
        <v>57577</v>
      </c>
      <c r="G31" s="54">
        <v>271</v>
      </c>
      <c r="H31" s="55">
        <v>53126</v>
      </c>
      <c r="I31" s="54">
        <v>4180</v>
      </c>
      <c r="J31" s="55">
        <v>274</v>
      </c>
      <c r="K31" s="59">
        <v>112</v>
      </c>
      <c r="L31" s="12" t="s">
        <v>31</v>
      </c>
    </row>
    <row r="32" spans="1:12" x14ac:dyDescent="0.3">
      <c r="A32" s="9" t="s">
        <v>139</v>
      </c>
      <c r="B32" s="10">
        <f>SUM(C32:E32)</f>
        <v>124551</v>
      </c>
      <c r="C32" s="54">
        <v>183</v>
      </c>
      <c r="D32" s="55">
        <v>123402</v>
      </c>
      <c r="E32" s="54">
        <v>966</v>
      </c>
      <c r="F32" s="11">
        <f>SUM(G32:I32)</f>
        <v>34634</v>
      </c>
      <c r="G32" s="54">
        <v>345</v>
      </c>
      <c r="H32" s="55">
        <v>34289</v>
      </c>
      <c r="I32" s="54" t="s">
        <v>191</v>
      </c>
      <c r="J32" s="55">
        <v>77866</v>
      </c>
      <c r="K32" s="59">
        <v>7050</v>
      </c>
      <c r="L32" s="12" t="s">
        <v>32</v>
      </c>
    </row>
    <row r="33" spans="1:12" ht="25.65" customHeight="1" x14ac:dyDescent="0.3">
      <c r="A33" s="39" t="s">
        <v>33</v>
      </c>
      <c r="B33" s="40">
        <f>SUM(B34:B38)</f>
        <v>1130348</v>
      </c>
      <c r="C33" s="41">
        <f>SUM(C34:C38)</f>
        <v>3402</v>
      </c>
      <c r="D33" s="41">
        <f t="shared" ref="D33:K33" si="11">SUM(D34:D38)</f>
        <v>1072872</v>
      </c>
      <c r="E33" s="41">
        <f t="shared" si="11"/>
        <v>54074</v>
      </c>
      <c r="F33" s="41">
        <f t="shared" si="11"/>
        <v>344987</v>
      </c>
      <c r="G33" s="41">
        <f t="shared" si="11"/>
        <v>3697</v>
      </c>
      <c r="H33" s="41">
        <f t="shared" si="11"/>
        <v>329722</v>
      </c>
      <c r="I33" s="41">
        <f t="shared" si="11"/>
        <v>11568</v>
      </c>
      <c r="J33" s="41">
        <f t="shared" si="11"/>
        <v>146777</v>
      </c>
      <c r="K33" s="42">
        <f t="shared" si="11"/>
        <v>17980</v>
      </c>
      <c r="L33" s="19" t="s">
        <v>34</v>
      </c>
    </row>
    <row r="34" spans="1:12" x14ac:dyDescent="0.3">
      <c r="A34" s="9" t="s">
        <v>140</v>
      </c>
      <c r="B34" s="10">
        <f>SUM(C34:E34)</f>
        <v>643259</v>
      </c>
      <c r="C34" s="54">
        <v>19</v>
      </c>
      <c r="D34" s="55">
        <v>619101</v>
      </c>
      <c r="E34" s="54">
        <v>24139</v>
      </c>
      <c r="F34" s="11">
        <f>SUM(G34:I34)</f>
        <v>170018</v>
      </c>
      <c r="G34" s="54">
        <v>1219</v>
      </c>
      <c r="H34" s="55">
        <v>168006</v>
      </c>
      <c r="I34" s="54">
        <v>793</v>
      </c>
      <c r="J34" s="55">
        <v>88776</v>
      </c>
      <c r="K34" s="59">
        <v>9515</v>
      </c>
      <c r="L34" s="12" t="s">
        <v>35</v>
      </c>
    </row>
    <row r="35" spans="1:12" x14ac:dyDescent="0.3">
      <c r="A35" s="9" t="s">
        <v>141</v>
      </c>
      <c r="B35" s="10">
        <f>SUM(C35:E35)</f>
        <v>120076</v>
      </c>
      <c r="C35" s="54">
        <v>854</v>
      </c>
      <c r="D35" s="55">
        <v>107432</v>
      </c>
      <c r="E35" s="54">
        <v>11790</v>
      </c>
      <c r="F35" s="11">
        <f>SUM(G35:I35)</f>
        <v>25805</v>
      </c>
      <c r="G35" s="54">
        <v>711</v>
      </c>
      <c r="H35" s="55">
        <v>21266</v>
      </c>
      <c r="I35" s="54">
        <v>3828</v>
      </c>
      <c r="J35" s="55">
        <v>23885</v>
      </c>
      <c r="K35" s="59">
        <v>1080</v>
      </c>
      <c r="L35" s="12" t="s">
        <v>36</v>
      </c>
    </row>
    <row r="36" spans="1:12" x14ac:dyDescent="0.3">
      <c r="A36" s="9" t="s">
        <v>142</v>
      </c>
      <c r="B36" s="10">
        <f>SUM(C36:E36)</f>
        <v>146413</v>
      </c>
      <c r="C36" s="54" t="s">
        <v>191</v>
      </c>
      <c r="D36" s="55">
        <v>146413</v>
      </c>
      <c r="E36" s="54" t="s">
        <v>191</v>
      </c>
      <c r="F36" s="11">
        <f>SUM(G36:I36)</f>
        <v>62046</v>
      </c>
      <c r="G36" s="54" t="s">
        <v>191</v>
      </c>
      <c r="H36" s="55">
        <v>62046</v>
      </c>
      <c r="I36" s="54" t="s">
        <v>191</v>
      </c>
      <c r="J36" s="55">
        <v>2776</v>
      </c>
      <c r="K36" s="59">
        <v>735</v>
      </c>
      <c r="L36" s="12" t="s">
        <v>37</v>
      </c>
    </row>
    <row r="37" spans="1:12" x14ac:dyDescent="0.3">
      <c r="A37" s="9" t="s">
        <v>143</v>
      </c>
      <c r="B37" s="10">
        <f>SUM(C37:E37)</f>
        <v>654</v>
      </c>
      <c r="C37" s="54" t="s">
        <v>191</v>
      </c>
      <c r="D37" s="55">
        <v>654</v>
      </c>
      <c r="E37" s="54" t="s">
        <v>191</v>
      </c>
      <c r="F37" s="11">
        <f>SUM(G37:I37)</f>
        <v>9752</v>
      </c>
      <c r="G37" s="54" t="s">
        <v>191</v>
      </c>
      <c r="H37" s="55">
        <v>9752</v>
      </c>
      <c r="I37" s="54" t="s">
        <v>191</v>
      </c>
      <c r="J37" s="55" t="s">
        <v>191</v>
      </c>
      <c r="K37" s="59" t="s">
        <v>191</v>
      </c>
      <c r="L37" s="12" t="s">
        <v>38</v>
      </c>
    </row>
    <row r="38" spans="1:12" x14ac:dyDescent="0.3">
      <c r="A38" s="9" t="s">
        <v>144</v>
      </c>
      <c r="B38" s="10">
        <f>SUM(C38:E38)</f>
        <v>219946</v>
      </c>
      <c r="C38" s="54">
        <v>2529</v>
      </c>
      <c r="D38" s="55">
        <v>199272</v>
      </c>
      <c r="E38" s="54">
        <v>18145</v>
      </c>
      <c r="F38" s="11">
        <f>SUM(G38:I38)</f>
        <v>77366</v>
      </c>
      <c r="G38" s="54">
        <v>1767</v>
      </c>
      <c r="H38" s="55">
        <v>68652</v>
      </c>
      <c r="I38" s="54">
        <v>6947</v>
      </c>
      <c r="J38" s="55">
        <v>31340</v>
      </c>
      <c r="K38" s="59">
        <v>6650</v>
      </c>
      <c r="L38" s="12" t="s">
        <v>39</v>
      </c>
    </row>
    <row r="39" spans="1:12" ht="25.65" customHeight="1" x14ac:dyDescent="0.3">
      <c r="A39" s="39" t="s">
        <v>40</v>
      </c>
      <c r="B39" s="40">
        <f>SUM(B40:B44)</f>
        <v>501428</v>
      </c>
      <c r="C39" s="41">
        <f>SUM(C40:C44)</f>
        <v>11415</v>
      </c>
      <c r="D39" s="41">
        <f t="shared" ref="D39:K39" si="12">SUM(D40:D44)</f>
        <v>448988</v>
      </c>
      <c r="E39" s="41">
        <f t="shared" si="12"/>
        <v>41025</v>
      </c>
      <c r="F39" s="41">
        <f>SUM(F40:F44)</f>
        <v>282546</v>
      </c>
      <c r="G39" s="41">
        <f>SUM(G40:G44)</f>
        <v>9016</v>
      </c>
      <c r="H39" s="41">
        <f t="shared" si="12"/>
        <v>259404</v>
      </c>
      <c r="I39" s="41">
        <f t="shared" si="12"/>
        <v>14126</v>
      </c>
      <c r="J39" s="41">
        <f>SUM(J40:J44)</f>
        <v>65687</v>
      </c>
      <c r="K39" s="42">
        <f t="shared" si="12"/>
        <v>14989</v>
      </c>
      <c r="L39" s="19" t="s">
        <v>41</v>
      </c>
    </row>
    <row r="40" spans="1:12" x14ac:dyDescent="0.3">
      <c r="A40" s="9" t="s">
        <v>145</v>
      </c>
      <c r="B40" s="10">
        <f>SUM(C40:E40)</f>
        <v>175636</v>
      </c>
      <c r="C40" s="54">
        <v>4755</v>
      </c>
      <c r="D40" s="55">
        <v>139529</v>
      </c>
      <c r="E40" s="54">
        <v>31352</v>
      </c>
      <c r="F40" s="11">
        <f>SUM(G40:I40)</f>
        <v>68797</v>
      </c>
      <c r="G40" s="54">
        <v>3548</v>
      </c>
      <c r="H40" s="55">
        <v>53538</v>
      </c>
      <c r="I40" s="54">
        <v>11711</v>
      </c>
      <c r="J40" s="55">
        <v>3074</v>
      </c>
      <c r="K40" s="59">
        <v>750</v>
      </c>
      <c r="L40" s="12" t="s">
        <v>42</v>
      </c>
    </row>
    <row r="41" spans="1:12" x14ac:dyDescent="0.3">
      <c r="A41" s="9" t="s">
        <v>146</v>
      </c>
      <c r="B41" s="10">
        <f>SUM(C41:E41)</f>
        <v>98146</v>
      </c>
      <c r="C41" s="54">
        <v>2011</v>
      </c>
      <c r="D41" s="55">
        <v>90222</v>
      </c>
      <c r="E41" s="54">
        <v>5913</v>
      </c>
      <c r="F41" s="11">
        <f>SUM(G41:I41)</f>
        <v>45691</v>
      </c>
      <c r="G41" s="54">
        <v>918</v>
      </c>
      <c r="H41" s="55">
        <v>42893</v>
      </c>
      <c r="I41" s="54">
        <v>1880</v>
      </c>
      <c r="J41" s="55">
        <v>35246</v>
      </c>
      <c r="K41" s="59">
        <v>2963</v>
      </c>
      <c r="L41" s="12" t="s">
        <v>43</v>
      </c>
    </row>
    <row r="42" spans="1:12" x14ac:dyDescent="0.3">
      <c r="A42" s="9" t="s">
        <v>147</v>
      </c>
      <c r="B42" s="10">
        <f>SUM(C42:E42)</f>
        <v>140593</v>
      </c>
      <c r="C42" s="54">
        <v>2124</v>
      </c>
      <c r="D42" s="55">
        <v>134709</v>
      </c>
      <c r="E42" s="54">
        <v>3760</v>
      </c>
      <c r="F42" s="11">
        <f>SUM(G42:I42)</f>
        <v>98639</v>
      </c>
      <c r="G42" s="54">
        <v>2082</v>
      </c>
      <c r="H42" s="55">
        <v>96022</v>
      </c>
      <c r="I42" s="54">
        <v>535</v>
      </c>
      <c r="J42" s="55">
        <v>26883</v>
      </c>
      <c r="K42" s="59">
        <v>11165</v>
      </c>
      <c r="L42" s="12" t="s">
        <v>44</v>
      </c>
    </row>
    <row r="43" spans="1:12" x14ac:dyDescent="0.3">
      <c r="A43" s="9" t="s">
        <v>148</v>
      </c>
      <c r="B43" s="10">
        <f>SUM(C43:E43)</f>
        <v>32584</v>
      </c>
      <c r="C43" s="54">
        <v>1188</v>
      </c>
      <c r="D43" s="55">
        <v>31396</v>
      </c>
      <c r="E43" s="54" t="s">
        <v>191</v>
      </c>
      <c r="F43" s="11">
        <f>SUM(G43:I43)</f>
        <v>26158</v>
      </c>
      <c r="G43" s="54">
        <v>1537</v>
      </c>
      <c r="H43" s="55">
        <v>24621</v>
      </c>
      <c r="I43" s="54" t="s">
        <v>191</v>
      </c>
      <c r="J43" s="55">
        <v>145</v>
      </c>
      <c r="K43" s="59">
        <v>48</v>
      </c>
      <c r="L43" s="12" t="s">
        <v>45</v>
      </c>
    </row>
    <row r="44" spans="1:12" x14ac:dyDescent="0.3">
      <c r="A44" s="9" t="s">
        <v>149</v>
      </c>
      <c r="B44" s="10">
        <f>SUM(C44:E44)</f>
        <v>54469</v>
      </c>
      <c r="C44" s="54">
        <v>1337</v>
      </c>
      <c r="D44" s="55">
        <v>53132</v>
      </c>
      <c r="E44" s="54" t="s">
        <v>191</v>
      </c>
      <c r="F44" s="11">
        <f>SUM(G44:I44)</f>
        <v>43261</v>
      </c>
      <c r="G44" s="54">
        <v>931</v>
      </c>
      <c r="H44" s="55">
        <v>42330</v>
      </c>
      <c r="I44" s="54" t="s">
        <v>191</v>
      </c>
      <c r="J44" s="55">
        <v>339</v>
      </c>
      <c r="K44" s="59">
        <v>63</v>
      </c>
      <c r="L44" s="12" t="s">
        <v>46</v>
      </c>
    </row>
    <row r="45" spans="1:12" ht="23.4" customHeight="1" x14ac:dyDescent="0.3">
      <c r="A45" s="39" t="s">
        <v>47</v>
      </c>
      <c r="B45" s="40">
        <f>SUM(B46:B50)</f>
        <v>123231</v>
      </c>
      <c r="C45" s="41">
        <f>SUM(C46:C50)</f>
        <v>5457</v>
      </c>
      <c r="D45" s="41">
        <f t="shared" ref="D45:K45" si="13">SUM(D46:D50)</f>
        <v>117774</v>
      </c>
      <c r="E45" s="41">
        <f t="shared" si="13"/>
        <v>0</v>
      </c>
      <c r="F45" s="41">
        <f>SUM(F46:F50)</f>
        <v>108626</v>
      </c>
      <c r="G45" s="41">
        <f t="shared" si="13"/>
        <v>5159</v>
      </c>
      <c r="H45" s="41">
        <f t="shared" si="13"/>
        <v>103467</v>
      </c>
      <c r="I45" s="41">
        <f t="shared" si="13"/>
        <v>0</v>
      </c>
      <c r="J45" s="41">
        <f>SUM(J46:J50)</f>
        <v>571</v>
      </c>
      <c r="K45" s="42">
        <f t="shared" si="13"/>
        <v>94</v>
      </c>
      <c r="L45" s="19" t="s">
        <v>48</v>
      </c>
    </row>
    <row r="46" spans="1:12" x14ac:dyDescent="0.3">
      <c r="A46" s="9" t="s">
        <v>150</v>
      </c>
      <c r="B46" s="10">
        <f>SUM(C46:E46)</f>
        <v>6811</v>
      </c>
      <c r="C46" s="54">
        <v>505</v>
      </c>
      <c r="D46" s="55">
        <v>6306</v>
      </c>
      <c r="E46" s="54" t="s">
        <v>191</v>
      </c>
      <c r="F46" s="11">
        <f>SUM(G46:H46)</f>
        <v>2589</v>
      </c>
      <c r="G46" s="54">
        <v>314</v>
      </c>
      <c r="H46" s="55">
        <v>2275</v>
      </c>
      <c r="I46" s="54" t="s">
        <v>191</v>
      </c>
      <c r="J46" s="55">
        <v>45</v>
      </c>
      <c r="K46" s="59">
        <v>18</v>
      </c>
      <c r="L46" s="12" t="s">
        <v>49</v>
      </c>
    </row>
    <row r="47" spans="1:12" x14ac:dyDescent="0.3">
      <c r="A47" s="9" t="s">
        <v>151</v>
      </c>
      <c r="B47" s="10">
        <f>SUM(C47:E47)</f>
        <v>8791</v>
      </c>
      <c r="C47" s="54">
        <v>3881</v>
      </c>
      <c r="D47" s="55">
        <v>4910</v>
      </c>
      <c r="E47" s="54" t="s">
        <v>191</v>
      </c>
      <c r="F47" s="11">
        <f>SUM(G47:H47)</f>
        <v>8957</v>
      </c>
      <c r="G47" s="54">
        <v>4387</v>
      </c>
      <c r="H47" s="55">
        <v>4570</v>
      </c>
      <c r="I47" s="54" t="s">
        <v>191</v>
      </c>
      <c r="J47" s="55">
        <v>306</v>
      </c>
      <c r="K47" s="59">
        <v>8</v>
      </c>
      <c r="L47" s="12" t="s">
        <v>50</v>
      </c>
    </row>
    <row r="48" spans="1:12" x14ac:dyDescent="0.3">
      <c r="A48" s="9" t="s">
        <v>152</v>
      </c>
      <c r="B48" s="10">
        <f>SUM(C48:E48)</f>
        <v>3292</v>
      </c>
      <c r="C48" s="54">
        <v>69</v>
      </c>
      <c r="D48" s="55">
        <v>3223</v>
      </c>
      <c r="E48" s="54" t="s">
        <v>191</v>
      </c>
      <c r="F48" s="11">
        <f>SUM(G48:H48)</f>
        <v>4751</v>
      </c>
      <c r="G48" s="54">
        <v>118</v>
      </c>
      <c r="H48" s="55">
        <v>4633</v>
      </c>
      <c r="I48" s="54" t="s">
        <v>191</v>
      </c>
      <c r="J48" s="55">
        <v>17</v>
      </c>
      <c r="K48" s="59">
        <v>12</v>
      </c>
      <c r="L48" s="12" t="s">
        <v>51</v>
      </c>
    </row>
    <row r="49" spans="1:12" x14ac:dyDescent="0.3">
      <c r="A49" s="9" t="s">
        <v>153</v>
      </c>
      <c r="B49" s="10">
        <f>SUM(C49:E49)</f>
        <v>97422</v>
      </c>
      <c r="C49" s="54">
        <v>525</v>
      </c>
      <c r="D49" s="55">
        <v>96897</v>
      </c>
      <c r="E49" s="54" t="s">
        <v>191</v>
      </c>
      <c r="F49" s="11">
        <f>SUM(G49:I49)</f>
        <v>85337</v>
      </c>
      <c r="G49" s="54">
        <v>78</v>
      </c>
      <c r="H49" s="55">
        <v>85259</v>
      </c>
      <c r="I49" s="54" t="s">
        <v>191</v>
      </c>
      <c r="J49" s="55">
        <v>188</v>
      </c>
      <c r="K49" s="59">
        <v>56</v>
      </c>
      <c r="L49" s="12" t="s">
        <v>52</v>
      </c>
    </row>
    <row r="50" spans="1:12" x14ac:dyDescent="0.3">
      <c r="A50" s="9" t="s">
        <v>154</v>
      </c>
      <c r="B50" s="10">
        <f>SUM(C50:E50)</f>
        <v>6915</v>
      </c>
      <c r="C50" s="54">
        <v>477</v>
      </c>
      <c r="D50" s="55">
        <v>6438</v>
      </c>
      <c r="E50" s="54" t="s">
        <v>191</v>
      </c>
      <c r="F50" s="11">
        <f>SUM(G50:H50)</f>
        <v>6992</v>
      </c>
      <c r="G50" s="54">
        <v>262</v>
      </c>
      <c r="H50" s="55">
        <v>6730</v>
      </c>
      <c r="I50" s="54" t="s">
        <v>191</v>
      </c>
      <c r="J50" s="55">
        <v>15</v>
      </c>
      <c r="K50" s="59" t="s">
        <v>191</v>
      </c>
      <c r="L50" s="12" t="s">
        <v>53</v>
      </c>
    </row>
    <row r="51" spans="1:12" ht="23.85" customHeight="1" x14ac:dyDescent="0.3">
      <c r="A51" s="39" t="s">
        <v>54</v>
      </c>
      <c r="B51" s="40">
        <f>SUM(B52:B54)</f>
        <v>1502382</v>
      </c>
      <c r="C51" s="41">
        <f>SUM(C52:C54)</f>
        <v>95620</v>
      </c>
      <c r="D51" s="41">
        <f>SUM(D52:D54)</f>
        <v>1344496</v>
      </c>
      <c r="E51" s="41">
        <f t="shared" ref="E51:K51" si="14">SUM(E52:E54)</f>
        <v>62266</v>
      </c>
      <c r="F51" s="41">
        <f t="shared" si="14"/>
        <v>546960</v>
      </c>
      <c r="G51" s="41">
        <f t="shared" si="14"/>
        <v>54137</v>
      </c>
      <c r="H51" s="41">
        <f t="shared" si="14"/>
        <v>485036</v>
      </c>
      <c r="I51" s="41">
        <f t="shared" si="14"/>
        <v>7787</v>
      </c>
      <c r="J51" s="41">
        <f t="shared" si="14"/>
        <v>85612</v>
      </c>
      <c r="K51" s="42">
        <f t="shared" si="14"/>
        <v>12240</v>
      </c>
      <c r="L51" s="19" t="s">
        <v>55</v>
      </c>
    </row>
    <row r="52" spans="1:12" x14ac:dyDescent="0.3">
      <c r="A52" s="9" t="s">
        <v>155</v>
      </c>
      <c r="B52" s="10">
        <f>SUM(C52:E52)</f>
        <v>382787</v>
      </c>
      <c r="C52" s="54">
        <v>24708</v>
      </c>
      <c r="D52" s="55">
        <v>358079</v>
      </c>
      <c r="E52" s="54" t="s">
        <v>191</v>
      </c>
      <c r="F52" s="11">
        <f>SUM(G52:I52)</f>
        <v>140270</v>
      </c>
      <c r="G52" s="54">
        <v>5476</v>
      </c>
      <c r="H52" s="55">
        <v>134794</v>
      </c>
      <c r="I52" s="54" t="s">
        <v>191</v>
      </c>
      <c r="J52" s="55">
        <v>696</v>
      </c>
      <c r="K52" s="59">
        <v>328</v>
      </c>
      <c r="L52" s="12" t="s">
        <v>56</v>
      </c>
    </row>
    <row r="53" spans="1:12" x14ac:dyDescent="0.3">
      <c r="A53" s="9" t="s">
        <v>156</v>
      </c>
      <c r="B53" s="10">
        <f>SUM(C53:E53)</f>
        <v>805584</v>
      </c>
      <c r="C53" s="54">
        <v>62594</v>
      </c>
      <c r="D53" s="55">
        <v>680724</v>
      </c>
      <c r="E53" s="54">
        <v>62266</v>
      </c>
      <c r="F53" s="11">
        <f>SUM(G53:I53)</f>
        <v>340498</v>
      </c>
      <c r="G53" s="54">
        <v>44128</v>
      </c>
      <c r="H53" s="55">
        <v>288583</v>
      </c>
      <c r="I53" s="54">
        <v>7787</v>
      </c>
      <c r="J53" s="55">
        <v>80398</v>
      </c>
      <c r="K53" s="59">
        <v>11083</v>
      </c>
      <c r="L53" s="12" t="s">
        <v>57</v>
      </c>
    </row>
    <row r="54" spans="1:12" x14ac:dyDescent="0.3">
      <c r="A54" s="9" t="s">
        <v>157</v>
      </c>
      <c r="B54" s="10">
        <f>SUM(C54:E54)</f>
        <v>314011</v>
      </c>
      <c r="C54" s="54">
        <v>8318</v>
      </c>
      <c r="D54" s="55">
        <v>305693</v>
      </c>
      <c r="E54" s="54" t="s">
        <v>191</v>
      </c>
      <c r="F54" s="11">
        <f>SUM(G54:I54)</f>
        <v>66192</v>
      </c>
      <c r="G54" s="54">
        <v>4533</v>
      </c>
      <c r="H54" s="55">
        <v>61659</v>
      </c>
      <c r="I54" s="54" t="s">
        <v>191</v>
      </c>
      <c r="J54" s="55">
        <v>4518</v>
      </c>
      <c r="K54" s="59">
        <v>829</v>
      </c>
      <c r="L54" s="12" t="s">
        <v>58</v>
      </c>
    </row>
    <row r="55" spans="1:12" ht="25.05" customHeight="1" x14ac:dyDescent="0.3">
      <c r="A55" s="39" t="s">
        <v>59</v>
      </c>
      <c r="B55" s="40">
        <f>SUM(B56:B60)</f>
        <v>398264</v>
      </c>
      <c r="C55" s="41">
        <f>SUM(C56:C60)</f>
        <v>11807</v>
      </c>
      <c r="D55" s="41">
        <f t="shared" ref="D55:K55" si="15">SUM(D56:D60)</f>
        <v>369142</v>
      </c>
      <c r="E55" s="41">
        <f t="shared" si="15"/>
        <v>17315</v>
      </c>
      <c r="F55" s="41">
        <f t="shared" si="15"/>
        <v>378240</v>
      </c>
      <c r="G55" s="41">
        <f t="shared" si="15"/>
        <v>9311</v>
      </c>
      <c r="H55" s="41">
        <f t="shared" si="15"/>
        <v>348551</v>
      </c>
      <c r="I55" s="41">
        <f t="shared" si="15"/>
        <v>20378</v>
      </c>
      <c r="J55" s="41">
        <f t="shared" si="15"/>
        <v>62611</v>
      </c>
      <c r="K55" s="42">
        <f t="shared" si="15"/>
        <v>6209</v>
      </c>
      <c r="L55" s="19" t="s">
        <v>60</v>
      </c>
    </row>
    <row r="56" spans="1:12" x14ac:dyDescent="0.3">
      <c r="A56" s="9" t="s">
        <v>158</v>
      </c>
      <c r="B56" s="10">
        <f>SUM(C56:E56)</f>
        <v>100127</v>
      </c>
      <c r="C56" s="54">
        <v>3198</v>
      </c>
      <c r="D56" s="55">
        <v>96929</v>
      </c>
      <c r="E56" s="54" t="s">
        <v>191</v>
      </c>
      <c r="F56" s="11">
        <f>SUM(G56:I56)</f>
        <v>70778</v>
      </c>
      <c r="G56" s="54">
        <v>2025</v>
      </c>
      <c r="H56" s="55">
        <v>68753</v>
      </c>
      <c r="I56" s="54" t="s">
        <v>191</v>
      </c>
      <c r="J56" s="55">
        <v>6714</v>
      </c>
      <c r="K56" s="59">
        <v>119</v>
      </c>
      <c r="L56" s="12" t="s">
        <v>61</v>
      </c>
    </row>
    <row r="57" spans="1:12" x14ac:dyDescent="0.3">
      <c r="A57" s="9" t="s">
        <v>159</v>
      </c>
      <c r="B57" s="10">
        <f>SUM(C57:E57)</f>
        <v>90687</v>
      </c>
      <c r="C57" s="54">
        <v>4918</v>
      </c>
      <c r="D57" s="55">
        <v>71425</v>
      </c>
      <c r="E57" s="54">
        <v>14344</v>
      </c>
      <c r="F57" s="11">
        <f>SUM(G57:I57)</f>
        <v>88953</v>
      </c>
      <c r="G57" s="54">
        <v>2866</v>
      </c>
      <c r="H57" s="55">
        <v>67673</v>
      </c>
      <c r="I57" s="54">
        <v>18414</v>
      </c>
      <c r="J57" s="55">
        <v>8724</v>
      </c>
      <c r="K57" s="59">
        <v>579</v>
      </c>
      <c r="L57" s="12" t="s">
        <v>62</v>
      </c>
    </row>
    <row r="58" spans="1:12" x14ac:dyDescent="0.3">
      <c r="A58" s="9" t="s">
        <v>160</v>
      </c>
      <c r="B58" s="10">
        <f>SUM(C58:E58)</f>
        <v>65086</v>
      </c>
      <c r="C58" s="54">
        <v>684</v>
      </c>
      <c r="D58" s="55">
        <v>61431</v>
      </c>
      <c r="E58" s="54">
        <v>2971</v>
      </c>
      <c r="F58" s="11">
        <f>SUM(G58:I58)</f>
        <v>55317</v>
      </c>
      <c r="G58" s="54">
        <v>666</v>
      </c>
      <c r="H58" s="55">
        <v>52687</v>
      </c>
      <c r="I58" s="54">
        <v>1964</v>
      </c>
      <c r="J58" s="55">
        <v>26656</v>
      </c>
      <c r="K58" s="59">
        <v>3778</v>
      </c>
      <c r="L58" s="12" t="s">
        <v>63</v>
      </c>
    </row>
    <row r="59" spans="1:12" x14ac:dyDescent="0.3">
      <c r="A59" s="9" t="s">
        <v>161</v>
      </c>
      <c r="B59" s="10">
        <f>SUM(C59:E59)</f>
        <v>74140</v>
      </c>
      <c r="C59" s="54">
        <v>1280</v>
      </c>
      <c r="D59" s="55">
        <v>72860</v>
      </c>
      <c r="E59" s="54" t="s">
        <v>191</v>
      </c>
      <c r="F59" s="11">
        <f>SUM(G59:I59)</f>
        <v>122369</v>
      </c>
      <c r="G59" s="54">
        <v>1868</v>
      </c>
      <c r="H59" s="55">
        <v>120501</v>
      </c>
      <c r="I59" s="54" t="s">
        <v>191</v>
      </c>
      <c r="J59" s="55">
        <v>19944</v>
      </c>
      <c r="K59" s="59">
        <v>1672</v>
      </c>
      <c r="L59" s="12" t="s">
        <v>64</v>
      </c>
    </row>
    <row r="60" spans="1:12" x14ac:dyDescent="0.3">
      <c r="A60" s="9" t="s">
        <v>162</v>
      </c>
      <c r="B60" s="10">
        <f>SUM(C60:E60)</f>
        <v>68224</v>
      </c>
      <c r="C60" s="54">
        <v>1727</v>
      </c>
      <c r="D60" s="55">
        <v>66497</v>
      </c>
      <c r="E60" s="54" t="s">
        <v>191</v>
      </c>
      <c r="F60" s="11">
        <f>SUM(G60:I60)</f>
        <v>40823</v>
      </c>
      <c r="G60" s="54">
        <v>1886</v>
      </c>
      <c r="H60" s="55">
        <v>38937</v>
      </c>
      <c r="I60" s="54" t="s">
        <v>191</v>
      </c>
      <c r="J60" s="55">
        <v>573</v>
      </c>
      <c r="K60" s="59">
        <v>61</v>
      </c>
      <c r="L60" s="12" t="s">
        <v>65</v>
      </c>
    </row>
    <row r="61" spans="1:12" ht="27.15" customHeight="1" x14ac:dyDescent="0.3">
      <c r="A61" s="39" t="s">
        <v>66</v>
      </c>
      <c r="B61" s="40">
        <f>SUM(B62:B69)</f>
        <v>108707</v>
      </c>
      <c r="C61" s="41">
        <f>SUM(C62:C69)</f>
        <v>1188</v>
      </c>
      <c r="D61" s="41">
        <f t="shared" ref="D61:J61" si="16">SUM(D62:D69)</f>
        <v>69169</v>
      </c>
      <c r="E61" s="41">
        <f t="shared" si="16"/>
        <v>38350</v>
      </c>
      <c r="F61" s="41">
        <f t="shared" si="16"/>
        <v>36666</v>
      </c>
      <c r="G61" s="41">
        <f t="shared" si="16"/>
        <v>1399</v>
      </c>
      <c r="H61" s="41">
        <f t="shared" si="16"/>
        <v>31417</v>
      </c>
      <c r="I61" s="41">
        <f t="shared" si="16"/>
        <v>3850</v>
      </c>
      <c r="J61" s="41">
        <f t="shared" si="16"/>
        <v>11710</v>
      </c>
      <c r="K61" s="42">
        <f t="shared" ref="K61" si="17">SUM(K62:K69)</f>
        <v>1838</v>
      </c>
      <c r="L61" s="19" t="s">
        <v>67</v>
      </c>
    </row>
    <row r="62" spans="1:12" x14ac:dyDescent="0.3">
      <c r="A62" s="20" t="s">
        <v>124</v>
      </c>
      <c r="B62" s="10">
        <f>SUM(C62:E62)</f>
        <v>0</v>
      </c>
      <c r="C62" s="54" t="s">
        <v>191</v>
      </c>
      <c r="D62" s="54" t="s">
        <v>191</v>
      </c>
      <c r="E62" s="54" t="s">
        <v>191</v>
      </c>
      <c r="F62" s="11">
        <f t="shared" ref="F62:F69" si="18">SUM(G62:I62)</f>
        <v>0</v>
      </c>
      <c r="G62" s="54" t="s">
        <v>191</v>
      </c>
      <c r="H62" s="55" t="s">
        <v>191</v>
      </c>
      <c r="I62" s="54" t="s">
        <v>191</v>
      </c>
      <c r="J62" s="55" t="s">
        <v>191</v>
      </c>
      <c r="K62" s="59" t="s">
        <v>191</v>
      </c>
      <c r="L62" s="12" t="s">
        <v>68</v>
      </c>
    </row>
    <row r="63" spans="1:12" x14ac:dyDescent="0.3">
      <c r="A63" s="20" t="s">
        <v>125</v>
      </c>
      <c r="B63" s="10">
        <f>SUM(C63:E63)</f>
        <v>343</v>
      </c>
      <c r="C63" s="54">
        <v>20</v>
      </c>
      <c r="D63" s="55">
        <v>323</v>
      </c>
      <c r="E63" s="54" t="s">
        <v>191</v>
      </c>
      <c r="F63" s="11">
        <f t="shared" si="18"/>
        <v>944</v>
      </c>
      <c r="G63" s="54" t="s">
        <v>191</v>
      </c>
      <c r="H63" s="55">
        <v>944</v>
      </c>
      <c r="I63" s="54" t="s">
        <v>191</v>
      </c>
      <c r="J63" s="55" t="s">
        <v>191</v>
      </c>
      <c r="K63" s="59" t="s">
        <v>191</v>
      </c>
      <c r="L63" s="12" t="s">
        <v>69</v>
      </c>
    </row>
    <row r="64" spans="1:12" x14ac:dyDescent="0.3">
      <c r="A64" s="20" t="s">
        <v>126</v>
      </c>
      <c r="B64" s="10">
        <f t="shared" ref="B64:B69" si="19">SUM(C64:E64)</f>
        <v>136</v>
      </c>
      <c r="C64" s="56" t="s">
        <v>191</v>
      </c>
      <c r="D64" s="55">
        <v>136</v>
      </c>
      <c r="E64" s="56" t="s">
        <v>191</v>
      </c>
      <c r="F64" s="11">
        <f t="shared" si="18"/>
        <v>0</v>
      </c>
      <c r="G64" s="56" t="s">
        <v>191</v>
      </c>
      <c r="H64" s="55" t="s">
        <v>191</v>
      </c>
      <c r="I64" s="56" t="s">
        <v>191</v>
      </c>
      <c r="J64" s="55" t="s">
        <v>191</v>
      </c>
      <c r="K64" s="60" t="s">
        <v>191</v>
      </c>
      <c r="L64" s="12" t="s">
        <v>70</v>
      </c>
    </row>
    <row r="65" spans="1:12" x14ac:dyDescent="0.3">
      <c r="A65" s="20" t="s">
        <v>127</v>
      </c>
      <c r="B65" s="10">
        <f t="shared" si="19"/>
        <v>0</v>
      </c>
      <c r="C65" s="56" t="s">
        <v>191</v>
      </c>
      <c r="D65" s="56" t="s">
        <v>191</v>
      </c>
      <c r="E65" s="56" t="s">
        <v>191</v>
      </c>
      <c r="F65" s="11">
        <f t="shared" si="18"/>
        <v>0</v>
      </c>
      <c r="G65" s="56" t="s">
        <v>191</v>
      </c>
      <c r="H65" s="55" t="s">
        <v>191</v>
      </c>
      <c r="I65" s="56" t="s">
        <v>191</v>
      </c>
      <c r="J65" s="55" t="s">
        <v>191</v>
      </c>
      <c r="K65" s="60" t="s">
        <v>191</v>
      </c>
      <c r="L65" s="12" t="s">
        <v>71</v>
      </c>
    </row>
    <row r="66" spans="1:12" x14ac:dyDescent="0.3">
      <c r="A66" s="20" t="s">
        <v>128</v>
      </c>
      <c r="B66" s="10">
        <f t="shared" si="19"/>
        <v>50489</v>
      </c>
      <c r="C66" s="54">
        <v>215</v>
      </c>
      <c r="D66" s="55">
        <v>50274</v>
      </c>
      <c r="E66" s="54" t="s">
        <v>191</v>
      </c>
      <c r="F66" s="11">
        <f t="shared" si="18"/>
        <v>10365</v>
      </c>
      <c r="G66" s="54">
        <v>266</v>
      </c>
      <c r="H66" s="55">
        <v>10099</v>
      </c>
      <c r="I66" s="54" t="s">
        <v>191</v>
      </c>
      <c r="J66" s="55">
        <v>6304</v>
      </c>
      <c r="K66" s="59">
        <v>1002</v>
      </c>
      <c r="L66" s="12" t="s">
        <v>72</v>
      </c>
    </row>
    <row r="67" spans="1:12" x14ac:dyDescent="0.3">
      <c r="A67" s="20" t="s">
        <v>129</v>
      </c>
      <c r="B67" s="10">
        <f t="shared" si="19"/>
        <v>49021</v>
      </c>
      <c r="C67" s="54">
        <v>760</v>
      </c>
      <c r="D67" s="55">
        <v>9911</v>
      </c>
      <c r="E67" s="54">
        <v>38350</v>
      </c>
      <c r="F67" s="11">
        <f t="shared" si="18"/>
        <v>18239</v>
      </c>
      <c r="G67" s="54">
        <v>520</v>
      </c>
      <c r="H67" s="55">
        <v>13869</v>
      </c>
      <c r="I67" s="54">
        <v>3850</v>
      </c>
      <c r="J67" s="55">
        <v>5353</v>
      </c>
      <c r="K67" s="59">
        <v>836</v>
      </c>
      <c r="L67" s="12" t="s">
        <v>73</v>
      </c>
    </row>
    <row r="68" spans="1:12" x14ac:dyDescent="0.3">
      <c r="A68" s="20" t="s">
        <v>130</v>
      </c>
      <c r="B68" s="10">
        <f t="shared" si="19"/>
        <v>0</v>
      </c>
      <c r="C68" s="54" t="s">
        <v>191</v>
      </c>
      <c r="D68" s="54" t="s">
        <v>191</v>
      </c>
      <c r="E68" s="54" t="s">
        <v>191</v>
      </c>
      <c r="F68" s="11">
        <f t="shared" si="18"/>
        <v>0</v>
      </c>
      <c r="G68" s="54" t="s">
        <v>191</v>
      </c>
      <c r="H68" s="55" t="s">
        <v>191</v>
      </c>
      <c r="I68" s="54" t="s">
        <v>191</v>
      </c>
      <c r="J68" s="55" t="s">
        <v>191</v>
      </c>
      <c r="K68" s="59" t="s">
        <v>191</v>
      </c>
      <c r="L68" s="12" t="s">
        <v>74</v>
      </c>
    </row>
    <row r="69" spans="1:12" x14ac:dyDescent="0.3">
      <c r="A69" s="20" t="s">
        <v>131</v>
      </c>
      <c r="B69" s="10">
        <f t="shared" si="19"/>
        <v>8718</v>
      </c>
      <c r="C69" s="54">
        <v>193</v>
      </c>
      <c r="D69" s="55">
        <v>8525</v>
      </c>
      <c r="E69" s="54" t="s">
        <v>191</v>
      </c>
      <c r="F69" s="11">
        <f t="shared" si="18"/>
        <v>7118</v>
      </c>
      <c r="G69" s="54">
        <v>613</v>
      </c>
      <c r="H69" s="55">
        <v>6505</v>
      </c>
      <c r="I69" s="54" t="s">
        <v>191</v>
      </c>
      <c r="J69" s="55">
        <v>53</v>
      </c>
      <c r="K69" s="59" t="s">
        <v>191</v>
      </c>
      <c r="L69" s="12" t="s">
        <v>75</v>
      </c>
    </row>
    <row r="70" spans="1:12" ht="23.85" customHeight="1" x14ac:dyDescent="0.3">
      <c r="A70" s="39" t="s">
        <v>76</v>
      </c>
      <c r="B70" s="40">
        <f>SUM(B71:B75)</f>
        <v>467950</v>
      </c>
      <c r="C70" s="41">
        <f>SUM(C71:C75)</f>
        <v>1988</v>
      </c>
      <c r="D70" s="41">
        <f t="shared" ref="D70:J70" si="20">SUM(D71:D75)</f>
        <v>463432</v>
      </c>
      <c r="E70" s="41">
        <f t="shared" si="20"/>
        <v>2530</v>
      </c>
      <c r="F70" s="41">
        <f t="shared" si="20"/>
        <v>99156</v>
      </c>
      <c r="G70" s="41">
        <f t="shared" si="20"/>
        <v>6169</v>
      </c>
      <c r="H70" s="41">
        <f t="shared" si="20"/>
        <v>78647</v>
      </c>
      <c r="I70" s="41">
        <f t="shared" si="20"/>
        <v>14340</v>
      </c>
      <c r="J70" s="41">
        <f t="shared" si="20"/>
        <v>3304</v>
      </c>
      <c r="K70" s="42">
        <f t="shared" ref="K70" si="21">SUM(K71:K75)</f>
        <v>925</v>
      </c>
      <c r="L70" s="19" t="s">
        <v>77</v>
      </c>
    </row>
    <row r="71" spans="1:12" x14ac:dyDescent="0.3">
      <c r="A71" s="9" t="s">
        <v>163</v>
      </c>
      <c r="B71" s="10">
        <f>SUM(C71:E71)</f>
        <v>384055</v>
      </c>
      <c r="C71" s="54">
        <v>352</v>
      </c>
      <c r="D71" s="55">
        <v>383703</v>
      </c>
      <c r="E71" s="54" t="s">
        <v>191</v>
      </c>
      <c r="F71" s="11">
        <f t="shared" ref="F71:F75" si="22">SUM(G71:I71)</f>
        <v>31787</v>
      </c>
      <c r="G71" s="54">
        <v>2870</v>
      </c>
      <c r="H71" s="55">
        <v>28917</v>
      </c>
      <c r="I71" s="54" t="s">
        <v>191</v>
      </c>
      <c r="J71" s="55">
        <v>1965</v>
      </c>
      <c r="K71" s="59">
        <v>480</v>
      </c>
      <c r="L71" s="12" t="s">
        <v>78</v>
      </c>
    </row>
    <row r="72" spans="1:12" x14ac:dyDescent="0.3">
      <c r="A72" s="9" t="s">
        <v>164</v>
      </c>
      <c r="B72" s="10">
        <f>SUM(C72:E72)</f>
        <v>5270</v>
      </c>
      <c r="C72" s="54">
        <v>1435</v>
      </c>
      <c r="D72" s="55">
        <v>3835</v>
      </c>
      <c r="E72" s="54" t="s">
        <v>191</v>
      </c>
      <c r="F72" s="11">
        <f t="shared" si="22"/>
        <v>19232</v>
      </c>
      <c r="G72" s="54">
        <v>3060</v>
      </c>
      <c r="H72" s="55">
        <v>16172</v>
      </c>
      <c r="I72" s="54" t="s">
        <v>191</v>
      </c>
      <c r="J72" s="55">
        <v>638</v>
      </c>
      <c r="K72" s="59">
        <v>240</v>
      </c>
      <c r="L72" s="12" t="s">
        <v>79</v>
      </c>
    </row>
    <row r="73" spans="1:12" x14ac:dyDescent="0.3">
      <c r="A73" s="9" t="s">
        <v>165</v>
      </c>
      <c r="B73" s="10">
        <f>SUM(C73:E73)</f>
        <v>68849</v>
      </c>
      <c r="C73" s="54" t="s">
        <v>191</v>
      </c>
      <c r="D73" s="55">
        <v>68849</v>
      </c>
      <c r="E73" s="54" t="s">
        <v>191</v>
      </c>
      <c r="F73" s="11">
        <f t="shared" si="22"/>
        <v>11005</v>
      </c>
      <c r="G73" s="54" t="s">
        <v>191</v>
      </c>
      <c r="H73" s="55">
        <v>11005</v>
      </c>
      <c r="I73" s="54" t="s">
        <v>191</v>
      </c>
      <c r="J73" s="55">
        <v>172</v>
      </c>
      <c r="K73" s="59">
        <v>43</v>
      </c>
      <c r="L73" s="12" t="s">
        <v>80</v>
      </c>
    </row>
    <row r="74" spans="1:12" x14ac:dyDescent="0.3">
      <c r="A74" s="9" t="s">
        <v>166</v>
      </c>
      <c r="B74" s="10">
        <f>SUM(C74:E74)</f>
        <v>1551</v>
      </c>
      <c r="C74" s="54">
        <v>158</v>
      </c>
      <c r="D74" s="55">
        <v>1393</v>
      </c>
      <c r="E74" s="54" t="s">
        <v>191</v>
      </c>
      <c r="F74" s="11">
        <f t="shared" si="22"/>
        <v>6310</v>
      </c>
      <c r="G74" s="54">
        <v>186</v>
      </c>
      <c r="H74" s="55">
        <v>6124</v>
      </c>
      <c r="I74" s="54" t="s">
        <v>191</v>
      </c>
      <c r="J74" s="55">
        <v>156</v>
      </c>
      <c r="K74" s="59">
        <v>48</v>
      </c>
      <c r="L74" s="12" t="s">
        <v>81</v>
      </c>
    </row>
    <row r="75" spans="1:12" x14ac:dyDescent="0.3">
      <c r="A75" s="9" t="s">
        <v>167</v>
      </c>
      <c r="B75" s="10">
        <f>SUM(C75:E75)</f>
        <v>8225</v>
      </c>
      <c r="C75" s="54">
        <v>43</v>
      </c>
      <c r="D75" s="55">
        <v>5652</v>
      </c>
      <c r="E75" s="54">
        <v>2530</v>
      </c>
      <c r="F75" s="11">
        <f t="shared" si="22"/>
        <v>30822</v>
      </c>
      <c r="G75" s="54">
        <v>53</v>
      </c>
      <c r="H75" s="55">
        <v>16429</v>
      </c>
      <c r="I75" s="54">
        <v>14340</v>
      </c>
      <c r="J75" s="55">
        <v>373</v>
      </c>
      <c r="K75" s="59">
        <v>114</v>
      </c>
      <c r="L75" s="12" t="s">
        <v>82</v>
      </c>
    </row>
    <row r="76" spans="1:12" ht="27.6" customHeight="1" x14ac:dyDescent="0.3">
      <c r="A76" s="39" t="s">
        <v>83</v>
      </c>
      <c r="B76" s="40">
        <f>SUM(B77:B89)</f>
        <v>188532</v>
      </c>
      <c r="C76" s="41">
        <f>SUM(C77:C89)</f>
        <v>27311</v>
      </c>
      <c r="D76" s="41">
        <f t="shared" ref="D76:J76" si="23">SUM(D77:D89)</f>
        <v>161221</v>
      </c>
      <c r="E76" s="41">
        <f t="shared" si="23"/>
        <v>0</v>
      </c>
      <c r="F76" s="41">
        <f t="shared" si="23"/>
        <v>207811</v>
      </c>
      <c r="G76" s="41">
        <f t="shared" si="23"/>
        <v>23963</v>
      </c>
      <c r="H76" s="41">
        <f t="shared" si="23"/>
        <v>183848</v>
      </c>
      <c r="I76" s="41">
        <f t="shared" si="23"/>
        <v>0</v>
      </c>
      <c r="J76" s="41">
        <f t="shared" si="23"/>
        <v>8575</v>
      </c>
      <c r="K76" s="42">
        <f t="shared" ref="K76" si="24">SUM(K77:K89)</f>
        <v>3055</v>
      </c>
      <c r="L76" s="19" t="s">
        <v>84</v>
      </c>
    </row>
    <row r="77" spans="1:12" x14ac:dyDescent="0.3">
      <c r="A77" s="9" t="s">
        <v>168</v>
      </c>
      <c r="B77" s="10">
        <f>SUM(C77:E77)</f>
        <v>1390</v>
      </c>
      <c r="C77" s="54">
        <v>840</v>
      </c>
      <c r="D77" s="55">
        <v>550</v>
      </c>
      <c r="E77" s="54" t="s">
        <v>191</v>
      </c>
      <c r="F77" s="11">
        <f>SUM(G77:H77)</f>
        <v>1269</v>
      </c>
      <c r="G77" s="54">
        <v>766</v>
      </c>
      <c r="H77" s="55">
        <v>503</v>
      </c>
      <c r="I77" s="54" t="s">
        <v>191</v>
      </c>
      <c r="J77" s="55">
        <v>103</v>
      </c>
      <c r="K77" s="59">
        <v>42</v>
      </c>
      <c r="L77" s="12" t="s">
        <v>85</v>
      </c>
    </row>
    <row r="78" spans="1:12" x14ac:dyDescent="0.3">
      <c r="A78" s="9" t="s">
        <v>169</v>
      </c>
      <c r="B78" s="10">
        <f t="shared" ref="B78:B89" si="25">SUM(C78:E78)</f>
        <v>29023</v>
      </c>
      <c r="C78" s="54">
        <v>663</v>
      </c>
      <c r="D78" s="55">
        <v>28360</v>
      </c>
      <c r="E78" s="54" t="s">
        <v>191</v>
      </c>
      <c r="F78" s="11">
        <f>SUM(G78:H78)</f>
        <v>15171</v>
      </c>
      <c r="G78" s="54">
        <v>781</v>
      </c>
      <c r="H78" s="55">
        <v>14390</v>
      </c>
      <c r="I78" s="54" t="s">
        <v>191</v>
      </c>
      <c r="J78" s="55">
        <v>575</v>
      </c>
      <c r="K78" s="59">
        <v>167</v>
      </c>
      <c r="L78" s="12" t="s">
        <v>86</v>
      </c>
    </row>
    <row r="79" spans="1:12" x14ac:dyDescent="0.3">
      <c r="A79" s="9" t="s">
        <v>170</v>
      </c>
      <c r="B79" s="10">
        <f t="shared" si="25"/>
        <v>2130</v>
      </c>
      <c r="C79" s="54">
        <v>797</v>
      </c>
      <c r="D79" s="55">
        <v>1333</v>
      </c>
      <c r="E79" s="54" t="s">
        <v>191</v>
      </c>
      <c r="F79" s="11">
        <f>SUM(G79:H79)</f>
        <v>7622</v>
      </c>
      <c r="G79" s="54">
        <v>2175</v>
      </c>
      <c r="H79" s="55">
        <v>5447</v>
      </c>
      <c r="I79" s="54" t="s">
        <v>191</v>
      </c>
      <c r="J79" s="55">
        <v>1377</v>
      </c>
      <c r="K79" s="59">
        <v>192</v>
      </c>
      <c r="L79" s="12" t="s">
        <v>87</v>
      </c>
    </row>
    <row r="80" spans="1:12" x14ac:dyDescent="0.3">
      <c r="A80" s="9" t="s">
        <v>171</v>
      </c>
      <c r="B80" s="10">
        <f t="shared" si="25"/>
        <v>9044</v>
      </c>
      <c r="C80" s="54">
        <v>90</v>
      </c>
      <c r="D80" s="55">
        <v>8954</v>
      </c>
      <c r="E80" s="54" t="s">
        <v>191</v>
      </c>
      <c r="F80" s="11">
        <f>SUM(G80:I80)</f>
        <v>26221</v>
      </c>
      <c r="G80" s="54">
        <v>180</v>
      </c>
      <c r="H80" s="55">
        <v>26041</v>
      </c>
      <c r="I80" s="54" t="s">
        <v>191</v>
      </c>
      <c r="J80" s="55">
        <v>104</v>
      </c>
      <c r="K80" s="59">
        <v>47</v>
      </c>
      <c r="L80" s="12" t="s">
        <v>88</v>
      </c>
    </row>
    <row r="81" spans="1:12" x14ac:dyDescent="0.3">
      <c r="A81" s="9" t="s">
        <v>172</v>
      </c>
      <c r="B81" s="10">
        <f t="shared" si="25"/>
        <v>8838</v>
      </c>
      <c r="C81" s="56" t="s">
        <v>191</v>
      </c>
      <c r="D81" s="55">
        <v>8838</v>
      </c>
      <c r="E81" s="56" t="s">
        <v>191</v>
      </c>
      <c r="F81" s="11">
        <f t="shared" ref="F81:F89" si="26">SUM(G81:H81)</f>
        <v>6202</v>
      </c>
      <c r="G81" s="56" t="s">
        <v>191</v>
      </c>
      <c r="H81" s="55">
        <v>6202</v>
      </c>
      <c r="I81" s="56" t="s">
        <v>191</v>
      </c>
      <c r="J81" s="55" t="s">
        <v>191</v>
      </c>
      <c r="K81" s="60" t="s">
        <v>191</v>
      </c>
      <c r="L81" s="12" t="s">
        <v>89</v>
      </c>
    </row>
    <row r="82" spans="1:12" x14ac:dyDescent="0.3">
      <c r="A82" s="9" t="s">
        <v>173</v>
      </c>
      <c r="B82" s="10">
        <f t="shared" si="25"/>
        <v>21464</v>
      </c>
      <c r="C82" s="54">
        <v>10893</v>
      </c>
      <c r="D82" s="55">
        <v>10571</v>
      </c>
      <c r="E82" s="54" t="s">
        <v>191</v>
      </c>
      <c r="F82" s="11">
        <f t="shared" si="26"/>
        <v>14972</v>
      </c>
      <c r="G82" s="54">
        <v>7367</v>
      </c>
      <c r="H82" s="55">
        <v>7605</v>
      </c>
      <c r="I82" s="54" t="s">
        <v>191</v>
      </c>
      <c r="J82" s="55">
        <v>755</v>
      </c>
      <c r="K82" s="59">
        <v>210</v>
      </c>
      <c r="L82" s="12" t="s">
        <v>90</v>
      </c>
    </row>
    <row r="83" spans="1:12" x14ac:dyDescent="0.3">
      <c r="A83" s="9" t="s">
        <v>174</v>
      </c>
      <c r="B83" s="10">
        <f t="shared" si="25"/>
        <v>12764</v>
      </c>
      <c r="C83" s="54">
        <v>734</v>
      </c>
      <c r="D83" s="55">
        <v>12030</v>
      </c>
      <c r="E83" s="54" t="s">
        <v>191</v>
      </c>
      <c r="F83" s="11">
        <f t="shared" si="26"/>
        <v>14166</v>
      </c>
      <c r="G83" s="54">
        <v>1086</v>
      </c>
      <c r="H83" s="55">
        <v>13080</v>
      </c>
      <c r="I83" s="54" t="s">
        <v>191</v>
      </c>
      <c r="J83" s="55">
        <v>2683</v>
      </c>
      <c r="K83" s="59">
        <v>831</v>
      </c>
      <c r="L83" s="12" t="s">
        <v>91</v>
      </c>
    </row>
    <row r="84" spans="1:12" x14ac:dyDescent="0.3">
      <c r="A84" s="9" t="s">
        <v>175</v>
      </c>
      <c r="B84" s="10">
        <f t="shared" si="25"/>
        <v>5732</v>
      </c>
      <c r="C84" s="54">
        <v>692</v>
      </c>
      <c r="D84" s="55">
        <v>5040</v>
      </c>
      <c r="E84" s="54" t="s">
        <v>191</v>
      </c>
      <c r="F84" s="11">
        <f t="shared" si="26"/>
        <v>10957</v>
      </c>
      <c r="G84" s="54">
        <v>812</v>
      </c>
      <c r="H84" s="55">
        <v>10145</v>
      </c>
      <c r="I84" s="54" t="s">
        <v>191</v>
      </c>
      <c r="J84" s="55">
        <v>1011</v>
      </c>
      <c r="K84" s="59">
        <v>701</v>
      </c>
      <c r="L84" s="12" t="s">
        <v>92</v>
      </c>
    </row>
    <row r="85" spans="1:12" x14ac:dyDescent="0.3">
      <c r="A85" s="9" t="s">
        <v>176</v>
      </c>
      <c r="B85" s="10">
        <f t="shared" si="25"/>
        <v>2486</v>
      </c>
      <c r="C85" s="54">
        <v>1949</v>
      </c>
      <c r="D85" s="55">
        <v>537</v>
      </c>
      <c r="E85" s="54" t="s">
        <v>191</v>
      </c>
      <c r="F85" s="11">
        <f t="shared" si="26"/>
        <v>792</v>
      </c>
      <c r="G85" s="54">
        <v>575</v>
      </c>
      <c r="H85" s="55">
        <v>217</v>
      </c>
      <c r="I85" s="54" t="s">
        <v>191</v>
      </c>
      <c r="J85" s="55">
        <v>14</v>
      </c>
      <c r="K85" s="59">
        <v>9</v>
      </c>
      <c r="L85" s="12" t="s">
        <v>93</v>
      </c>
    </row>
    <row r="86" spans="1:12" x14ac:dyDescent="0.3">
      <c r="A86" s="9" t="s">
        <v>177</v>
      </c>
      <c r="B86" s="10">
        <f t="shared" si="25"/>
        <v>63493</v>
      </c>
      <c r="C86" s="54">
        <v>2773</v>
      </c>
      <c r="D86" s="55">
        <v>60720</v>
      </c>
      <c r="E86" s="54" t="s">
        <v>191</v>
      </c>
      <c r="F86" s="11">
        <f t="shared" si="26"/>
        <v>60135</v>
      </c>
      <c r="G86" s="54">
        <v>4435</v>
      </c>
      <c r="H86" s="55">
        <v>55700</v>
      </c>
      <c r="I86" s="54" t="s">
        <v>191</v>
      </c>
      <c r="J86" s="55">
        <v>862</v>
      </c>
      <c r="K86" s="59">
        <v>285</v>
      </c>
      <c r="L86" s="12" t="s">
        <v>94</v>
      </c>
    </row>
    <row r="87" spans="1:12" x14ac:dyDescent="0.3">
      <c r="A87" s="9" t="s">
        <v>178</v>
      </c>
      <c r="B87" s="10">
        <f t="shared" si="25"/>
        <v>2897</v>
      </c>
      <c r="C87" s="54">
        <v>530</v>
      </c>
      <c r="D87" s="55">
        <v>2367</v>
      </c>
      <c r="E87" s="54" t="s">
        <v>191</v>
      </c>
      <c r="F87" s="11">
        <f t="shared" si="26"/>
        <v>6367</v>
      </c>
      <c r="G87" s="54">
        <v>1560</v>
      </c>
      <c r="H87" s="55">
        <v>4807</v>
      </c>
      <c r="I87" s="54" t="s">
        <v>191</v>
      </c>
      <c r="J87" s="55">
        <v>451</v>
      </c>
      <c r="K87" s="59">
        <v>115</v>
      </c>
      <c r="L87" s="12" t="s">
        <v>95</v>
      </c>
    </row>
    <row r="88" spans="1:12" x14ac:dyDescent="0.3">
      <c r="A88" s="9" t="s">
        <v>179</v>
      </c>
      <c r="B88" s="10">
        <f t="shared" si="25"/>
        <v>20497</v>
      </c>
      <c r="C88" s="54" t="s">
        <v>191</v>
      </c>
      <c r="D88" s="55">
        <v>20497</v>
      </c>
      <c r="E88" s="54" t="s">
        <v>191</v>
      </c>
      <c r="F88" s="11">
        <f t="shared" si="26"/>
        <v>35304</v>
      </c>
      <c r="G88" s="54" t="s">
        <v>191</v>
      </c>
      <c r="H88" s="55">
        <v>35304</v>
      </c>
      <c r="I88" s="54" t="s">
        <v>191</v>
      </c>
      <c r="J88" s="55">
        <v>520</v>
      </c>
      <c r="K88" s="59">
        <v>401</v>
      </c>
      <c r="L88" s="12" t="s">
        <v>96</v>
      </c>
    </row>
    <row r="89" spans="1:12" x14ac:dyDescent="0.3">
      <c r="A89" s="9" t="s">
        <v>180</v>
      </c>
      <c r="B89" s="10">
        <f t="shared" si="25"/>
        <v>8774</v>
      </c>
      <c r="C89" s="56">
        <v>7350</v>
      </c>
      <c r="D89" s="55">
        <v>1424</v>
      </c>
      <c r="E89" s="56" t="s">
        <v>191</v>
      </c>
      <c r="F89" s="11">
        <f t="shared" si="26"/>
        <v>8633</v>
      </c>
      <c r="G89" s="56">
        <v>4226</v>
      </c>
      <c r="H89" s="55">
        <v>4407</v>
      </c>
      <c r="I89" s="56" t="s">
        <v>191</v>
      </c>
      <c r="J89" s="55">
        <v>120</v>
      </c>
      <c r="K89" s="60">
        <v>55</v>
      </c>
      <c r="L89" s="12" t="s">
        <v>97</v>
      </c>
    </row>
    <row r="90" spans="1:12" ht="27.15" customHeight="1" x14ac:dyDescent="0.3">
      <c r="A90" s="39" t="s">
        <v>98</v>
      </c>
      <c r="B90" s="40">
        <f>SUM(B91:B94)</f>
        <v>2517838</v>
      </c>
      <c r="C90" s="41">
        <f>SUM(C91:C94)</f>
        <v>33965</v>
      </c>
      <c r="D90" s="41">
        <f t="shared" ref="D90:J90" si="27">SUM(D91:D94)</f>
        <v>2243661</v>
      </c>
      <c r="E90" s="41">
        <f t="shared" si="27"/>
        <v>240212</v>
      </c>
      <c r="F90" s="41">
        <f t="shared" si="27"/>
        <v>656391</v>
      </c>
      <c r="G90" s="41">
        <f t="shared" si="27"/>
        <v>32309</v>
      </c>
      <c r="H90" s="41">
        <f t="shared" si="27"/>
        <v>606156</v>
      </c>
      <c r="I90" s="41">
        <f t="shared" si="27"/>
        <v>17926</v>
      </c>
      <c r="J90" s="41">
        <f t="shared" si="27"/>
        <v>41345</v>
      </c>
      <c r="K90" s="42">
        <f t="shared" ref="K90" si="28">SUM(K91:K94)</f>
        <v>7206</v>
      </c>
      <c r="L90" s="19" t="s">
        <v>99</v>
      </c>
    </row>
    <row r="91" spans="1:12" x14ac:dyDescent="0.3">
      <c r="A91" s="9" t="s">
        <v>181</v>
      </c>
      <c r="B91" s="10">
        <f>SUM(C91:E91)</f>
        <v>746344</v>
      </c>
      <c r="C91" s="54">
        <v>14544</v>
      </c>
      <c r="D91" s="55">
        <v>731800</v>
      </c>
      <c r="E91" s="54" t="s">
        <v>191</v>
      </c>
      <c r="F91" s="11">
        <f>SUM(G91:I91)</f>
        <v>206278</v>
      </c>
      <c r="G91" s="54">
        <v>14894</v>
      </c>
      <c r="H91" s="55">
        <v>191384</v>
      </c>
      <c r="I91" s="54" t="s">
        <v>191</v>
      </c>
      <c r="J91" s="55">
        <v>6466</v>
      </c>
      <c r="K91" s="59">
        <v>2019</v>
      </c>
      <c r="L91" s="12" t="s">
        <v>100</v>
      </c>
    </row>
    <row r="92" spans="1:12" x14ac:dyDescent="0.3">
      <c r="A92" s="9" t="s">
        <v>182</v>
      </c>
      <c r="B92" s="10">
        <f>SUM(C92:E92)</f>
        <v>194650</v>
      </c>
      <c r="C92" s="54">
        <v>979</v>
      </c>
      <c r="D92" s="55">
        <v>129459</v>
      </c>
      <c r="E92" s="54">
        <v>64212</v>
      </c>
      <c r="F92" s="11">
        <f>SUM(G92:I92)</f>
        <v>75181</v>
      </c>
      <c r="G92" s="54">
        <v>1475</v>
      </c>
      <c r="H92" s="55">
        <v>72485</v>
      </c>
      <c r="I92" s="54">
        <v>1221</v>
      </c>
      <c r="J92" s="55">
        <v>28</v>
      </c>
      <c r="K92" s="59" t="s">
        <v>191</v>
      </c>
      <c r="L92" s="12" t="s">
        <v>101</v>
      </c>
    </row>
    <row r="93" spans="1:12" x14ac:dyDescent="0.3">
      <c r="A93" s="9" t="s">
        <v>183</v>
      </c>
      <c r="B93" s="10">
        <f>SUM(C93:E93)</f>
        <v>1008821</v>
      </c>
      <c r="C93" s="54">
        <v>8884</v>
      </c>
      <c r="D93" s="55">
        <v>823937</v>
      </c>
      <c r="E93" s="54">
        <v>176000</v>
      </c>
      <c r="F93" s="11">
        <f>SUM(G93:I93)</f>
        <v>179761</v>
      </c>
      <c r="G93" s="54">
        <v>5782</v>
      </c>
      <c r="H93" s="55">
        <v>159609</v>
      </c>
      <c r="I93" s="54">
        <v>14370</v>
      </c>
      <c r="J93" s="55">
        <v>31067</v>
      </c>
      <c r="K93" s="59">
        <v>4669</v>
      </c>
      <c r="L93" s="12" t="s">
        <v>102</v>
      </c>
    </row>
    <row r="94" spans="1:12" ht="15" thickBot="1" x14ac:dyDescent="0.35">
      <c r="A94" s="21" t="s">
        <v>184</v>
      </c>
      <c r="B94" s="22">
        <f>SUM(C94:E94)</f>
        <v>568023</v>
      </c>
      <c r="C94" s="57">
        <v>9558</v>
      </c>
      <c r="D94" s="58">
        <v>558465</v>
      </c>
      <c r="E94" s="57" t="s">
        <v>191</v>
      </c>
      <c r="F94" s="23">
        <f>SUM(G94:I94)</f>
        <v>195171</v>
      </c>
      <c r="G94" s="57">
        <v>10158</v>
      </c>
      <c r="H94" s="58">
        <v>182678</v>
      </c>
      <c r="I94" s="57">
        <v>2335</v>
      </c>
      <c r="J94" s="58">
        <v>3784</v>
      </c>
      <c r="K94" s="61">
        <v>518</v>
      </c>
      <c r="L94" s="24" t="s">
        <v>103</v>
      </c>
    </row>
    <row r="95" spans="1:12" x14ac:dyDescent="0.3">
      <c r="A95" s="25"/>
      <c r="K95" s="4"/>
    </row>
    <row r="96" spans="1:12" x14ac:dyDescent="0.3">
      <c r="A96" s="26"/>
      <c r="K96" s="27"/>
      <c r="L96" s="26"/>
    </row>
    <row r="97" spans="1:12" ht="10.199999999999999" customHeight="1" x14ac:dyDescent="0.3">
      <c r="A97" s="28"/>
      <c r="B97" s="29"/>
      <c r="C97" s="29"/>
      <c r="D97" s="29"/>
      <c r="E97" s="29"/>
      <c r="L97" s="29"/>
    </row>
    <row r="98" spans="1:12" ht="10.199999999999999" customHeight="1" x14ac:dyDescent="0.3">
      <c r="A98" s="28"/>
      <c r="B98" s="29"/>
      <c r="C98" s="29"/>
      <c r="D98" s="29"/>
      <c r="E98" s="29"/>
      <c r="L98" s="29"/>
    </row>
    <row r="99" spans="1:12" ht="10.199999999999999" customHeight="1" x14ac:dyDescent="0.3">
      <c r="A99" s="44"/>
      <c r="B99" s="44"/>
      <c r="C99" s="44"/>
      <c r="D99" s="44"/>
      <c r="E99" s="44"/>
      <c r="L99" s="44"/>
    </row>
    <row r="100" spans="1:12" x14ac:dyDescent="0.3">
      <c r="A100" s="44"/>
      <c r="B100" s="44"/>
      <c r="C100" s="44"/>
      <c r="D100" s="44"/>
      <c r="E100" s="44"/>
      <c r="L100" s="44"/>
    </row>
    <row r="109" spans="1:12" x14ac:dyDescent="0.3">
      <c r="A109" s="30"/>
    </row>
    <row r="110" spans="1:12" x14ac:dyDescent="0.3">
      <c r="A110" s="3"/>
      <c r="B110" s="3"/>
      <c r="C110" s="3"/>
      <c r="D110" s="3"/>
      <c r="E110" s="3"/>
      <c r="F110" s="3"/>
      <c r="G110" s="4"/>
      <c r="H110" s="4"/>
      <c r="I110" s="4"/>
      <c r="J110" s="4"/>
      <c r="K110" s="4"/>
    </row>
    <row r="111" spans="1:12" x14ac:dyDescent="0.3">
      <c r="A111" s="3"/>
      <c r="B111" s="3"/>
      <c r="C111" s="3"/>
      <c r="D111" s="3"/>
      <c r="E111" s="3"/>
      <c r="F111" s="3"/>
      <c r="G111" s="4"/>
      <c r="H111" s="4"/>
      <c r="I111" s="4"/>
      <c r="J111" s="4"/>
      <c r="K111" s="4"/>
    </row>
    <row r="112" spans="1:12" x14ac:dyDescent="0.3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</row>
    <row r="113" spans="1:11" x14ac:dyDescent="0.3">
      <c r="A113" s="30"/>
      <c r="F113" s="8"/>
      <c r="G113" s="8"/>
      <c r="H113" s="8"/>
      <c r="I113" s="8"/>
      <c r="J113" s="8"/>
      <c r="K113" s="8"/>
    </row>
    <row r="114" spans="1:11" x14ac:dyDescent="0.3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</row>
    <row r="115" spans="1:11" x14ac:dyDescent="0.3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</row>
    <row r="116" spans="1:11" x14ac:dyDescent="0.3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</row>
    <row r="117" spans="1:11" x14ac:dyDescent="0.3">
      <c r="A117" s="45"/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spans="1:11" x14ac:dyDescent="0.3">
      <c r="A118" s="32"/>
    </row>
    <row r="119" spans="1:11" x14ac:dyDescent="0.3">
      <c r="A119" s="33"/>
    </row>
    <row r="120" spans="1:11" x14ac:dyDescent="0.3">
      <c r="A120" s="46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spans="1:11" x14ac:dyDescent="0.3">
      <c r="A121" s="46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spans="1:11" x14ac:dyDescent="0.3">
      <c r="A122" s="46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spans="1:11" x14ac:dyDescent="0.3">
      <c r="A123" s="33"/>
      <c r="F123" s="8"/>
      <c r="G123" s="8"/>
    </row>
    <row r="124" spans="1:11" x14ac:dyDescent="0.3">
      <c r="A124" s="33"/>
      <c r="F124" s="8"/>
      <c r="G124" s="8"/>
    </row>
    <row r="125" spans="1:11" x14ac:dyDescent="0.3">
      <c r="A125" s="33"/>
      <c r="F125" s="8"/>
      <c r="G125" s="8"/>
    </row>
    <row r="126" spans="1:11" x14ac:dyDescent="0.3">
      <c r="A126" s="33"/>
      <c r="F126" s="8"/>
      <c r="G126" s="8"/>
    </row>
    <row r="127" spans="1:11" x14ac:dyDescent="0.3">
      <c r="A127" s="33"/>
      <c r="F127" s="8"/>
      <c r="G127" s="8"/>
    </row>
    <row r="128" spans="1:11" x14ac:dyDescent="0.3">
      <c r="A128" s="33"/>
      <c r="F128" s="8"/>
      <c r="G128" s="8"/>
    </row>
    <row r="129" spans="1:7" x14ac:dyDescent="0.3">
      <c r="A129" s="46"/>
    </row>
    <row r="130" spans="1:7" x14ac:dyDescent="0.3">
      <c r="A130" s="46"/>
    </row>
    <row r="131" spans="1:7" x14ac:dyDescent="0.3">
      <c r="A131" s="33"/>
      <c r="F131" s="8"/>
      <c r="G131" s="8"/>
    </row>
    <row r="132" spans="1:7" x14ac:dyDescent="0.3">
      <c r="A132" s="33"/>
      <c r="F132" s="8"/>
      <c r="G132" s="8"/>
    </row>
    <row r="133" spans="1:7" x14ac:dyDescent="0.3">
      <c r="A133" s="33"/>
      <c r="F133" s="8"/>
      <c r="G133" s="8"/>
    </row>
    <row r="134" spans="1:7" x14ac:dyDescent="0.3">
      <c r="A134" s="33"/>
      <c r="F134" s="8"/>
      <c r="G134" s="8"/>
    </row>
    <row r="135" spans="1:7" x14ac:dyDescent="0.3">
      <c r="A135" s="33"/>
      <c r="F135" s="8"/>
      <c r="G135" s="8"/>
    </row>
    <row r="136" spans="1:7" x14ac:dyDescent="0.3">
      <c r="A136" s="33"/>
      <c r="F136" s="8"/>
      <c r="G136" s="8"/>
    </row>
    <row r="137" spans="1:7" x14ac:dyDescent="0.3">
      <c r="A137" s="33"/>
      <c r="F137" s="8"/>
      <c r="G137" s="8"/>
    </row>
    <row r="138" spans="1:7" x14ac:dyDescent="0.3">
      <c r="A138" s="33"/>
      <c r="F138" s="8"/>
      <c r="G138" s="8"/>
    </row>
    <row r="139" spans="1:7" x14ac:dyDescent="0.3">
      <c r="A139" s="33"/>
      <c r="F139" s="8"/>
      <c r="G139" s="8"/>
    </row>
    <row r="140" spans="1:7" x14ac:dyDescent="0.3">
      <c r="A140" s="33"/>
      <c r="F140" s="8"/>
      <c r="G140" s="8"/>
    </row>
    <row r="141" spans="1:7" x14ac:dyDescent="0.3">
      <c r="A141" s="33"/>
      <c r="F141" s="8"/>
      <c r="G141" s="8"/>
    </row>
    <row r="142" spans="1:7" x14ac:dyDescent="0.3">
      <c r="A142" s="47"/>
    </row>
    <row r="143" spans="1:7" x14ac:dyDescent="0.3">
      <c r="A143" s="47"/>
    </row>
    <row r="144" spans="1:7" x14ac:dyDescent="0.3">
      <c r="A144" s="33"/>
      <c r="F144" s="8"/>
      <c r="G144" s="8"/>
    </row>
    <row r="145" spans="1:7" x14ac:dyDescent="0.3">
      <c r="A145" s="33"/>
      <c r="F145" s="8"/>
      <c r="G145" s="8"/>
    </row>
    <row r="146" spans="1:7" x14ac:dyDescent="0.3">
      <c r="A146" s="33"/>
      <c r="F146" s="8"/>
      <c r="G146" s="8"/>
    </row>
    <row r="147" spans="1:7" x14ac:dyDescent="0.3">
      <c r="A147" s="33"/>
      <c r="F147" s="8"/>
      <c r="G147" s="8"/>
    </row>
    <row r="148" spans="1:7" x14ac:dyDescent="0.3">
      <c r="A148" s="47"/>
    </row>
    <row r="149" spans="1:7" x14ac:dyDescent="0.3">
      <c r="A149" s="47"/>
    </row>
    <row r="150" spans="1:7" x14ac:dyDescent="0.3">
      <c r="A150" s="33"/>
      <c r="F150" s="8"/>
      <c r="G150" s="8"/>
    </row>
    <row r="151" spans="1:7" x14ac:dyDescent="0.3">
      <c r="A151" s="33"/>
      <c r="F151" s="8"/>
      <c r="G151" s="8"/>
    </row>
    <row r="152" spans="1:7" x14ac:dyDescent="0.3">
      <c r="A152" s="33"/>
      <c r="F152" s="8"/>
      <c r="G152" s="8"/>
    </row>
    <row r="153" spans="1:7" x14ac:dyDescent="0.3">
      <c r="A153" s="33"/>
      <c r="F153" s="8"/>
      <c r="G153" s="8"/>
    </row>
    <row r="154" spans="1:7" x14ac:dyDescent="0.3">
      <c r="A154" s="33"/>
      <c r="F154" s="8"/>
      <c r="G154" s="8"/>
    </row>
    <row r="155" spans="1:7" x14ac:dyDescent="0.3">
      <c r="A155" s="47"/>
    </row>
    <row r="156" spans="1:7" x14ac:dyDescent="0.3">
      <c r="A156" s="47"/>
    </row>
    <row r="157" spans="1:7" x14ac:dyDescent="0.3">
      <c r="A157" s="33"/>
      <c r="F157" s="8"/>
      <c r="G157" s="8"/>
    </row>
    <row r="158" spans="1:7" x14ac:dyDescent="0.3">
      <c r="A158" s="33"/>
      <c r="F158" s="8"/>
      <c r="G158" s="8"/>
    </row>
    <row r="159" spans="1:7" x14ac:dyDescent="0.3">
      <c r="A159" s="33"/>
      <c r="F159" s="8"/>
      <c r="G159" s="8"/>
    </row>
    <row r="160" spans="1:7" x14ac:dyDescent="0.3">
      <c r="A160" s="33"/>
      <c r="F160" s="8"/>
      <c r="G160" s="8"/>
    </row>
    <row r="161" spans="1:7" x14ac:dyDescent="0.3">
      <c r="A161" s="33"/>
      <c r="F161" s="8"/>
      <c r="G161" s="8"/>
    </row>
    <row r="162" spans="1:7" x14ac:dyDescent="0.3">
      <c r="A162" s="47"/>
    </row>
    <row r="163" spans="1:7" x14ac:dyDescent="0.3">
      <c r="A163" s="47"/>
    </row>
    <row r="164" spans="1:7" x14ac:dyDescent="0.3">
      <c r="A164" s="33"/>
      <c r="F164" s="8"/>
      <c r="G164" s="8"/>
    </row>
    <row r="165" spans="1:7" x14ac:dyDescent="0.3">
      <c r="A165" s="33"/>
      <c r="F165" s="8"/>
      <c r="G165" s="8"/>
    </row>
    <row r="166" spans="1:7" x14ac:dyDescent="0.3">
      <c r="A166" s="33"/>
      <c r="F166" s="8"/>
      <c r="G166" s="8"/>
    </row>
    <row r="167" spans="1:7" x14ac:dyDescent="0.3">
      <c r="A167" s="33"/>
      <c r="F167" s="8"/>
      <c r="G167" s="8"/>
    </row>
    <row r="168" spans="1:7" x14ac:dyDescent="0.3">
      <c r="A168" s="33"/>
      <c r="F168" s="8"/>
      <c r="G168" s="8"/>
    </row>
    <row r="169" spans="1:7" x14ac:dyDescent="0.3">
      <c r="A169" s="47"/>
    </row>
    <row r="170" spans="1:7" x14ac:dyDescent="0.3">
      <c r="A170" s="47"/>
    </row>
    <row r="171" spans="1:7" x14ac:dyDescent="0.3">
      <c r="A171" s="33"/>
      <c r="F171" s="8"/>
      <c r="G171" s="8"/>
    </row>
    <row r="172" spans="1:7" x14ac:dyDescent="0.3">
      <c r="A172" s="33"/>
      <c r="F172" s="8"/>
      <c r="G172" s="8"/>
    </row>
    <row r="173" spans="1:7" x14ac:dyDescent="0.3">
      <c r="A173" s="33"/>
      <c r="F173" s="8"/>
      <c r="G173" s="8"/>
    </row>
    <row r="174" spans="1:7" x14ac:dyDescent="0.3">
      <c r="A174" s="47"/>
    </row>
    <row r="175" spans="1:7" x14ac:dyDescent="0.3">
      <c r="A175" s="47"/>
    </row>
    <row r="176" spans="1:7" x14ac:dyDescent="0.3">
      <c r="A176" s="33"/>
      <c r="F176" s="8"/>
      <c r="G176" s="8"/>
    </row>
    <row r="177" spans="1:7" x14ac:dyDescent="0.3">
      <c r="A177" s="33"/>
      <c r="F177" s="8"/>
      <c r="G177" s="8"/>
    </row>
    <row r="178" spans="1:7" x14ac:dyDescent="0.3">
      <c r="A178" s="33"/>
      <c r="F178" s="8"/>
      <c r="G178" s="8"/>
    </row>
    <row r="179" spans="1:7" x14ac:dyDescent="0.3">
      <c r="A179" s="33"/>
      <c r="F179" s="8"/>
      <c r="G179" s="8"/>
    </row>
    <row r="180" spans="1:7" x14ac:dyDescent="0.3">
      <c r="A180" s="33"/>
      <c r="F180" s="8"/>
      <c r="G180" s="8"/>
    </row>
    <row r="181" spans="1:7" x14ac:dyDescent="0.3">
      <c r="A181" s="47"/>
    </row>
    <row r="182" spans="1:7" x14ac:dyDescent="0.3">
      <c r="A182" s="47"/>
    </row>
    <row r="183" spans="1:7" x14ac:dyDescent="0.3">
      <c r="A183" s="33"/>
      <c r="F183" s="8"/>
      <c r="G183" s="8"/>
    </row>
    <row r="184" spans="1:7" x14ac:dyDescent="0.3">
      <c r="A184" s="33"/>
      <c r="F184" s="8"/>
      <c r="G184" s="8"/>
    </row>
    <row r="185" spans="1:7" x14ac:dyDescent="0.3">
      <c r="A185" s="33"/>
      <c r="F185" s="8"/>
      <c r="G185" s="8"/>
    </row>
    <row r="186" spans="1:7" x14ac:dyDescent="0.3">
      <c r="A186" s="33"/>
      <c r="F186" s="8"/>
      <c r="G186" s="8"/>
    </row>
    <row r="187" spans="1:7" x14ac:dyDescent="0.3">
      <c r="A187" s="33"/>
      <c r="F187" s="8"/>
      <c r="G187" s="8"/>
    </row>
    <row r="188" spans="1:7" x14ac:dyDescent="0.3">
      <c r="A188" s="33"/>
      <c r="F188" s="8"/>
      <c r="G188" s="8"/>
    </row>
    <row r="189" spans="1:7" x14ac:dyDescent="0.3">
      <c r="A189" s="33"/>
      <c r="F189" s="8"/>
      <c r="G189" s="8"/>
    </row>
    <row r="190" spans="1:7" x14ac:dyDescent="0.3">
      <c r="A190" s="33"/>
      <c r="F190" s="8"/>
      <c r="G190" s="8"/>
    </row>
    <row r="191" spans="1:7" x14ac:dyDescent="0.3">
      <c r="A191" s="47"/>
    </row>
    <row r="192" spans="1:7" x14ac:dyDescent="0.3">
      <c r="A192" s="47"/>
    </row>
    <row r="193" spans="1:7" x14ac:dyDescent="0.3">
      <c r="A193" s="33"/>
      <c r="F193" s="8"/>
      <c r="G193" s="8"/>
    </row>
    <row r="194" spans="1:7" x14ac:dyDescent="0.3">
      <c r="A194" s="33"/>
      <c r="F194" s="8"/>
      <c r="G194" s="8"/>
    </row>
    <row r="195" spans="1:7" x14ac:dyDescent="0.3">
      <c r="A195" s="33"/>
      <c r="F195" s="8"/>
      <c r="G195" s="8"/>
    </row>
    <row r="196" spans="1:7" x14ac:dyDescent="0.3">
      <c r="A196" s="33"/>
      <c r="F196" s="8"/>
      <c r="G196" s="8"/>
    </row>
    <row r="197" spans="1:7" x14ac:dyDescent="0.3">
      <c r="A197" s="33"/>
      <c r="F197" s="8"/>
      <c r="G197" s="8"/>
    </row>
    <row r="198" spans="1:7" x14ac:dyDescent="0.3">
      <c r="A198" s="47"/>
    </row>
    <row r="199" spans="1:7" x14ac:dyDescent="0.3">
      <c r="A199" s="47"/>
    </row>
    <row r="200" spans="1:7" x14ac:dyDescent="0.3">
      <c r="A200" s="33"/>
      <c r="F200" s="8"/>
      <c r="G200" s="8"/>
    </row>
    <row r="201" spans="1:7" x14ac:dyDescent="0.3">
      <c r="A201" s="33"/>
      <c r="F201" s="8"/>
      <c r="G201" s="8"/>
    </row>
    <row r="202" spans="1:7" x14ac:dyDescent="0.3">
      <c r="A202" s="33"/>
      <c r="F202" s="8"/>
      <c r="G202" s="8"/>
    </row>
    <row r="203" spans="1:7" x14ac:dyDescent="0.3">
      <c r="A203" s="33"/>
      <c r="F203" s="8"/>
      <c r="G203" s="8"/>
    </row>
    <row r="204" spans="1:7" x14ac:dyDescent="0.3">
      <c r="A204" s="33"/>
      <c r="F204" s="8"/>
      <c r="G204" s="8"/>
    </row>
    <row r="205" spans="1:7" x14ac:dyDescent="0.3">
      <c r="A205" s="33"/>
      <c r="F205" s="8"/>
      <c r="G205" s="8"/>
    </row>
    <row r="206" spans="1:7" x14ac:dyDescent="0.3">
      <c r="A206" s="33"/>
      <c r="F206" s="8"/>
      <c r="G206" s="8"/>
    </row>
    <row r="207" spans="1:7" x14ac:dyDescent="0.3">
      <c r="A207" s="33"/>
      <c r="F207" s="8"/>
      <c r="G207" s="8"/>
    </row>
    <row r="208" spans="1:7" x14ac:dyDescent="0.3">
      <c r="A208" s="33"/>
      <c r="F208" s="8"/>
      <c r="G208" s="8"/>
    </row>
    <row r="209" spans="1:7" x14ac:dyDescent="0.3">
      <c r="A209" s="33"/>
      <c r="F209" s="8"/>
      <c r="G209" s="8"/>
    </row>
    <row r="210" spans="1:7" x14ac:dyDescent="0.3">
      <c r="A210" s="33"/>
      <c r="F210" s="8"/>
      <c r="G210" s="8"/>
    </row>
    <row r="211" spans="1:7" x14ac:dyDescent="0.3">
      <c r="A211" s="33"/>
      <c r="F211" s="8"/>
      <c r="G211" s="8"/>
    </row>
    <row r="212" spans="1:7" x14ac:dyDescent="0.3">
      <c r="A212" s="33"/>
      <c r="F212" s="8"/>
      <c r="G212" s="8"/>
    </row>
    <row r="213" spans="1:7" x14ac:dyDescent="0.3">
      <c r="A213" s="47"/>
    </row>
    <row r="214" spans="1:7" x14ac:dyDescent="0.3">
      <c r="A214" s="47"/>
    </row>
    <row r="215" spans="1:7" x14ac:dyDescent="0.3">
      <c r="A215" s="33"/>
      <c r="F215" s="8"/>
      <c r="G215" s="8"/>
    </row>
    <row r="216" spans="1:7" x14ac:dyDescent="0.3">
      <c r="A216" s="33"/>
      <c r="F216" s="8"/>
      <c r="G216" s="8"/>
    </row>
    <row r="217" spans="1:7" x14ac:dyDescent="0.3">
      <c r="A217" s="33"/>
      <c r="F217" s="8"/>
      <c r="G217" s="8"/>
    </row>
    <row r="218" spans="1:7" x14ac:dyDescent="0.3">
      <c r="A218" s="33"/>
      <c r="F218" s="8"/>
      <c r="G218" s="8"/>
    </row>
    <row r="219" spans="1:7" x14ac:dyDescent="0.3">
      <c r="A219" s="33"/>
    </row>
    <row r="220" spans="1:7" x14ac:dyDescent="0.3">
      <c r="A220" s="33"/>
    </row>
  </sheetData>
  <mergeCells count="7">
    <mergeCell ref="A2:L2"/>
    <mergeCell ref="A3:L3"/>
    <mergeCell ref="J5:K5"/>
    <mergeCell ref="B5:E5"/>
    <mergeCell ref="F5:I5"/>
    <mergeCell ref="A5:A6"/>
    <mergeCell ref="L5:L6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2023-08-22T06:04:32Z</dcterms:modified>
</cp:coreProperties>
</file>