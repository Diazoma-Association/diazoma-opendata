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6D9E51D8-196A-4F1F-9D49-DE5BBC5F9A9E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I37" i="1"/>
  <c r="I36" i="1"/>
  <c r="I35" i="1"/>
  <c r="I34" i="1"/>
  <c r="E28" i="1"/>
  <c r="I31" i="1"/>
  <c r="I30" i="1"/>
  <c r="I29" i="1"/>
  <c r="I28" i="1"/>
  <c r="C27" i="1"/>
  <c r="C32" i="1"/>
  <c r="C38" i="1"/>
  <c r="C45" i="1"/>
  <c r="C52" i="1"/>
  <c r="C59" i="1"/>
  <c r="C64" i="1"/>
  <c r="C71" i="1"/>
  <c r="C81" i="1"/>
  <c r="C88" i="1"/>
  <c r="C103" i="1"/>
  <c r="C18" i="1"/>
  <c r="C10" i="1"/>
  <c r="C8" i="1" l="1"/>
  <c r="I12" i="1"/>
  <c r="E12" i="1"/>
  <c r="I14" i="1"/>
  <c r="E14" i="1"/>
  <c r="E80" i="1"/>
  <c r="E79" i="1"/>
  <c r="E78" i="1"/>
  <c r="E77" i="1"/>
  <c r="E76" i="1"/>
  <c r="E75" i="1"/>
  <c r="E74" i="1"/>
  <c r="E73" i="1"/>
  <c r="E13" i="1" l="1"/>
  <c r="B64" i="1"/>
  <c r="D64" i="1"/>
  <c r="I108" i="1" l="1"/>
  <c r="I107" i="1"/>
  <c r="I106" i="1"/>
  <c r="I105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7" i="1"/>
  <c r="I86" i="1"/>
  <c r="I85" i="1"/>
  <c r="I84" i="1"/>
  <c r="I83" i="1"/>
  <c r="I80" i="1"/>
  <c r="I79" i="1"/>
  <c r="I78" i="1"/>
  <c r="I77" i="1"/>
  <c r="I76" i="1"/>
  <c r="I75" i="1"/>
  <c r="I74" i="1"/>
  <c r="I73" i="1"/>
  <c r="I70" i="1"/>
  <c r="I69" i="1"/>
  <c r="I68" i="1"/>
  <c r="I67" i="1"/>
  <c r="I66" i="1"/>
  <c r="I63" i="1"/>
  <c r="I62" i="1"/>
  <c r="I61" i="1"/>
  <c r="I58" i="1"/>
  <c r="I57" i="1"/>
  <c r="I56" i="1"/>
  <c r="I55" i="1"/>
  <c r="I54" i="1"/>
  <c r="I51" i="1"/>
  <c r="I50" i="1"/>
  <c r="I49" i="1"/>
  <c r="I48" i="1"/>
  <c r="I47" i="1"/>
  <c r="I44" i="1"/>
  <c r="I43" i="1"/>
  <c r="I42" i="1"/>
  <c r="I41" i="1"/>
  <c r="I40" i="1"/>
  <c r="I26" i="1"/>
  <c r="I25" i="1"/>
  <c r="I24" i="1"/>
  <c r="I23" i="1"/>
  <c r="I22" i="1"/>
  <c r="I21" i="1"/>
  <c r="I20" i="1"/>
  <c r="I17" i="1"/>
  <c r="I16" i="1"/>
  <c r="I15" i="1"/>
  <c r="I13" i="1"/>
  <c r="I10" i="1" l="1"/>
  <c r="I103" i="1"/>
  <c r="I88" i="1"/>
  <c r="I81" i="1"/>
  <c r="I71" i="1"/>
  <c r="I64" i="1"/>
  <c r="I59" i="1"/>
  <c r="I52" i="1"/>
  <c r="I45" i="1"/>
  <c r="I38" i="1"/>
  <c r="I32" i="1"/>
  <c r="I27" i="1"/>
  <c r="I18" i="1"/>
  <c r="B18" i="1"/>
  <c r="B10" i="1"/>
  <c r="L103" i="1"/>
  <c r="K103" i="1"/>
  <c r="J103" i="1"/>
  <c r="H103" i="1"/>
  <c r="G103" i="1"/>
  <c r="F103" i="1"/>
  <c r="L88" i="1"/>
  <c r="K88" i="1"/>
  <c r="J88" i="1"/>
  <c r="H88" i="1"/>
  <c r="G88" i="1"/>
  <c r="F88" i="1"/>
  <c r="L81" i="1"/>
  <c r="K81" i="1"/>
  <c r="J81" i="1"/>
  <c r="H81" i="1"/>
  <c r="G81" i="1"/>
  <c r="F81" i="1"/>
  <c r="L71" i="1"/>
  <c r="K71" i="1"/>
  <c r="J71" i="1"/>
  <c r="H71" i="1"/>
  <c r="G71" i="1"/>
  <c r="F71" i="1"/>
  <c r="L64" i="1"/>
  <c r="K64" i="1"/>
  <c r="J64" i="1"/>
  <c r="H64" i="1"/>
  <c r="G64" i="1"/>
  <c r="F64" i="1"/>
  <c r="L59" i="1"/>
  <c r="K59" i="1"/>
  <c r="J59" i="1"/>
  <c r="H59" i="1"/>
  <c r="G59" i="1"/>
  <c r="F59" i="1"/>
  <c r="L52" i="1"/>
  <c r="K52" i="1"/>
  <c r="J52" i="1"/>
  <c r="H52" i="1"/>
  <c r="G52" i="1"/>
  <c r="F52" i="1"/>
  <c r="L45" i="1"/>
  <c r="K45" i="1"/>
  <c r="J45" i="1"/>
  <c r="H45" i="1"/>
  <c r="G45" i="1"/>
  <c r="F45" i="1"/>
  <c r="L38" i="1"/>
  <c r="K38" i="1"/>
  <c r="J38" i="1"/>
  <c r="H38" i="1"/>
  <c r="G38" i="1"/>
  <c r="F38" i="1"/>
  <c r="L32" i="1"/>
  <c r="K32" i="1"/>
  <c r="J32" i="1"/>
  <c r="H32" i="1"/>
  <c r="G32" i="1"/>
  <c r="F32" i="1"/>
  <c r="L27" i="1"/>
  <c r="K27" i="1"/>
  <c r="J27" i="1"/>
  <c r="G27" i="1"/>
  <c r="H27" i="1"/>
  <c r="F27" i="1"/>
  <c r="L18" i="1"/>
  <c r="K18" i="1"/>
  <c r="J18" i="1"/>
  <c r="G18" i="1"/>
  <c r="H18" i="1"/>
  <c r="F18" i="1"/>
  <c r="L10" i="1"/>
  <c r="K10" i="1"/>
  <c r="J10" i="1"/>
  <c r="G10" i="1"/>
  <c r="H10" i="1"/>
  <c r="F10" i="1"/>
  <c r="E108" i="1"/>
  <c r="E107" i="1"/>
  <c r="E106" i="1"/>
  <c r="E105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7" i="1"/>
  <c r="E86" i="1"/>
  <c r="E85" i="1"/>
  <c r="E84" i="1"/>
  <c r="E83" i="1"/>
  <c r="E70" i="1"/>
  <c r="E69" i="1"/>
  <c r="E68" i="1"/>
  <c r="E67" i="1"/>
  <c r="E66" i="1"/>
  <c r="E63" i="1"/>
  <c r="E62" i="1"/>
  <c r="E61" i="1"/>
  <c r="E58" i="1"/>
  <c r="E57" i="1"/>
  <c r="E56" i="1"/>
  <c r="E55" i="1"/>
  <c r="E54" i="1"/>
  <c r="E51" i="1"/>
  <c r="E50" i="1"/>
  <c r="E49" i="1"/>
  <c r="E48" i="1"/>
  <c r="E47" i="1"/>
  <c r="E44" i="1"/>
  <c r="E43" i="1"/>
  <c r="E42" i="1"/>
  <c r="E41" i="1"/>
  <c r="E40" i="1"/>
  <c r="E37" i="1"/>
  <c r="E36" i="1"/>
  <c r="E35" i="1"/>
  <c r="E31" i="1"/>
  <c r="E30" i="1"/>
  <c r="E29" i="1"/>
  <c r="E26" i="1"/>
  <c r="E25" i="1"/>
  <c r="E24" i="1"/>
  <c r="E23" i="1"/>
  <c r="E22" i="1"/>
  <c r="E21" i="1"/>
  <c r="E20" i="1"/>
  <c r="E17" i="1"/>
  <c r="E16" i="1"/>
  <c r="E15" i="1"/>
  <c r="D103" i="1"/>
  <c r="B103" i="1"/>
  <c r="D88" i="1"/>
  <c r="B88" i="1"/>
  <c r="D81" i="1"/>
  <c r="B81" i="1"/>
  <c r="D71" i="1"/>
  <c r="B71" i="1"/>
  <c r="D59" i="1"/>
  <c r="B59" i="1"/>
  <c r="D52" i="1"/>
  <c r="B52" i="1"/>
  <c r="D38" i="1"/>
  <c r="D32" i="1"/>
  <c r="D45" i="1"/>
  <c r="B45" i="1"/>
  <c r="B38" i="1"/>
  <c r="B32" i="1"/>
  <c r="D27" i="1"/>
  <c r="B27" i="1"/>
  <c r="D18" i="1"/>
  <c r="D10" i="1"/>
  <c r="F8" i="1" l="1"/>
  <c r="B8" i="1"/>
  <c r="D8" i="1"/>
  <c r="E27" i="1"/>
  <c r="E32" i="1"/>
  <c r="E38" i="1"/>
  <c r="E52" i="1"/>
  <c r="E64" i="1"/>
  <c r="E88" i="1"/>
  <c r="E10" i="1"/>
  <c r="E18" i="1"/>
  <c r="E45" i="1"/>
  <c r="E59" i="1"/>
  <c r="E71" i="1"/>
  <c r="E81" i="1"/>
  <c r="E103" i="1"/>
  <c r="I8" i="1"/>
  <c r="L8" i="1"/>
  <c r="G8" i="1"/>
  <c r="J8" i="1"/>
  <c r="K8" i="1"/>
  <c r="H8" i="1"/>
  <c r="E8" i="1" l="1"/>
</calcChain>
</file>

<file path=xl/sharedStrings.xml><?xml version="1.0" encoding="utf-8"?>
<sst xmlns="http://schemas.openxmlformats.org/spreadsheetml/2006/main" count="448" uniqueCount="196">
  <si>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</si>
  <si>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</si>
  <si>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</si>
  <si>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</si>
  <si>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</si>
  <si>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</si>
  <si>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</si>
  <si>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</si>
  <si>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</si>
  <si>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</si>
  <si>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</si>
  <si>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</si>
  <si>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</si>
  <si>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</si>
  <si>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</si>
  <si>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</si>
  <si>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</si>
  <si>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</si>
  <si>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</si>
  <si>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</si>
  <si>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</si>
  <si>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</si>
  <si>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</si>
  <si>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</si>
  <si>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</si>
  <si>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</si>
  <si>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</si>
  <si>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</si>
  <si>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</si>
  <si>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</si>
  <si>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</si>
  <si>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</si>
  <si>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</si>
  <si>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</si>
  <si>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</si>
  <si>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</si>
  <si>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</si>
  <si>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</si>
  <si>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</si>
  <si>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</si>
  <si>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</si>
  <si>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</si>
  <si>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</si>
  <si>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</si>
  <si>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</si>
  <si>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</si>
  <si>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</si>
  <si>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</si>
  <si>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</si>
  <si>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</si>
  <si>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</si>
  <si>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</si>
  <si>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</si>
  <si>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</si>
  <si>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</si>
  <si>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</si>
  <si>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</si>
  <si>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</si>
  <si>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</si>
  <si>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</si>
  <si>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</si>
  <si>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</si>
  <si>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</si>
  <si>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</si>
  <si>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</si>
  <si>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</si>
  <si>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</si>
  <si>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</si>
  <si>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</si>
  <si>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</si>
  <si>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</si>
  <si>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</si>
  <si>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</si>
  <si>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</si>
  <si>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</si>
  <si>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</si>
  <si>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</si>
  <si>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</si>
  <si>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</si>
  <si>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</si>
  <si>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</si>
  <si>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</si>
  <si>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</si>
  <si>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</si>
  <si>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</si>
  <si>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</si>
  <si>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</si>
  <si>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</si>
  <si>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</si>
  <si>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</si>
  <si>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</si>
  <si>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</si>
  <si>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</si>
  <si>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</si>
  <si>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</si>
  <si>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</si>
  <si>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</si>
  <si>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</si>
  <si>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</si>
  <si>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</si>
  <si>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</si>
  <si>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</si>
  <si>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</si>
  <si>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</si>
  <si>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</si>
  <si>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</si>
  <si>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</si>
  <si>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</si>
  <si>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</si>
  <si>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</si>
  <si>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</si>
  <si>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</si>
  <si>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</si>
  <si>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</si>
  <si>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</si>
  <si>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</si>
  <si>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</si>
  <si>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</si>
  <si>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</si>
  <si>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</si>
  <si>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</si>
  <si>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</si>
  <si>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</si>
  <si>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</si>
  <si>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</si>
  <si>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</si>
  <si>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</si>
  <si>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</si>
  <si>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</si>
  <si>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</si>
  <si>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</si>
  <si>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</si>
  <si>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</si>
  <si>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</si>
  <si>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</si>
  <si>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</si>
  <si>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</si>
  <si>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</si>
  <si>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</si>
  <si>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</si>
  <si>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</si>
  <si>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</si>
  <si>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</si>
  <si>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</si>
  <si>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</si>
  <si>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</si>
  <si>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</si>
  <si>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</si>
  <si>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</si>
  <si>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</si>
  <si>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</si>
  <si>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</si>
  <si>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</si>
  <si>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</si>
  <si>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</si>
  <si>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</si>
  <si>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</si>
  <si>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</si>
  <si>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</si>
  <si>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</si>
  <si>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</si>
  <si>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</si>
  <si>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</si>
  <si>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</si>
  <si>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</si>
  <si>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</si>
  <si>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</si>
  <si>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</si>
  <si>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</si>
  <si>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</si>
  <si>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</si>
  <si>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</si>
  <si>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</si>
  <si>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</si>
  <si>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</si>
  <si>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</si>
  <si>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</si>
  <si>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</si>
  <si>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</si>
  <si>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</si>
  <si>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</si>
  <si>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</si>
  <si>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</si>
  <si>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</si>
  <si>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</si>
  <si>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</si>
  <si>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</si>
  <si>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</si>
  <si>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</si>
  <si>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</si>
  <si>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</si>
  <si>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―</t>
  </si>
  <si>
    <t>Άλλες αγελάδες (για παραγωγή βοοειδών πάχυνσης, για σφαγή κλπ)
Other cows (for the production of bovine for fattening, slaughter, etc)</t>
  </si>
  <si>
    <t>—</t>
  </si>
  <si>
    <t>Πίνακας 6. Ζώα που αρμέχτηκαν όλο το έτος 2022, κατά Περιφέρεια και Περιφερειακή Ενότητα</t>
  </si>
  <si>
    <t>Table 6. Animals milked during 2022,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</si>
</sst>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1" fillId="0" borderId="0" xfId="0" applyFont="1" applyAlignment="1">
      <alignment horizontal="right" vertical="top"/>
    </xf>
    <xf numFmtId="3" fontId="4" fillId="0" borderId="3" xfId="0" quotePrefix="1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3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center" wrapText="1"/>
    </xf>
    <xf numFmtId="3" fontId="3" fillId="0" borderId="3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3" fontId="4" fillId="0" borderId="4" xfId="0" quotePrefix="1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2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3" fontId="3" fillId="0" borderId="18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top"/>
    </xf>
    <xf numFmtId="3" fontId="1" fillId="0" borderId="27" xfId="0" applyNumberFormat="1" applyFont="1" applyBorder="1" applyAlignment="1">
      <alignment horizontal="right" vertical="top"/>
    </xf>
    <xf numFmtId="3" fontId="3" fillId="0" borderId="27" xfId="0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top"/>
    </xf>
    <xf numFmtId="0" fontId="2" fillId="0" borderId="27" xfId="0" applyFont="1" applyBorder="1" applyAlignment="1">
      <alignment horizontal="right" vertical="top"/>
    </xf>
    <xf numFmtId="3" fontId="2" fillId="0" borderId="28" xfId="0" applyNumberFormat="1" applyFont="1" applyBorder="1" applyAlignment="1">
      <alignment horizontal="right" vertical="top"/>
    </xf>
    <xf numFmtId="3" fontId="1" fillId="0" borderId="3" xfId="0" applyNumberFormat="1" applyFont="1" applyBorder="1" applyAlignment="1">
      <alignment horizontal="right" vertical="top"/>
    </xf>
    <xf numFmtId="3" fontId="3" fillId="0" borderId="3" xfId="0" applyNumberFormat="1" applyFont="1" applyBorder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3" fontId="3" fillId="0" borderId="27" xfId="0" applyNumberFormat="1" applyFont="1" applyBorder="1" applyAlignment="1">
      <alignment horizontal="right" vertical="center"/>
    </xf>
    <xf numFmtId="3" fontId="3" fillId="0" borderId="26" xfId="0" applyNumberFormat="1" applyFont="1" applyBorder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/>
    </xf>
    <xf numFmtId="3" fontId="3" fillId="0" borderId="18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3" fillId="0" borderId="8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wrapText="1" indent="1"/>
    </xf>
    <xf numFmtId="0" fontId="4" fillId="0" borderId="2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 wrapText="1"/>
    </xf>
    <xf numFmtId="3" fontId="3" fillId="0" borderId="18" xfId="0" applyNumberFormat="1" applyFont="1" applyBorder="1" applyAlignment="1">
      <alignment horizontal="right" vertical="center" wrapText="1"/>
    </xf>
    <xf numFmtId="3" fontId="6" fillId="0" borderId="27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6" fillId="0" borderId="17" xfId="0" applyNumberFormat="1" applyFont="1" applyBorder="1" applyAlignment="1">
      <alignment horizontal="right" vertical="center"/>
    </xf>
    <xf numFmtId="3" fontId="6" fillId="0" borderId="18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showGridLines="0" tabSelected="1" zoomScaleNormal="100" workbookViewId="0">
      <selection activeCell="Q18" sqref="Q18"/>
    </sheetView>
  </sheetViews>
  <sheetFormatPr defaultRowHeight="14.4" x14ac:dyDescent="0.3"/>
  <cols>
    <col min="1" max="1" width="43.6640625" style="6" customWidth="1"/>
    <col min="2" max="2" width="18.109375" style="6" customWidth="1"/>
    <col min="3" max="3" width="17.6640625" style="6" customWidth="1"/>
    <col min="4" max="5" width="9.109375" style="6" bestFit="1" customWidth="1"/>
    <col min="6" max="6" width="8.6640625" style="6" bestFit="1" customWidth="1"/>
    <col min="7" max="7" width="11.5546875" style="6" bestFit="1" customWidth="1"/>
    <col min="8" max="8" width="9.21875" style="6" bestFit="1" customWidth="1"/>
    <col min="9" max="9" width="9.109375" style="6" bestFit="1" customWidth="1"/>
    <col min="10" max="10" width="9" style="6" bestFit="1" customWidth="1"/>
    <col min="11" max="11" width="12.109375" style="6" bestFit="1" customWidth="1"/>
    <col min="12" max="12" width="9.77734375" style="6" bestFit="1" customWidth="1"/>
    <col min="13" max="13" width="9.6640625" style="6" customWidth="1"/>
    <col min="14" max="14" width="9.33203125" style="6" customWidth="1"/>
    <col min="15" max="15" width="17.44140625" style="6" customWidth="1"/>
    <col min="16" max="16" width="8.44140625" style="6" customWidth="1"/>
    <col min="17" max="16384" width="8.88671875" style="6"/>
  </cols>
  <sheetData>
    <row r="1" spans="1:1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5"/>
    </row>
    <row r="2" spans="1:16" s="47" customFormat="1" ht="18" x14ac:dyDescent="0.35">
      <c r="B2" s="101" t="s">
        <v>194</v>
      </c>
      <c r="C2" s="101"/>
      <c r="D2" s="101"/>
      <c r="E2" s="101"/>
      <c r="F2" s="101"/>
      <c r="G2" s="101"/>
      <c r="H2" s="101"/>
      <c r="I2" s="101"/>
      <c r="J2" s="101"/>
      <c r="K2" s="101"/>
      <c r="L2" s="48"/>
      <c r="M2" s="48"/>
      <c r="N2" s="48"/>
      <c r="O2" s="48"/>
      <c r="P2" s="49"/>
    </row>
    <row r="3" spans="1:16" s="47" customFormat="1" ht="18" x14ac:dyDescent="0.35">
      <c r="A3" s="50"/>
      <c r="B3" s="101" t="s">
        <v>195</v>
      </c>
      <c r="C3" s="101"/>
      <c r="D3" s="101"/>
      <c r="E3" s="101"/>
      <c r="F3" s="101"/>
      <c r="G3" s="101"/>
      <c r="H3" s="101"/>
      <c r="I3" s="101"/>
      <c r="J3" s="101"/>
      <c r="K3" s="101"/>
      <c r="L3" s="50"/>
      <c r="M3" s="50"/>
      <c r="N3" s="50"/>
      <c r="O3" s="50"/>
      <c r="P3" s="49"/>
    </row>
    <row r="4" spans="1:16" ht="15" thickBot="1" x14ac:dyDescent="0.35">
      <c r="A4" s="7" t="s">
        <v>0</v>
      </c>
      <c r="B4" s="7"/>
      <c r="C4" s="7"/>
      <c r="D4" s="7"/>
      <c r="E4" s="7"/>
      <c r="F4" s="7"/>
      <c r="G4" s="7"/>
      <c r="H4" s="7"/>
      <c r="I4" s="7"/>
      <c r="J4" s="93"/>
      <c r="K4" s="93"/>
      <c r="L4" s="93"/>
      <c r="M4" s="8"/>
      <c r="N4" s="93" t="s">
        <v>1</v>
      </c>
      <c r="O4" s="93"/>
      <c r="P4" s="9"/>
    </row>
    <row r="5" spans="1:16" ht="34.5" customHeight="1" x14ac:dyDescent="0.3">
      <c r="A5" s="94" t="s">
        <v>2</v>
      </c>
      <c r="B5" s="98" t="s">
        <v>190</v>
      </c>
      <c r="C5" s="82" t="s">
        <v>192</v>
      </c>
      <c r="D5" s="82" t="s">
        <v>180</v>
      </c>
      <c r="E5" s="108" t="s">
        <v>189</v>
      </c>
      <c r="F5" s="109"/>
      <c r="G5" s="109"/>
      <c r="H5" s="110"/>
      <c r="I5" s="109" t="s">
        <v>188</v>
      </c>
      <c r="J5" s="109"/>
      <c r="K5" s="109"/>
      <c r="L5" s="111"/>
      <c r="M5" s="94" t="s">
        <v>3</v>
      </c>
      <c r="N5" s="94"/>
      <c r="O5" s="94"/>
    </row>
    <row r="6" spans="1:16" ht="31.2" customHeight="1" x14ac:dyDescent="0.3">
      <c r="A6" s="90"/>
      <c r="B6" s="99"/>
      <c r="C6" s="83"/>
      <c r="D6" s="83"/>
      <c r="E6" s="112" t="s">
        <v>181</v>
      </c>
      <c r="F6" s="105" t="s">
        <v>182</v>
      </c>
      <c r="G6" s="105" t="s">
        <v>183</v>
      </c>
      <c r="H6" s="105" t="s">
        <v>184</v>
      </c>
      <c r="I6" s="114" t="s">
        <v>181</v>
      </c>
      <c r="J6" s="105" t="s">
        <v>185</v>
      </c>
      <c r="K6" s="105" t="s">
        <v>186</v>
      </c>
      <c r="L6" s="106" t="s">
        <v>187</v>
      </c>
      <c r="M6" s="90"/>
      <c r="N6" s="90"/>
      <c r="O6" s="90"/>
    </row>
    <row r="7" spans="1:16" ht="66.599999999999994" customHeight="1" x14ac:dyDescent="0.3">
      <c r="A7" s="95"/>
      <c r="B7" s="100"/>
      <c r="C7" s="84"/>
      <c r="D7" s="84"/>
      <c r="E7" s="113"/>
      <c r="F7" s="83"/>
      <c r="G7" s="83"/>
      <c r="H7" s="83"/>
      <c r="I7" s="115"/>
      <c r="J7" s="83"/>
      <c r="K7" s="83"/>
      <c r="L7" s="107"/>
      <c r="M7" s="95"/>
      <c r="N7" s="95"/>
      <c r="O7" s="95"/>
    </row>
    <row r="8" spans="1:16" x14ac:dyDescent="0.3">
      <c r="A8" s="96" t="s">
        <v>4</v>
      </c>
      <c r="B8" s="62">
        <f>SUM(B10,B18,B27,B32,B38,B45,B52,B59,B64,B71,B81,B88,B103)</f>
        <v>110117</v>
      </c>
      <c r="C8" s="69">
        <f>SUM(C10,C18,C27,C32,C38,C45,C52,C59,C64,C71,C81,C88,C103)</f>
        <v>4028</v>
      </c>
      <c r="D8" s="85">
        <f>SUM(D10,D18,D27,D32,D38,D45,D52,D59,D64,D71,D81,D88,D103)</f>
        <v>1947</v>
      </c>
      <c r="E8" s="69">
        <f>SUM(E10,E18,E27,E32,E38,E45,E52,E59,E64,E71,E81,E88,E103)</f>
        <v>6431158</v>
      </c>
      <c r="F8" s="71">
        <f>SUM(F10,F18,F27,F32,F38,F45,F52,F59,F64,F71,F81,F88,F103)</f>
        <v>156399</v>
      </c>
      <c r="G8" s="69">
        <f t="shared" ref="G8:L8" si="0">SUM(G10,G18,G27,G32,G38,G45,G52,G59,G64,G71,G81,G88,G103)</f>
        <v>6136147</v>
      </c>
      <c r="H8" s="71">
        <f t="shared" si="0"/>
        <v>138612</v>
      </c>
      <c r="I8" s="69">
        <f>SUM(I10,I18,I27,I32,I38,I45,I52,I59,I64,I71,I81,I88,I103)</f>
        <v>2610765</v>
      </c>
      <c r="J8" s="71">
        <f t="shared" si="0"/>
        <v>106399</v>
      </c>
      <c r="K8" s="69">
        <f t="shared" si="0"/>
        <v>2460387</v>
      </c>
      <c r="L8" s="103">
        <f t="shared" si="0"/>
        <v>43979</v>
      </c>
      <c r="M8" s="102" t="s">
        <v>5</v>
      </c>
      <c r="N8" s="102"/>
      <c r="O8" s="102"/>
    </row>
    <row r="9" spans="1:16" x14ac:dyDescent="0.3">
      <c r="A9" s="97"/>
      <c r="B9" s="63"/>
      <c r="C9" s="70"/>
      <c r="D9" s="86"/>
      <c r="E9" s="70"/>
      <c r="F9" s="72"/>
      <c r="G9" s="70"/>
      <c r="H9" s="72"/>
      <c r="I9" s="70"/>
      <c r="J9" s="72"/>
      <c r="K9" s="70"/>
      <c r="L9" s="104"/>
      <c r="M9" s="90"/>
      <c r="N9" s="90"/>
      <c r="O9" s="90"/>
    </row>
    <row r="10" spans="1:16" x14ac:dyDescent="0.3">
      <c r="A10" s="64" t="s">
        <v>6</v>
      </c>
      <c r="B10" s="87">
        <f>SUM(B12:B17)</f>
        <v>17257</v>
      </c>
      <c r="C10" s="68">
        <f>SUM(C12:C17)</f>
        <v>1351</v>
      </c>
      <c r="D10" s="92">
        <f t="shared" ref="D10" si="1">SUM(D12:D17)</f>
        <v>0</v>
      </c>
      <c r="E10" s="68">
        <f>SUM(E12:E17)</f>
        <v>359442</v>
      </c>
      <c r="F10" s="67">
        <f>SUM(F12:F17)</f>
        <v>9559</v>
      </c>
      <c r="G10" s="68">
        <f t="shared" ref="G10:H10" si="2">SUM(G12:G17)</f>
        <v>349883</v>
      </c>
      <c r="H10" s="67">
        <f t="shared" si="2"/>
        <v>0</v>
      </c>
      <c r="I10" s="68">
        <f>SUM(I12:I17)</f>
        <v>269520</v>
      </c>
      <c r="J10" s="67">
        <f t="shared" ref="J10:L10" si="3">SUM(J12:J17)</f>
        <v>4964</v>
      </c>
      <c r="K10" s="68">
        <f t="shared" si="3"/>
        <v>263976</v>
      </c>
      <c r="L10" s="91">
        <f t="shared" si="3"/>
        <v>580</v>
      </c>
      <c r="M10" s="90" t="s">
        <v>7</v>
      </c>
      <c r="N10" s="90"/>
      <c r="O10" s="90"/>
    </row>
    <row r="11" spans="1:16" x14ac:dyDescent="0.3">
      <c r="A11" s="64"/>
      <c r="B11" s="87"/>
      <c r="C11" s="68"/>
      <c r="D11" s="92"/>
      <c r="E11" s="68"/>
      <c r="F11" s="67"/>
      <c r="G11" s="68"/>
      <c r="H11" s="67"/>
      <c r="I11" s="68"/>
      <c r="J11" s="67"/>
      <c r="K11" s="68"/>
      <c r="L11" s="91"/>
      <c r="M11" s="90"/>
      <c r="N11" s="90"/>
      <c r="O11" s="90"/>
    </row>
    <row r="12" spans="1:16" x14ac:dyDescent="0.3">
      <c r="A12" s="10" t="s">
        <v>112</v>
      </c>
      <c r="B12" s="53">
        <v>2330</v>
      </c>
      <c r="C12" s="58">
        <v>793</v>
      </c>
      <c r="D12" s="11" t="s">
        <v>193</v>
      </c>
      <c r="E12" s="12">
        <f>SUM(F12:H12)</f>
        <v>79600</v>
      </c>
      <c r="F12" s="2">
        <v>154</v>
      </c>
      <c r="G12" s="40">
        <v>79446</v>
      </c>
      <c r="H12" s="1" t="s">
        <v>193</v>
      </c>
      <c r="I12" s="13">
        <f>SUM(J12:L12)</f>
        <v>55921</v>
      </c>
      <c r="J12" s="40">
        <v>110</v>
      </c>
      <c r="K12" s="2">
        <v>55811</v>
      </c>
      <c r="L12" s="44" t="s">
        <v>193</v>
      </c>
      <c r="M12" s="14" t="s">
        <v>8</v>
      </c>
      <c r="N12" s="15"/>
      <c r="O12" s="15"/>
    </row>
    <row r="13" spans="1:16" x14ac:dyDescent="0.3">
      <c r="A13" s="10" t="s">
        <v>113</v>
      </c>
      <c r="B13" s="53">
        <v>2942</v>
      </c>
      <c r="C13" s="58">
        <v>9</v>
      </c>
      <c r="D13" s="11" t="s">
        <v>193</v>
      </c>
      <c r="E13" s="12">
        <f>SUM(F13:H13)</f>
        <v>70521</v>
      </c>
      <c r="F13" s="2">
        <v>3718</v>
      </c>
      <c r="G13" s="40">
        <v>66803</v>
      </c>
      <c r="H13" s="1" t="s">
        <v>193</v>
      </c>
      <c r="I13" s="13">
        <f t="shared" ref="I13:I17" si="4">SUM(J13:L13)</f>
        <v>39572</v>
      </c>
      <c r="J13" s="40">
        <v>67</v>
      </c>
      <c r="K13" s="2">
        <v>39505</v>
      </c>
      <c r="L13" s="44" t="s">
        <v>193</v>
      </c>
      <c r="M13" s="14" t="s">
        <v>9</v>
      </c>
      <c r="N13" s="15"/>
      <c r="O13" s="15"/>
    </row>
    <row r="14" spans="1:16" x14ac:dyDescent="0.3">
      <c r="A14" s="10" t="s">
        <v>114</v>
      </c>
      <c r="B14" s="53">
        <v>2287</v>
      </c>
      <c r="C14" s="58">
        <v>11</v>
      </c>
      <c r="D14" s="16" t="s">
        <v>193</v>
      </c>
      <c r="E14" s="12">
        <f>SUM(F14:H14)</f>
        <v>59433</v>
      </c>
      <c r="F14" s="2">
        <v>5687</v>
      </c>
      <c r="G14" s="40">
        <v>53746</v>
      </c>
      <c r="H14" s="1" t="s">
        <v>193</v>
      </c>
      <c r="I14" s="13">
        <f>SUM(J14:L14)</f>
        <v>57057</v>
      </c>
      <c r="J14" s="40">
        <v>4787</v>
      </c>
      <c r="K14" s="2">
        <v>52270</v>
      </c>
      <c r="L14" s="44" t="s">
        <v>193</v>
      </c>
      <c r="M14" s="14" t="s">
        <v>10</v>
      </c>
      <c r="N14" s="15"/>
      <c r="O14" s="15"/>
    </row>
    <row r="15" spans="1:16" x14ac:dyDescent="0.3">
      <c r="A15" s="10" t="s">
        <v>115</v>
      </c>
      <c r="B15" s="53" t="s">
        <v>193</v>
      </c>
      <c r="C15" s="58" t="s">
        <v>193</v>
      </c>
      <c r="D15" s="11" t="s">
        <v>193</v>
      </c>
      <c r="E15" s="12">
        <f t="shared" ref="E15:E17" si="5">SUM(F15:H15)</f>
        <v>20168</v>
      </c>
      <c r="F15" s="2" t="s">
        <v>193</v>
      </c>
      <c r="G15" s="40">
        <v>20168</v>
      </c>
      <c r="H15" s="1" t="s">
        <v>193</v>
      </c>
      <c r="I15" s="13">
        <f t="shared" si="4"/>
        <v>14960</v>
      </c>
      <c r="J15" s="40" t="s">
        <v>193</v>
      </c>
      <c r="K15" s="2">
        <v>14960</v>
      </c>
      <c r="L15" s="44" t="s">
        <v>193</v>
      </c>
      <c r="M15" s="14" t="s">
        <v>11</v>
      </c>
      <c r="N15" s="15"/>
      <c r="O15" s="15"/>
    </row>
    <row r="16" spans="1:16" x14ac:dyDescent="0.3">
      <c r="A16" s="10" t="s">
        <v>116</v>
      </c>
      <c r="B16" s="53">
        <v>1638</v>
      </c>
      <c r="C16" s="58">
        <v>529</v>
      </c>
      <c r="D16" s="11" t="s">
        <v>193</v>
      </c>
      <c r="E16" s="12">
        <f t="shared" si="5"/>
        <v>59107</v>
      </c>
      <c r="F16" s="2" t="s">
        <v>193</v>
      </c>
      <c r="G16" s="40">
        <v>59107</v>
      </c>
      <c r="H16" s="1" t="s">
        <v>193</v>
      </c>
      <c r="I16" s="13">
        <f t="shared" si="4"/>
        <v>50744</v>
      </c>
      <c r="J16" s="40" t="s">
        <v>193</v>
      </c>
      <c r="K16" s="2">
        <v>50164</v>
      </c>
      <c r="L16" s="44">
        <v>580</v>
      </c>
      <c r="M16" s="14" t="s">
        <v>12</v>
      </c>
      <c r="N16" s="15"/>
      <c r="O16" s="15"/>
    </row>
    <row r="17" spans="1:15" x14ac:dyDescent="0.3">
      <c r="A17" s="10" t="s">
        <v>117</v>
      </c>
      <c r="B17" s="53">
        <v>8060</v>
      </c>
      <c r="C17" s="58">
        <v>9</v>
      </c>
      <c r="D17" s="11" t="s">
        <v>193</v>
      </c>
      <c r="E17" s="12">
        <f t="shared" si="5"/>
        <v>70613</v>
      </c>
      <c r="F17" s="1" t="s">
        <v>193</v>
      </c>
      <c r="G17" s="40">
        <v>70613</v>
      </c>
      <c r="H17" s="1" t="s">
        <v>193</v>
      </c>
      <c r="I17" s="13">
        <f t="shared" si="4"/>
        <v>51266</v>
      </c>
      <c r="J17" s="40" t="s">
        <v>193</v>
      </c>
      <c r="K17" s="2">
        <v>51266</v>
      </c>
      <c r="L17" s="44" t="s">
        <v>193</v>
      </c>
      <c r="M17" s="14" t="s">
        <v>13</v>
      </c>
      <c r="N17" s="15"/>
      <c r="O17" s="15"/>
    </row>
    <row r="18" spans="1:15" x14ac:dyDescent="0.3">
      <c r="A18" s="64" t="s">
        <v>14</v>
      </c>
      <c r="B18" s="61">
        <f>SUM(B20:B26)</f>
        <v>47869</v>
      </c>
      <c r="C18" s="59">
        <f>SUM(C20:C26)</f>
        <v>537</v>
      </c>
      <c r="D18" s="66">
        <f t="shared" ref="D18" si="6">SUM(D20:D26)</f>
        <v>1940</v>
      </c>
      <c r="E18" s="59">
        <f>SUM(E20:E26)</f>
        <v>570163</v>
      </c>
      <c r="F18" s="65">
        <f>SUM(F20:F26)</f>
        <v>13968</v>
      </c>
      <c r="G18" s="59">
        <f t="shared" ref="G18:I18" si="7">SUM(G20:G26)</f>
        <v>555995</v>
      </c>
      <c r="H18" s="65">
        <f t="shared" si="7"/>
        <v>200</v>
      </c>
      <c r="I18" s="59">
        <f t="shared" si="7"/>
        <v>351941</v>
      </c>
      <c r="J18" s="65">
        <f t="shared" ref="J18:L18" si="8">SUM(J20:J26)</f>
        <v>4632</v>
      </c>
      <c r="K18" s="59">
        <f t="shared" si="8"/>
        <v>346979</v>
      </c>
      <c r="L18" s="60">
        <f t="shared" si="8"/>
        <v>330</v>
      </c>
      <c r="M18" s="89" t="s">
        <v>15</v>
      </c>
      <c r="N18" s="89"/>
      <c r="O18" s="89"/>
    </row>
    <row r="19" spans="1:15" x14ac:dyDescent="0.3">
      <c r="A19" s="64"/>
      <c r="B19" s="61"/>
      <c r="C19" s="59"/>
      <c r="D19" s="66"/>
      <c r="E19" s="59"/>
      <c r="F19" s="65"/>
      <c r="G19" s="59"/>
      <c r="H19" s="65"/>
      <c r="I19" s="59"/>
      <c r="J19" s="65"/>
      <c r="K19" s="59"/>
      <c r="L19" s="60"/>
      <c r="M19" s="89"/>
      <c r="N19" s="89"/>
      <c r="O19" s="89"/>
    </row>
    <row r="20" spans="1:15" x14ac:dyDescent="0.3">
      <c r="A20" s="10" t="s">
        <v>118</v>
      </c>
      <c r="B20" s="53">
        <v>23166</v>
      </c>
      <c r="C20" s="58">
        <v>23</v>
      </c>
      <c r="D20" s="16" t="s">
        <v>193</v>
      </c>
      <c r="E20" s="12">
        <f t="shared" ref="E20:E26" si="9">SUM(F20:H20)</f>
        <v>109285</v>
      </c>
      <c r="F20" s="2" t="s">
        <v>193</v>
      </c>
      <c r="G20" s="40">
        <v>109285</v>
      </c>
      <c r="H20" s="1" t="s">
        <v>193</v>
      </c>
      <c r="I20" s="13">
        <f t="shared" ref="I20:I31" si="10">SUM(J20:L20)</f>
        <v>88137</v>
      </c>
      <c r="J20" s="40" t="s">
        <v>193</v>
      </c>
      <c r="K20" s="2">
        <v>88137</v>
      </c>
      <c r="L20" s="44" t="s">
        <v>193</v>
      </c>
      <c r="M20" s="14" t="s">
        <v>16</v>
      </c>
      <c r="N20" s="15"/>
      <c r="O20" s="15"/>
    </row>
    <row r="21" spans="1:15" x14ac:dyDescent="0.3">
      <c r="A21" s="10" t="s">
        <v>119</v>
      </c>
      <c r="B21" s="53">
        <v>1483</v>
      </c>
      <c r="C21" s="58">
        <v>285</v>
      </c>
      <c r="D21" s="11" t="s">
        <v>193</v>
      </c>
      <c r="E21" s="12">
        <f t="shared" si="9"/>
        <v>27997</v>
      </c>
      <c r="F21" s="2" t="s">
        <v>193</v>
      </c>
      <c r="G21" s="40">
        <v>27997</v>
      </c>
      <c r="H21" s="2" t="s">
        <v>193</v>
      </c>
      <c r="I21" s="13">
        <f t="shared" si="10"/>
        <v>15767</v>
      </c>
      <c r="J21" s="40">
        <v>4</v>
      </c>
      <c r="K21" s="2">
        <v>15483</v>
      </c>
      <c r="L21" s="44">
        <v>280</v>
      </c>
      <c r="M21" s="14" t="s">
        <v>17</v>
      </c>
      <c r="N21" s="15"/>
      <c r="O21" s="15"/>
    </row>
    <row r="22" spans="1:15" x14ac:dyDescent="0.3">
      <c r="A22" s="10" t="s">
        <v>120</v>
      </c>
      <c r="B22" s="53">
        <v>7798</v>
      </c>
      <c r="C22" s="58">
        <v>15</v>
      </c>
      <c r="D22" s="11" t="s">
        <v>193</v>
      </c>
      <c r="E22" s="12">
        <f t="shared" si="9"/>
        <v>84396</v>
      </c>
      <c r="F22" s="1" t="s">
        <v>193</v>
      </c>
      <c r="G22" s="40">
        <v>84396</v>
      </c>
      <c r="H22" s="1" t="s">
        <v>193</v>
      </c>
      <c r="I22" s="13">
        <f t="shared" si="10"/>
        <v>37450</v>
      </c>
      <c r="J22" s="40">
        <v>638</v>
      </c>
      <c r="K22" s="2">
        <v>36812</v>
      </c>
      <c r="L22" s="44" t="s">
        <v>193</v>
      </c>
      <c r="M22" s="14" t="s">
        <v>18</v>
      </c>
      <c r="N22" s="15"/>
      <c r="O22" s="15"/>
    </row>
    <row r="23" spans="1:15" x14ac:dyDescent="0.3">
      <c r="A23" s="10" t="s">
        <v>121</v>
      </c>
      <c r="B23" s="53">
        <v>2545</v>
      </c>
      <c r="C23" s="58">
        <v>11</v>
      </c>
      <c r="D23" s="11" t="s">
        <v>193</v>
      </c>
      <c r="E23" s="12">
        <f t="shared" si="9"/>
        <v>80837</v>
      </c>
      <c r="F23" s="2">
        <v>276</v>
      </c>
      <c r="G23" s="40">
        <v>80561</v>
      </c>
      <c r="H23" s="1" t="s">
        <v>193</v>
      </c>
      <c r="I23" s="13">
        <f t="shared" si="10"/>
        <v>32769</v>
      </c>
      <c r="J23" s="40">
        <v>342</v>
      </c>
      <c r="K23" s="2">
        <v>32427</v>
      </c>
      <c r="L23" s="44" t="s">
        <v>193</v>
      </c>
      <c r="M23" s="14" t="s">
        <v>19</v>
      </c>
      <c r="N23" s="15"/>
      <c r="O23" s="15"/>
    </row>
    <row r="24" spans="1:15" x14ac:dyDescent="0.3">
      <c r="A24" s="10" t="s">
        <v>122</v>
      </c>
      <c r="B24" s="53">
        <v>2349</v>
      </c>
      <c r="C24" s="58">
        <v>9</v>
      </c>
      <c r="D24" s="11" t="s">
        <v>193</v>
      </c>
      <c r="E24" s="12">
        <f t="shared" si="9"/>
        <v>89936</v>
      </c>
      <c r="F24" s="2">
        <v>165</v>
      </c>
      <c r="G24" s="40">
        <v>89571</v>
      </c>
      <c r="H24" s="2">
        <v>200</v>
      </c>
      <c r="I24" s="13">
        <f t="shared" si="10"/>
        <v>45662</v>
      </c>
      <c r="J24" s="40">
        <v>457</v>
      </c>
      <c r="K24" s="2">
        <v>45155</v>
      </c>
      <c r="L24" s="44">
        <v>50</v>
      </c>
      <c r="M24" s="14" t="s">
        <v>20</v>
      </c>
      <c r="N24" s="15"/>
      <c r="O24" s="15"/>
    </row>
    <row r="25" spans="1:15" x14ac:dyDescent="0.3">
      <c r="A25" s="10" t="s">
        <v>123</v>
      </c>
      <c r="B25" s="53">
        <v>10019</v>
      </c>
      <c r="C25" s="58">
        <v>24</v>
      </c>
      <c r="D25" s="16">
        <v>1940</v>
      </c>
      <c r="E25" s="12">
        <f t="shared" si="9"/>
        <v>140669</v>
      </c>
      <c r="F25" s="2">
        <v>13527</v>
      </c>
      <c r="G25" s="40">
        <v>127142</v>
      </c>
      <c r="H25" s="1" t="s">
        <v>193</v>
      </c>
      <c r="I25" s="13">
        <f t="shared" si="10"/>
        <v>71622</v>
      </c>
      <c r="J25" s="40">
        <v>3191</v>
      </c>
      <c r="K25" s="2">
        <v>68431</v>
      </c>
      <c r="L25" s="44" t="s">
        <v>193</v>
      </c>
      <c r="M25" s="14" t="s">
        <v>21</v>
      </c>
      <c r="N25" s="15"/>
      <c r="O25" s="15"/>
    </row>
    <row r="26" spans="1:15" x14ac:dyDescent="0.3">
      <c r="A26" s="10" t="s">
        <v>124</v>
      </c>
      <c r="B26" s="53">
        <v>509</v>
      </c>
      <c r="C26" s="58">
        <v>170</v>
      </c>
      <c r="D26" s="11" t="s">
        <v>193</v>
      </c>
      <c r="E26" s="12">
        <f t="shared" si="9"/>
        <v>37043</v>
      </c>
      <c r="F26" s="2" t="s">
        <v>193</v>
      </c>
      <c r="G26" s="40">
        <v>37043</v>
      </c>
      <c r="H26" s="1" t="s">
        <v>193</v>
      </c>
      <c r="I26" s="13">
        <f t="shared" si="10"/>
        <v>60534</v>
      </c>
      <c r="J26" s="40" t="s">
        <v>193</v>
      </c>
      <c r="K26" s="2">
        <v>60534</v>
      </c>
      <c r="L26" s="44" t="s">
        <v>193</v>
      </c>
      <c r="M26" s="14" t="s">
        <v>22</v>
      </c>
      <c r="N26" s="15"/>
      <c r="O26" s="15"/>
    </row>
    <row r="27" spans="1:15" ht="29.4" customHeight="1" x14ac:dyDescent="0.3">
      <c r="A27" s="17" t="s">
        <v>179</v>
      </c>
      <c r="B27" s="54">
        <f>SUM(B28:B31)</f>
        <v>7806</v>
      </c>
      <c r="C27" s="18">
        <f>SUM(C28:C31)</f>
        <v>54</v>
      </c>
      <c r="D27" s="51">
        <f t="shared" ref="D27" si="11">SUM(D28:D31)</f>
        <v>0</v>
      </c>
      <c r="E27" s="18">
        <f>SUM(E28:E31)</f>
        <v>285506</v>
      </c>
      <c r="F27" s="19">
        <f>SUM(F28:F31)</f>
        <v>57</v>
      </c>
      <c r="G27" s="18">
        <f t="shared" ref="G27:H27" si="12">SUM(G28:G31)</f>
        <v>285449</v>
      </c>
      <c r="H27" s="19">
        <f t="shared" si="12"/>
        <v>0</v>
      </c>
      <c r="I27" s="18">
        <f t="shared" ref="I27:J27" si="13">SUM(I28:I31)</f>
        <v>105854</v>
      </c>
      <c r="J27" s="19">
        <f t="shared" si="13"/>
        <v>14</v>
      </c>
      <c r="K27" s="18">
        <f t="shared" ref="K27" si="14">SUM(K28:K31)</f>
        <v>105840</v>
      </c>
      <c r="L27" s="20">
        <f t="shared" ref="L27" si="15">SUM(L28:L31)</f>
        <v>0</v>
      </c>
      <c r="M27" s="21" t="s">
        <v>178</v>
      </c>
      <c r="N27" s="15"/>
      <c r="O27" s="15"/>
    </row>
    <row r="28" spans="1:15" x14ac:dyDescent="0.3">
      <c r="A28" s="10" t="s">
        <v>125</v>
      </c>
      <c r="B28" s="55">
        <v>3718</v>
      </c>
      <c r="C28" s="40">
        <v>18</v>
      </c>
      <c r="D28" s="1" t="s">
        <v>193</v>
      </c>
      <c r="E28" s="12">
        <f>SUM(F28:H28)</f>
        <v>94876</v>
      </c>
      <c r="F28" s="2">
        <v>32</v>
      </c>
      <c r="G28" s="40">
        <v>94844</v>
      </c>
      <c r="H28" s="1" t="s">
        <v>193</v>
      </c>
      <c r="I28" s="13">
        <f t="shared" si="10"/>
        <v>39564</v>
      </c>
      <c r="J28" s="40">
        <v>8</v>
      </c>
      <c r="K28" s="2">
        <v>39556</v>
      </c>
      <c r="L28" s="44" t="s">
        <v>193</v>
      </c>
      <c r="M28" s="14" t="s">
        <v>23</v>
      </c>
      <c r="N28" s="15"/>
      <c r="O28" s="15"/>
    </row>
    <row r="29" spans="1:15" x14ac:dyDescent="0.3">
      <c r="A29" s="10" t="s">
        <v>126</v>
      </c>
      <c r="B29" s="55">
        <v>742</v>
      </c>
      <c r="C29" s="40">
        <v>13</v>
      </c>
      <c r="D29" s="1" t="s">
        <v>193</v>
      </c>
      <c r="E29" s="12">
        <f t="shared" ref="E29:E31" si="16">SUM(F29:H29)</f>
        <v>64941</v>
      </c>
      <c r="F29" s="2">
        <v>20</v>
      </c>
      <c r="G29" s="40">
        <v>64921</v>
      </c>
      <c r="H29" s="1" t="s">
        <v>193</v>
      </c>
      <c r="I29" s="13">
        <f t="shared" si="10"/>
        <v>33978</v>
      </c>
      <c r="J29" s="40">
        <v>5</v>
      </c>
      <c r="K29" s="2">
        <v>33973</v>
      </c>
      <c r="L29" s="44" t="s">
        <v>193</v>
      </c>
      <c r="M29" s="14" t="s">
        <v>24</v>
      </c>
      <c r="N29" s="15"/>
      <c r="O29" s="15"/>
    </row>
    <row r="30" spans="1:15" x14ac:dyDescent="0.3">
      <c r="A30" s="10" t="s">
        <v>127</v>
      </c>
      <c r="B30" s="55">
        <v>336</v>
      </c>
      <c r="C30" s="40">
        <v>13</v>
      </c>
      <c r="D30" s="1" t="s">
        <v>193</v>
      </c>
      <c r="E30" s="12">
        <f t="shared" si="16"/>
        <v>43148</v>
      </c>
      <c r="F30" s="2">
        <v>5</v>
      </c>
      <c r="G30" s="40">
        <v>43143</v>
      </c>
      <c r="H30" s="1" t="s">
        <v>193</v>
      </c>
      <c r="I30" s="13">
        <f t="shared" si="10"/>
        <v>9935</v>
      </c>
      <c r="J30" s="40" t="s">
        <v>193</v>
      </c>
      <c r="K30" s="2">
        <v>9935</v>
      </c>
      <c r="L30" s="44" t="s">
        <v>193</v>
      </c>
      <c r="M30" s="14" t="s">
        <v>25</v>
      </c>
      <c r="N30" s="15"/>
      <c r="O30" s="15"/>
    </row>
    <row r="31" spans="1:15" x14ac:dyDescent="0.3">
      <c r="A31" s="10" t="s">
        <v>128</v>
      </c>
      <c r="B31" s="55">
        <v>3010</v>
      </c>
      <c r="C31" s="40">
        <v>10</v>
      </c>
      <c r="D31" s="1" t="s">
        <v>193</v>
      </c>
      <c r="E31" s="12">
        <f t="shared" si="16"/>
        <v>82541</v>
      </c>
      <c r="F31" s="2" t="s">
        <v>193</v>
      </c>
      <c r="G31" s="40">
        <v>82541</v>
      </c>
      <c r="H31" s="1" t="s">
        <v>193</v>
      </c>
      <c r="I31" s="13">
        <f t="shared" si="10"/>
        <v>22377</v>
      </c>
      <c r="J31" s="40">
        <v>1</v>
      </c>
      <c r="K31" s="2">
        <v>22376</v>
      </c>
      <c r="L31" s="44" t="s">
        <v>193</v>
      </c>
      <c r="M31" s="14" t="s">
        <v>26</v>
      </c>
      <c r="N31" s="15"/>
      <c r="O31" s="15"/>
    </row>
    <row r="32" spans="1:15" x14ac:dyDescent="0.3">
      <c r="A32" s="64" t="s">
        <v>27</v>
      </c>
      <c r="B32" s="61">
        <f>SUM(B34:B37)</f>
        <v>3677</v>
      </c>
      <c r="C32" s="59">
        <f>SUM(C34:C37)</f>
        <v>1162</v>
      </c>
      <c r="D32" s="66">
        <f t="shared" ref="D32" si="17">SUM(D34:D37)</f>
        <v>0</v>
      </c>
      <c r="E32" s="59">
        <f>SUM(E34:E37)</f>
        <v>378461</v>
      </c>
      <c r="F32" s="65">
        <f>SUM(F34:F37)</f>
        <v>5956</v>
      </c>
      <c r="G32" s="59">
        <f t="shared" ref="G32:I32" si="18">SUM(G34:G37)</f>
        <v>365823</v>
      </c>
      <c r="H32" s="65">
        <f t="shared" si="18"/>
        <v>6682</v>
      </c>
      <c r="I32" s="59">
        <f t="shared" si="18"/>
        <v>97625</v>
      </c>
      <c r="J32" s="65">
        <f t="shared" ref="J32:L32" si="19">SUM(J34:J37)</f>
        <v>2209</v>
      </c>
      <c r="K32" s="59">
        <f t="shared" si="19"/>
        <v>92833</v>
      </c>
      <c r="L32" s="60">
        <f t="shared" si="19"/>
        <v>2583</v>
      </c>
      <c r="M32" s="88" t="s">
        <v>28</v>
      </c>
      <c r="N32" s="88"/>
      <c r="O32" s="88"/>
    </row>
    <row r="33" spans="1:15" x14ac:dyDescent="0.3">
      <c r="A33" s="64"/>
      <c r="B33" s="61"/>
      <c r="C33" s="59"/>
      <c r="D33" s="66"/>
      <c r="E33" s="59"/>
      <c r="F33" s="65"/>
      <c r="G33" s="59"/>
      <c r="H33" s="65"/>
      <c r="I33" s="59"/>
      <c r="J33" s="65"/>
      <c r="K33" s="59"/>
      <c r="L33" s="60"/>
      <c r="M33" s="88"/>
      <c r="N33" s="88"/>
      <c r="O33" s="88"/>
    </row>
    <row r="34" spans="1:15" x14ac:dyDescent="0.3">
      <c r="A34" s="10" t="s">
        <v>129</v>
      </c>
      <c r="B34" s="55">
        <v>1342</v>
      </c>
      <c r="C34" s="40">
        <v>1127</v>
      </c>
      <c r="D34" s="1" t="s">
        <v>193</v>
      </c>
      <c r="E34" s="12">
        <f>SUM(F34:H34)</f>
        <v>125497</v>
      </c>
      <c r="F34" s="2">
        <v>2348</v>
      </c>
      <c r="G34" s="40">
        <v>123149</v>
      </c>
      <c r="H34" s="2" t="s">
        <v>193</v>
      </c>
      <c r="I34" s="13">
        <f t="shared" ref="I34:I37" si="20">SUM(J34:L34)</f>
        <v>27565</v>
      </c>
      <c r="J34" s="40">
        <v>1033</v>
      </c>
      <c r="K34" s="2">
        <v>26532</v>
      </c>
      <c r="L34" s="44" t="s">
        <v>193</v>
      </c>
      <c r="M34" s="14" t="s">
        <v>29</v>
      </c>
      <c r="N34" s="15"/>
      <c r="O34" s="15"/>
    </row>
    <row r="35" spans="1:15" x14ac:dyDescent="0.3">
      <c r="A35" s="10" t="s">
        <v>130</v>
      </c>
      <c r="B35" s="55">
        <v>752</v>
      </c>
      <c r="C35" s="40">
        <v>16</v>
      </c>
      <c r="D35" s="1" t="s">
        <v>193</v>
      </c>
      <c r="E35" s="12">
        <f t="shared" ref="E35:E37" si="21">SUM(F35:H35)</f>
        <v>84647</v>
      </c>
      <c r="F35" s="1" t="s">
        <v>193</v>
      </c>
      <c r="G35" s="40">
        <v>84647</v>
      </c>
      <c r="H35" s="2" t="s">
        <v>193</v>
      </c>
      <c r="I35" s="13">
        <f t="shared" si="20"/>
        <v>9881</v>
      </c>
      <c r="J35" s="40" t="s">
        <v>193</v>
      </c>
      <c r="K35" s="2">
        <v>9881</v>
      </c>
      <c r="L35" s="44" t="s">
        <v>193</v>
      </c>
      <c r="M35" s="14" t="s">
        <v>30</v>
      </c>
      <c r="N35" s="15"/>
      <c r="O35" s="15"/>
    </row>
    <row r="36" spans="1:15" x14ac:dyDescent="0.3">
      <c r="A36" s="10" t="s">
        <v>131</v>
      </c>
      <c r="B36" s="55">
        <v>152</v>
      </c>
      <c r="C36" s="40">
        <v>10</v>
      </c>
      <c r="D36" s="1" t="s">
        <v>193</v>
      </c>
      <c r="E36" s="12">
        <f t="shared" si="21"/>
        <v>82115</v>
      </c>
      <c r="F36" s="2">
        <v>111</v>
      </c>
      <c r="G36" s="40">
        <v>76737</v>
      </c>
      <c r="H36" s="2">
        <v>5267</v>
      </c>
      <c r="I36" s="13">
        <f t="shared" si="20"/>
        <v>35669</v>
      </c>
      <c r="J36" s="40">
        <v>101</v>
      </c>
      <c r="K36" s="2">
        <v>32985</v>
      </c>
      <c r="L36" s="44">
        <v>2583</v>
      </c>
      <c r="M36" s="14" t="s">
        <v>31</v>
      </c>
      <c r="N36" s="15"/>
      <c r="O36" s="15"/>
    </row>
    <row r="37" spans="1:15" x14ac:dyDescent="0.3">
      <c r="A37" s="10" t="s">
        <v>132</v>
      </c>
      <c r="B37" s="55">
        <v>1431</v>
      </c>
      <c r="C37" s="40">
        <v>9</v>
      </c>
      <c r="D37" s="1" t="s">
        <v>193</v>
      </c>
      <c r="E37" s="12">
        <f t="shared" si="21"/>
        <v>86202</v>
      </c>
      <c r="F37" s="2">
        <v>3497</v>
      </c>
      <c r="G37" s="40">
        <v>81290</v>
      </c>
      <c r="H37" s="1">
        <v>1415</v>
      </c>
      <c r="I37" s="13">
        <f t="shared" si="20"/>
        <v>24510</v>
      </c>
      <c r="J37" s="40">
        <v>1075</v>
      </c>
      <c r="K37" s="2">
        <v>23435</v>
      </c>
      <c r="L37" s="44" t="s">
        <v>193</v>
      </c>
      <c r="M37" s="14" t="s">
        <v>32</v>
      </c>
      <c r="N37" s="15"/>
      <c r="O37" s="15"/>
    </row>
    <row r="38" spans="1:15" x14ac:dyDescent="0.3">
      <c r="A38" s="64" t="s">
        <v>33</v>
      </c>
      <c r="B38" s="61">
        <f>SUM(B40:B44)</f>
        <v>16229</v>
      </c>
      <c r="C38" s="59">
        <f>SUM(C40:C44)</f>
        <v>111</v>
      </c>
      <c r="D38" s="66">
        <f t="shared" ref="D38" si="22">SUM(D40:D44)</f>
        <v>1</v>
      </c>
      <c r="E38" s="59">
        <f>SUM(E40:E44)</f>
        <v>863103</v>
      </c>
      <c r="F38" s="65">
        <f>SUM(F40:F44)</f>
        <v>1419</v>
      </c>
      <c r="G38" s="59">
        <f t="shared" ref="G38:I38" si="23">SUM(G40:G44)</f>
        <v>845602</v>
      </c>
      <c r="H38" s="65">
        <f t="shared" si="23"/>
        <v>16082</v>
      </c>
      <c r="I38" s="59">
        <f t="shared" si="23"/>
        <v>252029</v>
      </c>
      <c r="J38" s="65">
        <f t="shared" ref="J38:L38" si="24">SUM(J40:J44)</f>
        <v>1130</v>
      </c>
      <c r="K38" s="59">
        <f t="shared" si="24"/>
        <v>246345</v>
      </c>
      <c r="L38" s="60">
        <f t="shared" si="24"/>
        <v>4554</v>
      </c>
      <c r="M38" s="88" t="s">
        <v>34</v>
      </c>
      <c r="N38" s="88"/>
      <c r="O38" s="88"/>
    </row>
    <row r="39" spans="1:15" x14ac:dyDescent="0.3">
      <c r="A39" s="64"/>
      <c r="B39" s="61"/>
      <c r="C39" s="59"/>
      <c r="D39" s="66"/>
      <c r="E39" s="59"/>
      <c r="F39" s="65"/>
      <c r="G39" s="59"/>
      <c r="H39" s="65"/>
      <c r="I39" s="59"/>
      <c r="J39" s="65"/>
      <c r="K39" s="59"/>
      <c r="L39" s="60"/>
      <c r="M39" s="88"/>
      <c r="N39" s="88"/>
      <c r="O39" s="88"/>
    </row>
    <row r="40" spans="1:15" x14ac:dyDescent="0.3">
      <c r="A40" s="10" t="s">
        <v>133</v>
      </c>
      <c r="B40" s="55">
        <v>11581</v>
      </c>
      <c r="C40" s="40">
        <v>46</v>
      </c>
      <c r="D40" s="1" t="s">
        <v>193</v>
      </c>
      <c r="E40" s="12">
        <f t="shared" ref="E40:E44" si="25">SUM(F40:H40)</f>
        <v>450709</v>
      </c>
      <c r="F40" s="2" t="s">
        <v>193</v>
      </c>
      <c r="G40" s="40">
        <v>449929</v>
      </c>
      <c r="H40" s="2">
        <v>780</v>
      </c>
      <c r="I40" s="13">
        <f t="shared" ref="I40:I44" si="26">SUM(J40:L40)</f>
        <v>124338</v>
      </c>
      <c r="J40" s="40">
        <v>0</v>
      </c>
      <c r="K40" s="2">
        <v>124338</v>
      </c>
      <c r="L40" s="44" t="s">
        <v>193</v>
      </c>
      <c r="M40" s="14" t="s">
        <v>35</v>
      </c>
      <c r="N40" s="15"/>
      <c r="O40" s="15"/>
    </row>
    <row r="41" spans="1:15" x14ac:dyDescent="0.3">
      <c r="A41" s="10" t="s">
        <v>134</v>
      </c>
      <c r="B41" s="55">
        <v>1165</v>
      </c>
      <c r="C41" s="40">
        <v>21</v>
      </c>
      <c r="D41" s="1" t="s">
        <v>193</v>
      </c>
      <c r="E41" s="12">
        <f t="shared" si="25"/>
        <v>127678</v>
      </c>
      <c r="F41" s="2">
        <v>150</v>
      </c>
      <c r="G41" s="40">
        <v>126848</v>
      </c>
      <c r="H41" s="2">
        <v>680</v>
      </c>
      <c r="I41" s="13">
        <f t="shared" si="26"/>
        <v>15705</v>
      </c>
      <c r="J41" s="40">
        <v>68</v>
      </c>
      <c r="K41" s="2">
        <v>15412</v>
      </c>
      <c r="L41" s="44">
        <v>225</v>
      </c>
      <c r="M41" s="14" t="s">
        <v>36</v>
      </c>
      <c r="N41" s="15"/>
      <c r="O41" s="15"/>
    </row>
    <row r="42" spans="1:15" x14ac:dyDescent="0.3">
      <c r="A42" s="10" t="s">
        <v>135</v>
      </c>
      <c r="B42" s="55">
        <v>748</v>
      </c>
      <c r="C42" s="40">
        <v>17</v>
      </c>
      <c r="D42" s="1" t="s">
        <v>193</v>
      </c>
      <c r="E42" s="12">
        <f t="shared" si="25"/>
        <v>104371</v>
      </c>
      <c r="F42" s="2">
        <v>20</v>
      </c>
      <c r="G42" s="40">
        <v>104351</v>
      </c>
      <c r="H42" s="1" t="s">
        <v>193</v>
      </c>
      <c r="I42" s="13">
        <f t="shared" si="26"/>
        <v>45136</v>
      </c>
      <c r="J42" s="40">
        <v>20</v>
      </c>
      <c r="K42" s="2">
        <v>45116</v>
      </c>
      <c r="L42" s="44" t="s">
        <v>193</v>
      </c>
      <c r="M42" s="14" t="s">
        <v>37</v>
      </c>
      <c r="N42" s="15"/>
      <c r="O42" s="15"/>
    </row>
    <row r="43" spans="1:15" x14ac:dyDescent="0.3">
      <c r="A43" s="10" t="s">
        <v>136</v>
      </c>
      <c r="B43" s="56">
        <v>2</v>
      </c>
      <c r="C43" s="41">
        <v>1</v>
      </c>
      <c r="D43" s="1" t="s">
        <v>193</v>
      </c>
      <c r="E43" s="12">
        <f t="shared" si="25"/>
        <v>495</v>
      </c>
      <c r="F43" s="2" t="s">
        <v>193</v>
      </c>
      <c r="G43" s="41">
        <v>495</v>
      </c>
      <c r="H43" s="1" t="s">
        <v>193</v>
      </c>
      <c r="I43" s="13">
        <f t="shared" si="26"/>
        <v>5560</v>
      </c>
      <c r="J43" s="41" t="s">
        <v>193</v>
      </c>
      <c r="K43" s="2">
        <v>5560</v>
      </c>
      <c r="L43" s="45" t="s">
        <v>193</v>
      </c>
      <c r="M43" s="14" t="s">
        <v>38</v>
      </c>
      <c r="N43" s="15"/>
      <c r="O43" s="15"/>
    </row>
    <row r="44" spans="1:15" x14ac:dyDescent="0.3">
      <c r="A44" s="10" t="s">
        <v>137</v>
      </c>
      <c r="B44" s="55">
        <v>2733</v>
      </c>
      <c r="C44" s="40">
        <v>26</v>
      </c>
      <c r="D44" s="2">
        <v>1</v>
      </c>
      <c r="E44" s="12">
        <f t="shared" si="25"/>
        <v>179850</v>
      </c>
      <c r="F44" s="2">
        <v>1249</v>
      </c>
      <c r="G44" s="40">
        <v>163979</v>
      </c>
      <c r="H44" s="2">
        <v>14622</v>
      </c>
      <c r="I44" s="13">
        <f t="shared" si="26"/>
        <v>61290</v>
      </c>
      <c r="J44" s="40">
        <v>1042</v>
      </c>
      <c r="K44" s="2">
        <v>55919</v>
      </c>
      <c r="L44" s="44">
        <v>4329</v>
      </c>
      <c r="M44" s="14" t="s">
        <v>39</v>
      </c>
      <c r="N44" s="15"/>
      <c r="O44" s="15"/>
    </row>
    <row r="45" spans="1:15" x14ac:dyDescent="0.3">
      <c r="A45" s="64" t="s">
        <v>40</v>
      </c>
      <c r="B45" s="61">
        <f>SUM(B47:B51)</f>
        <v>4089</v>
      </c>
      <c r="C45" s="59">
        <f>SUM(C47:C51)</f>
        <v>76</v>
      </c>
      <c r="D45" s="66">
        <f>SUM(D47:D51)</f>
        <v>6</v>
      </c>
      <c r="E45" s="59">
        <f>SUM(E47:E51)</f>
        <v>358048</v>
      </c>
      <c r="F45" s="65">
        <f>SUM(F47:F51)</f>
        <v>5906</v>
      </c>
      <c r="G45" s="59">
        <f t="shared" ref="G45:I45" si="27">SUM(G47:G51)</f>
        <v>331147</v>
      </c>
      <c r="H45" s="65">
        <f t="shared" si="27"/>
        <v>20995</v>
      </c>
      <c r="I45" s="59">
        <f t="shared" si="27"/>
        <v>219867</v>
      </c>
      <c r="J45" s="65">
        <f t="shared" ref="J45:L45" si="28">SUM(J47:J51)</f>
        <v>4175</v>
      </c>
      <c r="K45" s="59">
        <f t="shared" si="28"/>
        <v>208987</v>
      </c>
      <c r="L45" s="60">
        <f t="shared" si="28"/>
        <v>6705</v>
      </c>
      <c r="M45" s="88" t="s">
        <v>41</v>
      </c>
      <c r="N45" s="88"/>
      <c r="O45" s="88"/>
    </row>
    <row r="46" spans="1:15" x14ac:dyDescent="0.3">
      <c r="A46" s="64"/>
      <c r="B46" s="61"/>
      <c r="C46" s="59"/>
      <c r="D46" s="66"/>
      <c r="E46" s="59"/>
      <c r="F46" s="65"/>
      <c r="G46" s="59"/>
      <c r="H46" s="65"/>
      <c r="I46" s="59"/>
      <c r="J46" s="65"/>
      <c r="K46" s="59"/>
      <c r="L46" s="60"/>
      <c r="M46" s="88"/>
      <c r="N46" s="88"/>
      <c r="O46" s="88"/>
    </row>
    <row r="47" spans="1:15" x14ac:dyDescent="0.3">
      <c r="A47" s="10" t="s">
        <v>138</v>
      </c>
      <c r="B47" s="55">
        <v>1775</v>
      </c>
      <c r="C47" s="40">
        <v>24</v>
      </c>
      <c r="D47" s="1">
        <v>6</v>
      </c>
      <c r="E47" s="12">
        <f t="shared" ref="E47:E51" si="29">SUM(F47:H47)</f>
        <v>125267</v>
      </c>
      <c r="F47" s="2">
        <v>3460</v>
      </c>
      <c r="G47" s="40">
        <v>101712</v>
      </c>
      <c r="H47" s="2">
        <v>20095</v>
      </c>
      <c r="I47" s="13">
        <f t="shared" ref="I47:I51" si="30">SUM(J47:L47)</f>
        <v>41973</v>
      </c>
      <c r="J47" s="40">
        <v>1697</v>
      </c>
      <c r="K47" s="2">
        <v>33841</v>
      </c>
      <c r="L47" s="44">
        <v>6435</v>
      </c>
      <c r="M47" s="14" t="s">
        <v>42</v>
      </c>
      <c r="N47" s="15"/>
      <c r="O47" s="15"/>
    </row>
    <row r="48" spans="1:15" x14ac:dyDescent="0.3">
      <c r="A48" s="10" t="s">
        <v>139</v>
      </c>
      <c r="B48" s="55">
        <v>2015</v>
      </c>
      <c r="C48" s="40">
        <v>17</v>
      </c>
      <c r="D48" s="1" t="s">
        <v>193</v>
      </c>
      <c r="E48" s="12">
        <f t="shared" si="29"/>
        <v>51866</v>
      </c>
      <c r="F48" s="2">
        <v>427</v>
      </c>
      <c r="G48" s="40">
        <v>51439</v>
      </c>
      <c r="H48" s="2" t="s">
        <v>193</v>
      </c>
      <c r="I48" s="13">
        <f t="shared" si="30"/>
        <v>32299</v>
      </c>
      <c r="J48" s="40">
        <v>390</v>
      </c>
      <c r="K48" s="2">
        <v>31909</v>
      </c>
      <c r="L48" s="44" t="s">
        <v>193</v>
      </c>
      <c r="M48" s="14" t="s">
        <v>43</v>
      </c>
      <c r="N48" s="15"/>
      <c r="O48" s="15"/>
    </row>
    <row r="49" spans="1:15" x14ac:dyDescent="0.3">
      <c r="A49" s="10" t="s">
        <v>140</v>
      </c>
      <c r="B49" s="55">
        <v>92</v>
      </c>
      <c r="C49" s="40">
        <v>13</v>
      </c>
      <c r="D49" s="1" t="s">
        <v>193</v>
      </c>
      <c r="E49" s="12">
        <f t="shared" si="29"/>
        <v>122683</v>
      </c>
      <c r="F49" s="2">
        <v>736</v>
      </c>
      <c r="G49" s="40">
        <v>121047</v>
      </c>
      <c r="H49" s="2">
        <v>900</v>
      </c>
      <c r="I49" s="13">
        <f t="shared" si="30"/>
        <v>95082</v>
      </c>
      <c r="J49" s="40">
        <v>728</v>
      </c>
      <c r="K49" s="2">
        <v>94084</v>
      </c>
      <c r="L49" s="44">
        <v>270</v>
      </c>
      <c r="M49" s="14" t="s">
        <v>44</v>
      </c>
      <c r="N49" s="15"/>
      <c r="O49" s="15"/>
    </row>
    <row r="50" spans="1:15" x14ac:dyDescent="0.3">
      <c r="A50" s="10" t="s">
        <v>141</v>
      </c>
      <c r="B50" s="55">
        <v>10</v>
      </c>
      <c r="C50" s="40">
        <v>10</v>
      </c>
      <c r="D50" s="1" t="s">
        <v>193</v>
      </c>
      <c r="E50" s="12">
        <f t="shared" si="29"/>
        <v>25856</v>
      </c>
      <c r="F50" s="2">
        <v>798</v>
      </c>
      <c r="G50" s="40">
        <v>25058</v>
      </c>
      <c r="H50" s="1" t="s">
        <v>193</v>
      </c>
      <c r="I50" s="13">
        <f t="shared" si="30"/>
        <v>19001</v>
      </c>
      <c r="J50" s="40">
        <v>1087</v>
      </c>
      <c r="K50" s="2">
        <v>17914</v>
      </c>
      <c r="L50" s="44" t="s">
        <v>193</v>
      </c>
      <c r="M50" s="14" t="s">
        <v>45</v>
      </c>
      <c r="N50" s="15"/>
      <c r="O50" s="15"/>
    </row>
    <row r="51" spans="1:15" x14ac:dyDescent="0.3">
      <c r="A51" s="10" t="s">
        <v>142</v>
      </c>
      <c r="B51" s="55">
        <v>197</v>
      </c>
      <c r="C51" s="40">
        <v>12</v>
      </c>
      <c r="D51" s="1" t="s">
        <v>193</v>
      </c>
      <c r="E51" s="12">
        <f t="shared" si="29"/>
        <v>32376</v>
      </c>
      <c r="F51" s="2">
        <v>485</v>
      </c>
      <c r="G51" s="40">
        <v>31891</v>
      </c>
      <c r="H51" s="2" t="s">
        <v>193</v>
      </c>
      <c r="I51" s="13">
        <f t="shared" si="30"/>
        <v>31512</v>
      </c>
      <c r="J51" s="40">
        <v>273</v>
      </c>
      <c r="K51" s="2">
        <v>31239</v>
      </c>
      <c r="L51" s="44" t="s">
        <v>193</v>
      </c>
      <c r="M51" s="14" t="s">
        <v>46</v>
      </c>
      <c r="N51" s="15"/>
      <c r="O51" s="15"/>
    </row>
    <row r="52" spans="1:15" x14ac:dyDescent="0.3">
      <c r="A52" s="64" t="s">
        <v>47</v>
      </c>
      <c r="B52" s="61">
        <f>SUM(B54:B58)</f>
        <v>218</v>
      </c>
      <c r="C52" s="59">
        <f>SUM(C54:C58)</f>
        <v>26</v>
      </c>
      <c r="D52" s="66">
        <f t="shared" ref="D52" si="31">SUM(D54:D58)</f>
        <v>0</v>
      </c>
      <c r="E52" s="59">
        <f>SUM(E54:E58)</f>
        <v>84292</v>
      </c>
      <c r="F52" s="65">
        <f>SUM(F54:F58)</f>
        <v>2442</v>
      </c>
      <c r="G52" s="59">
        <f t="shared" ref="G52:I52" si="32">SUM(G54:G58)</f>
        <v>81850</v>
      </c>
      <c r="H52" s="65">
        <f t="shared" si="32"/>
        <v>0</v>
      </c>
      <c r="I52" s="59">
        <f t="shared" si="32"/>
        <v>69171</v>
      </c>
      <c r="J52" s="65">
        <f t="shared" ref="J52:L52" si="33">SUM(J54:J58)</f>
        <v>1991</v>
      </c>
      <c r="K52" s="59">
        <f t="shared" si="33"/>
        <v>67180</v>
      </c>
      <c r="L52" s="60">
        <f t="shared" si="33"/>
        <v>0</v>
      </c>
      <c r="M52" s="88" t="s">
        <v>48</v>
      </c>
      <c r="N52" s="88"/>
      <c r="O52" s="88"/>
    </row>
    <row r="53" spans="1:15" x14ac:dyDescent="0.3">
      <c r="A53" s="64"/>
      <c r="B53" s="61"/>
      <c r="C53" s="59"/>
      <c r="D53" s="66"/>
      <c r="E53" s="59"/>
      <c r="F53" s="65"/>
      <c r="G53" s="59"/>
      <c r="H53" s="65"/>
      <c r="I53" s="59"/>
      <c r="J53" s="65"/>
      <c r="K53" s="59"/>
      <c r="L53" s="60"/>
      <c r="M53" s="88"/>
      <c r="N53" s="88"/>
      <c r="O53" s="88"/>
    </row>
    <row r="54" spans="1:15" x14ac:dyDescent="0.3">
      <c r="A54" s="10" t="s">
        <v>143</v>
      </c>
      <c r="B54" s="55">
        <v>121</v>
      </c>
      <c r="C54" s="40">
        <v>5</v>
      </c>
      <c r="D54" s="1" t="s">
        <v>193</v>
      </c>
      <c r="E54" s="12">
        <f t="shared" ref="E54:E58" si="34">SUM(F54:H54)</f>
        <v>3233</v>
      </c>
      <c r="F54" s="2">
        <v>10</v>
      </c>
      <c r="G54" s="40">
        <v>3223</v>
      </c>
      <c r="H54" s="1" t="s">
        <v>193</v>
      </c>
      <c r="I54" s="13">
        <f t="shared" ref="I54:I58" si="35">SUM(J54:L54)</f>
        <v>957</v>
      </c>
      <c r="J54" s="40">
        <v>6</v>
      </c>
      <c r="K54" s="2">
        <v>951</v>
      </c>
      <c r="L54" s="44" t="s">
        <v>193</v>
      </c>
      <c r="M54" s="14" t="s">
        <v>49</v>
      </c>
      <c r="N54" s="15"/>
      <c r="O54" s="15"/>
    </row>
    <row r="55" spans="1:15" x14ac:dyDescent="0.3">
      <c r="A55" s="10" t="s">
        <v>144</v>
      </c>
      <c r="B55" s="55">
        <v>37</v>
      </c>
      <c r="C55" s="40">
        <v>6</v>
      </c>
      <c r="D55" s="1" t="s">
        <v>193</v>
      </c>
      <c r="E55" s="12">
        <f t="shared" si="34"/>
        <v>3473</v>
      </c>
      <c r="F55" s="2">
        <v>1424</v>
      </c>
      <c r="G55" s="40">
        <v>2049</v>
      </c>
      <c r="H55" s="1" t="s">
        <v>193</v>
      </c>
      <c r="I55" s="13">
        <f t="shared" si="35"/>
        <v>3930</v>
      </c>
      <c r="J55" s="40">
        <v>1685</v>
      </c>
      <c r="K55" s="2">
        <v>2245</v>
      </c>
      <c r="L55" s="44" t="s">
        <v>193</v>
      </c>
      <c r="M55" s="14" t="s">
        <v>50</v>
      </c>
      <c r="N55" s="15"/>
      <c r="O55" s="15"/>
    </row>
    <row r="56" spans="1:15" x14ac:dyDescent="0.3">
      <c r="A56" s="10" t="s">
        <v>145</v>
      </c>
      <c r="B56" s="55">
        <v>5</v>
      </c>
      <c r="C56" s="40">
        <v>1</v>
      </c>
      <c r="D56" s="1" t="s">
        <v>193</v>
      </c>
      <c r="E56" s="12">
        <f t="shared" si="34"/>
        <v>1871</v>
      </c>
      <c r="F56" s="2">
        <v>26</v>
      </c>
      <c r="G56" s="40">
        <v>1845</v>
      </c>
      <c r="H56" s="1" t="s">
        <v>193</v>
      </c>
      <c r="I56" s="13">
        <f t="shared" si="35"/>
        <v>3102</v>
      </c>
      <c r="J56" s="40">
        <v>142</v>
      </c>
      <c r="K56" s="2">
        <v>2960</v>
      </c>
      <c r="L56" s="44" t="s">
        <v>193</v>
      </c>
      <c r="M56" s="14" t="s">
        <v>51</v>
      </c>
      <c r="N56" s="15"/>
      <c r="O56" s="15"/>
    </row>
    <row r="57" spans="1:15" x14ac:dyDescent="0.3">
      <c r="A57" s="10" t="s">
        <v>146</v>
      </c>
      <c r="B57" s="55">
        <v>55</v>
      </c>
      <c r="C57" s="40">
        <v>8</v>
      </c>
      <c r="D57" s="1" t="s">
        <v>193</v>
      </c>
      <c r="E57" s="12">
        <f t="shared" si="34"/>
        <v>74585</v>
      </c>
      <c r="F57" s="2">
        <v>845</v>
      </c>
      <c r="G57" s="40">
        <v>73740</v>
      </c>
      <c r="H57" s="1" t="s">
        <v>193</v>
      </c>
      <c r="I57" s="13">
        <f t="shared" si="35"/>
        <v>59927</v>
      </c>
      <c r="J57" s="40">
        <v>67</v>
      </c>
      <c r="K57" s="2">
        <v>59860</v>
      </c>
      <c r="L57" s="44" t="s">
        <v>193</v>
      </c>
      <c r="M57" s="14" t="s">
        <v>52</v>
      </c>
      <c r="N57" s="15"/>
      <c r="O57" s="15"/>
    </row>
    <row r="58" spans="1:15" x14ac:dyDescent="0.3">
      <c r="A58" s="10" t="s">
        <v>147</v>
      </c>
      <c r="B58" s="55" t="s">
        <v>193</v>
      </c>
      <c r="C58" s="40">
        <v>6</v>
      </c>
      <c r="D58" s="1" t="s">
        <v>193</v>
      </c>
      <c r="E58" s="12">
        <f t="shared" si="34"/>
        <v>1130</v>
      </c>
      <c r="F58" s="2">
        <v>137</v>
      </c>
      <c r="G58" s="40">
        <v>993</v>
      </c>
      <c r="H58" s="1" t="s">
        <v>193</v>
      </c>
      <c r="I58" s="13">
        <f t="shared" si="35"/>
        <v>1255</v>
      </c>
      <c r="J58" s="40">
        <v>91</v>
      </c>
      <c r="K58" s="2">
        <v>1164</v>
      </c>
      <c r="L58" s="44" t="s">
        <v>193</v>
      </c>
      <c r="M58" s="14" t="s">
        <v>53</v>
      </c>
      <c r="N58" s="15"/>
      <c r="O58" s="15"/>
    </row>
    <row r="59" spans="1:15" x14ac:dyDescent="0.3">
      <c r="A59" s="64" t="s">
        <v>54</v>
      </c>
      <c r="B59" s="61">
        <f>SUM(B61:B63)</f>
        <v>4470</v>
      </c>
      <c r="C59" s="59">
        <f>SUM(C61:C63)</f>
        <v>82</v>
      </c>
      <c r="D59" s="66">
        <f t="shared" ref="D59" si="36">SUM(D61:D63)</f>
        <v>0</v>
      </c>
      <c r="E59" s="59">
        <f>SUM(E61:E63)</f>
        <v>1142793</v>
      </c>
      <c r="F59" s="65">
        <f>SUM(F61:F63)</f>
        <v>70005</v>
      </c>
      <c r="G59" s="59">
        <f t="shared" ref="G59:I59" si="37">SUM(G61:G63)</f>
        <v>1047656</v>
      </c>
      <c r="H59" s="65">
        <f t="shared" si="37"/>
        <v>25132</v>
      </c>
      <c r="I59" s="59">
        <f t="shared" si="37"/>
        <v>355840</v>
      </c>
      <c r="J59" s="65">
        <f t="shared" ref="J59:L59" si="38">SUM(J61:J63)</f>
        <v>37970</v>
      </c>
      <c r="K59" s="59">
        <f t="shared" si="38"/>
        <v>314610</v>
      </c>
      <c r="L59" s="60">
        <f t="shared" si="38"/>
        <v>3260</v>
      </c>
      <c r="M59" s="88" t="s">
        <v>55</v>
      </c>
      <c r="N59" s="88"/>
      <c r="O59" s="88"/>
    </row>
    <row r="60" spans="1:15" x14ac:dyDescent="0.3">
      <c r="A60" s="64"/>
      <c r="B60" s="61"/>
      <c r="C60" s="59"/>
      <c r="D60" s="66"/>
      <c r="E60" s="59"/>
      <c r="F60" s="65"/>
      <c r="G60" s="59"/>
      <c r="H60" s="65"/>
      <c r="I60" s="59"/>
      <c r="J60" s="65"/>
      <c r="K60" s="59"/>
      <c r="L60" s="60"/>
      <c r="M60" s="88"/>
      <c r="N60" s="88"/>
      <c r="O60" s="88"/>
    </row>
    <row r="61" spans="1:15" x14ac:dyDescent="0.3">
      <c r="A61" s="10" t="s">
        <v>148</v>
      </c>
      <c r="B61" s="55">
        <v>1008</v>
      </c>
      <c r="C61" s="40">
        <v>39</v>
      </c>
      <c r="D61" s="1" t="s">
        <v>193</v>
      </c>
      <c r="E61" s="12">
        <f t="shared" ref="E61:E63" si="39">SUM(F61:H61)</f>
        <v>291476</v>
      </c>
      <c r="F61" s="2">
        <v>18009</v>
      </c>
      <c r="G61" s="40">
        <v>273467</v>
      </c>
      <c r="H61" s="2" t="s">
        <v>193</v>
      </c>
      <c r="I61" s="13">
        <f t="shared" ref="I61:I63" si="40">SUM(J61:L61)</f>
        <v>111750</v>
      </c>
      <c r="J61" s="40">
        <v>2899</v>
      </c>
      <c r="K61" s="2">
        <v>108851</v>
      </c>
      <c r="L61" s="44" t="s">
        <v>193</v>
      </c>
      <c r="M61" s="14" t="s">
        <v>56</v>
      </c>
      <c r="N61" s="15"/>
      <c r="O61" s="15"/>
    </row>
    <row r="62" spans="1:15" x14ac:dyDescent="0.3">
      <c r="A62" s="10" t="s">
        <v>149</v>
      </c>
      <c r="B62" s="56">
        <v>324</v>
      </c>
      <c r="C62" s="41">
        <v>27</v>
      </c>
      <c r="D62" s="1" t="s">
        <v>193</v>
      </c>
      <c r="E62" s="12">
        <f t="shared" si="39"/>
        <v>596967</v>
      </c>
      <c r="F62" s="2">
        <v>46375</v>
      </c>
      <c r="G62" s="41">
        <v>525460</v>
      </c>
      <c r="H62" s="2">
        <v>25132</v>
      </c>
      <c r="I62" s="13">
        <f t="shared" si="40"/>
        <v>205277</v>
      </c>
      <c r="J62" s="41">
        <v>32368</v>
      </c>
      <c r="K62" s="2">
        <v>169649</v>
      </c>
      <c r="L62" s="45">
        <v>3260</v>
      </c>
      <c r="M62" s="14" t="s">
        <v>57</v>
      </c>
      <c r="N62" s="15"/>
      <c r="O62" s="15"/>
    </row>
    <row r="63" spans="1:15" x14ac:dyDescent="0.3">
      <c r="A63" s="10" t="s">
        <v>150</v>
      </c>
      <c r="B63" s="55">
        <v>3138</v>
      </c>
      <c r="C63" s="40">
        <v>16</v>
      </c>
      <c r="D63" s="1" t="s">
        <v>193</v>
      </c>
      <c r="E63" s="12">
        <f t="shared" si="39"/>
        <v>254350</v>
      </c>
      <c r="F63" s="2">
        <v>5621</v>
      </c>
      <c r="G63" s="40">
        <v>248729</v>
      </c>
      <c r="H63" s="1" t="s">
        <v>193</v>
      </c>
      <c r="I63" s="13">
        <f t="shared" si="40"/>
        <v>38813</v>
      </c>
      <c r="J63" s="40">
        <v>2703</v>
      </c>
      <c r="K63" s="2">
        <v>36110</v>
      </c>
      <c r="L63" s="44" t="s">
        <v>193</v>
      </c>
      <c r="M63" s="14" t="s">
        <v>58</v>
      </c>
      <c r="N63" s="15"/>
      <c r="O63" s="15"/>
    </row>
    <row r="64" spans="1:15" x14ac:dyDescent="0.3">
      <c r="A64" s="64" t="s">
        <v>59</v>
      </c>
      <c r="B64" s="61">
        <f>SUM(B66:B70)</f>
        <v>1120</v>
      </c>
      <c r="C64" s="59">
        <f>SUM(C66:C70)</f>
        <v>487</v>
      </c>
      <c r="D64" s="66">
        <f t="shared" ref="D64" si="41">SUM(D66:D70)</f>
        <v>0</v>
      </c>
      <c r="E64" s="59">
        <f>SUM(E66:E70)</f>
        <v>281637</v>
      </c>
      <c r="F64" s="65">
        <f>SUM(F66:F70)</f>
        <v>6116</v>
      </c>
      <c r="G64" s="59">
        <f t="shared" ref="G64:I64" si="42">SUM(G66:G70)</f>
        <v>271071</v>
      </c>
      <c r="H64" s="65">
        <f t="shared" si="42"/>
        <v>4450</v>
      </c>
      <c r="I64" s="59">
        <f t="shared" si="42"/>
        <v>283036</v>
      </c>
      <c r="J64" s="65">
        <f t="shared" ref="J64:L64" si="43">SUM(J66:J70)</f>
        <v>5679</v>
      </c>
      <c r="K64" s="59">
        <f t="shared" si="43"/>
        <v>270082</v>
      </c>
      <c r="L64" s="60">
        <f t="shared" si="43"/>
        <v>7275</v>
      </c>
      <c r="M64" s="88" t="s">
        <v>60</v>
      </c>
      <c r="N64" s="88"/>
      <c r="O64" s="88"/>
    </row>
    <row r="65" spans="1:15" x14ac:dyDescent="0.3">
      <c r="A65" s="64"/>
      <c r="B65" s="61"/>
      <c r="C65" s="59"/>
      <c r="D65" s="66"/>
      <c r="E65" s="59"/>
      <c r="F65" s="65"/>
      <c r="G65" s="59"/>
      <c r="H65" s="65"/>
      <c r="I65" s="59"/>
      <c r="J65" s="65"/>
      <c r="K65" s="59"/>
      <c r="L65" s="60"/>
      <c r="M65" s="88"/>
      <c r="N65" s="88"/>
      <c r="O65" s="88"/>
    </row>
    <row r="66" spans="1:15" x14ac:dyDescent="0.3">
      <c r="A66" s="10" t="s">
        <v>151</v>
      </c>
      <c r="B66" s="55">
        <v>156</v>
      </c>
      <c r="C66" s="40">
        <v>14</v>
      </c>
      <c r="D66" s="1" t="s">
        <v>193</v>
      </c>
      <c r="E66" s="12">
        <f t="shared" ref="E66:E70" si="44">SUM(F66:H66)</f>
        <v>78003</v>
      </c>
      <c r="F66" s="2">
        <v>2446</v>
      </c>
      <c r="G66" s="40">
        <v>75557</v>
      </c>
      <c r="H66" s="1" t="s">
        <v>193</v>
      </c>
      <c r="I66" s="13">
        <f t="shared" ref="I66:I70" si="45">SUM(J66:L66)</f>
        <v>66685</v>
      </c>
      <c r="J66" s="40">
        <v>1243</v>
      </c>
      <c r="K66" s="2">
        <v>65442</v>
      </c>
      <c r="L66" s="44" t="s">
        <v>193</v>
      </c>
      <c r="M66" s="14" t="s">
        <v>61</v>
      </c>
      <c r="N66" s="15"/>
      <c r="O66" s="15"/>
    </row>
    <row r="67" spans="1:15" x14ac:dyDescent="0.3">
      <c r="A67" s="10" t="s">
        <v>152</v>
      </c>
      <c r="B67" s="55">
        <v>248</v>
      </c>
      <c r="C67" s="40">
        <v>6</v>
      </c>
      <c r="D67" s="1" t="s">
        <v>193</v>
      </c>
      <c r="E67" s="12">
        <f t="shared" si="44"/>
        <v>53457</v>
      </c>
      <c r="F67" s="2">
        <v>1880</v>
      </c>
      <c r="G67" s="40">
        <v>47777</v>
      </c>
      <c r="H67" s="2">
        <v>3800</v>
      </c>
      <c r="I67" s="13">
        <f t="shared" si="45"/>
        <v>67737</v>
      </c>
      <c r="J67" s="40">
        <v>1763</v>
      </c>
      <c r="K67" s="2">
        <v>59399</v>
      </c>
      <c r="L67" s="44">
        <v>6575</v>
      </c>
      <c r="M67" s="14" t="s">
        <v>62</v>
      </c>
      <c r="N67" s="15"/>
      <c r="O67" s="15"/>
    </row>
    <row r="68" spans="1:15" x14ac:dyDescent="0.3">
      <c r="A68" s="10" t="s">
        <v>153</v>
      </c>
      <c r="B68" s="55">
        <v>208</v>
      </c>
      <c r="C68" s="40">
        <v>4</v>
      </c>
      <c r="D68" s="1" t="s">
        <v>193</v>
      </c>
      <c r="E68" s="12">
        <f t="shared" si="44"/>
        <v>57333</v>
      </c>
      <c r="F68" s="2">
        <v>188</v>
      </c>
      <c r="G68" s="40">
        <v>56495</v>
      </c>
      <c r="H68" s="2">
        <v>650</v>
      </c>
      <c r="I68" s="13">
        <f t="shared" si="45"/>
        <v>45877</v>
      </c>
      <c r="J68" s="40">
        <v>1337</v>
      </c>
      <c r="K68" s="2">
        <v>43840</v>
      </c>
      <c r="L68" s="44">
        <v>700</v>
      </c>
      <c r="M68" s="14" t="s">
        <v>63</v>
      </c>
      <c r="N68" s="15"/>
      <c r="O68" s="15"/>
    </row>
    <row r="69" spans="1:15" x14ac:dyDescent="0.3">
      <c r="A69" s="10" t="s">
        <v>154</v>
      </c>
      <c r="B69" s="55">
        <v>432</v>
      </c>
      <c r="C69" s="40">
        <v>434</v>
      </c>
      <c r="D69" s="1" t="s">
        <v>193</v>
      </c>
      <c r="E69" s="12">
        <f t="shared" si="44"/>
        <v>48890</v>
      </c>
      <c r="F69" s="2">
        <v>20</v>
      </c>
      <c r="G69" s="40">
        <v>48870</v>
      </c>
      <c r="H69" s="2" t="s">
        <v>193</v>
      </c>
      <c r="I69" s="13">
        <f t="shared" si="45"/>
        <v>81009</v>
      </c>
      <c r="J69" s="40">
        <v>83</v>
      </c>
      <c r="K69" s="2">
        <v>80926</v>
      </c>
      <c r="L69" s="44" t="s">
        <v>193</v>
      </c>
      <c r="M69" s="14" t="s">
        <v>64</v>
      </c>
      <c r="N69" s="15"/>
      <c r="O69" s="15"/>
    </row>
    <row r="70" spans="1:15" x14ac:dyDescent="0.3">
      <c r="A70" s="10" t="s">
        <v>155</v>
      </c>
      <c r="B70" s="55">
        <v>76</v>
      </c>
      <c r="C70" s="40">
        <v>29</v>
      </c>
      <c r="D70" s="1" t="s">
        <v>193</v>
      </c>
      <c r="E70" s="12">
        <f t="shared" si="44"/>
        <v>43954</v>
      </c>
      <c r="F70" s="2">
        <v>1582</v>
      </c>
      <c r="G70" s="40">
        <v>42372</v>
      </c>
      <c r="H70" s="2" t="s">
        <v>193</v>
      </c>
      <c r="I70" s="13">
        <f t="shared" si="45"/>
        <v>21728</v>
      </c>
      <c r="J70" s="40">
        <v>1253</v>
      </c>
      <c r="K70" s="2">
        <v>20475</v>
      </c>
      <c r="L70" s="44" t="s">
        <v>193</v>
      </c>
      <c r="M70" s="14" t="s">
        <v>65</v>
      </c>
      <c r="N70" s="15"/>
      <c r="O70" s="15"/>
    </row>
    <row r="71" spans="1:15" x14ac:dyDescent="0.3">
      <c r="A71" s="64" t="s">
        <v>66</v>
      </c>
      <c r="B71" s="61">
        <f>SUM(B73:B80)</f>
        <v>1688</v>
      </c>
      <c r="C71" s="59">
        <f>SUM(C73:C80)</f>
        <v>6</v>
      </c>
      <c r="D71" s="66">
        <f t="shared" ref="D71" si="46">SUM(D73:D80)</f>
        <v>0</v>
      </c>
      <c r="E71" s="59">
        <f>SUM(E73:E80)</f>
        <v>38433</v>
      </c>
      <c r="F71" s="65">
        <f>SUM(F73:F80)</f>
        <v>64</v>
      </c>
      <c r="G71" s="59">
        <f t="shared" ref="G71:I71" si="47">SUM(G73:G80)</f>
        <v>35009</v>
      </c>
      <c r="H71" s="65">
        <f t="shared" si="47"/>
        <v>3360</v>
      </c>
      <c r="I71" s="59">
        <f t="shared" si="47"/>
        <v>20499</v>
      </c>
      <c r="J71" s="65">
        <f t="shared" ref="J71:L71" si="48">SUM(J73:J80)</f>
        <v>36</v>
      </c>
      <c r="K71" s="59">
        <f t="shared" si="48"/>
        <v>19863</v>
      </c>
      <c r="L71" s="60">
        <f t="shared" si="48"/>
        <v>600</v>
      </c>
      <c r="M71" s="88" t="s">
        <v>67</v>
      </c>
      <c r="N71" s="88"/>
      <c r="O71" s="88"/>
    </row>
    <row r="72" spans="1:15" x14ac:dyDescent="0.3">
      <c r="A72" s="64"/>
      <c r="B72" s="61"/>
      <c r="C72" s="59"/>
      <c r="D72" s="66"/>
      <c r="E72" s="59"/>
      <c r="F72" s="65"/>
      <c r="G72" s="59"/>
      <c r="H72" s="65"/>
      <c r="I72" s="59"/>
      <c r="J72" s="65"/>
      <c r="K72" s="59"/>
      <c r="L72" s="60"/>
      <c r="M72" s="88"/>
      <c r="N72" s="88"/>
      <c r="O72" s="88"/>
    </row>
    <row r="73" spans="1:15" x14ac:dyDescent="0.3">
      <c r="A73" s="22" t="s">
        <v>68</v>
      </c>
      <c r="B73" s="55" t="s">
        <v>193</v>
      </c>
      <c r="C73" s="40" t="s">
        <v>193</v>
      </c>
      <c r="D73" s="52" t="s">
        <v>193</v>
      </c>
      <c r="E73" s="12">
        <f t="shared" ref="E73:E80" si="49">SUM(F73:H73)</f>
        <v>0</v>
      </c>
      <c r="F73" s="2" t="s">
        <v>193</v>
      </c>
      <c r="G73" s="40" t="s">
        <v>193</v>
      </c>
      <c r="H73" s="40" t="s">
        <v>193</v>
      </c>
      <c r="I73" s="13">
        <f t="shared" ref="I73:I80" si="50">SUM(J73:L73)</f>
        <v>0</v>
      </c>
      <c r="J73" s="40" t="s">
        <v>193</v>
      </c>
      <c r="K73" s="2" t="s">
        <v>193</v>
      </c>
      <c r="L73" s="44" t="s">
        <v>193</v>
      </c>
      <c r="M73" s="14" t="s">
        <v>69</v>
      </c>
      <c r="N73" s="15"/>
      <c r="O73" s="15"/>
    </row>
    <row r="74" spans="1:15" x14ac:dyDescent="0.3">
      <c r="A74" s="22" t="s">
        <v>70</v>
      </c>
      <c r="B74" s="56" t="s">
        <v>193</v>
      </c>
      <c r="C74" s="41" t="s">
        <v>193</v>
      </c>
      <c r="D74" s="52" t="s">
        <v>193</v>
      </c>
      <c r="E74" s="12">
        <f t="shared" si="49"/>
        <v>48</v>
      </c>
      <c r="F74" s="2">
        <v>30</v>
      </c>
      <c r="G74" s="41">
        <v>18</v>
      </c>
      <c r="H74" s="41" t="s">
        <v>193</v>
      </c>
      <c r="I74" s="13">
        <f t="shared" si="50"/>
        <v>410</v>
      </c>
      <c r="J74" s="41" t="s">
        <v>193</v>
      </c>
      <c r="K74" s="2">
        <v>410</v>
      </c>
      <c r="L74" s="45" t="s">
        <v>193</v>
      </c>
      <c r="M74" s="14" t="s">
        <v>71</v>
      </c>
      <c r="N74" s="15"/>
      <c r="O74" s="15"/>
    </row>
    <row r="75" spans="1:15" x14ac:dyDescent="0.3">
      <c r="A75" s="22" t="s">
        <v>72</v>
      </c>
      <c r="B75" s="56" t="s">
        <v>193</v>
      </c>
      <c r="C75" s="41" t="s">
        <v>193</v>
      </c>
      <c r="D75" s="52" t="s">
        <v>193</v>
      </c>
      <c r="E75" s="12">
        <f t="shared" si="49"/>
        <v>238</v>
      </c>
      <c r="F75" s="1" t="s">
        <v>193</v>
      </c>
      <c r="G75" s="41">
        <v>238</v>
      </c>
      <c r="H75" s="41" t="s">
        <v>193</v>
      </c>
      <c r="I75" s="13">
        <f t="shared" si="50"/>
        <v>0</v>
      </c>
      <c r="J75" s="41" t="s">
        <v>193</v>
      </c>
      <c r="K75" s="1" t="s">
        <v>193</v>
      </c>
      <c r="L75" s="45" t="s">
        <v>193</v>
      </c>
      <c r="M75" s="14" t="s">
        <v>73</v>
      </c>
      <c r="N75" s="15"/>
      <c r="O75" s="15"/>
    </row>
    <row r="76" spans="1:15" x14ac:dyDescent="0.3">
      <c r="A76" s="22" t="s">
        <v>74</v>
      </c>
      <c r="B76" s="56" t="s">
        <v>193</v>
      </c>
      <c r="C76" s="41" t="s">
        <v>193</v>
      </c>
      <c r="D76" s="52" t="s">
        <v>193</v>
      </c>
      <c r="E76" s="12">
        <f t="shared" si="49"/>
        <v>0</v>
      </c>
      <c r="F76" s="1" t="s">
        <v>193</v>
      </c>
      <c r="G76" s="41" t="s">
        <v>193</v>
      </c>
      <c r="H76" s="41" t="s">
        <v>193</v>
      </c>
      <c r="I76" s="13">
        <f t="shared" si="50"/>
        <v>0</v>
      </c>
      <c r="J76" s="41" t="s">
        <v>193</v>
      </c>
      <c r="K76" s="1" t="s">
        <v>193</v>
      </c>
      <c r="L76" s="45" t="s">
        <v>193</v>
      </c>
      <c r="M76" s="14" t="s">
        <v>75</v>
      </c>
      <c r="N76" s="15"/>
      <c r="O76" s="15"/>
    </row>
    <row r="77" spans="1:15" x14ac:dyDescent="0.3">
      <c r="A77" s="22" t="s">
        <v>76</v>
      </c>
      <c r="B77" s="55">
        <v>88</v>
      </c>
      <c r="C77" s="40">
        <v>2</v>
      </c>
      <c r="D77" s="52" t="s">
        <v>193</v>
      </c>
      <c r="E77" s="12">
        <f t="shared" si="49"/>
        <v>25127</v>
      </c>
      <c r="F77" s="2">
        <v>10</v>
      </c>
      <c r="G77" s="40">
        <v>25117</v>
      </c>
      <c r="H77" s="40" t="s">
        <v>193</v>
      </c>
      <c r="I77" s="13">
        <f t="shared" si="50"/>
        <v>7634</v>
      </c>
      <c r="J77" s="40">
        <v>13</v>
      </c>
      <c r="K77" s="2">
        <v>7621</v>
      </c>
      <c r="L77" s="44" t="s">
        <v>193</v>
      </c>
      <c r="M77" s="14" t="s">
        <v>77</v>
      </c>
      <c r="N77" s="15"/>
      <c r="O77" s="15"/>
    </row>
    <row r="78" spans="1:15" x14ac:dyDescent="0.3">
      <c r="A78" s="22" t="s">
        <v>78</v>
      </c>
      <c r="B78" s="55">
        <v>1450</v>
      </c>
      <c r="C78" s="40">
        <v>4</v>
      </c>
      <c r="D78" s="52" t="s">
        <v>193</v>
      </c>
      <c r="E78" s="12">
        <f t="shared" si="49"/>
        <v>6891</v>
      </c>
      <c r="F78" s="2">
        <v>8</v>
      </c>
      <c r="G78" s="40">
        <v>3523</v>
      </c>
      <c r="H78" s="41">
        <v>3360</v>
      </c>
      <c r="I78" s="13">
        <f t="shared" si="50"/>
        <v>6819</v>
      </c>
      <c r="J78" s="40">
        <v>7</v>
      </c>
      <c r="K78" s="2">
        <v>6212</v>
      </c>
      <c r="L78" s="44">
        <v>600</v>
      </c>
      <c r="M78" s="14" t="s">
        <v>79</v>
      </c>
      <c r="N78" s="15"/>
      <c r="O78" s="15"/>
    </row>
    <row r="79" spans="1:15" x14ac:dyDescent="0.3">
      <c r="A79" s="22" t="s">
        <v>80</v>
      </c>
      <c r="B79" s="55" t="s">
        <v>193</v>
      </c>
      <c r="C79" s="40" t="s">
        <v>193</v>
      </c>
      <c r="D79" s="52" t="s">
        <v>193</v>
      </c>
      <c r="E79" s="12">
        <f t="shared" si="49"/>
        <v>0</v>
      </c>
      <c r="F79" s="2" t="s">
        <v>193</v>
      </c>
      <c r="G79" s="40" t="s">
        <v>193</v>
      </c>
      <c r="H79" s="41" t="s">
        <v>193</v>
      </c>
      <c r="I79" s="13">
        <f t="shared" si="50"/>
        <v>0</v>
      </c>
      <c r="J79" s="40" t="s">
        <v>193</v>
      </c>
      <c r="K79" s="2" t="s">
        <v>193</v>
      </c>
      <c r="L79" s="44" t="s">
        <v>193</v>
      </c>
      <c r="M79" s="14" t="s">
        <v>81</v>
      </c>
      <c r="N79" s="15"/>
      <c r="O79" s="15"/>
    </row>
    <row r="80" spans="1:15" x14ac:dyDescent="0.3">
      <c r="A80" s="22" t="s">
        <v>82</v>
      </c>
      <c r="B80" s="55">
        <v>150</v>
      </c>
      <c r="C80" s="40" t="s">
        <v>193</v>
      </c>
      <c r="D80" s="52" t="s">
        <v>193</v>
      </c>
      <c r="E80" s="12">
        <f t="shared" si="49"/>
        <v>6129</v>
      </c>
      <c r="F80" s="2">
        <v>16</v>
      </c>
      <c r="G80" s="40">
        <v>6113</v>
      </c>
      <c r="H80" s="41" t="s">
        <v>193</v>
      </c>
      <c r="I80" s="13">
        <f t="shared" si="50"/>
        <v>5636</v>
      </c>
      <c r="J80" s="40">
        <v>16</v>
      </c>
      <c r="K80" s="2">
        <v>5620</v>
      </c>
      <c r="L80" s="44" t="s">
        <v>193</v>
      </c>
      <c r="M80" s="14" t="s">
        <v>83</v>
      </c>
      <c r="N80" s="15"/>
      <c r="O80" s="15"/>
    </row>
    <row r="81" spans="1:15" x14ac:dyDescent="0.3">
      <c r="A81" s="64" t="s">
        <v>84</v>
      </c>
      <c r="B81" s="61">
        <f>SUM(B83:B87)</f>
        <v>578</v>
      </c>
      <c r="C81" s="59">
        <f>SUM(C83:C87)</f>
        <v>65</v>
      </c>
      <c r="D81" s="66">
        <f t="shared" ref="D81" si="51">SUM(D83:D87)</f>
        <v>0</v>
      </c>
      <c r="E81" s="59">
        <f>SUM(E83:E87)</f>
        <v>376443</v>
      </c>
      <c r="F81" s="65">
        <f>SUM(F83:F87)</f>
        <v>2754</v>
      </c>
      <c r="G81" s="59">
        <f t="shared" ref="G81:I81" si="52">SUM(G83:G87)</f>
        <v>372749</v>
      </c>
      <c r="H81" s="65">
        <f t="shared" si="52"/>
        <v>940</v>
      </c>
      <c r="I81" s="59">
        <f t="shared" si="52"/>
        <v>59732</v>
      </c>
      <c r="J81" s="65">
        <f t="shared" ref="J81:L81" si="53">SUM(J83:J87)</f>
        <v>4856</v>
      </c>
      <c r="K81" s="59">
        <f t="shared" si="53"/>
        <v>45181</v>
      </c>
      <c r="L81" s="60">
        <f t="shared" si="53"/>
        <v>9695</v>
      </c>
      <c r="M81" s="88" t="s">
        <v>85</v>
      </c>
      <c r="N81" s="88"/>
      <c r="O81" s="88"/>
    </row>
    <row r="82" spans="1:15" x14ac:dyDescent="0.3">
      <c r="A82" s="64"/>
      <c r="B82" s="61"/>
      <c r="C82" s="59"/>
      <c r="D82" s="66"/>
      <c r="E82" s="59"/>
      <c r="F82" s="65"/>
      <c r="G82" s="59"/>
      <c r="H82" s="65"/>
      <c r="I82" s="59"/>
      <c r="J82" s="65"/>
      <c r="K82" s="59"/>
      <c r="L82" s="60"/>
      <c r="M82" s="88"/>
      <c r="N82" s="88"/>
      <c r="O82" s="88"/>
    </row>
    <row r="83" spans="1:15" x14ac:dyDescent="0.3">
      <c r="A83" s="10" t="s">
        <v>156</v>
      </c>
      <c r="B83" s="55">
        <v>6</v>
      </c>
      <c r="C83" s="40">
        <v>44</v>
      </c>
      <c r="D83" s="1" t="s">
        <v>193</v>
      </c>
      <c r="E83" s="12">
        <f t="shared" ref="E83:E87" si="54">SUM(F83:H83)</f>
        <v>299912</v>
      </c>
      <c r="F83" s="2">
        <v>1272</v>
      </c>
      <c r="G83" s="40">
        <v>298640</v>
      </c>
      <c r="H83" s="41" t="s">
        <v>193</v>
      </c>
      <c r="I83" s="13">
        <f t="shared" ref="I83:I87" si="55">SUM(J83:L83)</f>
        <v>22528</v>
      </c>
      <c r="J83" s="40">
        <v>1697</v>
      </c>
      <c r="K83" s="2">
        <v>20831</v>
      </c>
      <c r="L83" s="44" t="s">
        <v>193</v>
      </c>
      <c r="M83" s="14" t="s">
        <v>86</v>
      </c>
      <c r="N83" s="15"/>
      <c r="O83" s="15"/>
    </row>
    <row r="84" spans="1:15" x14ac:dyDescent="0.3">
      <c r="A84" s="10" t="s">
        <v>157</v>
      </c>
      <c r="B84" s="55">
        <v>20</v>
      </c>
      <c r="C84" s="40">
        <v>3</v>
      </c>
      <c r="D84" s="1" t="s">
        <v>193</v>
      </c>
      <c r="E84" s="12">
        <f t="shared" si="54"/>
        <v>2445</v>
      </c>
      <c r="F84" s="2">
        <v>1420</v>
      </c>
      <c r="G84" s="40">
        <v>1025</v>
      </c>
      <c r="H84" s="41" t="s">
        <v>193</v>
      </c>
      <c r="I84" s="13">
        <f t="shared" si="55"/>
        <v>8371</v>
      </c>
      <c r="J84" s="40">
        <v>3060</v>
      </c>
      <c r="K84" s="2">
        <v>5311</v>
      </c>
      <c r="L84" s="44" t="s">
        <v>193</v>
      </c>
      <c r="M84" s="14" t="s">
        <v>87</v>
      </c>
      <c r="N84" s="15"/>
      <c r="O84" s="15"/>
    </row>
    <row r="85" spans="1:15" x14ac:dyDescent="0.3">
      <c r="A85" s="10" t="s">
        <v>158</v>
      </c>
      <c r="B85" s="55">
        <v>3</v>
      </c>
      <c r="C85" s="40">
        <v>9</v>
      </c>
      <c r="D85" s="1" t="s">
        <v>193</v>
      </c>
      <c r="E85" s="12">
        <f t="shared" si="54"/>
        <v>70950</v>
      </c>
      <c r="F85" s="2" t="s">
        <v>193</v>
      </c>
      <c r="G85" s="40">
        <v>70950</v>
      </c>
      <c r="H85" s="41" t="s">
        <v>193</v>
      </c>
      <c r="I85" s="13">
        <f t="shared" si="55"/>
        <v>9930</v>
      </c>
      <c r="J85" s="40" t="s">
        <v>193</v>
      </c>
      <c r="K85" s="2">
        <v>9930</v>
      </c>
      <c r="L85" s="44" t="s">
        <v>193</v>
      </c>
      <c r="M85" s="14" t="s">
        <v>88</v>
      </c>
      <c r="N85" s="15"/>
      <c r="O85" s="15"/>
    </row>
    <row r="86" spans="1:15" x14ac:dyDescent="0.3">
      <c r="A86" s="10" t="s">
        <v>159</v>
      </c>
      <c r="B86" s="55">
        <v>33</v>
      </c>
      <c r="C86" s="40">
        <v>2</v>
      </c>
      <c r="D86" s="1" t="s">
        <v>193</v>
      </c>
      <c r="E86" s="12">
        <f t="shared" si="54"/>
        <v>1098</v>
      </c>
      <c r="F86" s="2">
        <v>47</v>
      </c>
      <c r="G86" s="40">
        <v>1051</v>
      </c>
      <c r="H86" s="41" t="s">
        <v>193</v>
      </c>
      <c r="I86" s="13">
        <f t="shared" si="55"/>
        <v>3493</v>
      </c>
      <c r="J86" s="40">
        <v>99</v>
      </c>
      <c r="K86" s="2">
        <v>3394</v>
      </c>
      <c r="L86" s="44" t="s">
        <v>193</v>
      </c>
      <c r="M86" s="14" t="s">
        <v>89</v>
      </c>
      <c r="N86" s="15"/>
      <c r="O86" s="15"/>
    </row>
    <row r="87" spans="1:15" x14ac:dyDescent="0.3">
      <c r="A87" s="10" t="s">
        <v>160</v>
      </c>
      <c r="B87" s="55">
        <v>516</v>
      </c>
      <c r="C87" s="40">
        <v>7</v>
      </c>
      <c r="D87" s="1" t="s">
        <v>193</v>
      </c>
      <c r="E87" s="12">
        <f t="shared" si="54"/>
        <v>2038</v>
      </c>
      <c r="F87" s="2">
        <v>15</v>
      </c>
      <c r="G87" s="40">
        <v>1083</v>
      </c>
      <c r="H87" s="40">
        <v>940</v>
      </c>
      <c r="I87" s="13">
        <f t="shared" si="55"/>
        <v>15410</v>
      </c>
      <c r="J87" s="40" t="s">
        <v>193</v>
      </c>
      <c r="K87" s="2">
        <v>5715</v>
      </c>
      <c r="L87" s="44">
        <v>9695</v>
      </c>
      <c r="M87" s="14" t="s">
        <v>90</v>
      </c>
      <c r="N87" s="15"/>
      <c r="O87" s="15"/>
    </row>
    <row r="88" spans="1:15" x14ac:dyDescent="0.3">
      <c r="A88" s="64" t="s">
        <v>91</v>
      </c>
      <c r="B88" s="61">
        <f>SUM(B90:B102)</f>
        <v>4752</v>
      </c>
      <c r="C88" s="59">
        <f>SUM(C90:C102)</f>
        <v>38</v>
      </c>
      <c r="D88" s="66">
        <f t="shared" ref="D88" si="56">SUM(D90:D102)</f>
        <v>0</v>
      </c>
      <c r="E88" s="59">
        <f>SUM(E90:E102)</f>
        <v>125656</v>
      </c>
      <c r="F88" s="65">
        <f>SUM(F90:F102)</f>
        <v>22605</v>
      </c>
      <c r="G88" s="59">
        <f t="shared" ref="G88:I88" si="57">SUM(G90:G102)</f>
        <v>103051</v>
      </c>
      <c r="H88" s="65">
        <f t="shared" si="57"/>
        <v>0</v>
      </c>
      <c r="I88" s="59">
        <f t="shared" si="57"/>
        <v>146842</v>
      </c>
      <c r="J88" s="65">
        <f t="shared" ref="J88:L88" si="58">SUM(J90:J102)</f>
        <v>21055</v>
      </c>
      <c r="K88" s="59">
        <f t="shared" si="58"/>
        <v>125787</v>
      </c>
      <c r="L88" s="60">
        <f t="shared" si="58"/>
        <v>0</v>
      </c>
      <c r="M88" s="88" t="s">
        <v>92</v>
      </c>
      <c r="N88" s="88"/>
      <c r="O88" s="88"/>
    </row>
    <row r="89" spans="1:15" x14ac:dyDescent="0.3">
      <c r="A89" s="64"/>
      <c r="B89" s="61"/>
      <c r="C89" s="59"/>
      <c r="D89" s="66"/>
      <c r="E89" s="59"/>
      <c r="F89" s="65"/>
      <c r="G89" s="59"/>
      <c r="H89" s="65"/>
      <c r="I89" s="59"/>
      <c r="J89" s="65"/>
      <c r="K89" s="59"/>
      <c r="L89" s="60"/>
      <c r="M89" s="88"/>
      <c r="N89" s="88"/>
      <c r="O89" s="88"/>
    </row>
    <row r="90" spans="1:15" x14ac:dyDescent="0.3">
      <c r="A90" s="10" t="s">
        <v>161</v>
      </c>
      <c r="B90" s="55">
        <v>139</v>
      </c>
      <c r="C90" s="40">
        <v>3</v>
      </c>
      <c r="D90" s="1" t="s">
        <v>193</v>
      </c>
      <c r="E90" s="12">
        <f t="shared" ref="E90:E102" si="59">SUM(F90:H90)</f>
        <v>942</v>
      </c>
      <c r="F90" s="2">
        <v>774</v>
      </c>
      <c r="G90" s="40">
        <v>168</v>
      </c>
      <c r="H90" s="41" t="s">
        <v>193</v>
      </c>
      <c r="I90" s="13">
        <f t="shared" ref="I90:I102" si="60">SUM(J90:L90)</f>
        <v>795</v>
      </c>
      <c r="J90" s="40">
        <v>795</v>
      </c>
      <c r="K90" s="2" t="s">
        <v>193</v>
      </c>
      <c r="L90" s="44" t="s">
        <v>193</v>
      </c>
      <c r="M90" s="14" t="s">
        <v>93</v>
      </c>
      <c r="N90" s="15"/>
      <c r="O90" s="15"/>
    </row>
    <row r="91" spans="1:15" x14ac:dyDescent="0.3">
      <c r="A91" s="10" t="s">
        <v>162</v>
      </c>
      <c r="B91" s="55">
        <v>339</v>
      </c>
      <c r="C91" s="40">
        <v>3</v>
      </c>
      <c r="D91" s="1" t="s">
        <v>193</v>
      </c>
      <c r="E91" s="12">
        <f t="shared" si="59"/>
        <v>1677</v>
      </c>
      <c r="F91" s="2">
        <v>467</v>
      </c>
      <c r="G91" s="40">
        <v>1210</v>
      </c>
      <c r="H91" s="41" t="s">
        <v>193</v>
      </c>
      <c r="I91" s="13">
        <f t="shared" si="60"/>
        <v>1985</v>
      </c>
      <c r="J91" s="40">
        <v>539</v>
      </c>
      <c r="K91" s="2">
        <v>1446</v>
      </c>
      <c r="L91" s="44" t="s">
        <v>193</v>
      </c>
      <c r="M91" s="14" t="s">
        <v>94</v>
      </c>
      <c r="N91" s="15"/>
      <c r="O91" s="15"/>
    </row>
    <row r="92" spans="1:15" x14ac:dyDescent="0.3">
      <c r="A92" s="10" t="s">
        <v>163</v>
      </c>
      <c r="B92" s="55">
        <v>123</v>
      </c>
      <c r="C92" s="40">
        <v>3</v>
      </c>
      <c r="D92" s="1" t="s">
        <v>193</v>
      </c>
      <c r="E92" s="12">
        <f t="shared" si="59"/>
        <v>1531</v>
      </c>
      <c r="F92" s="2">
        <v>412</v>
      </c>
      <c r="G92" s="40">
        <v>1119</v>
      </c>
      <c r="H92" s="41" t="s">
        <v>193</v>
      </c>
      <c r="I92" s="13">
        <f t="shared" si="60"/>
        <v>5768</v>
      </c>
      <c r="J92" s="40">
        <v>1260</v>
      </c>
      <c r="K92" s="2">
        <v>4508</v>
      </c>
      <c r="L92" s="44" t="s">
        <v>193</v>
      </c>
      <c r="M92" s="14" t="s">
        <v>95</v>
      </c>
      <c r="N92" s="15"/>
      <c r="O92" s="15"/>
    </row>
    <row r="93" spans="1:15" x14ac:dyDescent="0.3">
      <c r="A93" s="10" t="s">
        <v>164</v>
      </c>
      <c r="B93" s="55">
        <v>214</v>
      </c>
      <c r="C93" s="40">
        <v>5</v>
      </c>
      <c r="D93" s="1" t="s">
        <v>193</v>
      </c>
      <c r="E93" s="12">
        <f t="shared" si="59"/>
        <v>6420</v>
      </c>
      <c r="F93" s="2">
        <v>1920</v>
      </c>
      <c r="G93" s="40">
        <v>4500</v>
      </c>
      <c r="H93" s="41" t="s">
        <v>193</v>
      </c>
      <c r="I93" s="13">
        <f t="shared" si="60"/>
        <v>16500</v>
      </c>
      <c r="J93" s="40">
        <v>3850</v>
      </c>
      <c r="K93" s="2">
        <v>12650</v>
      </c>
      <c r="L93" s="44" t="s">
        <v>193</v>
      </c>
      <c r="M93" s="14" t="s">
        <v>96</v>
      </c>
      <c r="N93" s="15"/>
      <c r="O93" s="15"/>
    </row>
    <row r="94" spans="1:15" x14ac:dyDescent="0.3">
      <c r="A94" s="10" t="s">
        <v>165</v>
      </c>
      <c r="B94" s="55" t="s">
        <v>193</v>
      </c>
      <c r="C94" s="40" t="s">
        <v>193</v>
      </c>
      <c r="D94" s="1" t="s">
        <v>193</v>
      </c>
      <c r="E94" s="12">
        <f t="shared" si="59"/>
        <v>6948</v>
      </c>
      <c r="F94" s="1" t="s">
        <v>193</v>
      </c>
      <c r="G94" s="40">
        <v>6948</v>
      </c>
      <c r="H94" s="41" t="s">
        <v>193</v>
      </c>
      <c r="I94" s="13">
        <f t="shared" si="60"/>
        <v>5205</v>
      </c>
      <c r="J94" s="40" t="s">
        <v>193</v>
      </c>
      <c r="K94" s="2">
        <v>5205</v>
      </c>
      <c r="L94" s="44" t="s">
        <v>193</v>
      </c>
      <c r="M94" s="14" t="s">
        <v>97</v>
      </c>
      <c r="N94" s="15"/>
      <c r="O94" s="15"/>
    </row>
    <row r="95" spans="1:15" x14ac:dyDescent="0.3">
      <c r="A95" s="10" t="s">
        <v>166</v>
      </c>
      <c r="B95" s="55">
        <v>68</v>
      </c>
      <c r="C95" s="40">
        <v>2</v>
      </c>
      <c r="D95" s="1" t="s">
        <v>193</v>
      </c>
      <c r="E95" s="12">
        <f t="shared" si="59"/>
        <v>10274</v>
      </c>
      <c r="F95" s="2">
        <v>8586</v>
      </c>
      <c r="G95" s="40">
        <v>1688</v>
      </c>
      <c r="H95" s="41" t="s">
        <v>193</v>
      </c>
      <c r="I95" s="13">
        <f t="shared" si="60"/>
        <v>14057</v>
      </c>
      <c r="J95" s="40">
        <v>4466</v>
      </c>
      <c r="K95" s="2">
        <v>9591</v>
      </c>
      <c r="L95" s="44" t="s">
        <v>193</v>
      </c>
      <c r="M95" s="14" t="s">
        <v>98</v>
      </c>
      <c r="N95" s="15"/>
      <c r="O95" s="15"/>
    </row>
    <row r="96" spans="1:15" x14ac:dyDescent="0.3">
      <c r="A96" s="10" t="s">
        <v>167</v>
      </c>
      <c r="B96" s="55">
        <v>146</v>
      </c>
      <c r="C96" s="40">
        <v>4</v>
      </c>
      <c r="D96" s="1" t="s">
        <v>193</v>
      </c>
      <c r="E96" s="12">
        <f t="shared" si="59"/>
        <v>11162</v>
      </c>
      <c r="F96" s="2">
        <v>843</v>
      </c>
      <c r="G96" s="40">
        <v>10319</v>
      </c>
      <c r="H96" s="41" t="s">
        <v>193</v>
      </c>
      <c r="I96" s="13">
        <f t="shared" si="60"/>
        <v>11308</v>
      </c>
      <c r="J96" s="40">
        <v>957</v>
      </c>
      <c r="K96" s="2">
        <v>10351</v>
      </c>
      <c r="L96" s="44" t="s">
        <v>193</v>
      </c>
      <c r="M96" s="14" t="s">
        <v>99</v>
      </c>
      <c r="N96" s="15"/>
      <c r="O96" s="15"/>
    </row>
    <row r="97" spans="1:15" x14ac:dyDescent="0.3">
      <c r="A97" s="10" t="s">
        <v>168</v>
      </c>
      <c r="B97" s="55">
        <v>62</v>
      </c>
      <c r="C97" s="40">
        <v>2</v>
      </c>
      <c r="D97" s="1" t="s">
        <v>193</v>
      </c>
      <c r="E97" s="12">
        <f t="shared" si="59"/>
        <v>3463</v>
      </c>
      <c r="F97" s="2">
        <v>523</v>
      </c>
      <c r="G97" s="40">
        <v>2940</v>
      </c>
      <c r="H97" s="41" t="s">
        <v>193</v>
      </c>
      <c r="I97" s="13">
        <f t="shared" si="60"/>
        <v>6456</v>
      </c>
      <c r="J97" s="40">
        <v>691</v>
      </c>
      <c r="K97" s="2">
        <v>5765</v>
      </c>
      <c r="L97" s="44" t="s">
        <v>193</v>
      </c>
      <c r="M97" s="14" t="s">
        <v>100</v>
      </c>
      <c r="N97" s="15"/>
      <c r="O97" s="15"/>
    </row>
    <row r="98" spans="1:15" x14ac:dyDescent="0.3">
      <c r="A98" s="10" t="s">
        <v>169</v>
      </c>
      <c r="B98" s="55">
        <v>156</v>
      </c>
      <c r="C98" s="40">
        <v>1</v>
      </c>
      <c r="D98" s="1" t="s">
        <v>193</v>
      </c>
      <c r="E98" s="12">
        <f t="shared" si="59"/>
        <v>2282</v>
      </c>
      <c r="F98" s="2">
        <v>1637</v>
      </c>
      <c r="G98" s="40">
        <v>645</v>
      </c>
      <c r="H98" s="41" t="s">
        <v>193</v>
      </c>
      <c r="I98" s="13">
        <f t="shared" si="60"/>
        <v>683</v>
      </c>
      <c r="J98" s="40">
        <v>683</v>
      </c>
      <c r="K98" s="2" t="s">
        <v>193</v>
      </c>
      <c r="L98" s="44" t="s">
        <v>193</v>
      </c>
      <c r="M98" s="14" t="s">
        <v>101</v>
      </c>
      <c r="N98" s="15"/>
      <c r="O98" s="15"/>
    </row>
    <row r="99" spans="1:15" x14ac:dyDescent="0.3">
      <c r="A99" s="10" t="s">
        <v>170</v>
      </c>
      <c r="B99" s="55">
        <v>2858</v>
      </c>
      <c r="C99" s="40">
        <v>4</v>
      </c>
      <c r="D99" s="1" t="s">
        <v>193</v>
      </c>
      <c r="E99" s="12">
        <f t="shared" si="59"/>
        <v>53190</v>
      </c>
      <c r="F99" s="2">
        <v>1166</v>
      </c>
      <c r="G99" s="40">
        <v>52024</v>
      </c>
      <c r="H99" s="41" t="s">
        <v>193</v>
      </c>
      <c r="I99" s="13">
        <f t="shared" si="60"/>
        <v>49675</v>
      </c>
      <c r="J99" s="40">
        <v>3544</v>
      </c>
      <c r="K99" s="2">
        <v>46131</v>
      </c>
      <c r="L99" s="44" t="s">
        <v>193</v>
      </c>
      <c r="M99" s="14" t="s">
        <v>102</v>
      </c>
      <c r="N99" s="15"/>
      <c r="O99" s="15"/>
    </row>
    <row r="100" spans="1:15" x14ac:dyDescent="0.3">
      <c r="A100" s="10" t="s">
        <v>171</v>
      </c>
      <c r="B100" s="55">
        <v>81</v>
      </c>
      <c r="C100" s="40">
        <v>2</v>
      </c>
      <c r="D100" s="1" t="s">
        <v>193</v>
      </c>
      <c r="E100" s="12">
        <f t="shared" si="59"/>
        <v>1658</v>
      </c>
      <c r="F100" s="2">
        <v>204</v>
      </c>
      <c r="G100" s="40">
        <v>1454</v>
      </c>
      <c r="H100" s="41" t="s">
        <v>193</v>
      </c>
      <c r="I100" s="13">
        <f t="shared" si="60"/>
        <v>1267</v>
      </c>
      <c r="J100" s="40">
        <v>209</v>
      </c>
      <c r="K100" s="2">
        <v>1058</v>
      </c>
      <c r="L100" s="44" t="s">
        <v>193</v>
      </c>
      <c r="M100" s="14" t="s">
        <v>103</v>
      </c>
      <c r="N100" s="15"/>
      <c r="O100" s="15"/>
    </row>
    <row r="101" spans="1:15" x14ac:dyDescent="0.3">
      <c r="A101" s="10" t="s">
        <v>172</v>
      </c>
      <c r="B101" s="55">
        <v>444</v>
      </c>
      <c r="C101" s="40">
        <v>7</v>
      </c>
      <c r="D101" s="1" t="s">
        <v>193</v>
      </c>
      <c r="E101" s="12">
        <f t="shared" si="59"/>
        <v>18305</v>
      </c>
      <c r="F101" s="2" t="s">
        <v>193</v>
      </c>
      <c r="G101" s="40">
        <v>18305</v>
      </c>
      <c r="H101" s="41" t="s">
        <v>193</v>
      </c>
      <c r="I101" s="13">
        <f t="shared" si="60"/>
        <v>29082</v>
      </c>
      <c r="J101" s="40" t="s">
        <v>193</v>
      </c>
      <c r="K101" s="2">
        <v>29082</v>
      </c>
      <c r="L101" s="44" t="s">
        <v>193</v>
      </c>
      <c r="M101" s="14" t="s">
        <v>104</v>
      </c>
      <c r="N101" s="15"/>
      <c r="O101" s="15"/>
    </row>
    <row r="102" spans="1:15" x14ac:dyDescent="0.3">
      <c r="A102" s="10" t="s">
        <v>173</v>
      </c>
      <c r="B102" s="55">
        <v>122</v>
      </c>
      <c r="C102" s="40">
        <v>2</v>
      </c>
      <c r="D102" s="1" t="s">
        <v>193</v>
      </c>
      <c r="E102" s="12">
        <f t="shared" si="59"/>
        <v>7804</v>
      </c>
      <c r="F102" s="1">
        <v>6073</v>
      </c>
      <c r="G102" s="40">
        <v>1731</v>
      </c>
      <c r="H102" s="41" t="s">
        <v>193</v>
      </c>
      <c r="I102" s="13">
        <f t="shared" si="60"/>
        <v>4061</v>
      </c>
      <c r="J102" s="40">
        <v>4061</v>
      </c>
      <c r="K102" s="2" t="s">
        <v>193</v>
      </c>
      <c r="L102" s="44" t="s">
        <v>193</v>
      </c>
      <c r="M102" s="14" t="s">
        <v>105</v>
      </c>
      <c r="N102" s="15"/>
      <c r="O102" s="15"/>
    </row>
    <row r="103" spans="1:15" x14ac:dyDescent="0.3">
      <c r="A103" s="64" t="s">
        <v>106</v>
      </c>
      <c r="B103" s="61">
        <f>SUM(B105:B108)</f>
        <v>364</v>
      </c>
      <c r="C103" s="59">
        <f>SUM(C105:C108)</f>
        <v>33</v>
      </c>
      <c r="D103" s="66">
        <f t="shared" ref="D103" si="61">SUM(D105:D108)</f>
        <v>0</v>
      </c>
      <c r="E103" s="59">
        <f>SUM(E105:E108)</f>
        <v>1567181</v>
      </c>
      <c r="F103" s="65">
        <f>SUM(F105:F108)</f>
        <v>15548</v>
      </c>
      <c r="G103" s="59">
        <f t="shared" ref="G103:I103" si="62">SUM(G105:G108)</f>
        <v>1490862</v>
      </c>
      <c r="H103" s="65">
        <f t="shared" si="62"/>
        <v>60771</v>
      </c>
      <c r="I103" s="59">
        <f t="shared" si="62"/>
        <v>378809</v>
      </c>
      <c r="J103" s="65">
        <f t="shared" ref="J103:L103" si="63">SUM(J105:J108)</f>
        <v>17688</v>
      </c>
      <c r="K103" s="59">
        <f t="shared" si="63"/>
        <v>352724</v>
      </c>
      <c r="L103" s="60">
        <f t="shared" si="63"/>
        <v>8397</v>
      </c>
      <c r="M103" s="88" t="s">
        <v>107</v>
      </c>
      <c r="N103" s="88"/>
      <c r="O103" s="88"/>
    </row>
    <row r="104" spans="1:15" x14ac:dyDescent="0.3">
      <c r="A104" s="64"/>
      <c r="B104" s="61"/>
      <c r="C104" s="59"/>
      <c r="D104" s="66"/>
      <c r="E104" s="59"/>
      <c r="F104" s="65"/>
      <c r="G104" s="59"/>
      <c r="H104" s="65"/>
      <c r="I104" s="59"/>
      <c r="J104" s="65"/>
      <c r="K104" s="59"/>
      <c r="L104" s="60"/>
      <c r="M104" s="88"/>
      <c r="N104" s="88"/>
      <c r="O104" s="88"/>
    </row>
    <row r="105" spans="1:15" x14ac:dyDescent="0.3">
      <c r="A105" s="10" t="s">
        <v>174</v>
      </c>
      <c r="B105" s="55">
        <v>121</v>
      </c>
      <c r="C105" s="40">
        <v>15</v>
      </c>
      <c r="D105" s="1" t="s">
        <v>193</v>
      </c>
      <c r="E105" s="12">
        <f t="shared" ref="E105:E108" si="64">SUM(F105:H105)</f>
        <v>568793</v>
      </c>
      <c r="F105" s="2">
        <v>8284</v>
      </c>
      <c r="G105" s="40">
        <v>560509</v>
      </c>
      <c r="H105" s="40" t="s">
        <v>193</v>
      </c>
      <c r="I105" s="13">
        <f t="shared" ref="I105:I108" si="65">SUM(J105:L105)</f>
        <v>146840</v>
      </c>
      <c r="J105" s="40">
        <v>11657</v>
      </c>
      <c r="K105" s="2">
        <v>135183</v>
      </c>
      <c r="L105" s="44" t="s">
        <v>193</v>
      </c>
      <c r="M105" s="14" t="s">
        <v>108</v>
      </c>
      <c r="N105" s="15"/>
      <c r="O105" s="15"/>
    </row>
    <row r="106" spans="1:15" x14ac:dyDescent="0.3">
      <c r="A106" s="10" t="s">
        <v>175</v>
      </c>
      <c r="B106" s="56" t="s">
        <v>193</v>
      </c>
      <c r="C106" s="41" t="s">
        <v>193</v>
      </c>
      <c r="D106" s="1" t="s">
        <v>193</v>
      </c>
      <c r="E106" s="12">
        <f t="shared" si="64"/>
        <v>37460</v>
      </c>
      <c r="F106" s="2">
        <v>1033</v>
      </c>
      <c r="G106" s="41">
        <v>29606</v>
      </c>
      <c r="H106" s="40">
        <v>6821</v>
      </c>
      <c r="I106" s="13">
        <f t="shared" si="65"/>
        <v>13026</v>
      </c>
      <c r="J106" s="41">
        <v>1024</v>
      </c>
      <c r="K106" s="2">
        <v>7750</v>
      </c>
      <c r="L106" s="45">
        <v>4252</v>
      </c>
      <c r="M106" s="14" t="s">
        <v>109</v>
      </c>
      <c r="N106" s="15"/>
      <c r="O106" s="15"/>
    </row>
    <row r="107" spans="1:15" x14ac:dyDescent="0.3">
      <c r="A107" s="10" t="s">
        <v>176</v>
      </c>
      <c r="B107" s="55">
        <v>163</v>
      </c>
      <c r="C107" s="40">
        <v>8</v>
      </c>
      <c r="D107" s="1" t="s">
        <v>193</v>
      </c>
      <c r="E107" s="12">
        <f t="shared" si="64"/>
        <v>585710</v>
      </c>
      <c r="F107" s="2">
        <v>4340</v>
      </c>
      <c r="G107" s="40">
        <v>527420</v>
      </c>
      <c r="H107" s="40">
        <v>53950</v>
      </c>
      <c r="I107" s="13">
        <f t="shared" si="65"/>
        <v>108857</v>
      </c>
      <c r="J107" s="40">
        <v>3325</v>
      </c>
      <c r="K107" s="2">
        <v>101387</v>
      </c>
      <c r="L107" s="44">
        <v>4145</v>
      </c>
      <c r="M107" s="14" t="s">
        <v>110</v>
      </c>
      <c r="N107" s="15"/>
      <c r="O107" s="15"/>
    </row>
    <row r="108" spans="1:15" ht="15" thickBot="1" x14ac:dyDescent="0.35">
      <c r="A108" s="23" t="s">
        <v>177</v>
      </c>
      <c r="B108" s="57">
        <v>80</v>
      </c>
      <c r="C108" s="43">
        <v>10</v>
      </c>
      <c r="D108" s="39" t="s">
        <v>193</v>
      </c>
      <c r="E108" s="24">
        <f t="shared" si="64"/>
        <v>375218</v>
      </c>
      <c r="F108" s="42">
        <v>1891</v>
      </c>
      <c r="G108" s="43">
        <v>373327</v>
      </c>
      <c r="H108" s="43" t="s">
        <v>193</v>
      </c>
      <c r="I108" s="25">
        <f t="shared" si="65"/>
        <v>110086</v>
      </c>
      <c r="J108" s="43">
        <v>1682</v>
      </c>
      <c r="K108" s="42">
        <v>108404</v>
      </c>
      <c r="L108" s="46" t="s">
        <v>193</v>
      </c>
      <c r="M108" s="26" t="s">
        <v>111</v>
      </c>
      <c r="N108" s="27"/>
      <c r="O108" s="27"/>
    </row>
    <row r="109" spans="1:15" x14ac:dyDescent="0.3">
      <c r="A109" s="28"/>
      <c r="B109" s="29"/>
      <c r="C109" s="29"/>
      <c r="D109" s="29"/>
      <c r="N109" s="80"/>
      <c r="O109" s="80"/>
    </row>
    <row r="110" spans="1:15" x14ac:dyDescent="0.3">
      <c r="A110" s="29"/>
      <c r="B110" s="29"/>
      <c r="C110" s="29"/>
      <c r="D110" s="29"/>
      <c r="M110" s="29"/>
      <c r="N110" s="29"/>
      <c r="O110" s="29"/>
    </row>
    <row r="111" spans="1:15" x14ac:dyDescent="0.3">
      <c r="A111" s="30"/>
      <c r="B111" s="30"/>
      <c r="C111" s="30"/>
      <c r="D111" s="30"/>
      <c r="E111" s="31"/>
      <c r="F111" s="31"/>
      <c r="G111" s="31"/>
      <c r="H111" s="31"/>
      <c r="M111" s="31"/>
      <c r="N111" s="31"/>
      <c r="O111" s="31"/>
    </row>
    <row r="112" spans="1:15" x14ac:dyDescent="0.3">
      <c r="A112" s="30"/>
      <c r="B112" s="30"/>
      <c r="C112" s="30"/>
      <c r="D112" s="30"/>
      <c r="E112" s="31"/>
      <c r="F112" s="31"/>
      <c r="G112" s="31"/>
      <c r="H112" s="31"/>
      <c r="M112" s="31"/>
      <c r="N112" s="31"/>
      <c r="O112" s="31"/>
    </row>
    <row r="113" spans="1:15" x14ac:dyDescent="0.3">
      <c r="A113" s="81"/>
      <c r="B113" s="81"/>
      <c r="C113" s="81"/>
      <c r="D113" s="81"/>
      <c r="E113" s="81"/>
      <c r="F113" s="81"/>
      <c r="G113" s="81"/>
      <c r="H113" s="81"/>
      <c r="K113" s="1" t="s">
        <v>191</v>
      </c>
      <c r="M113" s="81"/>
      <c r="N113" s="81"/>
      <c r="O113" s="81"/>
    </row>
    <row r="114" spans="1:15" x14ac:dyDescent="0.3">
      <c r="A114" s="81"/>
      <c r="B114" s="81"/>
      <c r="C114" s="81"/>
      <c r="D114" s="81"/>
      <c r="E114" s="81"/>
      <c r="F114" s="81"/>
      <c r="G114" s="81"/>
      <c r="H114" s="81"/>
      <c r="M114" s="81"/>
      <c r="N114" s="81"/>
      <c r="O114" s="81"/>
    </row>
    <row r="123" spans="1:15" x14ac:dyDescent="0.3">
      <c r="A123" s="32"/>
      <c r="B123" s="32"/>
      <c r="C123" s="32"/>
      <c r="D123" s="32"/>
    </row>
    <row r="124" spans="1:15" x14ac:dyDescent="0.3">
      <c r="A124" s="75"/>
      <c r="B124" s="75"/>
      <c r="C124" s="75"/>
      <c r="D124" s="75"/>
      <c r="E124" s="75"/>
      <c r="F124" s="75"/>
      <c r="G124" s="75"/>
      <c r="H124" s="75"/>
      <c r="I124" s="75"/>
      <c r="J124" s="76"/>
      <c r="K124" s="76"/>
      <c r="L124" s="76"/>
    </row>
    <row r="125" spans="1:15" x14ac:dyDescent="0.3">
      <c r="A125" s="75"/>
      <c r="B125" s="75"/>
      <c r="C125" s="75"/>
      <c r="D125" s="75"/>
      <c r="E125" s="75"/>
      <c r="F125" s="75"/>
      <c r="G125" s="75"/>
      <c r="H125" s="75"/>
      <c r="I125" s="75"/>
      <c r="J125" s="76"/>
      <c r="K125" s="76"/>
      <c r="L125" s="76"/>
    </row>
    <row r="126" spans="1:15" x14ac:dyDescent="0.3">
      <c r="A126" s="75"/>
      <c r="B126" s="75"/>
      <c r="C126" s="75"/>
      <c r="D126" s="75"/>
      <c r="E126" s="75"/>
      <c r="F126" s="75"/>
      <c r="G126" s="75"/>
      <c r="H126" s="75"/>
      <c r="I126" s="75"/>
      <c r="J126" s="76"/>
      <c r="K126" s="76"/>
      <c r="L126" s="76"/>
    </row>
    <row r="127" spans="1:15" x14ac:dyDescent="0.3">
      <c r="A127" s="32"/>
      <c r="B127" s="32"/>
      <c r="C127" s="32"/>
      <c r="D127" s="32"/>
      <c r="I127" s="77"/>
      <c r="J127" s="77"/>
      <c r="K127" s="77"/>
      <c r="L127" s="77"/>
    </row>
    <row r="128" spans="1:15" x14ac:dyDescent="0.3">
      <c r="A128" s="74"/>
      <c r="B128" s="33"/>
      <c r="C128" s="33"/>
      <c r="D128" s="33"/>
      <c r="E128" s="74"/>
      <c r="F128" s="74"/>
      <c r="G128" s="74"/>
      <c r="H128" s="74"/>
      <c r="I128" s="74"/>
      <c r="J128" s="74"/>
      <c r="K128" s="74"/>
      <c r="L128" s="74"/>
    </row>
    <row r="129" spans="1:12" x14ac:dyDescent="0.3">
      <c r="A129" s="74"/>
      <c r="B129" s="33"/>
      <c r="C129" s="33"/>
      <c r="D129" s="33"/>
      <c r="E129" s="74"/>
      <c r="F129" s="74"/>
      <c r="G129" s="74"/>
      <c r="H129" s="74"/>
      <c r="I129" s="74"/>
      <c r="J129" s="74"/>
      <c r="K129" s="74"/>
      <c r="L129" s="74"/>
    </row>
    <row r="130" spans="1:12" x14ac:dyDescent="0.3">
      <c r="A130" s="74"/>
      <c r="B130" s="33"/>
      <c r="C130" s="33"/>
      <c r="D130" s="33"/>
      <c r="E130" s="74"/>
      <c r="F130" s="74"/>
      <c r="G130" s="74"/>
      <c r="H130" s="74"/>
      <c r="I130" s="74"/>
      <c r="J130" s="74"/>
      <c r="K130" s="74"/>
      <c r="L130" s="74"/>
    </row>
    <row r="131" spans="1:12" x14ac:dyDescent="0.3">
      <c r="A131" s="74"/>
      <c r="B131" s="33"/>
      <c r="C131" s="33"/>
      <c r="D131" s="33"/>
      <c r="E131" s="34"/>
      <c r="F131" s="34"/>
      <c r="G131" s="34"/>
      <c r="H131" s="34"/>
      <c r="I131" s="34"/>
      <c r="J131" s="34"/>
      <c r="K131" s="34"/>
      <c r="L131" s="34"/>
    </row>
    <row r="132" spans="1:12" x14ac:dyDescent="0.3">
      <c r="A132" s="35"/>
      <c r="B132" s="35"/>
      <c r="C132" s="35"/>
      <c r="D132" s="35"/>
    </row>
    <row r="133" spans="1:12" x14ac:dyDescent="0.3">
      <c r="A133" s="36"/>
      <c r="B133" s="36"/>
      <c r="C133" s="36"/>
      <c r="D133" s="36"/>
    </row>
    <row r="134" spans="1:12" x14ac:dyDescent="0.3">
      <c r="A134" s="79"/>
      <c r="B134" s="37"/>
      <c r="C134" s="37"/>
      <c r="D134" s="37"/>
      <c r="E134" s="78"/>
      <c r="F134" s="78"/>
      <c r="G134" s="78"/>
      <c r="H134" s="78"/>
      <c r="I134" s="78"/>
      <c r="J134" s="78"/>
      <c r="K134" s="78"/>
      <c r="L134" s="78"/>
    </row>
    <row r="135" spans="1:12" x14ac:dyDescent="0.3">
      <c r="A135" s="79"/>
      <c r="B135" s="37"/>
      <c r="C135" s="37"/>
      <c r="D135" s="37"/>
      <c r="E135" s="78"/>
      <c r="F135" s="78"/>
      <c r="G135" s="78"/>
      <c r="H135" s="78"/>
      <c r="I135" s="78"/>
      <c r="J135" s="78"/>
      <c r="K135" s="78"/>
      <c r="L135" s="78"/>
    </row>
    <row r="136" spans="1:12" x14ac:dyDescent="0.3">
      <c r="A136" s="79"/>
      <c r="B136" s="37"/>
      <c r="C136" s="37"/>
      <c r="D136" s="37"/>
      <c r="E136" s="78"/>
      <c r="F136" s="78"/>
      <c r="G136" s="78"/>
      <c r="H136" s="78"/>
      <c r="I136" s="78"/>
      <c r="J136" s="78"/>
      <c r="K136" s="78"/>
      <c r="L136" s="78"/>
    </row>
    <row r="137" spans="1:12" x14ac:dyDescent="0.3">
      <c r="A137" s="36"/>
      <c r="B137" s="36"/>
      <c r="C137" s="36"/>
      <c r="D137" s="36"/>
      <c r="I137" s="9"/>
      <c r="J137" s="9"/>
    </row>
    <row r="138" spans="1:12" x14ac:dyDescent="0.3">
      <c r="A138" s="36"/>
      <c r="B138" s="36"/>
      <c r="C138" s="36"/>
      <c r="D138" s="36"/>
      <c r="I138" s="9"/>
      <c r="J138" s="9"/>
    </row>
    <row r="139" spans="1:12" x14ac:dyDescent="0.3">
      <c r="A139" s="36"/>
      <c r="B139" s="36"/>
      <c r="C139" s="36"/>
      <c r="D139" s="36"/>
      <c r="I139" s="9"/>
      <c r="J139" s="9"/>
    </row>
    <row r="140" spans="1:12" x14ac:dyDescent="0.3">
      <c r="A140" s="36"/>
      <c r="B140" s="36"/>
      <c r="C140" s="36"/>
      <c r="D140" s="36"/>
      <c r="I140" s="9"/>
      <c r="J140" s="9"/>
    </row>
    <row r="141" spans="1:12" x14ac:dyDescent="0.3">
      <c r="A141" s="36"/>
      <c r="B141" s="36"/>
      <c r="C141" s="36"/>
      <c r="D141" s="36"/>
      <c r="I141" s="9"/>
      <c r="J141" s="9"/>
    </row>
    <row r="142" spans="1:12" x14ac:dyDescent="0.3">
      <c r="A142" s="36"/>
      <c r="B142" s="36"/>
      <c r="C142" s="36"/>
      <c r="D142" s="36"/>
      <c r="I142" s="9"/>
      <c r="J142" s="9"/>
    </row>
    <row r="143" spans="1:12" x14ac:dyDescent="0.3">
      <c r="A143" s="79"/>
      <c r="B143" s="37"/>
      <c r="C143" s="37"/>
      <c r="D143" s="37"/>
    </row>
    <row r="144" spans="1:12" x14ac:dyDescent="0.3">
      <c r="A144" s="79"/>
      <c r="B144" s="37"/>
      <c r="C144" s="37"/>
      <c r="D144" s="37"/>
    </row>
    <row r="145" spans="1:10" x14ac:dyDescent="0.3">
      <c r="A145" s="36"/>
      <c r="B145" s="36"/>
      <c r="C145" s="36"/>
      <c r="D145" s="36"/>
      <c r="I145" s="9"/>
      <c r="J145" s="9"/>
    </row>
    <row r="146" spans="1:10" x14ac:dyDescent="0.3">
      <c r="A146" s="36"/>
      <c r="B146" s="36"/>
      <c r="C146" s="36"/>
      <c r="D146" s="36"/>
      <c r="I146" s="9"/>
      <c r="J146" s="9"/>
    </row>
    <row r="147" spans="1:10" x14ac:dyDescent="0.3">
      <c r="A147" s="36"/>
      <c r="B147" s="36"/>
      <c r="C147" s="36"/>
      <c r="D147" s="36"/>
      <c r="I147" s="9"/>
      <c r="J147" s="9"/>
    </row>
    <row r="148" spans="1:10" x14ac:dyDescent="0.3">
      <c r="A148" s="36"/>
      <c r="B148" s="36"/>
      <c r="C148" s="36"/>
      <c r="D148" s="36"/>
      <c r="I148" s="9"/>
      <c r="J148" s="9"/>
    </row>
    <row r="149" spans="1:10" x14ac:dyDescent="0.3">
      <c r="A149" s="36"/>
      <c r="B149" s="36"/>
      <c r="C149" s="36"/>
      <c r="D149" s="36"/>
      <c r="I149" s="9"/>
      <c r="J149" s="9"/>
    </row>
    <row r="150" spans="1:10" x14ac:dyDescent="0.3">
      <c r="A150" s="36"/>
      <c r="B150" s="36"/>
      <c r="C150" s="36"/>
      <c r="D150" s="36"/>
      <c r="I150" s="9"/>
      <c r="J150" s="9"/>
    </row>
    <row r="151" spans="1:10" x14ac:dyDescent="0.3">
      <c r="A151" s="36"/>
      <c r="B151" s="36"/>
      <c r="C151" s="36"/>
      <c r="D151" s="36"/>
      <c r="I151" s="9"/>
      <c r="J151" s="9"/>
    </row>
    <row r="152" spans="1:10" x14ac:dyDescent="0.3">
      <c r="A152" s="36"/>
      <c r="B152" s="36"/>
      <c r="C152" s="36"/>
      <c r="D152" s="36"/>
      <c r="I152" s="9"/>
      <c r="J152" s="9"/>
    </row>
    <row r="153" spans="1:10" x14ac:dyDescent="0.3">
      <c r="A153" s="36"/>
      <c r="B153" s="36"/>
      <c r="C153" s="36"/>
      <c r="D153" s="36"/>
      <c r="I153" s="9"/>
      <c r="J153" s="9"/>
    </row>
    <row r="154" spans="1:10" x14ac:dyDescent="0.3">
      <c r="A154" s="36"/>
      <c r="B154" s="36"/>
      <c r="C154" s="36"/>
      <c r="D154" s="36"/>
      <c r="I154" s="9"/>
      <c r="J154" s="9"/>
    </row>
    <row r="155" spans="1:10" x14ac:dyDescent="0.3">
      <c r="A155" s="36"/>
      <c r="B155" s="36"/>
      <c r="C155" s="36"/>
      <c r="D155" s="36"/>
      <c r="I155" s="9"/>
      <c r="J155" s="9"/>
    </row>
    <row r="156" spans="1:10" x14ac:dyDescent="0.3">
      <c r="A156" s="73"/>
      <c r="B156" s="38"/>
      <c r="C156" s="38"/>
      <c r="D156" s="38"/>
    </row>
    <row r="157" spans="1:10" x14ac:dyDescent="0.3">
      <c r="A157" s="73"/>
      <c r="B157" s="38"/>
      <c r="C157" s="38"/>
      <c r="D157" s="38"/>
    </row>
    <row r="158" spans="1:10" x14ac:dyDescent="0.3">
      <c r="A158" s="36"/>
      <c r="B158" s="36"/>
      <c r="C158" s="36"/>
      <c r="D158" s="36"/>
      <c r="I158" s="9"/>
      <c r="J158" s="9"/>
    </row>
    <row r="159" spans="1:10" x14ac:dyDescent="0.3">
      <c r="A159" s="36"/>
      <c r="B159" s="36"/>
      <c r="C159" s="36"/>
      <c r="D159" s="36"/>
      <c r="I159" s="9"/>
      <c r="J159" s="9"/>
    </row>
    <row r="160" spans="1:10" x14ac:dyDescent="0.3">
      <c r="A160" s="36"/>
      <c r="B160" s="36"/>
      <c r="C160" s="36"/>
      <c r="D160" s="36"/>
      <c r="I160" s="9"/>
      <c r="J160" s="9"/>
    </row>
    <row r="161" spans="1:10" x14ac:dyDescent="0.3">
      <c r="A161" s="36"/>
      <c r="B161" s="36"/>
      <c r="C161" s="36"/>
      <c r="D161" s="36"/>
      <c r="I161" s="9"/>
      <c r="J161" s="9"/>
    </row>
    <row r="162" spans="1:10" x14ac:dyDescent="0.3">
      <c r="A162" s="73"/>
      <c r="B162" s="38"/>
      <c r="C162" s="38"/>
      <c r="D162" s="38"/>
    </row>
    <row r="163" spans="1:10" x14ac:dyDescent="0.3">
      <c r="A163" s="73"/>
      <c r="B163" s="38"/>
      <c r="C163" s="38"/>
      <c r="D163" s="38"/>
    </row>
    <row r="164" spans="1:10" x14ac:dyDescent="0.3">
      <c r="A164" s="36"/>
      <c r="B164" s="36"/>
      <c r="C164" s="36"/>
      <c r="D164" s="36"/>
      <c r="I164" s="9"/>
      <c r="J164" s="9"/>
    </row>
    <row r="165" spans="1:10" x14ac:dyDescent="0.3">
      <c r="A165" s="36"/>
      <c r="B165" s="36"/>
      <c r="C165" s="36"/>
      <c r="D165" s="36"/>
      <c r="I165" s="9"/>
      <c r="J165" s="9"/>
    </row>
    <row r="166" spans="1:10" x14ac:dyDescent="0.3">
      <c r="A166" s="36"/>
      <c r="B166" s="36"/>
      <c r="C166" s="36"/>
      <c r="D166" s="36"/>
      <c r="I166" s="9"/>
      <c r="J166" s="9"/>
    </row>
    <row r="167" spans="1:10" x14ac:dyDescent="0.3">
      <c r="A167" s="36"/>
      <c r="B167" s="36"/>
      <c r="C167" s="36"/>
      <c r="D167" s="36"/>
      <c r="I167" s="9"/>
      <c r="J167" s="9"/>
    </row>
    <row r="168" spans="1:10" x14ac:dyDescent="0.3">
      <c r="A168" s="36"/>
      <c r="B168" s="36"/>
      <c r="C168" s="36"/>
      <c r="D168" s="36"/>
      <c r="I168" s="9"/>
      <c r="J168" s="9"/>
    </row>
    <row r="169" spans="1:10" x14ac:dyDescent="0.3">
      <c r="A169" s="73"/>
      <c r="B169" s="38"/>
      <c r="C169" s="38"/>
      <c r="D169" s="38"/>
    </row>
    <row r="170" spans="1:10" x14ac:dyDescent="0.3">
      <c r="A170" s="73"/>
      <c r="B170" s="38"/>
      <c r="C170" s="38"/>
      <c r="D170" s="38"/>
    </row>
    <row r="171" spans="1:10" x14ac:dyDescent="0.3">
      <c r="A171" s="36"/>
      <c r="B171" s="36"/>
      <c r="C171" s="36"/>
      <c r="D171" s="36"/>
      <c r="I171" s="9"/>
      <c r="J171" s="9"/>
    </row>
    <row r="172" spans="1:10" x14ac:dyDescent="0.3">
      <c r="A172" s="36"/>
      <c r="B172" s="36"/>
      <c r="C172" s="36"/>
      <c r="D172" s="36"/>
      <c r="I172" s="9"/>
      <c r="J172" s="9"/>
    </row>
    <row r="173" spans="1:10" x14ac:dyDescent="0.3">
      <c r="A173" s="36"/>
      <c r="B173" s="36"/>
      <c r="C173" s="36"/>
      <c r="D173" s="36"/>
      <c r="I173" s="9"/>
      <c r="J173" s="9"/>
    </row>
    <row r="174" spans="1:10" x14ac:dyDescent="0.3">
      <c r="A174" s="36"/>
      <c r="B174" s="36"/>
      <c r="C174" s="36"/>
      <c r="D174" s="36"/>
      <c r="I174" s="9"/>
      <c r="J174" s="9"/>
    </row>
    <row r="175" spans="1:10" x14ac:dyDescent="0.3">
      <c r="A175" s="36"/>
      <c r="B175" s="36"/>
      <c r="C175" s="36"/>
      <c r="D175" s="36"/>
      <c r="I175" s="9"/>
      <c r="J175" s="9"/>
    </row>
    <row r="176" spans="1:10" x14ac:dyDescent="0.3">
      <c r="A176" s="73"/>
      <c r="B176" s="38"/>
      <c r="C176" s="38"/>
      <c r="D176" s="38"/>
    </row>
    <row r="177" spans="1:10" x14ac:dyDescent="0.3">
      <c r="A177" s="73"/>
      <c r="B177" s="38"/>
      <c r="C177" s="38"/>
      <c r="D177" s="38"/>
    </row>
    <row r="178" spans="1:10" x14ac:dyDescent="0.3">
      <c r="A178" s="36"/>
      <c r="B178" s="36"/>
      <c r="C178" s="36"/>
      <c r="D178" s="36"/>
      <c r="I178" s="9"/>
      <c r="J178" s="9"/>
    </row>
    <row r="179" spans="1:10" x14ac:dyDescent="0.3">
      <c r="A179" s="36"/>
      <c r="B179" s="36"/>
      <c r="C179" s="36"/>
      <c r="D179" s="36"/>
      <c r="I179" s="9"/>
      <c r="J179" s="9"/>
    </row>
    <row r="180" spans="1:10" x14ac:dyDescent="0.3">
      <c r="A180" s="36"/>
      <c r="B180" s="36"/>
      <c r="C180" s="36"/>
      <c r="D180" s="36"/>
      <c r="I180" s="9"/>
      <c r="J180" s="9"/>
    </row>
    <row r="181" spans="1:10" x14ac:dyDescent="0.3">
      <c r="A181" s="36"/>
      <c r="B181" s="36"/>
      <c r="C181" s="36"/>
      <c r="D181" s="36"/>
      <c r="I181" s="9"/>
      <c r="J181" s="9"/>
    </row>
    <row r="182" spans="1:10" x14ac:dyDescent="0.3">
      <c r="A182" s="36"/>
      <c r="B182" s="36"/>
      <c r="C182" s="36"/>
      <c r="D182" s="36"/>
      <c r="I182" s="9"/>
      <c r="J182" s="9"/>
    </row>
    <row r="183" spans="1:10" x14ac:dyDescent="0.3">
      <c r="A183" s="73"/>
      <c r="B183" s="38"/>
      <c r="C183" s="38"/>
      <c r="D183" s="38"/>
    </row>
    <row r="184" spans="1:10" x14ac:dyDescent="0.3">
      <c r="A184" s="73"/>
      <c r="B184" s="38"/>
      <c r="C184" s="38"/>
      <c r="D184" s="38"/>
    </row>
    <row r="185" spans="1:10" x14ac:dyDescent="0.3">
      <c r="A185" s="36"/>
      <c r="B185" s="36"/>
      <c r="C185" s="36"/>
      <c r="D185" s="36"/>
      <c r="I185" s="9"/>
      <c r="J185" s="9"/>
    </row>
    <row r="186" spans="1:10" x14ac:dyDescent="0.3">
      <c r="A186" s="36"/>
      <c r="B186" s="36"/>
      <c r="C186" s="36"/>
      <c r="D186" s="36"/>
      <c r="I186" s="9"/>
      <c r="J186" s="9"/>
    </row>
    <row r="187" spans="1:10" x14ac:dyDescent="0.3">
      <c r="A187" s="36"/>
      <c r="B187" s="36"/>
      <c r="C187" s="36"/>
      <c r="D187" s="36"/>
      <c r="I187" s="9"/>
      <c r="J187" s="9"/>
    </row>
    <row r="188" spans="1:10" x14ac:dyDescent="0.3">
      <c r="A188" s="73"/>
      <c r="B188" s="38"/>
      <c r="C188" s="38"/>
      <c r="D188" s="38"/>
    </row>
    <row r="189" spans="1:10" x14ac:dyDescent="0.3">
      <c r="A189" s="73"/>
      <c r="B189" s="38"/>
      <c r="C189" s="38"/>
      <c r="D189" s="38"/>
    </row>
    <row r="190" spans="1:10" x14ac:dyDescent="0.3">
      <c r="A190" s="36"/>
      <c r="B190" s="36"/>
      <c r="C190" s="36"/>
      <c r="D190" s="36"/>
      <c r="I190" s="9"/>
      <c r="J190" s="9"/>
    </row>
    <row r="191" spans="1:10" x14ac:dyDescent="0.3">
      <c r="A191" s="36"/>
      <c r="B191" s="36"/>
      <c r="C191" s="36"/>
      <c r="D191" s="36"/>
      <c r="I191" s="9"/>
      <c r="J191" s="9"/>
    </row>
    <row r="192" spans="1:10" x14ac:dyDescent="0.3">
      <c r="A192" s="36"/>
      <c r="B192" s="36"/>
      <c r="C192" s="36"/>
      <c r="D192" s="36"/>
      <c r="I192" s="9"/>
      <c r="J192" s="9"/>
    </row>
    <row r="193" spans="1:10" x14ac:dyDescent="0.3">
      <c r="A193" s="36"/>
      <c r="B193" s="36"/>
      <c r="C193" s="36"/>
      <c r="D193" s="36"/>
      <c r="I193" s="9"/>
      <c r="J193" s="9"/>
    </row>
    <row r="194" spans="1:10" x14ac:dyDescent="0.3">
      <c r="A194" s="36"/>
      <c r="B194" s="36"/>
      <c r="C194" s="36"/>
      <c r="D194" s="36"/>
      <c r="I194" s="9"/>
      <c r="J194" s="9"/>
    </row>
    <row r="195" spans="1:10" x14ac:dyDescent="0.3">
      <c r="A195" s="73"/>
      <c r="B195" s="38"/>
      <c r="C195" s="38"/>
      <c r="D195" s="38"/>
    </row>
    <row r="196" spans="1:10" x14ac:dyDescent="0.3">
      <c r="A196" s="73"/>
      <c r="B196" s="38"/>
      <c r="C196" s="38"/>
      <c r="D196" s="38"/>
    </row>
    <row r="197" spans="1:10" x14ac:dyDescent="0.3">
      <c r="A197" s="36"/>
      <c r="B197" s="36"/>
      <c r="C197" s="36"/>
      <c r="D197" s="36"/>
      <c r="I197" s="9"/>
      <c r="J197" s="9"/>
    </row>
    <row r="198" spans="1:10" x14ac:dyDescent="0.3">
      <c r="A198" s="36"/>
      <c r="B198" s="36"/>
      <c r="C198" s="36"/>
      <c r="D198" s="36"/>
      <c r="I198" s="9"/>
      <c r="J198" s="9"/>
    </row>
    <row r="199" spans="1:10" x14ac:dyDescent="0.3">
      <c r="A199" s="36"/>
      <c r="B199" s="36"/>
      <c r="C199" s="36"/>
      <c r="D199" s="36"/>
      <c r="I199" s="9"/>
      <c r="J199" s="9"/>
    </row>
    <row r="200" spans="1:10" x14ac:dyDescent="0.3">
      <c r="A200" s="36"/>
      <c r="B200" s="36"/>
      <c r="C200" s="36"/>
      <c r="D200" s="36"/>
      <c r="I200" s="9"/>
      <c r="J200" s="9"/>
    </row>
    <row r="201" spans="1:10" x14ac:dyDescent="0.3">
      <c r="A201" s="36"/>
      <c r="B201" s="36"/>
      <c r="C201" s="36"/>
      <c r="D201" s="36"/>
      <c r="I201" s="9"/>
      <c r="J201" s="9"/>
    </row>
    <row r="202" spans="1:10" x14ac:dyDescent="0.3">
      <c r="A202" s="36"/>
      <c r="B202" s="36"/>
      <c r="C202" s="36"/>
      <c r="D202" s="36"/>
      <c r="I202" s="9"/>
      <c r="J202" s="9"/>
    </row>
    <row r="203" spans="1:10" x14ac:dyDescent="0.3">
      <c r="A203" s="36"/>
      <c r="B203" s="36"/>
      <c r="C203" s="36"/>
      <c r="D203" s="36"/>
      <c r="I203" s="9"/>
      <c r="J203" s="9"/>
    </row>
    <row r="204" spans="1:10" x14ac:dyDescent="0.3">
      <c r="A204" s="36"/>
      <c r="B204" s="36"/>
      <c r="C204" s="36"/>
      <c r="D204" s="36"/>
      <c r="I204" s="9"/>
      <c r="J204" s="9"/>
    </row>
    <row r="205" spans="1:10" x14ac:dyDescent="0.3">
      <c r="A205" s="73"/>
      <c r="B205" s="38"/>
      <c r="C205" s="38"/>
      <c r="D205" s="38"/>
    </row>
    <row r="206" spans="1:10" x14ac:dyDescent="0.3">
      <c r="A206" s="73"/>
      <c r="B206" s="38"/>
      <c r="C206" s="38"/>
      <c r="D206" s="38"/>
    </row>
    <row r="207" spans="1:10" x14ac:dyDescent="0.3">
      <c r="A207" s="36"/>
      <c r="B207" s="36"/>
      <c r="C207" s="36"/>
      <c r="D207" s="36"/>
      <c r="I207" s="9"/>
      <c r="J207" s="9"/>
    </row>
    <row r="208" spans="1:10" x14ac:dyDescent="0.3">
      <c r="A208" s="36"/>
      <c r="B208" s="36"/>
      <c r="C208" s="36"/>
      <c r="D208" s="36"/>
      <c r="I208" s="9"/>
      <c r="J208" s="9"/>
    </row>
    <row r="209" spans="1:10" x14ac:dyDescent="0.3">
      <c r="A209" s="36"/>
      <c r="B209" s="36"/>
      <c r="C209" s="36"/>
      <c r="D209" s="36"/>
      <c r="I209" s="9"/>
      <c r="J209" s="9"/>
    </row>
    <row r="210" spans="1:10" x14ac:dyDescent="0.3">
      <c r="A210" s="36"/>
      <c r="B210" s="36"/>
      <c r="C210" s="36"/>
      <c r="D210" s="36"/>
      <c r="I210" s="9"/>
      <c r="J210" s="9"/>
    </row>
    <row r="211" spans="1:10" x14ac:dyDescent="0.3">
      <c r="A211" s="36"/>
      <c r="B211" s="36"/>
      <c r="C211" s="36"/>
      <c r="D211" s="36"/>
      <c r="I211" s="9"/>
      <c r="J211" s="9"/>
    </row>
    <row r="212" spans="1:10" x14ac:dyDescent="0.3">
      <c r="A212" s="73"/>
      <c r="B212" s="38"/>
      <c r="C212" s="38"/>
      <c r="D212" s="38"/>
    </row>
    <row r="213" spans="1:10" x14ac:dyDescent="0.3">
      <c r="A213" s="73"/>
      <c r="B213" s="38"/>
      <c r="C213" s="38"/>
      <c r="D213" s="38"/>
    </row>
    <row r="214" spans="1:10" x14ac:dyDescent="0.3">
      <c r="A214" s="36"/>
      <c r="B214" s="36"/>
      <c r="C214" s="36"/>
      <c r="D214" s="36"/>
      <c r="I214" s="9"/>
      <c r="J214" s="9"/>
    </row>
    <row r="215" spans="1:10" x14ac:dyDescent="0.3">
      <c r="A215" s="36"/>
      <c r="B215" s="36"/>
      <c r="C215" s="36"/>
      <c r="D215" s="36"/>
      <c r="I215" s="9"/>
      <c r="J215" s="9"/>
    </row>
    <row r="216" spans="1:10" x14ac:dyDescent="0.3">
      <c r="A216" s="36"/>
      <c r="B216" s="36"/>
      <c r="C216" s="36"/>
      <c r="D216" s="36"/>
      <c r="I216" s="9"/>
      <c r="J216" s="9"/>
    </row>
    <row r="217" spans="1:10" x14ac:dyDescent="0.3">
      <c r="A217" s="36"/>
      <c r="B217" s="36"/>
      <c r="C217" s="36"/>
      <c r="D217" s="36"/>
      <c r="I217" s="9"/>
      <c r="J217" s="9"/>
    </row>
    <row r="218" spans="1:10" x14ac:dyDescent="0.3">
      <c r="A218" s="36"/>
      <c r="B218" s="36"/>
      <c r="C218" s="36"/>
      <c r="D218" s="36"/>
      <c r="I218" s="9"/>
      <c r="J218" s="9"/>
    </row>
    <row r="219" spans="1:10" x14ac:dyDescent="0.3">
      <c r="A219" s="36"/>
      <c r="B219" s="36"/>
      <c r="C219" s="36"/>
      <c r="D219" s="36"/>
      <c r="I219" s="9"/>
      <c r="J219" s="9"/>
    </row>
    <row r="220" spans="1:10" x14ac:dyDescent="0.3">
      <c r="A220" s="36"/>
      <c r="B220" s="36"/>
      <c r="C220" s="36"/>
      <c r="D220" s="36"/>
      <c r="I220" s="9"/>
      <c r="J220" s="9"/>
    </row>
    <row r="221" spans="1:10" x14ac:dyDescent="0.3">
      <c r="A221" s="36"/>
      <c r="B221" s="36"/>
      <c r="C221" s="36"/>
      <c r="D221" s="36"/>
      <c r="I221" s="9"/>
      <c r="J221" s="9"/>
    </row>
    <row r="222" spans="1:10" x14ac:dyDescent="0.3">
      <c r="A222" s="36"/>
      <c r="B222" s="36"/>
      <c r="C222" s="36"/>
      <c r="D222" s="36"/>
      <c r="I222" s="9"/>
      <c r="J222" s="9"/>
    </row>
    <row r="223" spans="1:10" x14ac:dyDescent="0.3">
      <c r="A223" s="36"/>
      <c r="B223" s="36"/>
      <c r="C223" s="36"/>
      <c r="D223" s="36"/>
      <c r="I223" s="9"/>
      <c r="J223" s="9"/>
    </row>
    <row r="224" spans="1:10" x14ac:dyDescent="0.3">
      <c r="A224" s="36"/>
      <c r="B224" s="36"/>
      <c r="C224" s="36"/>
      <c r="D224" s="36"/>
      <c r="I224" s="9"/>
      <c r="J224" s="9"/>
    </row>
    <row r="225" spans="1:10" x14ac:dyDescent="0.3">
      <c r="A225" s="36"/>
      <c r="B225" s="36"/>
      <c r="C225" s="36"/>
      <c r="D225" s="36"/>
      <c r="I225" s="9"/>
      <c r="J225" s="9"/>
    </row>
    <row r="226" spans="1:10" x14ac:dyDescent="0.3">
      <c r="A226" s="36"/>
      <c r="B226" s="36"/>
      <c r="C226" s="36"/>
      <c r="D226" s="36"/>
      <c r="I226" s="9"/>
      <c r="J226" s="9"/>
    </row>
    <row r="227" spans="1:10" x14ac:dyDescent="0.3">
      <c r="A227" s="73"/>
      <c r="B227" s="38"/>
      <c r="C227" s="38"/>
      <c r="D227" s="38"/>
    </row>
    <row r="228" spans="1:10" x14ac:dyDescent="0.3">
      <c r="A228" s="73"/>
      <c r="B228" s="38"/>
      <c r="C228" s="38"/>
      <c r="D228" s="38"/>
    </row>
    <row r="229" spans="1:10" x14ac:dyDescent="0.3">
      <c r="A229" s="36"/>
      <c r="B229" s="36"/>
      <c r="C229" s="36"/>
      <c r="D229" s="36"/>
      <c r="I229" s="9"/>
      <c r="J229" s="9"/>
    </row>
    <row r="230" spans="1:10" x14ac:dyDescent="0.3">
      <c r="A230" s="36"/>
      <c r="B230" s="36"/>
      <c r="C230" s="36"/>
      <c r="D230" s="36"/>
      <c r="I230" s="9"/>
      <c r="J230" s="9"/>
    </row>
    <row r="231" spans="1:10" x14ac:dyDescent="0.3">
      <c r="A231" s="36"/>
      <c r="B231" s="36"/>
      <c r="C231" s="36"/>
      <c r="D231" s="36"/>
      <c r="I231" s="9"/>
      <c r="J231" s="9"/>
    </row>
    <row r="232" spans="1:10" x14ac:dyDescent="0.3">
      <c r="A232" s="36"/>
      <c r="B232" s="36"/>
      <c r="C232" s="36"/>
      <c r="D232" s="36"/>
      <c r="I232" s="9"/>
      <c r="J232" s="9"/>
    </row>
    <row r="233" spans="1:10" x14ac:dyDescent="0.3">
      <c r="A233" s="36"/>
      <c r="B233" s="36"/>
      <c r="C233" s="36"/>
      <c r="D233" s="36"/>
    </row>
    <row r="234" spans="1:10" x14ac:dyDescent="0.3">
      <c r="A234" s="36"/>
      <c r="B234" s="36"/>
      <c r="C234" s="36"/>
      <c r="D234" s="36"/>
    </row>
  </sheetData>
  <mergeCells count="222">
    <mergeCell ref="J4:L4"/>
    <mergeCell ref="A5:A7"/>
    <mergeCell ref="A8:A9"/>
    <mergeCell ref="B5:B7"/>
    <mergeCell ref="B2:K2"/>
    <mergeCell ref="B3:K3"/>
    <mergeCell ref="M8:O9"/>
    <mergeCell ref="I8:I9"/>
    <mergeCell ref="J8:J9"/>
    <mergeCell ref="K8:K9"/>
    <mergeCell ref="L8:L9"/>
    <mergeCell ref="K6:K7"/>
    <mergeCell ref="L6:L7"/>
    <mergeCell ref="N4:O4"/>
    <mergeCell ref="M5:O7"/>
    <mergeCell ref="E5:H5"/>
    <mergeCell ref="I5:L5"/>
    <mergeCell ref="E6:E7"/>
    <mergeCell ref="F6:F7"/>
    <mergeCell ref="G6:G7"/>
    <mergeCell ref="H6:H7"/>
    <mergeCell ref="I6:I7"/>
    <mergeCell ref="J6:J7"/>
    <mergeCell ref="C5:C7"/>
    <mergeCell ref="M38:O39"/>
    <mergeCell ref="E18:E19"/>
    <mergeCell ref="F18:F19"/>
    <mergeCell ref="G18:G19"/>
    <mergeCell ref="H18:H19"/>
    <mergeCell ref="I18:I19"/>
    <mergeCell ref="D18:D19"/>
    <mergeCell ref="E10:E11"/>
    <mergeCell ref="M18:O19"/>
    <mergeCell ref="E32:E33"/>
    <mergeCell ref="F32:F33"/>
    <mergeCell ref="G32:G33"/>
    <mergeCell ref="H32:H33"/>
    <mergeCell ref="M32:O33"/>
    <mergeCell ref="I32:I33"/>
    <mergeCell ref="J32:J33"/>
    <mergeCell ref="K32:K33"/>
    <mergeCell ref="L32:L33"/>
    <mergeCell ref="M10:O11"/>
    <mergeCell ref="J18:J19"/>
    <mergeCell ref="L10:L11"/>
    <mergeCell ref="J10:J11"/>
    <mergeCell ref="K10:K11"/>
    <mergeCell ref="D10:D11"/>
    <mergeCell ref="M45:O46"/>
    <mergeCell ref="A52:A53"/>
    <mergeCell ref="E52:E53"/>
    <mergeCell ref="F52:F53"/>
    <mergeCell ref="G52:G53"/>
    <mergeCell ref="H52:H53"/>
    <mergeCell ref="M52:O53"/>
    <mergeCell ref="I52:I53"/>
    <mergeCell ref="J52:J53"/>
    <mergeCell ref="K52:K53"/>
    <mergeCell ref="B52:B53"/>
    <mergeCell ref="D52:D53"/>
    <mergeCell ref="A45:A46"/>
    <mergeCell ref="E45:E46"/>
    <mergeCell ref="F45:F46"/>
    <mergeCell ref="G45:G46"/>
    <mergeCell ref="H45:H46"/>
    <mergeCell ref="I45:I46"/>
    <mergeCell ref="J45:J46"/>
    <mergeCell ref="B45:B46"/>
    <mergeCell ref="M71:O72"/>
    <mergeCell ref="I71:I72"/>
    <mergeCell ref="J71:J72"/>
    <mergeCell ref="K71:K72"/>
    <mergeCell ref="M59:O60"/>
    <mergeCell ref="E64:E65"/>
    <mergeCell ref="F64:F65"/>
    <mergeCell ref="G64:G65"/>
    <mergeCell ref="H64:H65"/>
    <mergeCell ref="I64:I65"/>
    <mergeCell ref="J64:J65"/>
    <mergeCell ref="E59:E60"/>
    <mergeCell ref="M64:O65"/>
    <mergeCell ref="J59:J60"/>
    <mergeCell ref="K59:K60"/>
    <mergeCell ref="L59:L60"/>
    <mergeCell ref="F59:F60"/>
    <mergeCell ref="G59:G60"/>
    <mergeCell ref="H59:H60"/>
    <mergeCell ref="I59:I60"/>
    <mergeCell ref="M81:O82"/>
    <mergeCell ref="A88:A89"/>
    <mergeCell ref="E88:E89"/>
    <mergeCell ref="I103:I104"/>
    <mergeCell ref="J103:J104"/>
    <mergeCell ref="K103:K104"/>
    <mergeCell ref="H103:H104"/>
    <mergeCell ref="M103:O104"/>
    <mergeCell ref="L103:L104"/>
    <mergeCell ref="K88:K89"/>
    <mergeCell ref="L88:L89"/>
    <mergeCell ref="M88:O89"/>
    <mergeCell ref="F88:F89"/>
    <mergeCell ref="B81:B82"/>
    <mergeCell ref="E81:E82"/>
    <mergeCell ref="F81:F82"/>
    <mergeCell ref="G81:G82"/>
    <mergeCell ref="H81:H82"/>
    <mergeCell ref="D81:D82"/>
    <mergeCell ref="K81:K82"/>
    <mergeCell ref="L81:L82"/>
    <mergeCell ref="D88:D89"/>
    <mergeCell ref="C103:C104"/>
    <mergeCell ref="N109:O109"/>
    <mergeCell ref="A113:H113"/>
    <mergeCell ref="M113:O113"/>
    <mergeCell ref="D103:D104"/>
    <mergeCell ref="A103:A104"/>
    <mergeCell ref="E103:E104"/>
    <mergeCell ref="A114:H114"/>
    <mergeCell ref="M114:O114"/>
    <mergeCell ref="D5:D7"/>
    <mergeCell ref="D32:D33"/>
    <mergeCell ref="D8:D9"/>
    <mergeCell ref="D64:D65"/>
    <mergeCell ref="D71:D72"/>
    <mergeCell ref="B10:B11"/>
    <mergeCell ref="D45:D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J134:J136"/>
    <mergeCell ref="K134:K136"/>
    <mergeCell ref="A143:A144"/>
    <mergeCell ref="I134:I136"/>
    <mergeCell ref="E134:E136"/>
    <mergeCell ref="F134:F136"/>
    <mergeCell ref="G134:G136"/>
    <mergeCell ref="H134:H136"/>
    <mergeCell ref="L134:L136"/>
    <mergeCell ref="A134:A136"/>
    <mergeCell ref="I128:J130"/>
    <mergeCell ref="K128:L130"/>
    <mergeCell ref="E130:F130"/>
    <mergeCell ref="G130:H130"/>
    <mergeCell ref="K64:K65"/>
    <mergeCell ref="L64:L65"/>
    <mergeCell ref="K45:K46"/>
    <mergeCell ref="L45:L46"/>
    <mergeCell ref="L52:L53"/>
    <mergeCell ref="A124:I126"/>
    <mergeCell ref="J124:L126"/>
    <mergeCell ref="I127:L127"/>
    <mergeCell ref="A128:A131"/>
    <mergeCell ref="E128:H129"/>
    <mergeCell ref="A81:A82"/>
    <mergeCell ref="F103:F104"/>
    <mergeCell ref="G103:G104"/>
    <mergeCell ref="L71:L72"/>
    <mergeCell ref="J88:J89"/>
    <mergeCell ref="I81:I82"/>
    <mergeCell ref="J81:J82"/>
    <mergeCell ref="G88:G89"/>
    <mergeCell ref="H88:H89"/>
    <mergeCell ref="I88:I8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B71:B72"/>
    <mergeCell ref="B64:B65"/>
    <mergeCell ref="E71:E72"/>
    <mergeCell ref="F71:F72"/>
    <mergeCell ref="G71:G72"/>
    <mergeCell ref="H71:H72"/>
    <mergeCell ref="D59:D60"/>
    <mergeCell ref="E38:E39"/>
    <mergeCell ref="B38:B39"/>
    <mergeCell ref="L18:L19"/>
    <mergeCell ref="B32:B33"/>
    <mergeCell ref="B8:B9"/>
    <mergeCell ref="A10:A11"/>
    <mergeCell ref="J38:J39"/>
    <mergeCell ref="K38:K39"/>
    <mergeCell ref="L38:L39"/>
    <mergeCell ref="D38:D39"/>
    <mergeCell ref="F38:F39"/>
    <mergeCell ref="G38:G39"/>
    <mergeCell ref="H38:H39"/>
    <mergeCell ref="I38:I39"/>
    <mergeCell ref="F10:F11"/>
    <mergeCell ref="K18:K19"/>
    <mergeCell ref="G10:G11"/>
    <mergeCell ref="H10:H11"/>
    <mergeCell ref="I10:I11"/>
    <mergeCell ref="E8:E9"/>
    <mergeCell ref="F8:F9"/>
    <mergeCell ref="G8:G9"/>
    <mergeCell ref="H8:H9"/>
    <mergeCell ref="C8:C9"/>
    <mergeCell ref="C10:C11"/>
    <mergeCell ref="C18:C19"/>
    <mergeCell ref="C32:C33"/>
    <mergeCell ref="C38:C39"/>
    <mergeCell ref="C45:C46"/>
    <mergeCell ref="C52:C53"/>
    <mergeCell ref="C59:C60"/>
    <mergeCell ref="C64:C65"/>
    <mergeCell ref="C71:C72"/>
    <mergeCell ref="C81:C82"/>
    <mergeCell ref="C88:C89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E15:E17 F10:H11 J10:L11 E20:E26 F18:H19 E29:E31 F27:H27 E35:E37 F32:H33 E40:E44 F38:H39 E47:E51 F45:H46 E54:E58 F52:H53 E61:E63 F59:H60 E66:E70 F64:H65 F71:H72 E83:E87 F81:H82 E90:E102 F88:H89 E105:E108 F103:H104 J18:L19 J27:L27 J32:L33 J38:L39 J45:L46 J52:L53 J59:L60 J64:L65 J71:L72 J81:L82 J88:L89 J103:L104" formula="1"/>
    <ignoredError sqref="D27 D38:D39 D52:D53 D81:D82 D103:D104 D88:D89 D71:D72 D59:D60 D45:D46 D32:D33 B32:B33 B45:B46 B59:B60 B71:B72 B88:B89 B103:B104 B81:B82 B52:B53 B38:B39 B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2024-06-06T08:04:47Z</dcterms:modified>
</cp:coreProperties>
</file>