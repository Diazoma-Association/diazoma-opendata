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8_{63327E88-0B5B-44F3-B764-3025ECAE7951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111" i="1"/>
  <c r="C110" i="1"/>
  <c r="C109" i="1"/>
  <c r="C108" i="1"/>
  <c r="C106" i="1" s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0" i="1"/>
  <c r="C89" i="1"/>
  <c r="C88" i="1"/>
  <c r="C87" i="1"/>
  <c r="C86" i="1"/>
  <c r="C84" i="1" s="1"/>
  <c r="C83" i="1"/>
  <c r="C82" i="1"/>
  <c r="C81" i="1"/>
  <c r="C80" i="1"/>
  <c r="C79" i="1"/>
  <c r="C78" i="1"/>
  <c r="C77" i="1"/>
  <c r="C76" i="1"/>
  <c r="C73" i="1"/>
  <c r="C72" i="1"/>
  <c r="C67" i="1" s="1"/>
  <c r="C71" i="1"/>
  <c r="C70" i="1"/>
  <c r="C69" i="1"/>
  <c r="C66" i="1"/>
  <c r="C65" i="1"/>
  <c r="C64" i="1"/>
  <c r="C62" i="1" s="1"/>
  <c r="C61" i="1"/>
  <c r="C60" i="1"/>
  <c r="C55" i="1" s="1"/>
  <c r="C59" i="1"/>
  <c r="C58" i="1"/>
  <c r="C57" i="1"/>
  <c r="C54" i="1"/>
  <c r="C53" i="1"/>
  <c r="C52" i="1"/>
  <c r="C51" i="1"/>
  <c r="C50" i="1"/>
  <c r="C48" i="1" s="1"/>
  <c r="C47" i="1"/>
  <c r="C46" i="1"/>
  <c r="C45" i="1"/>
  <c r="C44" i="1"/>
  <c r="C43" i="1"/>
  <c r="C41" i="1" s="1"/>
  <c r="C40" i="1"/>
  <c r="C39" i="1"/>
  <c r="C38" i="1"/>
  <c r="C35" i="1" s="1"/>
  <c r="C37" i="1"/>
  <c r="C34" i="1"/>
  <c r="C33" i="1"/>
  <c r="C32" i="1"/>
  <c r="C31" i="1"/>
  <c r="C30" i="1" s="1"/>
  <c r="C29" i="1"/>
  <c r="C28" i="1"/>
  <c r="C27" i="1"/>
  <c r="C26" i="1"/>
  <c r="C25" i="1"/>
  <c r="C24" i="1"/>
  <c r="C23" i="1"/>
  <c r="C20" i="1"/>
  <c r="C19" i="1"/>
  <c r="C18" i="1"/>
  <c r="C17" i="1"/>
  <c r="C15" i="1"/>
  <c r="E106" i="1"/>
  <c r="E91" i="1"/>
  <c r="E84" i="1"/>
  <c r="E74" i="1"/>
  <c r="E67" i="1"/>
  <c r="E62" i="1"/>
  <c r="E55" i="1"/>
  <c r="E48" i="1"/>
  <c r="E41" i="1"/>
  <c r="E35" i="1"/>
  <c r="E30" i="1"/>
  <c r="E21" i="1"/>
  <c r="E13" i="1"/>
  <c r="C91" i="1" l="1"/>
  <c r="C74" i="1"/>
  <c r="C21" i="1"/>
  <c r="C13" i="1"/>
  <c r="C11" i="1" s="1"/>
  <c r="E11" i="1"/>
  <c r="K15" i="1"/>
  <c r="G15" i="1"/>
  <c r="D13" i="1"/>
  <c r="D21" i="1"/>
  <c r="D30" i="1"/>
  <c r="D35" i="1"/>
  <c r="D41" i="1"/>
  <c r="D48" i="1"/>
  <c r="D55" i="1"/>
  <c r="D62" i="1"/>
  <c r="D67" i="1"/>
  <c r="D74" i="1"/>
  <c r="D91" i="1"/>
  <c r="D106" i="1"/>
  <c r="B15" i="1" l="1"/>
  <c r="D84" i="1"/>
  <c r="D11" i="1" s="1"/>
  <c r="H74" i="1"/>
  <c r="M41" i="1"/>
  <c r="L35" i="1"/>
  <c r="L13" i="1"/>
  <c r="F67" i="1"/>
  <c r="N106" i="1"/>
  <c r="M106" i="1"/>
  <c r="L106" i="1"/>
  <c r="J106" i="1"/>
  <c r="I106" i="1"/>
  <c r="H106" i="1"/>
  <c r="N91" i="1"/>
  <c r="M91" i="1"/>
  <c r="L91" i="1"/>
  <c r="J91" i="1"/>
  <c r="I91" i="1"/>
  <c r="H91" i="1"/>
  <c r="N84" i="1"/>
  <c r="M84" i="1"/>
  <c r="L84" i="1"/>
  <c r="J84" i="1"/>
  <c r="I84" i="1"/>
  <c r="H84" i="1"/>
  <c r="N74" i="1"/>
  <c r="M74" i="1"/>
  <c r="L74" i="1"/>
  <c r="J74" i="1"/>
  <c r="I74" i="1"/>
  <c r="N67" i="1"/>
  <c r="M67" i="1"/>
  <c r="L67" i="1"/>
  <c r="J67" i="1"/>
  <c r="I67" i="1"/>
  <c r="H67" i="1"/>
  <c r="N62" i="1"/>
  <c r="M62" i="1"/>
  <c r="L62" i="1"/>
  <c r="J62" i="1"/>
  <c r="I62" i="1"/>
  <c r="H62" i="1"/>
  <c r="N55" i="1"/>
  <c r="M55" i="1"/>
  <c r="L55" i="1"/>
  <c r="J55" i="1"/>
  <c r="I55" i="1"/>
  <c r="H55" i="1"/>
  <c r="N48" i="1"/>
  <c r="M48" i="1"/>
  <c r="L48" i="1"/>
  <c r="J48" i="1"/>
  <c r="I48" i="1"/>
  <c r="H48" i="1"/>
  <c r="N41" i="1"/>
  <c r="L41" i="1"/>
  <c r="J41" i="1"/>
  <c r="I41" i="1"/>
  <c r="H41" i="1"/>
  <c r="N35" i="1"/>
  <c r="M35" i="1"/>
  <c r="J35" i="1"/>
  <c r="I35" i="1"/>
  <c r="H35" i="1"/>
  <c r="N30" i="1"/>
  <c r="M30" i="1"/>
  <c r="L30" i="1"/>
  <c r="J30" i="1"/>
  <c r="I30" i="1"/>
  <c r="H30" i="1"/>
  <c r="N21" i="1"/>
  <c r="M21" i="1"/>
  <c r="L21" i="1"/>
  <c r="J21" i="1"/>
  <c r="I21" i="1"/>
  <c r="H21" i="1"/>
  <c r="K111" i="1"/>
  <c r="K110" i="1"/>
  <c r="K109" i="1"/>
  <c r="K108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0" i="1"/>
  <c r="K89" i="1"/>
  <c r="K88" i="1"/>
  <c r="K87" i="1"/>
  <c r="K86" i="1"/>
  <c r="K83" i="1"/>
  <c r="K82" i="1"/>
  <c r="K81" i="1"/>
  <c r="K80" i="1"/>
  <c r="K79" i="1"/>
  <c r="K78" i="1"/>
  <c r="K77" i="1"/>
  <c r="K76" i="1"/>
  <c r="K73" i="1"/>
  <c r="K72" i="1"/>
  <c r="K71" i="1"/>
  <c r="K70" i="1"/>
  <c r="K69" i="1"/>
  <c r="K66" i="1"/>
  <c r="K65" i="1"/>
  <c r="K64" i="1"/>
  <c r="K61" i="1"/>
  <c r="K60" i="1"/>
  <c r="K59" i="1"/>
  <c r="K58" i="1"/>
  <c r="K57" i="1"/>
  <c r="K54" i="1"/>
  <c r="K53" i="1"/>
  <c r="K52" i="1"/>
  <c r="K51" i="1"/>
  <c r="K50" i="1"/>
  <c r="K47" i="1"/>
  <c r="K46" i="1"/>
  <c r="K45" i="1"/>
  <c r="K44" i="1"/>
  <c r="K43" i="1"/>
  <c r="K40" i="1"/>
  <c r="K39" i="1"/>
  <c r="K38" i="1"/>
  <c r="K37" i="1"/>
  <c r="K34" i="1"/>
  <c r="K33" i="1"/>
  <c r="K32" i="1"/>
  <c r="K31" i="1"/>
  <c r="K29" i="1"/>
  <c r="K28" i="1"/>
  <c r="K27" i="1"/>
  <c r="K26" i="1"/>
  <c r="K25" i="1"/>
  <c r="K24" i="1"/>
  <c r="K23" i="1"/>
  <c r="K20" i="1"/>
  <c r="K19" i="1"/>
  <c r="K18" i="1"/>
  <c r="K17" i="1"/>
  <c r="K16" i="1"/>
  <c r="G111" i="1"/>
  <c r="G110" i="1"/>
  <c r="B110" i="1" s="1"/>
  <c r="G109" i="1"/>
  <c r="G108" i="1"/>
  <c r="B108" i="1" s="1"/>
  <c r="G105" i="1"/>
  <c r="G104" i="1"/>
  <c r="B104" i="1" s="1"/>
  <c r="G103" i="1"/>
  <c r="G102" i="1"/>
  <c r="B102" i="1" s="1"/>
  <c r="G101" i="1"/>
  <c r="G100" i="1"/>
  <c r="B100" i="1" s="1"/>
  <c r="G99" i="1"/>
  <c r="G98" i="1"/>
  <c r="G97" i="1"/>
  <c r="G96" i="1"/>
  <c r="B96" i="1" s="1"/>
  <c r="G95" i="1"/>
  <c r="G94" i="1"/>
  <c r="B94" i="1" s="1"/>
  <c r="G93" i="1"/>
  <c r="G90" i="1"/>
  <c r="G89" i="1"/>
  <c r="G88" i="1"/>
  <c r="G87" i="1"/>
  <c r="G86" i="1"/>
  <c r="G83" i="1"/>
  <c r="B83" i="1" s="1"/>
  <c r="G82" i="1"/>
  <c r="G81" i="1"/>
  <c r="G80" i="1"/>
  <c r="B80" i="1" s="1"/>
  <c r="G79" i="1"/>
  <c r="G78" i="1"/>
  <c r="G77" i="1"/>
  <c r="G76" i="1"/>
  <c r="G73" i="1"/>
  <c r="G72" i="1"/>
  <c r="B72" i="1" s="1"/>
  <c r="G71" i="1"/>
  <c r="G70" i="1"/>
  <c r="B70" i="1" s="1"/>
  <c r="G69" i="1"/>
  <c r="G66" i="1"/>
  <c r="G65" i="1"/>
  <c r="G64" i="1"/>
  <c r="G61" i="1"/>
  <c r="B61" i="1" s="1"/>
  <c r="G60" i="1"/>
  <c r="G59" i="1"/>
  <c r="G58" i="1"/>
  <c r="G57" i="1"/>
  <c r="B57" i="1" s="1"/>
  <c r="G54" i="1"/>
  <c r="B54" i="1" s="1"/>
  <c r="G53" i="1"/>
  <c r="G52" i="1"/>
  <c r="G51" i="1"/>
  <c r="G50" i="1"/>
  <c r="G47" i="1"/>
  <c r="G46" i="1"/>
  <c r="G45" i="1"/>
  <c r="B45" i="1" s="1"/>
  <c r="G44" i="1"/>
  <c r="G43" i="1"/>
  <c r="G40" i="1"/>
  <c r="G39" i="1"/>
  <c r="G38" i="1"/>
  <c r="G37" i="1"/>
  <c r="G34" i="1"/>
  <c r="G33" i="1"/>
  <c r="B33" i="1" s="1"/>
  <c r="G32" i="1"/>
  <c r="G31" i="1"/>
  <c r="G29" i="1"/>
  <c r="G28" i="1"/>
  <c r="G27" i="1"/>
  <c r="G26" i="1"/>
  <c r="B26" i="1" s="1"/>
  <c r="G25" i="1"/>
  <c r="G24" i="1"/>
  <c r="G23" i="1"/>
  <c r="G20" i="1"/>
  <c r="G19" i="1"/>
  <c r="G18" i="1"/>
  <c r="G17" i="1"/>
  <c r="G16" i="1"/>
  <c r="B16" i="1" s="1"/>
  <c r="I13" i="1"/>
  <c r="N13" i="1"/>
  <c r="M13" i="1"/>
  <c r="J13" i="1"/>
  <c r="H13" i="1"/>
  <c r="F106" i="1"/>
  <c r="F91" i="1"/>
  <c r="F74" i="1"/>
  <c r="F62" i="1"/>
  <c r="F55" i="1"/>
  <c r="F48" i="1"/>
  <c r="F41" i="1"/>
  <c r="F35" i="1"/>
  <c r="F13" i="1"/>
  <c r="F21" i="1"/>
  <c r="F30" i="1"/>
  <c r="B98" i="1" l="1"/>
  <c r="B78" i="1"/>
  <c r="B28" i="1"/>
  <c r="B18" i="1"/>
  <c r="B47" i="1"/>
  <c r="B59" i="1"/>
  <c r="B81" i="1"/>
  <c r="B20" i="1"/>
  <c r="B65" i="1"/>
  <c r="B87" i="1"/>
  <c r="B77" i="1"/>
  <c r="B43" i="1"/>
  <c r="B31" i="1"/>
  <c r="B89" i="1"/>
  <c r="B79" i="1"/>
  <c r="B82" i="1"/>
  <c r="B76" i="1"/>
  <c r="B50" i="1"/>
  <c r="B52" i="1"/>
  <c r="B24" i="1"/>
  <c r="B109" i="1"/>
  <c r="B111" i="1"/>
  <c r="B93" i="1"/>
  <c r="B95" i="1"/>
  <c r="B97" i="1"/>
  <c r="B99" i="1"/>
  <c r="B101" i="1"/>
  <c r="B103" i="1"/>
  <c r="B105" i="1"/>
  <c r="B86" i="1"/>
  <c r="B88" i="1"/>
  <c r="B90" i="1"/>
  <c r="B69" i="1"/>
  <c r="B71" i="1"/>
  <c r="B73" i="1"/>
  <c r="B64" i="1"/>
  <c r="B66" i="1"/>
  <c r="B58" i="1"/>
  <c r="B60" i="1"/>
  <c r="B51" i="1"/>
  <c r="B53" i="1"/>
  <c r="B44" i="1"/>
  <c r="B46" i="1"/>
  <c r="B37" i="1"/>
  <c r="B39" i="1"/>
  <c r="B38" i="1"/>
  <c r="B40" i="1"/>
  <c r="B32" i="1"/>
  <c r="B34" i="1"/>
  <c r="B23" i="1"/>
  <c r="B25" i="1"/>
  <c r="B27" i="1"/>
  <c r="B29" i="1"/>
  <c r="B17" i="1"/>
  <c r="B19" i="1"/>
  <c r="I11" i="1"/>
  <c r="G21" i="1"/>
  <c r="G48" i="1"/>
  <c r="G62" i="1"/>
  <c r="G74" i="1"/>
  <c r="G84" i="1"/>
  <c r="G106" i="1"/>
  <c r="K30" i="1"/>
  <c r="K35" i="1"/>
  <c r="K41" i="1"/>
  <c r="K55" i="1"/>
  <c r="K91" i="1"/>
  <c r="K106" i="1"/>
  <c r="K74" i="1"/>
  <c r="K13" i="1"/>
  <c r="G13" i="1"/>
  <c r="G30" i="1"/>
  <c r="G35" i="1"/>
  <c r="G41" i="1"/>
  <c r="G55" i="1"/>
  <c r="G67" i="1"/>
  <c r="G91" i="1"/>
  <c r="K21" i="1"/>
  <c r="K62" i="1"/>
  <c r="K84" i="1"/>
  <c r="K48" i="1"/>
  <c r="K67" i="1"/>
  <c r="N11" i="1"/>
  <c r="M11" i="1"/>
  <c r="L11" i="1"/>
  <c r="J11" i="1"/>
  <c r="H11" i="1"/>
  <c r="F11" i="1"/>
  <c r="B84" i="1" l="1"/>
  <c r="B41" i="1"/>
  <c r="B48" i="1"/>
  <c r="B13" i="1"/>
  <c r="B35" i="1"/>
  <c r="B62" i="1"/>
  <c r="B106" i="1"/>
  <c r="B91" i="1"/>
  <c r="B55" i="1"/>
  <c r="B30" i="1"/>
  <c r="B74" i="1"/>
  <c r="B67" i="1"/>
  <c r="B21" i="1"/>
  <c r="K11" i="1"/>
  <c r="G11" i="1"/>
  <c r="B11" i="1" l="1"/>
</calcChain>
</file>

<file path=xl/sharedStrings.xml><?xml version="1.0" encoding="utf-8"?>
<sst xmlns="http://schemas.openxmlformats.org/spreadsheetml/2006/main" count="455" uniqueCount="198">
  <si>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</si>
  <si>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</si>
  <si>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</si>
  <si>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</si>
  <si>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</si>
  <si>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</si>
  <si>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</si>
  <si>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</si>
  <si>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</si>
  <si>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</si>
  <si>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</si>
  <si>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</si>
  <si>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</si>
  <si>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</si>
  <si>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</si>
  <si>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</si>
  <si>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</si>
  <si>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</si>
  <si>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</si>
  <si>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</si>
  <si>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</si>
  <si>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</si>
  <si>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</si>
  <si>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</si>
  <si>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</si>
  <si>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</si>
  <si>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</si>
  <si>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</si>
  <si>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</si>
  <si>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</si>
  <si>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</si>
  <si>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</si>
  <si>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</si>
  <si>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</si>
  <si>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</si>
  <si>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</si>
  <si>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</si>
  <si>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</si>
  <si>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</si>
  <si>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</si>
  <si>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</si>
  <si>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</si>
  <si>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</si>
  <si>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</si>
  <si>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</si>
  <si>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</si>
  <si>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</si>
  <si>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</si>
  <si>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</si>
  <si>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</si>
  <si>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</si>
  <si>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</si>
  <si>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</si>
  <si>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</si>
  <si>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</si>
  <si>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</si>
  <si>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</si>
  <si>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</si>
  <si>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</si>
  <si>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</si>
  <si>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</si>
  <si>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</si>
  <si>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</si>
  <si>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</si>
  <si>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</si>
  <si>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</si>
  <si>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</si>
  <si>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</si>
  <si>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</si>
  <si>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</si>
  <si>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</si>
  <si>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</si>
  <si>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</si>
  <si>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</si>
  <si>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</si>
  <si>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</si>
  <si>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</si>
  <si>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</si>
  <si>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</si>
  <si>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</si>
  <si>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</si>
  <si>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</si>
  <si>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</si>
  <si>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</si>
  <si>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</si>
  <si>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</si>
  <si>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</si>
  <si>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</si>
  <si>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</si>
  <si>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</si>
  <si>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</si>
  <si>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</si>
  <si>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</si>
  <si>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</si>
  <si>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</si>
  <si>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</si>
  <si>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</si>
  <si>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</si>
  <si>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</si>
  <si>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</si>
  <si>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</si>
  <si>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</si>
  <si>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</si>
  <si>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</si>
  <si>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</si>
  <si>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</si>
  <si>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</si>
  <si>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</si>
  <si>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</si>
  <si>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</si>
  <si>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7. Πρωτογενή κτηνοτροφικά προϊόντα</t>
  </si>
  <si>
    <t>In tons</t>
  </si>
  <si>
    <t>7. Primary livestock products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</si>
  <si>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</si>
  <si>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</si>
  <si>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</si>
  <si>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</si>
  <si>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</si>
  <si>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</si>
  <si>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</si>
  <si>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</si>
  <si>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</si>
  <si>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</si>
  <si>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</si>
  <si>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</si>
  <si>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</si>
  <si>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</si>
  <si>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</si>
  <si>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</si>
  <si>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</si>
  <si>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</si>
  <si>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</si>
  <si>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</si>
  <si>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</si>
  <si>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</si>
  <si>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</si>
  <si>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</si>
  <si>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</si>
  <si>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</si>
  <si>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</si>
  <si>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</si>
  <si>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</si>
  <si>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</si>
  <si>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</si>
  <si>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</si>
  <si>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</si>
  <si>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</si>
  <si>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</si>
  <si>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</si>
  <si>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</si>
  <si>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</si>
  <si>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</si>
  <si>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</si>
  <si>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</si>
  <si>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</si>
  <si>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</si>
  <si>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</si>
  <si>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</si>
  <si>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</si>
  <si>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</si>
  <si>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</si>
  <si>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</si>
  <si>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</si>
  <si>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</si>
  <si>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</si>
  <si>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</si>
  <si>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</si>
  <si>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</si>
  <si>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</si>
  <si>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</si>
  <si>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</si>
  <si>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</si>
  <si>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</si>
  <si>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</si>
  <si>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</si>
  <si>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</si>
  <si>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</si>
  <si>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</si>
  <si>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</si>
  <si>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</si>
  <si>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</si>
  <si>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Σε τόνους</t>
  </si>
  <si>
    <t>Γενικό σύνολο γάλακτος
Grand Total of milk</t>
  </si>
  <si>
    <t>Γάλα βουβαλιών
Milk from buffaloes</t>
  </si>
  <si>
    <t>Οικόσιτων
Domestic</t>
  </si>
  <si>
    <t>Κοπαδιάρικων
In flock</t>
  </si>
  <si>
    <t>Νομαδικών
Nomadic</t>
  </si>
  <si>
    <t>Γάλα αγελάδων
Cow milk
for human consumption</t>
  </si>
  <si>
    <r>
      <t>Σύνολο</t>
    </r>
    <r>
      <rPr>
        <b/>
        <vertAlign val="superscript"/>
        <sz val="11"/>
        <rFont val="Calibri"/>
        <family val="2"/>
        <charset val="161"/>
        <scheme val="minor"/>
      </rPr>
      <t xml:space="preserve">
</t>
    </r>
    <r>
      <rPr>
        <b/>
        <sz val="11"/>
        <rFont val="Calibri"/>
        <family val="2"/>
        <charset val="161"/>
        <scheme val="minor"/>
      </rPr>
      <t>Total</t>
    </r>
  </si>
  <si>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Για παραγωγή βοοειδών πάχυνσης, για σφαγή κλπ</t>
    </r>
  </si>
  <si>
    <t>(1) For the production of meat bovine</t>
  </si>
  <si>
    <t>—</t>
  </si>
  <si>
    <t>Γάλα βοοειδών
Bovine milk</t>
  </si>
  <si>
    <t>Γάλα προβάτων
Sheep milk</t>
  </si>
  <si>
    <t>Γάλα αιγών
Goat milk</t>
  </si>
  <si>
    <r>
      <t>Γάλα άλλων αγελάδων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Milk from other cows</t>
    </r>
    <r>
      <rPr>
        <vertAlign val="superscript"/>
        <sz val="11"/>
        <rFont val="Calibri"/>
        <family val="2"/>
        <charset val="161"/>
        <scheme val="minor"/>
      </rPr>
      <t>(1)</t>
    </r>
  </si>
  <si>
    <t>Πίνακας 7α. Παραγωγή γάλακτος για ανθρώπινη κατανάλωση, κατά Περιφέρεια και Περιφερειακή Ενότητα, 2022</t>
  </si>
  <si>
    <t>Table 7a. Milk production for human consumption, by Region and Regional Unities,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</si>
</sst>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vertAlign val="superscript"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49" fontId="4" fillId="0" borderId="0" xfId="0" applyNumberFormat="1" applyFont="1" applyAlignment="1">
      <alignment horizontal="left" wrapText="1" inden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4" xfId="0" applyNumberFormat="1" applyFont="1" applyBorder="1" applyAlignment="1">
      <alignment horizontal="right"/>
    </xf>
    <xf numFmtId="0" fontId="3" fillId="0" borderId="5" xfId="0" applyFont="1" applyBorder="1" applyAlignment="1">
      <alignment horizontal="left" indent="1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vertical="center" wrapText="1"/>
    </xf>
    <xf numFmtId="0" fontId="1" fillId="0" borderId="5" xfId="0" applyFont="1" applyBorder="1" applyAlignment="1">
      <alignment vertical="center"/>
    </xf>
    <xf numFmtId="3" fontId="4" fillId="0" borderId="0" xfId="0" applyNumberFormat="1" applyFont="1" applyAlignment="1">
      <alignment horizontal="right"/>
    </xf>
    <xf numFmtId="49" fontId="3" fillId="0" borderId="0" xfId="0" applyNumberFormat="1" applyFont="1" applyAlignment="1" applyProtection="1">
      <alignment horizontal="left" vertical="center" wrapText="1" indent="1"/>
      <protection locked="0"/>
    </xf>
    <xf numFmtId="3" fontId="4" fillId="0" borderId="4" xfId="0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49" fontId="4" fillId="0" borderId="1" xfId="0" applyNumberFormat="1" applyFont="1" applyBorder="1" applyAlignment="1">
      <alignment horizontal="left" wrapText="1" indent="1"/>
    </xf>
    <xf numFmtId="3" fontId="4" fillId="0" borderId="25" xfId="0" applyNumberFormat="1" applyFont="1" applyBorder="1" applyAlignment="1">
      <alignment horizontal="right" vertical="center" wrapText="1"/>
    </xf>
    <xf numFmtId="3" fontId="4" fillId="0" borderId="26" xfId="0" applyNumberFormat="1" applyFont="1" applyBorder="1" applyAlignment="1">
      <alignment horizontal="right"/>
    </xf>
    <xf numFmtId="0" fontId="3" fillId="0" borderId="6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4" fillId="0" borderId="7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3" fillId="0" borderId="0" xfId="0" applyNumberFormat="1" applyFont="1"/>
    <xf numFmtId="0" fontId="6" fillId="0" borderId="0" xfId="0" applyFont="1" applyAlignment="1">
      <alignment horizontal="right" vertical="center"/>
    </xf>
    <xf numFmtId="0" fontId="8" fillId="0" borderId="1" xfId="0" applyFont="1" applyBorder="1" applyAlignment="1">
      <alignment horizontal="left"/>
    </xf>
    <xf numFmtId="3" fontId="9" fillId="0" borderId="4" xfId="0" applyNumberFormat="1" applyFont="1" applyBorder="1" applyAlignment="1">
      <alignment horizontal="right" vertical="top"/>
    </xf>
    <xf numFmtId="3" fontId="9" fillId="0" borderId="0" xfId="0" applyNumberFormat="1" applyFont="1" applyAlignment="1">
      <alignment horizontal="right" vertical="top"/>
    </xf>
    <xf numFmtId="3" fontId="9" fillId="0" borderId="24" xfId="0" applyNumberFormat="1" applyFont="1" applyBorder="1" applyAlignment="1">
      <alignment horizontal="right" vertical="top"/>
    </xf>
    <xf numFmtId="3" fontId="9" fillId="0" borderId="26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8" xfId="0" applyNumberFormat="1" applyFont="1" applyBorder="1" applyAlignment="1">
      <alignment horizontal="right" vertical="top"/>
    </xf>
    <xf numFmtId="3" fontId="2" fillId="0" borderId="2" xfId="0" applyNumberFormat="1" applyFont="1" applyBorder="1" applyAlignment="1">
      <alignment horizontal="right" vertical="center"/>
    </xf>
    <xf numFmtId="3" fontId="2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3" fontId="2" fillId="0" borderId="27" xfId="0" applyNumberFormat="1" applyFont="1" applyBorder="1" applyAlignment="1">
      <alignment horizontal="right" vertical="center"/>
    </xf>
    <xf numFmtId="3" fontId="2" fillId="0" borderId="24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/>
    </xf>
    <xf numFmtId="3" fontId="9" fillId="0" borderId="27" xfId="0" applyNumberFormat="1" applyFont="1" applyBorder="1" applyAlignment="1">
      <alignment horizontal="right" vertical="top"/>
    </xf>
    <xf numFmtId="3" fontId="9" fillId="0" borderId="30" xfId="0" applyNumberFormat="1" applyFont="1" applyBorder="1" applyAlignment="1">
      <alignment horizontal="right" vertical="top"/>
    </xf>
    <xf numFmtId="0" fontId="3" fillId="0" borderId="7" xfId="0" applyFont="1" applyBorder="1" applyAlignment="1">
      <alignment vertical="center"/>
    </xf>
    <xf numFmtId="3" fontId="4" fillId="0" borderId="27" xfId="0" applyNumberFormat="1" applyFont="1" applyBorder="1" applyAlignment="1">
      <alignment horizontal="right" vertical="center" wrapText="1"/>
    </xf>
    <xf numFmtId="3" fontId="4" fillId="0" borderId="26" xfId="0" applyNumberFormat="1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3" fontId="2" fillId="0" borderId="11" xfId="0" applyNumberFormat="1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3" fontId="6" fillId="0" borderId="4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3" fontId="2" fillId="0" borderId="24" xfId="0" applyNumberFormat="1" applyFont="1" applyBorder="1" applyAlignment="1">
      <alignment horizontal="right" vertical="center" wrapText="1"/>
    </xf>
    <xf numFmtId="0" fontId="2" fillId="0" borderId="24" xfId="0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49" fontId="2" fillId="0" borderId="0" xfId="0" applyNumberFormat="1" applyFont="1" applyAlignment="1">
      <alignment horizontal="left" vertical="center" wrapText="1"/>
    </xf>
    <xf numFmtId="3" fontId="2" fillId="0" borderId="2" xfId="0" applyNumberFormat="1" applyFont="1" applyBorder="1" applyAlignment="1">
      <alignment horizontal="right" vertical="center"/>
    </xf>
    <xf numFmtId="3" fontId="2" fillId="0" borderId="24" xfId="0" applyNumberFormat="1" applyFont="1" applyBorder="1" applyAlignment="1">
      <alignment horizontal="right" vertical="center"/>
    </xf>
    <xf numFmtId="3" fontId="2" fillId="0" borderId="27" xfId="0" applyNumberFormat="1" applyFont="1" applyBorder="1" applyAlignment="1">
      <alignment horizontal="right" vertical="center"/>
    </xf>
    <xf numFmtId="49" fontId="2" fillId="0" borderId="9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3" fontId="6" fillId="0" borderId="2" xfId="0" applyNumberFormat="1" applyFont="1" applyBorder="1" applyAlignment="1">
      <alignment horizontal="right" vertical="center"/>
    </xf>
    <xf numFmtId="3" fontId="2" fillId="0" borderId="10" xfId="0" applyNumberFormat="1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3" fontId="6" fillId="0" borderId="27" xfId="0" applyNumberFormat="1" applyFont="1" applyBorder="1" applyAlignment="1">
      <alignment horizontal="right" vertical="center"/>
    </xf>
    <xf numFmtId="3" fontId="6" fillId="0" borderId="24" xfId="0" applyNumberFormat="1" applyFont="1" applyBorder="1" applyAlignment="1">
      <alignment horizontal="right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32"/>
  <sheetViews>
    <sheetView showGridLines="0" tabSelected="1" zoomScaleNormal="100" workbookViewId="0">
      <selection activeCell="L27" sqref="L27"/>
    </sheetView>
  </sheetViews>
  <sheetFormatPr defaultRowHeight="14.4" x14ac:dyDescent="0.3"/>
  <cols>
    <col min="1" max="1" width="43.109375" style="2" bestFit="1" customWidth="1"/>
    <col min="2" max="2" width="11.6640625" style="2" customWidth="1"/>
    <col min="3" max="3" width="7.5546875" style="2" bestFit="1" customWidth="1"/>
    <col min="4" max="4" width="11.5546875" style="2" bestFit="1" customWidth="1"/>
    <col min="5" max="5" width="10.77734375" style="2" bestFit="1" customWidth="1"/>
    <col min="6" max="6" width="11" style="2" customWidth="1"/>
    <col min="7" max="7" width="7.5546875" style="2" bestFit="1" customWidth="1"/>
    <col min="8" max="8" width="9.6640625" style="2" customWidth="1"/>
    <col min="9" max="9" width="12.77734375" style="2" bestFit="1" customWidth="1"/>
    <col min="10" max="10" width="10.44140625" style="2" bestFit="1" customWidth="1"/>
    <col min="11" max="11" width="7.5546875" style="2" bestFit="1" customWidth="1"/>
    <col min="12" max="12" width="9.6640625" style="2" bestFit="1" customWidth="1"/>
    <col min="13" max="13" width="12.77734375" style="2" bestFit="1" customWidth="1"/>
    <col min="14" max="14" width="10.44140625" style="2" bestFit="1" customWidth="1"/>
    <col min="15" max="15" width="12.33203125" style="2" customWidth="1"/>
    <col min="16" max="16" width="10.44140625" style="2" customWidth="1"/>
    <col min="17" max="17" width="14.77734375" style="2" customWidth="1"/>
    <col min="18" max="18" width="10.109375" style="2" customWidth="1"/>
    <col min="19" max="16384" width="8.88671875" style="2"/>
  </cols>
  <sheetData>
    <row r="2" spans="1:18" ht="18" x14ac:dyDescent="0.35">
      <c r="B2" s="70" t="s">
        <v>110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1"/>
      <c r="P2" s="1"/>
      <c r="Q2" s="1"/>
      <c r="R2" s="3"/>
    </row>
    <row r="3" spans="1:18" ht="18" x14ac:dyDescent="0.3">
      <c r="B3" s="71" t="s">
        <v>196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1"/>
      <c r="P3" s="1"/>
      <c r="Q3" s="1"/>
      <c r="R3" s="3"/>
    </row>
    <row r="4" spans="1:18" ht="18" customHeight="1" x14ac:dyDescent="0.35">
      <c r="B4" s="70" t="s">
        <v>112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1"/>
      <c r="P4" s="1"/>
      <c r="Q4" s="1"/>
      <c r="R4" s="3"/>
    </row>
    <row r="5" spans="1:18" ht="18" x14ac:dyDescent="0.3">
      <c r="B5" s="72" t="s">
        <v>197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1"/>
      <c r="P5" s="1"/>
      <c r="Q5" s="1"/>
      <c r="R5" s="3"/>
    </row>
    <row r="6" spans="1:18" ht="15" thickBot="1" x14ac:dyDescent="0.35">
      <c r="A6" s="31" t="s">
        <v>181</v>
      </c>
      <c r="B6" s="4"/>
      <c r="C6" s="4"/>
      <c r="D6" s="4"/>
      <c r="E6" s="4"/>
      <c r="F6" s="4"/>
      <c r="G6" s="64"/>
      <c r="H6" s="65"/>
      <c r="I6" s="65"/>
      <c r="J6" s="65"/>
      <c r="K6" s="66"/>
      <c r="L6" s="66"/>
      <c r="M6" s="66"/>
      <c r="N6" s="66"/>
      <c r="O6" s="5"/>
      <c r="P6" s="67" t="s">
        <v>111</v>
      </c>
      <c r="Q6" s="67"/>
      <c r="R6" s="6"/>
    </row>
    <row r="7" spans="1:18" ht="14.4" customHeight="1" x14ac:dyDescent="0.3">
      <c r="A7" s="73" t="s">
        <v>0</v>
      </c>
      <c r="B7" s="76" t="s">
        <v>182</v>
      </c>
      <c r="C7" s="51" t="s">
        <v>192</v>
      </c>
      <c r="D7" s="52"/>
      <c r="E7" s="52"/>
      <c r="F7" s="53"/>
      <c r="G7" s="51" t="s">
        <v>193</v>
      </c>
      <c r="H7" s="52"/>
      <c r="I7" s="52"/>
      <c r="J7" s="52"/>
      <c r="K7" s="51" t="s">
        <v>194</v>
      </c>
      <c r="L7" s="52"/>
      <c r="M7" s="52"/>
      <c r="N7" s="68"/>
      <c r="O7" s="79" t="s">
        <v>1</v>
      </c>
      <c r="P7" s="80"/>
      <c r="Q7" s="80"/>
    </row>
    <row r="8" spans="1:18" x14ac:dyDescent="0.3">
      <c r="A8" s="74"/>
      <c r="B8" s="77"/>
      <c r="C8" s="54"/>
      <c r="D8" s="55"/>
      <c r="E8" s="55"/>
      <c r="F8" s="56"/>
      <c r="G8" s="54"/>
      <c r="H8" s="55"/>
      <c r="I8" s="55"/>
      <c r="J8" s="55"/>
      <c r="K8" s="54"/>
      <c r="L8" s="55"/>
      <c r="M8" s="55"/>
      <c r="N8" s="69"/>
      <c r="O8" s="81"/>
      <c r="P8" s="82"/>
      <c r="Q8" s="82"/>
    </row>
    <row r="9" spans="1:18" ht="30.75" customHeight="1" x14ac:dyDescent="0.3">
      <c r="A9" s="74"/>
      <c r="B9" s="77"/>
      <c r="C9" s="59" t="s">
        <v>188</v>
      </c>
      <c r="D9" s="57" t="s">
        <v>187</v>
      </c>
      <c r="E9" s="57" t="s">
        <v>195</v>
      </c>
      <c r="F9" s="57" t="s">
        <v>183</v>
      </c>
      <c r="G9" s="59" t="s">
        <v>188</v>
      </c>
      <c r="H9" s="85" t="s">
        <v>184</v>
      </c>
      <c r="I9" s="85" t="s">
        <v>185</v>
      </c>
      <c r="J9" s="85" t="s">
        <v>186</v>
      </c>
      <c r="K9" s="59" t="s">
        <v>188</v>
      </c>
      <c r="L9" s="85" t="s">
        <v>184</v>
      </c>
      <c r="M9" s="85" t="s">
        <v>185</v>
      </c>
      <c r="N9" s="86" t="s">
        <v>186</v>
      </c>
      <c r="O9" s="81"/>
      <c r="P9" s="82"/>
      <c r="Q9" s="82"/>
    </row>
    <row r="10" spans="1:18" ht="54" customHeight="1" x14ac:dyDescent="0.3">
      <c r="A10" s="75"/>
      <c r="B10" s="78"/>
      <c r="C10" s="60"/>
      <c r="D10" s="58"/>
      <c r="E10" s="58"/>
      <c r="F10" s="58"/>
      <c r="G10" s="60"/>
      <c r="H10" s="56"/>
      <c r="I10" s="56"/>
      <c r="J10" s="56"/>
      <c r="K10" s="60"/>
      <c r="L10" s="56"/>
      <c r="M10" s="56"/>
      <c r="N10" s="69"/>
      <c r="O10" s="83"/>
      <c r="P10" s="84"/>
      <c r="Q10" s="84"/>
    </row>
    <row r="11" spans="1:18" ht="11.4" customHeight="1" x14ac:dyDescent="0.3">
      <c r="A11" s="102" t="s">
        <v>2</v>
      </c>
      <c r="B11" s="105">
        <f>SUM(B13,B21,B30,B35,B41,B48,B55,B62,B67,B74,B84,B91,B106)</f>
        <v>1879946.9109999998</v>
      </c>
      <c r="C11" s="61">
        <f>SUM(C13,C21,C30,C35,C41,C48,C55,C62,C67,C74,C84,C91,C106)</f>
        <v>606816.11400000006</v>
      </c>
      <c r="D11" s="61">
        <f>SUM(D13,D21,D30,D35,D41,D48,D55,D62,D67,D74,D84,D91,D106)</f>
        <v>600901.90599999984</v>
      </c>
      <c r="E11" s="61">
        <f>SUM(E13,E21,E30,E35,E41,E48,E55,E62,E67,E74,E84,E91,E106)</f>
        <v>2627.956999999999</v>
      </c>
      <c r="F11" s="96">
        <f t="shared" ref="F11:N11" si="0">SUM(F13,F21,F30,F35,F41,F48,F55,F62,F67,F74,F84,F91,F106)</f>
        <v>3286.2510000000002</v>
      </c>
      <c r="G11" s="89">
        <f t="shared" si="0"/>
        <v>893102.33399999992</v>
      </c>
      <c r="H11" s="89">
        <f t="shared" si="0"/>
        <v>22050.688000000002</v>
      </c>
      <c r="I11" s="89">
        <f>SUM(I13,I21,I30,I35,I41,I48,I55,I62,I67,I74,I84,I91,I106)</f>
        <v>858135.21900000004</v>
      </c>
      <c r="J11" s="89">
        <f t="shared" si="0"/>
        <v>12916.427</v>
      </c>
      <c r="K11" s="61">
        <f t="shared" si="0"/>
        <v>380028.46299999999</v>
      </c>
      <c r="L11" s="96">
        <f t="shared" si="0"/>
        <v>17899.037</v>
      </c>
      <c r="M11" s="89">
        <f t="shared" si="0"/>
        <v>357885.35700000008</v>
      </c>
      <c r="N11" s="87">
        <f t="shared" si="0"/>
        <v>4244.0689999999995</v>
      </c>
      <c r="O11" s="91" t="s">
        <v>3</v>
      </c>
      <c r="P11" s="92"/>
      <c r="Q11" s="92"/>
    </row>
    <row r="12" spans="1:18" x14ac:dyDescent="0.3">
      <c r="A12" s="103"/>
      <c r="B12" s="106"/>
      <c r="C12" s="62"/>
      <c r="D12" s="62"/>
      <c r="E12" s="62"/>
      <c r="F12" s="97"/>
      <c r="G12" s="90"/>
      <c r="H12" s="90"/>
      <c r="I12" s="90"/>
      <c r="J12" s="90"/>
      <c r="K12" s="95"/>
      <c r="L12" s="97"/>
      <c r="M12" s="90"/>
      <c r="N12" s="88"/>
      <c r="O12" s="93"/>
      <c r="P12" s="94"/>
      <c r="Q12" s="94"/>
    </row>
    <row r="13" spans="1:18" ht="14.4" customHeight="1" x14ac:dyDescent="0.3">
      <c r="A13" s="103" t="s">
        <v>4</v>
      </c>
      <c r="B13" s="104">
        <f>SUM(B15:B20)</f>
        <v>149905.45899999997</v>
      </c>
      <c r="C13" s="63">
        <f>SUM(C15:C20)</f>
        <v>73621.304000000004</v>
      </c>
      <c r="D13" s="63">
        <f>SUM(D15:D20)</f>
        <v>72825.822</v>
      </c>
      <c r="E13" s="63">
        <f>SUM(E15:E20)</f>
        <v>795.48199999999997</v>
      </c>
      <c r="F13" s="109">
        <f t="shared" ref="F13" si="1">SUM(F15:F20)</f>
        <v>0</v>
      </c>
      <c r="G13" s="63">
        <f>SUM(G15:G20)</f>
        <v>46134.67</v>
      </c>
      <c r="H13" s="63">
        <f t="shared" ref="H13:J13" si="2">SUM(H15:H20)</f>
        <v>1772.7359999999999</v>
      </c>
      <c r="I13" s="63">
        <f>SUM(I15:I20)</f>
        <v>44361.933999999994</v>
      </c>
      <c r="J13" s="63">
        <f t="shared" si="2"/>
        <v>0</v>
      </c>
      <c r="K13" s="63">
        <f>SUM(K15:K20)</f>
        <v>30149.485000000004</v>
      </c>
      <c r="L13" s="109">
        <f>SUM(L15:L20)</f>
        <v>1396.298</v>
      </c>
      <c r="M13" s="63">
        <f t="shared" ref="M13:N13" si="3">SUM(M15:M20)</f>
        <v>28683.587000000003</v>
      </c>
      <c r="N13" s="110">
        <f t="shared" si="3"/>
        <v>69.599999999999994</v>
      </c>
      <c r="O13" s="93" t="s">
        <v>5</v>
      </c>
      <c r="P13" s="94"/>
      <c r="Q13" s="94"/>
    </row>
    <row r="14" spans="1:18" ht="12" customHeight="1" x14ac:dyDescent="0.3">
      <c r="A14" s="103"/>
      <c r="B14" s="104"/>
      <c r="C14" s="63"/>
      <c r="D14" s="63"/>
      <c r="E14" s="63"/>
      <c r="F14" s="109"/>
      <c r="G14" s="63"/>
      <c r="H14" s="63"/>
      <c r="I14" s="63"/>
      <c r="J14" s="63"/>
      <c r="K14" s="63"/>
      <c r="L14" s="109"/>
      <c r="M14" s="63"/>
      <c r="N14" s="110"/>
      <c r="O14" s="93"/>
      <c r="P14" s="94"/>
      <c r="Q14" s="94"/>
    </row>
    <row r="15" spans="1:18" x14ac:dyDescent="0.3">
      <c r="A15" s="7" t="s">
        <v>113</v>
      </c>
      <c r="B15" s="8">
        <f>SUM(D15:G15,K15)</f>
        <v>29890.649999999998</v>
      </c>
      <c r="C15" s="48">
        <f>SUM(D15:F15)</f>
        <v>15068.294</v>
      </c>
      <c r="D15" s="32">
        <v>14627.842000000001</v>
      </c>
      <c r="E15" s="32">
        <v>440.452</v>
      </c>
      <c r="F15" s="45" t="s">
        <v>191</v>
      </c>
      <c r="G15" s="9">
        <f>SUM(H15:J15)</f>
        <v>9207.9709999999995</v>
      </c>
      <c r="H15" s="32">
        <v>15.48</v>
      </c>
      <c r="I15" s="33">
        <v>9192.491</v>
      </c>
      <c r="J15" s="32" t="s">
        <v>191</v>
      </c>
      <c r="K15" s="9">
        <f>SUM(L15:N15)</f>
        <v>5614.3849999999993</v>
      </c>
      <c r="L15" s="32">
        <v>9.9</v>
      </c>
      <c r="M15" s="33">
        <v>5604.4849999999997</v>
      </c>
      <c r="N15" s="34" t="s">
        <v>191</v>
      </c>
      <c r="O15" s="10" t="s">
        <v>6</v>
      </c>
      <c r="P15" s="11"/>
      <c r="Q15" s="11"/>
    </row>
    <row r="16" spans="1:18" x14ac:dyDescent="0.3">
      <c r="A16" s="7" t="s">
        <v>114</v>
      </c>
      <c r="B16" s="8">
        <f>SUM(D16:G16,K16)</f>
        <v>30299.218999999997</v>
      </c>
      <c r="C16" s="48">
        <f>SUM(D16:F16)</f>
        <v>14238.509</v>
      </c>
      <c r="D16" s="32">
        <v>14238.5</v>
      </c>
      <c r="E16" s="32">
        <v>8.9999999999999993E-3</v>
      </c>
      <c r="F16" s="45" t="s">
        <v>191</v>
      </c>
      <c r="G16" s="9">
        <f t="shared" ref="G16:G20" si="4">SUM(H16:J16)</f>
        <v>10519.199999999999</v>
      </c>
      <c r="H16" s="32">
        <v>592.14</v>
      </c>
      <c r="I16" s="33">
        <v>9927.06</v>
      </c>
      <c r="J16" s="32" t="s">
        <v>191</v>
      </c>
      <c r="K16" s="9">
        <f t="shared" ref="K16:K20" si="5">SUM(L16:N16)</f>
        <v>5541.51</v>
      </c>
      <c r="L16" s="32">
        <v>11.27</v>
      </c>
      <c r="M16" s="33">
        <v>5530.24</v>
      </c>
      <c r="N16" s="34" t="s">
        <v>191</v>
      </c>
      <c r="O16" s="10" t="s">
        <v>7</v>
      </c>
      <c r="P16" s="11"/>
      <c r="Q16" s="11"/>
    </row>
    <row r="17" spans="1:17" x14ac:dyDescent="0.3">
      <c r="A17" s="7" t="s">
        <v>115</v>
      </c>
      <c r="B17" s="8">
        <f t="shared" ref="B17:B20" si="6">SUM(D17:G17,K17)</f>
        <v>20741.072</v>
      </c>
      <c r="C17" s="48">
        <f t="shared" ref="C16:C20" si="7">SUM(D17:F17)</f>
        <v>4924.4610000000002</v>
      </c>
      <c r="D17" s="32">
        <v>4924.45</v>
      </c>
      <c r="E17" s="32">
        <v>1.0999999999999999E-2</v>
      </c>
      <c r="F17" s="45" t="s">
        <v>191</v>
      </c>
      <c r="G17" s="9">
        <f t="shared" si="4"/>
        <v>8429.384</v>
      </c>
      <c r="H17" s="32">
        <v>1165.116</v>
      </c>
      <c r="I17" s="33">
        <v>7264.268</v>
      </c>
      <c r="J17" s="32" t="s">
        <v>191</v>
      </c>
      <c r="K17" s="9">
        <f t="shared" si="5"/>
        <v>7387.2269999999999</v>
      </c>
      <c r="L17" s="32">
        <v>1375.1279999999999</v>
      </c>
      <c r="M17" s="33">
        <v>6012.0990000000002</v>
      </c>
      <c r="N17" s="34" t="s">
        <v>191</v>
      </c>
      <c r="O17" s="10" t="s">
        <v>8</v>
      </c>
      <c r="P17" s="11"/>
      <c r="Q17" s="11"/>
    </row>
    <row r="18" spans="1:17" x14ac:dyDescent="0.3">
      <c r="A18" s="7" t="s">
        <v>116</v>
      </c>
      <c r="B18" s="8">
        <f t="shared" si="6"/>
        <v>2585.84</v>
      </c>
      <c r="C18" s="48">
        <f t="shared" si="7"/>
        <v>0</v>
      </c>
      <c r="D18" s="32" t="s">
        <v>191</v>
      </c>
      <c r="E18" s="32" t="s">
        <v>191</v>
      </c>
      <c r="F18" s="45" t="s">
        <v>191</v>
      </c>
      <c r="G18" s="9">
        <f t="shared" si="4"/>
        <v>1613.44</v>
      </c>
      <c r="H18" s="32" t="s">
        <v>191</v>
      </c>
      <c r="I18" s="33">
        <v>1613.44</v>
      </c>
      <c r="J18" s="32" t="s">
        <v>191</v>
      </c>
      <c r="K18" s="9">
        <f t="shared" si="5"/>
        <v>972.4</v>
      </c>
      <c r="L18" s="32" t="s">
        <v>191</v>
      </c>
      <c r="M18" s="33">
        <v>972.4</v>
      </c>
      <c r="N18" s="34" t="s">
        <v>191</v>
      </c>
      <c r="O18" s="10" t="s">
        <v>9</v>
      </c>
      <c r="P18" s="11"/>
      <c r="Q18" s="11"/>
    </row>
    <row r="19" spans="1:17" x14ac:dyDescent="0.3">
      <c r="A19" s="7" t="s">
        <v>117</v>
      </c>
      <c r="B19" s="8">
        <f t="shared" si="6"/>
        <v>16928.931</v>
      </c>
      <c r="C19" s="48">
        <f t="shared" si="7"/>
        <v>6025.9809999999998</v>
      </c>
      <c r="D19" s="32">
        <v>5670.98</v>
      </c>
      <c r="E19" s="32">
        <v>355.00099999999998</v>
      </c>
      <c r="F19" s="45" t="s">
        <v>191</v>
      </c>
      <c r="G19" s="9">
        <f t="shared" si="4"/>
        <v>5157.9750000000004</v>
      </c>
      <c r="H19" s="32" t="s">
        <v>191</v>
      </c>
      <c r="I19" s="33">
        <v>5157.9750000000004</v>
      </c>
      <c r="J19" s="32" t="s">
        <v>191</v>
      </c>
      <c r="K19" s="9">
        <f t="shared" si="5"/>
        <v>5744.9750000000004</v>
      </c>
      <c r="L19" s="32" t="s">
        <v>191</v>
      </c>
      <c r="M19" s="33">
        <v>5675.375</v>
      </c>
      <c r="N19" s="34">
        <v>69.599999999999994</v>
      </c>
      <c r="O19" s="10" t="s">
        <v>10</v>
      </c>
      <c r="P19" s="11"/>
      <c r="Q19" s="11"/>
    </row>
    <row r="20" spans="1:17" x14ac:dyDescent="0.3">
      <c r="A20" s="7" t="s">
        <v>118</v>
      </c>
      <c r="B20" s="8">
        <f t="shared" si="6"/>
        <v>49459.747000000003</v>
      </c>
      <c r="C20" s="48">
        <f t="shared" si="7"/>
        <v>33364.059000000001</v>
      </c>
      <c r="D20" s="32">
        <v>33364.050000000003</v>
      </c>
      <c r="E20" s="32">
        <v>8.9999999999999993E-3</v>
      </c>
      <c r="F20" s="45" t="s">
        <v>191</v>
      </c>
      <c r="G20" s="9">
        <f t="shared" si="4"/>
        <v>11206.7</v>
      </c>
      <c r="H20" s="32" t="s">
        <v>191</v>
      </c>
      <c r="I20" s="33">
        <v>11206.7</v>
      </c>
      <c r="J20" s="32" t="s">
        <v>191</v>
      </c>
      <c r="K20" s="9">
        <f t="shared" si="5"/>
        <v>4888.9880000000003</v>
      </c>
      <c r="L20" s="32" t="s">
        <v>191</v>
      </c>
      <c r="M20" s="33">
        <v>4888.9880000000003</v>
      </c>
      <c r="N20" s="34" t="s">
        <v>191</v>
      </c>
      <c r="O20" s="10" t="s">
        <v>11</v>
      </c>
      <c r="P20" s="11"/>
      <c r="Q20" s="11"/>
    </row>
    <row r="21" spans="1:17" x14ac:dyDescent="0.3">
      <c r="A21" s="98" t="s">
        <v>12</v>
      </c>
      <c r="B21" s="99">
        <f>SUM(B23:B29)</f>
        <v>493006.90499999991</v>
      </c>
      <c r="C21" s="50">
        <f>SUM(C23:C29)</f>
        <v>311139.52900000004</v>
      </c>
      <c r="D21" s="50">
        <f>SUM(D23:D29)</f>
        <v>307257.06799999997</v>
      </c>
      <c r="E21" s="50">
        <f>SUM(E23:E29)</f>
        <v>600.44100000000003</v>
      </c>
      <c r="F21" s="101">
        <f t="shared" ref="F21" si="8">SUM(F23:F29)</f>
        <v>3282.02</v>
      </c>
      <c r="G21" s="50">
        <f>SUM(G23:G29)</f>
        <v>113983.38099999999</v>
      </c>
      <c r="H21" s="50">
        <f>SUM(H23:H29)</f>
        <v>1217.7600000000002</v>
      </c>
      <c r="I21" s="50">
        <f t="shared" ref="I21:J21" si="9">SUM(I23:I29)</f>
        <v>112709.62100000001</v>
      </c>
      <c r="J21" s="50">
        <f t="shared" si="9"/>
        <v>56</v>
      </c>
      <c r="K21" s="50">
        <f>SUM(K23:K29)</f>
        <v>67883.994999999995</v>
      </c>
      <c r="L21" s="101">
        <f t="shared" ref="L21:N21" si="10">SUM(L23:L29)</f>
        <v>804.10199999999998</v>
      </c>
      <c r="M21" s="50">
        <f t="shared" si="10"/>
        <v>66992.392999999996</v>
      </c>
      <c r="N21" s="100">
        <f t="shared" si="10"/>
        <v>87.5</v>
      </c>
      <c r="O21" s="111" t="s">
        <v>13</v>
      </c>
      <c r="P21" s="112"/>
      <c r="Q21" s="112"/>
    </row>
    <row r="22" spans="1:17" x14ac:dyDescent="0.3">
      <c r="A22" s="98"/>
      <c r="B22" s="99"/>
      <c r="C22" s="50"/>
      <c r="D22" s="50"/>
      <c r="E22" s="50"/>
      <c r="F22" s="101"/>
      <c r="G22" s="50"/>
      <c r="H22" s="50"/>
      <c r="I22" s="50"/>
      <c r="J22" s="50"/>
      <c r="K22" s="50"/>
      <c r="L22" s="101"/>
      <c r="M22" s="50"/>
      <c r="N22" s="100"/>
      <c r="O22" s="111"/>
      <c r="P22" s="112"/>
      <c r="Q22" s="112"/>
    </row>
    <row r="23" spans="1:17" x14ac:dyDescent="0.3">
      <c r="A23" s="7" t="s">
        <v>119</v>
      </c>
      <c r="B23" s="8">
        <f t="shared" ref="B23:B29" si="11">SUM(D23:G23,K23)</f>
        <v>183678.065</v>
      </c>
      <c r="C23" s="48">
        <f t="shared" ref="C23:C29" si="12">SUM(D23:F23)</f>
        <v>151059.223</v>
      </c>
      <c r="D23" s="32">
        <v>151059.20000000001</v>
      </c>
      <c r="E23" s="32">
        <v>2.3E-2</v>
      </c>
      <c r="F23" s="45" t="s">
        <v>191</v>
      </c>
      <c r="G23" s="9">
        <f t="shared" ref="G23:G29" si="13">SUM(H23:J23)</f>
        <v>17587.414000000001</v>
      </c>
      <c r="H23" s="32" t="s">
        <v>191</v>
      </c>
      <c r="I23" s="33">
        <v>17587.414000000001</v>
      </c>
      <c r="J23" s="32" t="s">
        <v>191</v>
      </c>
      <c r="K23" s="9">
        <f t="shared" ref="K23:K29" si="14">SUM(L23:N23)</f>
        <v>15031.428</v>
      </c>
      <c r="L23" s="32" t="s">
        <v>191</v>
      </c>
      <c r="M23" s="33">
        <v>15031.428</v>
      </c>
      <c r="N23" s="34" t="s">
        <v>191</v>
      </c>
      <c r="O23" s="10" t="s">
        <v>14</v>
      </c>
      <c r="P23" s="11"/>
      <c r="Q23" s="11"/>
    </row>
    <row r="24" spans="1:17" x14ac:dyDescent="0.3">
      <c r="A24" s="7" t="s">
        <v>120</v>
      </c>
      <c r="B24" s="8">
        <f t="shared" si="11"/>
        <v>15836.607</v>
      </c>
      <c r="C24" s="48">
        <f t="shared" si="12"/>
        <v>6392.2069999999994</v>
      </c>
      <c r="D24" s="32">
        <v>5910.7</v>
      </c>
      <c r="E24" s="32">
        <v>481.50700000000001</v>
      </c>
      <c r="F24" s="45" t="s">
        <v>191</v>
      </c>
      <c r="G24" s="9">
        <f t="shared" si="13"/>
        <v>5613.1</v>
      </c>
      <c r="H24" s="32" t="s">
        <v>191</v>
      </c>
      <c r="I24" s="33">
        <v>5613.1</v>
      </c>
      <c r="J24" s="32" t="s">
        <v>191</v>
      </c>
      <c r="K24" s="9">
        <f t="shared" si="14"/>
        <v>3831.3</v>
      </c>
      <c r="L24" s="32">
        <v>1</v>
      </c>
      <c r="M24" s="33">
        <v>3760.3</v>
      </c>
      <c r="N24" s="34">
        <v>70</v>
      </c>
      <c r="O24" s="10" t="s">
        <v>15</v>
      </c>
      <c r="P24" s="11"/>
      <c r="Q24" s="11"/>
    </row>
    <row r="25" spans="1:17" x14ac:dyDescent="0.3">
      <c r="A25" s="7" t="s">
        <v>121</v>
      </c>
      <c r="B25" s="8">
        <f t="shared" si="11"/>
        <v>70156.880999999994</v>
      </c>
      <c r="C25" s="48">
        <f t="shared" si="12"/>
        <v>42835.360999999997</v>
      </c>
      <c r="D25" s="32">
        <v>42835.345999999998</v>
      </c>
      <c r="E25" s="32">
        <v>1.4999999999999999E-2</v>
      </c>
      <c r="F25" s="45" t="s">
        <v>191</v>
      </c>
      <c r="G25" s="9">
        <f t="shared" si="13"/>
        <v>19602.13</v>
      </c>
      <c r="H25" s="32" t="s">
        <v>191</v>
      </c>
      <c r="I25" s="33">
        <v>19602.13</v>
      </c>
      <c r="J25" s="32" t="s">
        <v>191</v>
      </c>
      <c r="K25" s="9">
        <f t="shared" si="14"/>
        <v>7719.39</v>
      </c>
      <c r="L25" s="32">
        <v>121.22</v>
      </c>
      <c r="M25" s="33">
        <v>7598.17</v>
      </c>
      <c r="N25" s="34" t="s">
        <v>191</v>
      </c>
      <c r="O25" s="10" t="s">
        <v>16</v>
      </c>
      <c r="P25" s="11"/>
      <c r="Q25" s="11"/>
    </row>
    <row r="26" spans="1:17" x14ac:dyDescent="0.3">
      <c r="A26" s="7" t="s">
        <v>122</v>
      </c>
      <c r="B26" s="8">
        <f t="shared" si="11"/>
        <v>35699.262999999999</v>
      </c>
      <c r="C26" s="48">
        <f t="shared" si="12"/>
        <v>14075.261</v>
      </c>
      <c r="D26" s="32">
        <v>14075.25</v>
      </c>
      <c r="E26" s="32">
        <v>1.0999999999999999E-2</v>
      </c>
      <c r="F26" s="45" t="s">
        <v>191</v>
      </c>
      <c r="G26" s="9">
        <f t="shared" si="13"/>
        <v>15498.437</v>
      </c>
      <c r="H26" s="32">
        <v>55.96</v>
      </c>
      <c r="I26" s="33">
        <v>15442.477000000001</v>
      </c>
      <c r="J26" s="32" t="s">
        <v>191</v>
      </c>
      <c r="K26" s="9">
        <f t="shared" si="14"/>
        <v>6125.5649999999996</v>
      </c>
      <c r="L26" s="32">
        <v>70.632000000000005</v>
      </c>
      <c r="M26" s="33">
        <v>6054.933</v>
      </c>
      <c r="N26" s="34" t="s">
        <v>191</v>
      </c>
      <c r="O26" s="10" t="s">
        <v>17</v>
      </c>
      <c r="P26" s="11"/>
      <c r="Q26" s="11"/>
    </row>
    <row r="27" spans="1:17" x14ac:dyDescent="0.3">
      <c r="A27" s="7" t="s">
        <v>123</v>
      </c>
      <c r="B27" s="8">
        <f t="shared" si="11"/>
        <v>46078.542999999998</v>
      </c>
      <c r="C27" s="48">
        <f t="shared" si="12"/>
        <v>12213.808999999999</v>
      </c>
      <c r="D27" s="32">
        <v>12213.8</v>
      </c>
      <c r="E27" s="32">
        <v>8.9999999999999993E-3</v>
      </c>
      <c r="F27" s="45" t="s">
        <v>191</v>
      </c>
      <c r="G27" s="9">
        <f t="shared" si="13"/>
        <v>23561.734</v>
      </c>
      <c r="H27" s="32">
        <v>40.054000000000002</v>
      </c>
      <c r="I27" s="33">
        <v>23465.68</v>
      </c>
      <c r="J27" s="32">
        <v>56</v>
      </c>
      <c r="K27" s="9">
        <f t="shared" si="14"/>
        <v>10303</v>
      </c>
      <c r="L27" s="32">
        <v>140.91999999999999</v>
      </c>
      <c r="M27" s="33">
        <v>10144.58</v>
      </c>
      <c r="N27" s="34">
        <v>17.5</v>
      </c>
      <c r="O27" s="10" t="s">
        <v>18</v>
      </c>
      <c r="P27" s="11"/>
      <c r="Q27" s="11"/>
    </row>
    <row r="28" spans="1:17" x14ac:dyDescent="0.3">
      <c r="A28" s="7" t="s">
        <v>124</v>
      </c>
      <c r="B28" s="8">
        <f t="shared" si="11"/>
        <v>127018.742</v>
      </c>
      <c r="C28" s="48">
        <f t="shared" si="12"/>
        <v>83863.216000000015</v>
      </c>
      <c r="D28" s="32">
        <v>80581.172000000006</v>
      </c>
      <c r="E28" s="32">
        <v>2.4E-2</v>
      </c>
      <c r="F28" s="45">
        <v>3282.02</v>
      </c>
      <c r="G28" s="9">
        <f t="shared" si="13"/>
        <v>26479.315999999999</v>
      </c>
      <c r="H28" s="32">
        <v>1121.7460000000001</v>
      </c>
      <c r="I28" s="33">
        <v>25357.57</v>
      </c>
      <c r="J28" s="32" t="s">
        <v>191</v>
      </c>
      <c r="K28" s="9">
        <f t="shared" si="14"/>
        <v>16676.21</v>
      </c>
      <c r="L28" s="32">
        <v>470.33</v>
      </c>
      <c r="M28" s="33">
        <v>16205.88</v>
      </c>
      <c r="N28" s="34" t="s">
        <v>191</v>
      </c>
      <c r="O28" s="10" t="s">
        <v>19</v>
      </c>
      <c r="P28" s="11"/>
      <c r="Q28" s="11"/>
    </row>
    <row r="29" spans="1:17" x14ac:dyDescent="0.3">
      <c r="A29" s="7" t="s">
        <v>125</v>
      </c>
      <c r="B29" s="8">
        <f t="shared" si="11"/>
        <v>14538.804</v>
      </c>
      <c r="C29" s="48">
        <f t="shared" si="12"/>
        <v>700.452</v>
      </c>
      <c r="D29" s="32">
        <v>581.6</v>
      </c>
      <c r="E29" s="32">
        <v>118.852</v>
      </c>
      <c r="F29" s="45" t="s">
        <v>191</v>
      </c>
      <c r="G29" s="9">
        <f t="shared" si="13"/>
        <v>5641.25</v>
      </c>
      <c r="H29" s="32" t="s">
        <v>191</v>
      </c>
      <c r="I29" s="33">
        <v>5641.25</v>
      </c>
      <c r="J29" s="32" t="s">
        <v>191</v>
      </c>
      <c r="K29" s="9">
        <f t="shared" si="14"/>
        <v>8197.1020000000008</v>
      </c>
      <c r="L29" s="32" t="s">
        <v>191</v>
      </c>
      <c r="M29" s="33">
        <v>8197.1020000000008</v>
      </c>
      <c r="N29" s="34" t="s">
        <v>191</v>
      </c>
      <c r="O29" s="10" t="s">
        <v>20</v>
      </c>
      <c r="P29" s="11"/>
      <c r="Q29" s="11"/>
    </row>
    <row r="30" spans="1:17" ht="24" customHeight="1" x14ac:dyDescent="0.3">
      <c r="A30" s="12" t="s">
        <v>179</v>
      </c>
      <c r="B30" s="38">
        <f t="shared" ref="B30:H30" si="15">SUM(B31:B34)</f>
        <v>109729.23199999999</v>
      </c>
      <c r="C30" s="39">
        <f t="shared" si="15"/>
        <v>41250.707999999999</v>
      </c>
      <c r="D30" s="39">
        <f t="shared" si="15"/>
        <v>41250.654000000002</v>
      </c>
      <c r="E30" s="39">
        <f t="shared" si="15"/>
        <v>5.3999999999999999E-2</v>
      </c>
      <c r="F30" s="42">
        <f t="shared" si="15"/>
        <v>0</v>
      </c>
      <c r="G30" s="39">
        <f t="shared" si="15"/>
        <v>48618.687000000005</v>
      </c>
      <c r="H30" s="39">
        <f t="shared" si="15"/>
        <v>7</v>
      </c>
      <c r="I30" s="39">
        <f t="shared" ref="I30:J30" si="16">SUM(I31:I34)</f>
        <v>48611.686999999998</v>
      </c>
      <c r="J30" s="39">
        <f t="shared" si="16"/>
        <v>0</v>
      </c>
      <c r="K30" s="39">
        <f>SUM(K31:K34)</f>
        <v>19859.837</v>
      </c>
      <c r="L30" s="42">
        <f t="shared" ref="L30:N30" si="17">SUM(L31:L34)</f>
        <v>2.1999999999999997</v>
      </c>
      <c r="M30" s="39">
        <f t="shared" si="17"/>
        <v>19857.636999999999</v>
      </c>
      <c r="N30" s="43">
        <f t="shared" si="17"/>
        <v>0</v>
      </c>
      <c r="O30" s="13" t="s">
        <v>180</v>
      </c>
      <c r="P30" s="11"/>
      <c r="Q30" s="11"/>
    </row>
    <row r="31" spans="1:17" x14ac:dyDescent="0.3">
      <c r="A31" s="7" t="s">
        <v>126</v>
      </c>
      <c r="B31" s="8">
        <f t="shared" ref="B31:B34" si="18">SUM(D31:G31,K31)</f>
        <v>41148.437999999995</v>
      </c>
      <c r="C31" s="48">
        <f t="shared" ref="C31:C34" si="19">SUM(D31:F31)</f>
        <v>22155.982</v>
      </c>
      <c r="D31" s="32">
        <v>22155.964</v>
      </c>
      <c r="E31" s="32">
        <v>1.7999999999999999E-2</v>
      </c>
      <c r="F31" s="45" t="s">
        <v>191</v>
      </c>
      <c r="G31" s="9">
        <f t="shared" ref="G31:G34" si="20">SUM(H31:J31)</f>
        <v>12841.707</v>
      </c>
      <c r="H31" s="32">
        <v>3.9</v>
      </c>
      <c r="I31" s="33">
        <v>12837.807000000001</v>
      </c>
      <c r="J31" s="32" t="s">
        <v>191</v>
      </c>
      <c r="K31" s="9">
        <f t="shared" ref="K31:K34" si="21">SUM(L31:N31)</f>
        <v>6150.7489999999998</v>
      </c>
      <c r="L31" s="32">
        <v>1.2</v>
      </c>
      <c r="M31" s="33">
        <v>6149.549</v>
      </c>
      <c r="N31" s="34" t="s">
        <v>191</v>
      </c>
      <c r="O31" s="10" t="s">
        <v>21</v>
      </c>
      <c r="P31" s="11"/>
      <c r="Q31" s="11"/>
    </row>
    <row r="32" spans="1:17" x14ac:dyDescent="0.3">
      <c r="A32" s="7" t="s">
        <v>127</v>
      </c>
      <c r="B32" s="8">
        <f t="shared" si="18"/>
        <v>18458.393</v>
      </c>
      <c r="C32" s="48">
        <f t="shared" si="19"/>
        <v>3041.1529999999998</v>
      </c>
      <c r="D32" s="32">
        <v>3041.14</v>
      </c>
      <c r="E32" s="32">
        <v>1.2999999999999999E-2</v>
      </c>
      <c r="F32" s="45" t="s">
        <v>191</v>
      </c>
      <c r="G32" s="9">
        <f t="shared" si="20"/>
        <v>9475.1200000000008</v>
      </c>
      <c r="H32" s="32">
        <v>2.2000000000000002</v>
      </c>
      <c r="I32" s="33">
        <v>9472.92</v>
      </c>
      <c r="J32" s="32" t="s">
        <v>191</v>
      </c>
      <c r="K32" s="9">
        <f t="shared" si="21"/>
        <v>5942.12</v>
      </c>
      <c r="L32" s="32">
        <v>0.7</v>
      </c>
      <c r="M32" s="33">
        <v>5941.42</v>
      </c>
      <c r="N32" s="34" t="s">
        <v>191</v>
      </c>
      <c r="O32" s="10" t="s">
        <v>22</v>
      </c>
      <c r="P32" s="11"/>
      <c r="Q32" s="11"/>
    </row>
    <row r="33" spans="1:17" x14ac:dyDescent="0.3">
      <c r="A33" s="7" t="s">
        <v>128</v>
      </c>
      <c r="B33" s="8">
        <f t="shared" si="18"/>
        <v>13476.262999999999</v>
      </c>
      <c r="C33" s="48">
        <f t="shared" si="19"/>
        <v>1083.463</v>
      </c>
      <c r="D33" s="32">
        <v>1083.45</v>
      </c>
      <c r="E33" s="32">
        <v>1.2999999999999999E-2</v>
      </c>
      <c r="F33" s="45" t="s">
        <v>191</v>
      </c>
      <c r="G33" s="9">
        <f t="shared" si="20"/>
        <v>9936.93</v>
      </c>
      <c r="H33" s="32">
        <v>0.9</v>
      </c>
      <c r="I33" s="33">
        <v>9936.0300000000007</v>
      </c>
      <c r="J33" s="32" t="s">
        <v>191</v>
      </c>
      <c r="K33" s="9">
        <f t="shared" si="21"/>
        <v>2455.87</v>
      </c>
      <c r="L33" s="32" t="s">
        <v>191</v>
      </c>
      <c r="M33" s="33">
        <v>2455.87</v>
      </c>
      <c r="N33" s="34" t="s">
        <v>191</v>
      </c>
      <c r="O33" s="10" t="s">
        <v>23</v>
      </c>
      <c r="P33" s="11"/>
      <c r="Q33" s="11"/>
    </row>
    <row r="34" spans="1:17" x14ac:dyDescent="0.3">
      <c r="A34" s="7" t="s">
        <v>129</v>
      </c>
      <c r="B34" s="8">
        <f t="shared" si="18"/>
        <v>36646.137999999999</v>
      </c>
      <c r="C34" s="48">
        <f t="shared" si="19"/>
        <v>14970.11</v>
      </c>
      <c r="D34" s="32">
        <v>14970.1</v>
      </c>
      <c r="E34" s="32">
        <v>0.01</v>
      </c>
      <c r="F34" s="45" t="s">
        <v>191</v>
      </c>
      <c r="G34" s="9">
        <f t="shared" si="20"/>
        <v>16364.93</v>
      </c>
      <c r="H34" s="32" t="s">
        <v>191</v>
      </c>
      <c r="I34" s="33">
        <v>16364.93</v>
      </c>
      <c r="J34" s="32" t="s">
        <v>191</v>
      </c>
      <c r="K34" s="9">
        <f t="shared" si="21"/>
        <v>5311.098</v>
      </c>
      <c r="L34" s="32">
        <v>0.3</v>
      </c>
      <c r="M34" s="33">
        <v>5310.7979999999998</v>
      </c>
      <c r="N34" s="34" t="s">
        <v>191</v>
      </c>
      <c r="O34" s="10" t="s">
        <v>24</v>
      </c>
      <c r="P34" s="11"/>
      <c r="Q34" s="11"/>
    </row>
    <row r="35" spans="1:17" x14ac:dyDescent="0.3">
      <c r="A35" s="98" t="s">
        <v>25</v>
      </c>
      <c r="B35" s="99">
        <f t="shared" ref="B35:H35" si="22">SUM(B37:B40)</f>
        <v>96337.66</v>
      </c>
      <c r="C35" s="50">
        <f t="shared" ref="C35" si="23">SUM(C37:C40)</f>
        <v>20162.967000000001</v>
      </c>
      <c r="D35" s="50">
        <f t="shared" si="22"/>
        <v>19444.400000000001</v>
      </c>
      <c r="E35" s="50">
        <f t="shared" si="22"/>
        <v>718.56700000000001</v>
      </c>
      <c r="F35" s="101">
        <f t="shared" si="22"/>
        <v>0</v>
      </c>
      <c r="G35" s="50">
        <f t="shared" si="22"/>
        <v>61678.161999999997</v>
      </c>
      <c r="H35" s="50">
        <f t="shared" si="22"/>
        <v>980.09099999999989</v>
      </c>
      <c r="I35" s="50">
        <f t="shared" ref="I35:J35" si="24">SUM(I37:I40)</f>
        <v>59665.870999999999</v>
      </c>
      <c r="J35" s="50">
        <f t="shared" si="24"/>
        <v>1032.2</v>
      </c>
      <c r="K35" s="50">
        <f>SUM(K37:K40)</f>
        <v>14496.530999999999</v>
      </c>
      <c r="L35" s="101">
        <f>SUM(L37:L40)</f>
        <v>347.97</v>
      </c>
      <c r="M35" s="50">
        <f t="shared" ref="M35:N35" si="25">SUM(M37:M40)</f>
        <v>13792.800999999999</v>
      </c>
      <c r="N35" s="100">
        <f t="shared" si="25"/>
        <v>355.76</v>
      </c>
      <c r="O35" s="107" t="s">
        <v>26</v>
      </c>
      <c r="P35" s="108"/>
      <c r="Q35" s="108"/>
    </row>
    <row r="36" spans="1:17" x14ac:dyDescent="0.3">
      <c r="A36" s="98"/>
      <c r="B36" s="99"/>
      <c r="C36" s="50"/>
      <c r="D36" s="50"/>
      <c r="E36" s="50"/>
      <c r="F36" s="101"/>
      <c r="G36" s="50"/>
      <c r="H36" s="50"/>
      <c r="I36" s="50"/>
      <c r="J36" s="50"/>
      <c r="K36" s="50"/>
      <c r="L36" s="101"/>
      <c r="M36" s="50"/>
      <c r="N36" s="100"/>
      <c r="O36" s="107"/>
      <c r="P36" s="108"/>
      <c r="Q36" s="108"/>
    </row>
    <row r="37" spans="1:17" x14ac:dyDescent="0.3">
      <c r="A37" s="7" t="s">
        <v>130</v>
      </c>
      <c r="B37" s="8">
        <f t="shared" ref="B37:B40" si="26">SUM(D37:G37,K37)</f>
        <v>26020.804</v>
      </c>
      <c r="C37" s="48">
        <f t="shared" ref="C37:C40" si="27">SUM(D37:F37)</f>
        <v>6917.3320000000003</v>
      </c>
      <c r="D37" s="32">
        <v>6198.8</v>
      </c>
      <c r="E37" s="32">
        <v>718.53200000000004</v>
      </c>
      <c r="F37" s="45" t="s">
        <v>191</v>
      </c>
      <c r="G37" s="9">
        <f t="shared" ref="G37:G40" si="28">SUM(H37:J37)</f>
        <v>15525.092000000001</v>
      </c>
      <c r="H37" s="32">
        <v>302.58100000000002</v>
      </c>
      <c r="I37" s="33">
        <v>15222.511</v>
      </c>
      <c r="J37" s="32" t="s">
        <v>191</v>
      </c>
      <c r="K37" s="9">
        <f t="shared" ref="K37:K40" si="29">SUM(L37:N37)</f>
        <v>3578.38</v>
      </c>
      <c r="L37" s="32">
        <v>154.52000000000001</v>
      </c>
      <c r="M37" s="33">
        <v>3423.86</v>
      </c>
      <c r="N37" s="34" t="s">
        <v>191</v>
      </c>
      <c r="O37" s="10" t="s">
        <v>27</v>
      </c>
      <c r="P37" s="11"/>
      <c r="Q37" s="11"/>
    </row>
    <row r="38" spans="1:17" x14ac:dyDescent="0.3">
      <c r="A38" s="7" t="s">
        <v>131</v>
      </c>
      <c r="B38" s="8">
        <f t="shared" si="26"/>
        <v>18052.546000000002</v>
      </c>
      <c r="C38" s="48">
        <f t="shared" si="27"/>
        <v>4493.616</v>
      </c>
      <c r="D38" s="32">
        <v>4493.6000000000004</v>
      </c>
      <c r="E38" s="32">
        <v>1.6E-2</v>
      </c>
      <c r="F38" s="45" t="s">
        <v>191</v>
      </c>
      <c r="G38" s="9">
        <f t="shared" si="28"/>
        <v>12189.69</v>
      </c>
      <c r="H38" s="32" t="s">
        <v>191</v>
      </c>
      <c r="I38" s="33">
        <v>12189.69</v>
      </c>
      <c r="J38" s="32" t="s">
        <v>191</v>
      </c>
      <c r="K38" s="9">
        <f t="shared" si="29"/>
        <v>1369.24</v>
      </c>
      <c r="L38" s="32" t="s">
        <v>191</v>
      </c>
      <c r="M38" s="33">
        <v>1369.24</v>
      </c>
      <c r="N38" s="34" t="s">
        <v>191</v>
      </c>
      <c r="O38" s="10" t="s">
        <v>28</v>
      </c>
      <c r="P38" s="11"/>
      <c r="Q38" s="11"/>
    </row>
    <row r="39" spans="1:17" x14ac:dyDescent="0.3">
      <c r="A39" s="7" t="s">
        <v>132</v>
      </c>
      <c r="B39" s="8">
        <f t="shared" si="26"/>
        <v>19829.55</v>
      </c>
      <c r="C39" s="48">
        <f t="shared" si="27"/>
        <v>430.81</v>
      </c>
      <c r="D39" s="32">
        <v>430.8</v>
      </c>
      <c r="E39" s="32">
        <v>0.01</v>
      </c>
      <c r="F39" s="45" t="s">
        <v>191</v>
      </c>
      <c r="G39" s="9">
        <f t="shared" si="28"/>
        <v>14446.449999999999</v>
      </c>
      <c r="H39" s="32">
        <v>17.71</v>
      </c>
      <c r="I39" s="33">
        <v>13566.34</v>
      </c>
      <c r="J39" s="32">
        <v>862.4</v>
      </c>
      <c r="K39" s="9">
        <f t="shared" si="29"/>
        <v>4952.29</v>
      </c>
      <c r="L39" s="32">
        <v>12.7</v>
      </c>
      <c r="M39" s="33">
        <v>4583.83</v>
      </c>
      <c r="N39" s="34">
        <v>355.76</v>
      </c>
      <c r="O39" s="10" t="s">
        <v>29</v>
      </c>
      <c r="P39" s="11"/>
      <c r="Q39" s="11"/>
    </row>
    <row r="40" spans="1:17" x14ac:dyDescent="0.3">
      <c r="A40" s="7" t="s">
        <v>133</v>
      </c>
      <c r="B40" s="8">
        <f t="shared" si="26"/>
        <v>32434.760000000002</v>
      </c>
      <c r="C40" s="48">
        <f t="shared" si="27"/>
        <v>8321.2090000000007</v>
      </c>
      <c r="D40" s="32">
        <v>8321.2000000000007</v>
      </c>
      <c r="E40" s="32">
        <v>8.9999999999999993E-3</v>
      </c>
      <c r="F40" s="45" t="s">
        <v>191</v>
      </c>
      <c r="G40" s="9">
        <f t="shared" si="28"/>
        <v>19516.93</v>
      </c>
      <c r="H40" s="32">
        <v>659.8</v>
      </c>
      <c r="I40" s="33">
        <v>18687.330000000002</v>
      </c>
      <c r="J40" s="32">
        <v>169.8</v>
      </c>
      <c r="K40" s="9">
        <f t="shared" si="29"/>
        <v>4596.6210000000001</v>
      </c>
      <c r="L40" s="32">
        <v>180.75</v>
      </c>
      <c r="M40" s="33">
        <v>4415.8710000000001</v>
      </c>
      <c r="N40" s="34" t="s">
        <v>191</v>
      </c>
      <c r="O40" s="10" t="s">
        <v>30</v>
      </c>
      <c r="P40" s="11"/>
      <c r="Q40" s="11"/>
    </row>
    <row r="41" spans="1:17" x14ac:dyDescent="0.3">
      <c r="A41" s="98" t="s">
        <v>31</v>
      </c>
      <c r="B41" s="99">
        <f t="shared" ref="B41:D41" si="30">SUM(B43:B47)</f>
        <v>283714.32199999999</v>
      </c>
      <c r="C41" s="50">
        <f t="shared" ref="C41" si="31">SUM(C43:C47)</f>
        <v>97482.733000000007</v>
      </c>
      <c r="D41" s="50">
        <f t="shared" si="30"/>
        <v>97478.146000000008</v>
      </c>
      <c r="E41" s="50">
        <f t="shared" ref="E41" si="32">SUM(E43:E47)</f>
        <v>4.5859999999999994</v>
      </c>
      <c r="F41" s="101">
        <f t="shared" ref="F41" si="33">SUM(F43:F47)</f>
        <v>1E-3</v>
      </c>
      <c r="G41" s="50">
        <f>SUM(G43:G47)</f>
        <v>141758.09199999998</v>
      </c>
      <c r="H41" s="50">
        <f>SUM(H43:H47)</f>
        <v>212.83499999999998</v>
      </c>
      <c r="I41" s="50">
        <f t="shared" ref="I41:K41" si="34">SUM(I43:I47)</f>
        <v>139140.383</v>
      </c>
      <c r="J41" s="50">
        <f t="shared" si="34"/>
        <v>2404.8740000000003</v>
      </c>
      <c r="K41" s="50">
        <f t="shared" si="34"/>
        <v>44473.497000000003</v>
      </c>
      <c r="L41" s="101">
        <f t="shared" ref="L41:N41" si="35">SUM(L43:L47)</f>
        <v>178.185</v>
      </c>
      <c r="M41" s="50">
        <f>SUM(M43:M47)</f>
        <v>43619.002</v>
      </c>
      <c r="N41" s="100">
        <f t="shared" si="35"/>
        <v>676.31</v>
      </c>
      <c r="O41" s="107" t="s">
        <v>32</v>
      </c>
      <c r="P41" s="108"/>
      <c r="Q41" s="108"/>
    </row>
    <row r="42" spans="1:17" x14ac:dyDescent="0.3">
      <c r="A42" s="98"/>
      <c r="B42" s="99"/>
      <c r="C42" s="50"/>
      <c r="D42" s="50"/>
      <c r="E42" s="50"/>
      <c r="F42" s="101"/>
      <c r="G42" s="50"/>
      <c r="H42" s="50"/>
      <c r="I42" s="50"/>
      <c r="J42" s="50"/>
      <c r="K42" s="50"/>
      <c r="L42" s="101"/>
      <c r="M42" s="50"/>
      <c r="N42" s="100"/>
      <c r="O42" s="107"/>
      <c r="P42" s="108"/>
      <c r="Q42" s="108"/>
    </row>
    <row r="43" spans="1:17" x14ac:dyDescent="0.3">
      <c r="A43" s="7" t="s">
        <v>134</v>
      </c>
      <c r="B43" s="8">
        <f t="shared" ref="B43:B47" si="36">SUM(D43:G43,K43)</f>
        <v>176043.07799999998</v>
      </c>
      <c r="C43" s="48">
        <f t="shared" ref="C43:C47" si="37">SUM(D43:F43)</f>
        <v>67808.070999999996</v>
      </c>
      <c r="D43" s="32">
        <v>67806.044999999998</v>
      </c>
      <c r="E43" s="32">
        <v>2.0259999999999998</v>
      </c>
      <c r="F43" s="45" t="s">
        <v>191</v>
      </c>
      <c r="G43" s="9">
        <f t="shared" ref="G43:G47" si="38">SUM(H43:J43)</f>
        <v>84820.996999999988</v>
      </c>
      <c r="H43" s="32" t="s">
        <v>191</v>
      </c>
      <c r="I43" s="33">
        <v>84659.672999999995</v>
      </c>
      <c r="J43" s="32">
        <v>161.32400000000001</v>
      </c>
      <c r="K43" s="9">
        <f t="shared" ref="K43:K47" si="39">SUM(L43:N43)</f>
        <v>23414.01</v>
      </c>
      <c r="L43" s="32" t="s">
        <v>191</v>
      </c>
      <c r="M43" s="33">
        <v>23414.01</v>
      </c>
      <c r="N43" s="34" t="s">
        <v>191</v>
      </c>
      <c r="O43" s="10" t="s">
        <v>33</v>
      </c>
      <c r="P43" s="11"/>
      <c r="Q43" s="11"/>
    </row>
    <row r="44" spans="1:17" x14ac:dyDescent="0.3">
      <c r="A44" s="7" t="s">
        <v>135</v>
      </c>
      <c r="B44" s="8">
        <f t="shared" si="36"/>
        <v>21635.037</v>
      </c>
      <c r="C44" s="48">
        <f t="shared" si="37"/>
        <v>7028.6719999999996</v>
      </c>
      <c r="D44" s="32">
        <v>7028.6509999999998</v>
      </c>
      <c r="E44" s="32">
        <v>2.1000000000000001E-2</v>
      </c>
      <c r="F44" s="45" t="s">
        <v>191</v>
      </c>
      <c r="G44" s="9">
        <f t="shared" si="38"/>
        <v>13055.519999999999</v>
      </c>
      <c r="H44" s="32">
        <v>14.8</v>
      </c>
      <c r="I44" s="33">
        <v>12972.72</v>
      </c>
      <c r="J44" s="32">
        <v>68</v>
      </c>
      <c r="K44" s="9">
        <f t="shared" si="39"/>
        <v>1550.845</v>
      </c>
      <c r="L44" s="32">
        <v>6.22</v>
      </c>
      <c r="M44" s="33">
        <v>1524.375</v>
      </c>
      <c r="N44" s="34">
        <v>20.25</v>
      </c>
      <c r="O44" s="10" t="s">
        <v>34</v>
      </c>
      <c r="P44" s="11"/>
      <c r="Q44" s="11"/>
    </row>
    <row r="45" spans="1:17" x14ac:dyDescent="0.3">
      <c r="A45" s="7" t="s">
        <v>136</v>
      </c>
      <c r="B45" s="8">
        <f t="shared" si="36"/>
        <v>30200.966999999997</v>
      </c>
      <c r="C45" s="48">
        <f t="shared" si="37"/>
        <v>4864.2619999999997</v>
      </c>
      <c r="D45" s="32">
        <v>4861.75</v>
      </c>
      <c r="E45" s="32">
        <v>2.512</v>
      </c>
      <c r="F45" s="45" t="s">
        <v>191</v>
      </c>
      <c r="G45" s="9">
        <f t="shared" si="38"/>
        <v>16922.384999999998</v>
      </c>
      <c r="H45" s="32">
        <v>3.62</v>
      </c>
      <c r="I45" s="33">
        <v>16918.764999999999</v>
      </c>
      <c r="J45" s="32" t="s">
        <v>191</v>
      </c>
      <c r="K45" s="9">
        <f t="shared" si="39"/>
        <v>8414.3200000000015</v>
      </c>
      <c r="L45" s="32">
        <v>2.5299999999999998</v>
      </c>
      <c r="M45" s="33">
        <v>8411.7900000000009</v>
      </c>
      <c r="N45" s="34" t="s">
        <v>191</v>
      </c>
      <c r="O45" s="10" t="s">
        <v>35</v>
      </c>
      <c r="P45" s="11"/>
      <c r="Q45" s="11"/>
    </row>
    <row r="46" spans="1:17" x14ac:dyDescent="0.3">
      <c r="A46" s="7" t="s">
        <v>137</v>
      </c>
      <c r="B46" s="8">
        <f t="shared" si="36"/>
        <v>1630.126</v>
      </c>
      <c r="C46" s="48">
        <f t="shared" si="37"/>
        <v>9.6009999999999991</v>
      </c>
      <c r="D46" s="32">
        <v>9.6</v>
      </c>
      <c r="E46" s="32">
        <v>1E-3</v>
      </c>
      <c r="F46" s="45" t="s">
        <v>191</v>
      </c>
      <c r="G46" s="9">
        <f t="shared" si="38"/>
        <v>72.525000000000006</v>
      </c>
      <c r="H46" s="32" t="s">
        <v>191</v>
      </c>
      <c r="I46" s="33">
        <v>72.525000000000006</v>
      </c>
      <c r="J46" s="32" t="s">
        <v>191</v>
      </c>
      <c r="K46" s="9">
        <f t="shared" si="39"/>
        <v>1548</v>
      </c>
      <c r="L46" s="32" t="s">
        <v>191</v>
      </c>
      <c r="M46" s="33">
        <v>1548</v>
      </c>
      <c r="N46" s="34" t="s">
        <v>191</v>
      </c>
      <c r="O46" s="10" t="s">
        <v>36</v>
      </c>
      <c r="P46" s="11"/>
      <c r="Q46" s="11"/>
    </row>
    <row r="47" spans="1:17" x14ac:dyDescent="0.3">
      <c r="A47" s="7" t="s">
        <v>138</v>
      </c>
      <c r="B47" s="8">
        <f t="shared" si="36"/>
        <v>54205.114000000001</v>
      </c>
      <c r="C47" s="48">
        <f t="shared" si="37"/>
        <v>17772.127</v>
      </c>
      <c r="D47" s="32">
        <v>17772.099999999999</v>
      </c>
      <c r="E47" s="32">
        <v>2.5999999999999999E-2</v>
      </c>
      <c r="F47" s="45">
        <v>1E-3</v>
      </c>
      <c r="G47" s="9">
        <f t="shared" si="38"/>
        <v>26886.665000000001</v>
      </c>
      <c r="H47" s="32">
        <v>194.41499999999999</v>
      </c>
      <c r="I47" s="33">
        <v>24516.7</v>
      </c>
      <c r="J47" s="32">
        <v>2175.5500000000002</v>
      </c>
      <c r="K47" s="9">
        <f t="shared" si="39"/>
        <v>9546.3219999999983</v>
      </c>
      <c r="L47" s="32">
        <v>169.435</v>
      </c>
      <c r="M47" s="33">
        <v>8720.8269999999993</v>
      </c>
      <c r="N47" s="34">
        <v>656.06</v>
      </c>
      <c r="O47" s="10" t="s">
        <v>37</v>
      </c>
      <c r="P47" s="11"/>
      <c r="Q47" s="11"/>
    </row>
    <row r="48" spans="1:17" x14ac:dyDescent="0.3">
      <c r="A48" s="98" t="s">
        <v>38</v>
      </c>
      <c r="B48" s="99">
        <f t="shared" ref="B48:D48" si="40">SUM(B50:B54)</f>
        <v>82515.106999999989</v>
      </c>
      <c r="C48" s="50">
        <f t="shared" ref="C48" si="41">SUM(C50:C54)</f>
        <v>8350.9840000000004</v>
      </c>
      <c r="D48" s="50">
        <f t="shared" si="40"/>
        <v>8346.6780000000017</v>
      </c>
      <c r="E48" s="50">
        <f t="shared" ref="E48" si="42">SUM(E50:E54)</f>
        <v>7.5999999999999998E-2</v>
      </c>
      <c r="F48" s="101">
        <f t="shared" ref="F48" si="43">SUM(F50:F54)</f>
        <v>4.2300000000000004</v>
      </c>
      <c r="G48" s="50">
        <f>SUM(G50:G54)</f>
        <v>44878.17</v>
      </c>
      <c r="H48" s="50">
        <f>SUM(H50:H54)</f>
        <v>859.02900000000011</v>
      </c>
      <c r="I48" s="50">
        <f t="shared" ref="I48:K48" si="44">SUM(I50:I54)</f>
        <v>42016.591</v>
      </c>
      <c r="J48" s="50">
        <f t="shared" si="44"/>
        <v>2002.55</v>
      </c>
      <c r="K48" s="50">
        <f t="shared" si="44"/>
        <v>29285.953000000001</v>
      </c>
      <c r="L48" s="50">
        <f t="shared" ref="L48:N48" si="45">SUM(L50:L54)</f>
        <v>551.822</v>
      </c>
      <c r="M48" s="50">
        <f t="shared" si="45"/>
        <v>28098.141</v>
      </c>
      <c r="N48" s="100">
        <f t="shared" si="45"/>
        <v>635.99</v>
      </c>
      <c r="O48" s="107" t="s">
        <v>39</v>
      </c>
      <c r="P48" s="108"/>
      <c r="Q48" s="108"/>
    </row>
    <row r="49" spans="1:17" x14ac:dyDescent="0.3">
      <c r="A49" s="98"/>
      <c r="B49" s="99"/>
      <c r="C49" s="50"/>
      <c r="D49" s="50"/>
      <c r="E49" s="50"/>
      <c r="F49" s="101"/>
      <c r="G49" s="50"/>
      <c r="H49" s="50"/>
      <c r="I49" s="50"/>
      <c r="J49" s="50"/>
      <c r="K49" s="50"/>
      <c r="L49" s="50"/>
      <c r="M49" s="50"/>
      <c r="N49" s="100"/>
      <c r="O49" s="107"/>
      <c r="P49" s="108"/>
      <c r="Q49" s="108"/>
    </row>
    <row r="50" spans="1:17" x14ac:dyDescent="0.3">
      <c r="A50" s="7" t="s">
        <v>139</v>
      </c>
      <c r="B50" s="8">
        <f t="shared" ref="B50:B54" si="46">SUM(D50:G50,K50)</f>
        <v>23499.54</v>
      </c>
      <c r="C50" s="48">
        <f t="shared" ref="C50:C54" si="47">SUM(D50:F50)</f>
        <v>4146.3810000000003</v>
      </c>
      <c r="D50" s="32">
        <v>4142.1270000000004</v>
      </c>
      <c r="E50" s="32">
        <v>2.4E-2</v>
      </c>
      <c r="F50" s="45">
        <v>4.2300000000000004</v>
      </c>
      <c r="G50" s="9">
        <f t="shared" ref="G50:G54" si="48">SUM(H50:J50)</f>
        <v>14504.619999999999</v>
      </c>
      <c r="H50" s="32">
        <v>534.86900000000003</v>
      </c>
      <c r="I50" s="33">
        <v>12084.200999999999</v>
      </c>
      <c r="J50" s="32">
        <v>1885.55</v>
      </c>
      <c r="K50" s="14">
        <f t="shared" ref="K50:K54" si="49">SUM(L50:N50)</f>
        <v>4848.5389999999998</v>
      </c>
      <c r="L50" s="32">
        <v>195.59200000000001</v>
      </c>
      <c r="M50" s="33">
        <v>4057.4569999999999</v>
      </c>
      <c r="N50" s="34">
        <v>595.49</v>
      </c>
      <c r="O50" s="10" t="s">
        <v>40</v>
      </c>
      <c r="P50" s="11"/>
      <c r="Q50" s="11"/>
    </row>
    <row r="51" spans="1:17" x14ac:dyDescent="0.3">
      <c r="A51" s="7" t="s">
        <v>140</v>
      </c>
      <c r="B51" s="8">
        <f t="shared" si="46"/>
        <v>16108.277</v>
      </c>
      <c r="C51" s="48">
        <f t="shared" si="47"/>
        <v>3263.317</v>
      </c>
      <c r="D51" s="32">
        <v>3263.3</v>
      </c>
      <c r="E51" s="32">
        <v>1.7000000000000001E-2</v>
      </c>
      <c r="F51" s="45" t="s">
        <v>191</v>
      </c>
      <c r="G51" s="9">
        <f t="shared" si="48"/>
        <v>7430.8459999999995</v>
      </c>
      <c r="H51" s="32">
        <v>59.32</v>
      </c>
      <c r="I51" s="33">
        <v>7371.5259999999998</v>
      </c>
      <c r="J51" s="32" t="s">
        <v>191</v>
      </c>
      <c r="K51" s="14">
        <f t="shared" si="49"/>
        <v>5414.1139999999996</v>
      </c>
      <c r="L51" s="32">
        <v>77.83</v>
      </c>
      <c r="M51" s="33">
        <v>5336.2839999999997</v>
      </c>
      <c r="N51" s="34" t="s">
        <v>191</v>
      </c>
      <c r="O51" s="10" t="s">
        <v>41</v>
      </c>
      <c r="P51" s="11"/>
      <c r="Q51" s="11"/>
    </row>
    <row r="52" spans="1:17" x14ac:dyDescent="0.3">
      <c r="A52" s="7" t="s">
        <v>141</v>
      </c>
      <c r="B52" s="8">
        <f t="shared" si="46"/>
        <v>29453.529000000002</v>
      </c>
      <c r="C52" s="48">
        <f t="shared" si="47"/>
        <v>223.06399999999999</v>
      </c>
      <c r="D52" s="32">
        <v>223.05099999999999</v>
      </c>
      <c r="E52" s="32">
        <v>1.2999999999999999E-2</v>
      </c>
      <c r="F52" s="45" t="s">
        <v>191</v>
      </c>
      <c r="G52" s="9">
        <f t="shared" si="48"/>
        <v>15630.574999999999</v>
      </c>
      <c r="H52" s="32">
        <v>106.3</v>
      </c>
      <c r="I52" s="33">
        <v>15407.275</v>
      </c>
      <c r="J52" s="32">
        <v>117</v>
      </c>
      <c r="K52" s="14">
        <f t="shared" si="49"/>
        <v>13599.890000000001</v>
      </c>
      <c r="L52" s="32">
        <v>119.37</v>
      </c>
      <c r="M52" s="33">
        <v>13440.02</v>
      </c>
      <c r="N52" s="34">
        <v>40.5</v>
      </c>
      <c r="O52" s="10" t="s">
        <v>42</v>
      </c>
      <c r="P52" s="11"/>
      <c r="Q52" s="11"/>
    </row>
    <row r="53" spans="1:17" x14ac:dyDescent="0.3">
      <c r="A53" s="7" t="s">
        <v>142</v>
      </c>
      <c r="B53" s="8">
        <f t="shared" si="46"/>
        <v>5111.82</v>
      </c>
      <c r="C53" s="48">
        <f t="shared" si="47"/>
        <v>13.61</v>
      </c>
      <c r="D53" s="32">
        <v>13.6</v>
      </c>
      <c r="E53" s="32">
        <v>0.01</v>
      </c>
      <c r="F53" s="45" t="s">
        <v>191</v>
      </c>
      <c r="G53" s="9">
        <f t="shared" si="48"/>
        <v>2949.63</v>
      </c>
      <c r="H53" s="32">
        <v>96.21</v>
      </c>
      <c r="I53" s="33">
        <v>2853.42</v>
      </c>
      <c r="J53" s="32" t="s">
        <v>191</v>
      </c>
      <c r="K53" s="14">
        <f t="shared" si="49"/>
        <v>2148.58</v>
      </c>
      <c r="L53" s="32">
        <v>131.47</v>
      </c>
      <c r="M53" s="33">
        <v>2017.11</v>
      </c>
      <c r="N53" s="34" t="s">
        <v>191</v>
      </c>
      <c r="O53" s="10" t="s">
        <v>43</v>
      </c>
      <c r="P53" s="11"/>
      <c r="Q53" s="11"/>
    </row>
    <row r="54" spans="1:17" x14ac:dyDescent="0.3">
      <c r="A54" s="7" t="s">
        <v>143</v>
      </c>
      <c r="B54" s="8">
        <f t="shared" si="46"/>
        <v>8341.9409999999989</v>
      </c>
      <c r="C54" s="48">
        <f t="shared" si="47"/>
        <v>704.61199999999997</v>
      </c>
      <c r="D54" s="32">
        <v>704.6</v>
      </c>
      <c r="E54" s="32">
        <v>1.2E-2</v>
      </c>
      <c r="F54" s="45" t="s">
        <v>191</v>
      </c>
      <c r="G54" s="9">
        <f t="shared" si="48"/>
        <v>4362.4989999999998</v>
      </c>
      <c r="H54" s="32">
        <v>62.33</v>
      </c>
      <c r="I54" s="33">
        <v>4300.1689999999999</v>
      </c>
      <c r="J54" s="32" t="s">
        <v>191</v>
      </c>
      <c r="K54" s="14">
        <f t="shared" si="49"/>
        <v>3274.83</v>
      </c>
      <c r="L54" s="32">
        <v>27.56</v>
      </c>
      <c r="M54" s="33">
        <v>3247.27</v>
      </c>
      <c r="N54" s="34" t="s">
        <v>191</v>
      </c>
      <c r="O54" s="10" t="s">
        <v>44</v>
      </c>
      <c r="P54" s="11"/>
      <c r="Q54" s="11"/>
    </row>
    <row r="55" spans="1:17" x14ac:dyDescent="0.3">
      <c r="A55" s="98" t="s">
        <v>45</v>
      </c>
      <c r="B55" s="99">
        <f t="shared" ref="B55:D55" si="50">SUM(B57:B61)</f>
        <v>16724.815999999999</v>
      </c>
      <c r="C55" s="50">
        <f t="shared" ref="C55" si="51">SUM(C57:C61)</f>
        <v>607.29899999999998</v>
      </c>
      <c r="D55" s="50">
        <f t="shared" si="50"/>
        <v>607.27300000000002</v>
      </c>
      <c r="E55" s="50">
        <f t="shared" ref="E55" si="52">SUM(E57:E61)</f>
        <v>2.6000000000000002E-2</v>
      </c>
      <c r="F55" s="101">
        <f t="shared" ref="F55" si="53">SUM(F57:F61)</f>
        <v>0</v>
      </c>
      <c r="G55" s="50">
        <f>SUM(G57:G61)</f>
        <v>8928.6200000000008</v>
      </c>
      <c r="H55" s="50">
        <f>SUM(H57:H61)</f>
        <v>269.87400000000002</v>
      </c>
      <c r="I55" s="50">
        <f t="shared" ref="I55:K55" si="54">SUM(I57:I61)</f>
        <v>8658.746000000001</v>
      </c>
      <c r="J55" s="50">
        <f t="shared" si="54"/>
        <v>0</v>
      </c>
      <c r="K55" s="50">
        <f t="shared" si="54"/>
        <v>7188.8969999999999</v>
      </c>
      <c r="L55" s="50">
        <f t="shared" ref="L55:N55" si="55">SUM(L57:L61)</f>
        <v>234.19900000000001</v>
      </c>
      <c r="M55" s="50">
        <f t="shared" si="55"/>
        <v>6954.6980000000003</v>
      </c>
      <c r="N55" s="100">
        <f t="shared" si="55"/>
        <v>0</v>
      </c>
      <c r="O55" s="107" t="s">
        <v>46</v>
      </c>
      <c r="P55" s="108"/>
      <c r="Q55" s="108"/>
    </row>
    <row r="56" spans="1:17" x14ac:dyDescent="0.3">
      <c r="A56" s="98"/>
      <c r="B56" s="99"/>
      <c r="C56" s="50"/>
      <c r="D56" s="50"/>
      <c r="E56" s="50"/>
      <c r="F56" s="101"/>
      <c r="G56" s="50"/>
      <c r="H56" s="50"/>
      <c r="I56" s="50"/>
      <c r="J56" s="50"/>
      <c r="K56" s="50"/>
      <c r="L56" s="50"/>
      <c r="M56" s="50"/>
      <c r="N56" s="100"/>
      <c r="O56" s="107"/>
      <c r="P56" s="108"/>
      <c r="Q56" s="108"/>
    </row>
    <row r="57" spans="1:17" x14ac:dyDescent="0.3">
      <c r="A57" s="7" t="s">
        <v>144</v>
      </c>
      <c r="B57" s="8">
        <f t="shared" ref="B57:B61" si="56">SUM(D57:G57,K57)</f>
        <v>872.44700000000012</v>
      </c>
      <c r="C57" s="48">
        <f t="shared" ref="C57:C61" si="57">SUM(D57:F57)</f>
        <v>391.875</v>
      </c>
      <c r="D57" s="32">
        <v>391.87</v>
      </c>
      <c r="E57" s="32">
        <v>5.0000000000000001E-3</v>
      </c>
      <c r="F57" s="45" t="s">
        <v>191</v>
      </c>
      <c r="G57" s="9">
        <f t="shared" ref="G57:G61" si="58">SUM(H57:J57)</f>
        <v>359.62200000000001</v>
      </c>
      <c r="H57" s="32">
        <v>0.624</v>
      </c>
      <c r="I57" s="33">
        <v>358.99799999999999</v>
      </c>
      <c r="J57" s="32" t="s">
        <v>191</v>
      </c>
      <c r="K57" s="14">
        <f t="shared" ref="K57:K61" si="59">SUM(L57:N57)</f>
        <v>120.95</v>
      </c>
      <c r="L57" s="32">
        <v>1.8149999999999999</v>
      </c>
      <c r="M57" s="33">
        <v>119.13500000000001</v>
      </c>
      <c r="N57" s="34" t="s">
        <v>191</v>
      </c>
      <c r="O57" s="10" t="s">
        <v>47</v>
      </c>
      <c r="P57" s="11"/>
      <c r="Q57" s="11"/>
    </row>
    <row r="58" spans="1:17" x14ac:dyDescent="0.3">
      <c r="A58" s="7" t="s">
        <v>145</v>
      </c>
      <c r="B58" s="8">
        <f t="shared" si="56"/>
        <v>949.15599999999995</v>
      </c>
      <c r="C58" s="48">
        <f t="shared" si="57"/>
        <v>101.60599999999999</v>
      </c>
      <c r="D58" s="32">
        <v>101.6</v>
      </c>
      <c r="E58" s="32">
        <v>6.0000000000000001E-3</v>
      </c>
      <c r="F58" s="45" t="s">
        <v>191</v>
      </c>
      <c r="G58" s="9">
        <f t="shared" si="58"/>
        <v>397.32</v>
      </c>
      <c r="H58" s="32">
        <v>170.51</v>
      </c>
      <c r="I58" s="33">
        <v>226.81</v>
      </c>
      <c r="J58" s="32" t="s">
        <v>191</v>
      </c>
      <c r="K58" s="14">
        <f t="shared" si="59"/>
        <v>450.23</v>
      </c>
      <c r="L58" s="32">
        <v>201.28</v>
      </c>
      <c r="M58" s="33">
        <v>248.95</v>
      </c>
      <c r="N58" s="34" t="s">
        <v>191</v>
      </c>
      <c r="O58" s="10" t="s">
        <v>48</v>
      </c>
      <c r="P58" s="11"/>
      <c r="Q58" s="11"/>
    </row>
    <row r="59" spans="1:17" x14ac:dyDescent="0.3">
      <c r="A59" s="7" t="s">
        <v>146</v>
      </c>
      <c r="B59" s="8">
        <f t="shared" si="56"/>
        <v>579.26499999999999</v>
      </c>
      <c r="C59" s="48">
        <f t="shared" si="57"/>
        <v>3.0009999999999999</v>
      </c>
      <c r="D59" s="32">
        <v>3</v>
      </c>
      <c r="E59" s="32">
        <v>1E-3</v>
      </c>
      <c r="F59" s="45" t="s">
        <v>191</v>
      </c>
      <c r="G59" s="9">
        <f t="shared" si="58"/>
        <v>216.62</v>
      </c>
      <c r="H59" s="32">
        <v>2.02</v>
      </c>
      <c r="I59" s="33">
        <v>214.6</v>
      </c>
      <c r="J59" s="32" t="s">
        <v>191</v>
      </c>
      <c r="K59" s="14">
        <f t="shared" si="59"/>
        <v>359.64400000000001</v>
      </c>
      <c r="L59" s="32">
        <v>11.644</v>
      </c>
      <c r="M59" s="33">
        <v>348</v>
      </c>
      <c r="N59" s="34" t="s">
        <v>191</v>
      </c>
      <c r="O59" s="10" t="s">
        <v>49</v>
      </c>
      <c r="P59" s="11"/>
      <c r="Q59" s="11"/>
    </row>
    <row r="60" spans="1:17" x14ac:dyDescent="0.3">
      <c r="A60" s="7" t="s">
        <v>147</v>
      </c>
      <c r="B60" s="8">
        <f t="shared" si="56"/>
        <v>14082.632</v>
      </c>
      <c r="C60" s="48">
        <f t="shared" si="57"/>
        <v>110.81099999999999</v>
      </c>
      <c r="D60" s="32">
        <v>110.803</v>
      </c>
      <c r="E60" s="32">
        <v>8.0000000000000002E-3</v>
      </c>
      <c r="F60" s="45" t="s">
        <v>191</v>
      </c>
      <c r="G60" s="9">
        <f t="shared" si="58"/>
        <v>7853.4380000000001</v>
      </c>
      <c r="H60" s="32">
        <v>84.47</v>
      </c>
      <c r="I60" s="33">
        <v>7768.9679999999998</v>
      </c>
      <c r="J60" s="32" t="s">
        <v>191</v>
      </c>
      <c r="K60" s="14">
        <f t="shared" si="59"/>
        <v>6118.3829999999998</v>
      </c>
      <c r="L60" s="32">
        <v>8.58</v>
      </c>
      <c r="M60" s="33">
        <v>6109.8029999999999</v>
      </c>
      <c r="N60" s="34" t="s">
        <v>191</v>
      </c>
      <c r="O60" s="10" t="s">
        <v>50</v>
      </c>
      <c r="P60" s="11"/>
      <c r="Q60" s="11"/>
    </row>
    <row r="61" spans="1:17" x14ac:dyDescent="0.3">
      <c r="A61" s="7" t="s">
        <v>148</v>
      </c>
      <c r="B61" s="8">
        <f t="shared" si="56"/>
        <v>241.316</v>
      </c>
      <c r="C61" s="48">
        <f t="shared" si="57"/>
        <v>6.0000000000000001E-3</v>
      </c>
      <c r="D61" s="32" t="s">
        <v>191</v>
      </c>
      <c r="E61" s="32">
        <v>6.0000000000000001E-3</v>
      </c>
      <c r="F61" s="45" t="s">
        <v>191</v>
      </c>
      <c r="G61" s="9">
        <f t="shared" si="58"/>
        <v>101.62</v>
      </c>
      <c r="H61" s="32">
        <v>12.25</v>
      </c>
      <c r="I61" s="33">
        <v>89.37</v>
      </c>
      <c r="J61" s="32" t="s">
        <v>191</v>
      </c>
      <c r="K61" s="14">
        <f t="shared" si="59"/>
        <v>139.69</v>
      </c>
      <c r="L61" s="32">
        <v>10.88</v>
      </c>
      <c r="M61" s="33">
        <v>128.81</v>
      </c>
      <c r="N61" s="34" t="s">
        <v>191</v>
      </c>
      <c r="O61" s="10" t="s">
        <v>51</v>
      </c>
      <c r="P61" s="11"/>
      <c r="Q61" s="11"/>
    </row>
    <row r="62" spans="1:17" x14ac:dyDescent="0.3">
      <c r="A62" s="98" t="s">
        <v>52</v>
      </c>
      <c r="B62" s="99">
        <f>SUM(B64:B66)</f>
        <v>241935.77</v>
      </c>
      <c r="C62" s="50">
        <f t="shared" ref="C62" si="60">SUM(C64:C66)</f>
        <v>19222.557000000001</v>
      </c>
      <c r="D62" s="50">
        <f t="shared" ref="D62:E62" si="61">SUM(D64:D66)</f>
        <v>19222.474999999999</v>
      </c>
      <c r="E62" s="50">
        <f t="shared" si="61"/>
        <v>8.2000000000000003E-2</v>
      </c>
      <c r="F62" s="101">
        <f t="shared" ref="F62" si="62">SUM(F64:F66)</f>
        <v>0</v>
      </c>
      <c r="G62" s="50">
        <f>SUM(G64:G66)</f>
        <v>170523.60700000002</v>
      </c>
      <c r="H62" s="50">
        <f>SUM(H64:H66)</f>
        <v>11432.080000000002</v>
      </c>
      <c r="I62" s="50">
        <f t="shared" ref="I62:K62" si="63">SUM(I64:I66)</f>
        <v>156655.20699999999</v>
      </c>
      <c r="J62" s="50">
        <f t="shared" si="63"/>
        <v>2436.3200000000002</v>
      </c>
      <c r="K62" s="50">
        <f t="shared" si="63"/>
        <v>52189.606</v>
      </c>
      <c r="L62" s="50">
        <f t="shared" ref="L62:N62" si="64">SUM(L64:L66)</f>
        <v>7385.509</v>
      </c>
      <c r="M62" s="50">
        <f t="shared" si="64"/>
        <v>44539.726999999999</v>
      </c>
      <c r="N62" s="100">
        <f t="shared" si="64"/>
        <v>264.37</v>
      </c>
      <c r="O62" s="107" t="s">
        <v>53</v>
      </c>
      <c r="P62" s="108"/>
      <c r="Q62" s="108"/>
    </row>
    <row r="63" spans="1:17" x14ac:dyDescent="0.3">
      <c r="A63" s="98"/>
      <c r="B63" s="99"/>
      <c r="C63" s="50"/>
      <c r="D63" s="50"/>
      <c r="E63" s="50"/>
      <c r="F63" s="101"/>
      <c r="G63" s="50"/>
      <c r="H63" s="50"/>
      <c r="I63" s="50"/>
      <c r="J63" s="50"/>
      <c r="K63" s="50"/>
      <c r="L63" s="50"/>
      <c r="M63" s="50"/>
      <c r="N63" s="100"/>
      <c r="O63" s="107"/>
      <c r="P63" s="108"/>
      <c r="Q63" s="108"/>
    </row>
    <row r="64" spans="1:17" x14ac:dyDescent="0.3">
      <c r="A64" s="7" t="s">
        <v>149</v>
      </c>
      <c r="B64" s="8">
        <f t="shared" ref="B64:B66" si="65">SUM(D64:G64,K64)</f>
        <v>72238.815000000002</v>
      </c>
      <c r="C64" s="48">
        <f t="shared" ref="C64:C66" si="66">SUM(D64:F64)</f>
        <v>2889.3490000000002</v>
      </c>
      <c r="D64" s="32">
        <v>2889.31</v>
      </c>
      <c r="E64" s="32">
        <v>3.9E-2</v>
      </c>
      <c r="F64" s="45" t="s">
        <v>191</v>
      </c>
      <c r="G64" s="9">
        <f t="shared" ref="G64:G66" si="67">SUM(H64:J64)</f>
        <v>49858.86</v>
      </c>
      <c r="H64" s="32">
        <v>3138.42</v>
      </c>
      <c r="I64" s="33">
        <v>46720.44</v>
      </c>
      <c r="J64" s="32" t="s">
        <v>191</v>
      </c>
      <c r="K64" s="14">
        <f t="shared" ref="K64:K66" si="68">SUM(L64:N64)</f>
        <v>19490.606</v>
      </c>
      <c r="L64" s="32">
        <v>578.846</v>
      </c>
      <c r="M64" s="33">
        <v>18911.759999999998</v>
      </c>
      <c r="N64" s="34" t="s">
        <v>191</v>
      </c>
      <c r="O64" s="10" t="s">
        <v>54</v>
      </c>
      <c r="P64" s="11"/>
      <c r="Q64" s="11"/>
    </row>
    <row r="65" spans="1:17" x14ac:dyDescent="0.3">
      <c r="A65" s="7" t="s">
        <v>150</v>
      </c>
      <c r="B65" s="8">
        <f t="shared" si="65"/>
        <v>98133.463000000003</v>
      </c>
      <c r="C65" s="48">
        <f t="shared" si="66"/>
        <v>796.0920000000001</v>
      </c>
      <c r="D65" s="32">
        <v>796.06500000000005</v>
      </c>
      <c r="E65" s="32">
        <v>2.7E-2</v>
      </c>
      <c r="F65" s="45" t="s">
        <v>191</v>
      </c>
      <c r="G65" s="9">
        <f t="shared" si="67"/>
        <v>74659.557000000001</v>
      </c>
      <c r="H65" s="32">
        <v>7241.55</v>
      </c>
      <c r="I65" s="33">
        <v>64981.686999999998</v>
      </c>
      <c r="J65" s="32">
        <v>2436.3200000000002</v>
      </c>
      <c r="K65" s="14">
        <f t="shared" si="68"/>
        <v>22677.813999999998</v>
      </c>
      <c r="L65" s="32">
        <v>6089.098</v>
      </c>
      <c r="M65" s="33">
        <v>16324.346</v>
      </c>
      <c r="N65" s="34">
        <v>264.37</v>
      </c>
      <c r="O65" s="10" t="s">
        <v>55</v>
      </c>
      <c r="P65" s="11"/>
      <c r="Q65" s="11"/>
    </row>
    <row r="66" spans="1:17" x14ac:dyDescent="0.3">
      <c r="A66" s="7" t="s">
        <v>151</v>
      </c>
      <c r="B66" s="8">
        <f t="shared" si="65"/>
        <v>71563.491999999998</v>
      </c>
      <c r="C66" s="48">
        <f t="shared" si="66"/>
        <v>15537.116</v>
      </c>
      <c r="D66" s="32">
        <v>15537.1</v>
      </c>
      <c r="E66" s="32">
        <v>1.6E-2</v>
      </c>
      <c r="F66" s="45" t="s">
        <v>191</v>
      </c>
      <c r="G66" s="9">
        <f t="shared" si="67"/>
        <v>46005.19</v>
      </c>
      <c r="H66" s="32">
        <v>1052.1099999999999</v>
      </c>
      <c r="I66" s="33">
        <v>44953.08</v>
      </c>
      <c r="J66" s="32" t="s">
        <v>191</v>
      </c>
      <c r="K66" s="14">
        <f t="shared" si="68"/>
        <v>10021.186</v>
      </c>
      <c r="L66" s="32">
        <v>717.56500000000005</v>
      </c>
      <c r="M66" s="33">
        <v>9303.6209999999992</v>
      </c>
      <c r="N66" s="34" t="s">
        <v>191</v>
      </c>
      <c r="O66" s="10" t="s">
        <v>56</v>
      </c>
      <c r="P66" s="11"/>
      <c r="Q66" s="11"/>
    </row>
    <row r="67" spans="1:17" x14ac:dyDescent="0.3">
      <c r="A67" s="98" t="s">
        <v>57</v>
      </c>
      <c r="B67" s="99">
        <f t="shared" ref="B67:D67" si="69">SUM(B69:B73)</f>
        <v>80472.530000000013</v>
      </c>
      <c r="C67" s="50">
        <f t="shared" ref="C67" si="70">SUM(C69:C73)</f>
        <v>6158.0879999999997</v>
      </c>
      <c r="D67" s="50">
        <f t="shared" si="69"/>
        <v>5670.2849999999999</v>
      </c>
      <c r="E67" s="50">
        <f t="shared" ref="E67" si="71">SUM(E69:E73)</f>
        <v>487.803</v>
      </c>
      <c r="F67" s="101">
        <f t="shared" ref="F67" si="72">SUM(F69:F73)</f>
        <v>0</v>
      </c>
      <c r="G67" s="50">
        <f>SUM(G69:G73)</f>
        <v>35997.235999999997</v>
      </c>
      <c r="H67" s="50">
        <f>SUM(H69:H73)</f>
        <v>862.56500000000005</v>
      </c>
      <c r="I67" s="50">
        <f t="shared" ref="I67:K67" si="73">SUM(I69:I73)</f>
        <v>34689.870999999999</v>
      </c>
      <c r="J67" s="50">
        <f t="shared" si="73"/>
        <v>444.8</v>
      </c>
      <c r="K67" s="50">
        <f t="shared" si="73"/>
        <v>38317.205999999998</v>
      </c>
      <c r="L67" s="50">
        <f t="shared" ref="L67:N67" si="74">SUM(L69:L73)</f>
        <v>961.92</v>
      </c>
      <c r="M67" s="50">
        <f t="shared" si="74"/>
        <v>36622.686000000002</v>
      </c>
      <c r="N67" s="100">
        <f t="shared" si="74"/>
        <v>732.6</v>
      </c>
      <c r="O67" s="107" t="s">
        <v>58</v>
      </c>
      <c r="P67" s="108"/>
      <c r="Q67" s="108"/>
    </row>
    <row r="68" spans="1:17" x14ac:dyDescent="0.3">
      <c r="A68" s="98"/>
      <c r="B68" s="99"/>
      <c r="C68" s="50"/>
      <c r="D68" s="50"/>
      <c r="E68" s="50"/>
      <c r="F68" s="101"/>
      <c r="G68" s="50"/>
      <c r="H68" s="50"/>
      <c r="I68" s="50"/>
      <c r="J68" s="50"/>
      <c r="K68" s="50"/>
      <c r="L68" s="50"/>
      <c r="M68" s="50"/>
      <c r="N68" s="100"/>
      <c r="O68" s="107"/>
      <c r="P68" s="108"/>
      <c r="Q68" s="108"/>
    </row>
    <row r="69" spans="1:17" x14ac:dyDescent="0.3">
      <c r="A69" s="7" t="s">
        <v>152</v>
      </c>
      <c r="B69" s="8">
        <f t="shared" ref="B69:B73" si="75">SUM(D69:G69,K69)</f>
        <v>18144.963</v>
      </c>
      <c r="C69" s="48">
        <f t="shared" ref="C69:C73" si="76">SUM(D69:F69)</f>
        <v>524.76400000000001</v>
      </c>
      <c r="D69" s="32">
        <v>524.75</v>
      </c>
      <c r="E69" s="32">
        <v>1.4E-2</v>
      </c>
      <c r="F69" s="45" t="s">
        <v>191</v>
      </c>
      <c r="G69" s="9">
        <f t="shared" ref="G69:G73" si="77">SUM(H69:J69)</f>
        <v>9808.4279999999999</v>
      </c>
      <c r="H69" s="32">
        <v>339.30500000000001</v>
      </c>
      <c r="I69" s="33">
        <v>9469.1229999999996</v>
      </c>
      <c r="J69" s="32" t="s">
        <v>191</v>
      </c>
      <c r="K69" s="14">
        <f t="shared" ref="K69:K73" si="78">SUM(L69:N69)</f>
        <v>7811.7710000000006</v>
      </c>
      <c r="L69" s="32">
        <v>187.06</v>
      </c>
      <c r="M69" s="33">
        <v>7624.7110000000002</v>
      </c>
      <c r="N69" s="34" t="s">
        <v>191</v>
      </c>
      <c r="O69" s="10" t="s">
        <v>59</v>
      </c>
      <c r="P69" s="11"/>
      <c r="Q69" s="11"/>
    </row>
    <row r="70" spans="1:17" x14ac:dyDescent="0.3">
      <c r="A70" s="7" t="s">
        <v>153</v>
      </c>
      <c r="B70" s="8">
        <f t="shared" si="75"/>
        <v>13499.386000000002</v>
      </c>
      <c r="C70" s="48">
        <f t="shared" si="76"/>
        <v>379.79599999999999</v>
      </c>
      <c r="D70" s="32">
        <v>379.79</v>
      </c>
      <c r="E70" s="32">
        <v>6.0000000000000001E-3</v>
      </c>
      <c r="F70" s="45" t="s">
        <v>191</v>
      </c>
      <c r="G70" s="9">
        <f t="shared" si="77"/>
        <v>5690.6850000000004</v>
      </c>
      <c r="H70" s="32">
        <v>181.13499999999999</v>
      </c>
      <c r="I70" s="33">
        <v>5123.25</v>
      </c>
      <c r="J70" s="32">
        <v>386.3</v>
      </c>
      <c r="K70" s="14">
        <f t="shared" si="78"/>
        <v>7428.9050000000007</v>
      </c>
      <c r="L70" s="32">
        <v>179.935</v>
      </c>
      <c r="M70" s="33">
        <v>6579.37</v>
      </c>
      <c r="N70" s="34">
        <v>669.6</v>
      </c>
      <c r="O70" s="10" t="s">
        <v>60</v>
      </c>
      <c r="P70" s="11"/>
      <c r="Q70" s="11"/>
    </row>
    <row r="71" spans="1:17" x14ac:dyDescent="0.3">
      <c r="A71" s="7" t="s">
        <v>154</v>
      </c>
      <c r="B71" s="8">
        <f t="shared" si="75"/>
        <v>11545.306</v>
      </c>
      <c r="C71" s="48">
        <f t="shared" si="76"/>
        <v>531.50400000000002</v>
      </c>
      <c r="D71" s="32">
        <v>531.5</v>
      </c>
      <c r="E71" s="32">
        <v>4.0000000000000001E-3</v>
      </c>
      <c r="F71" s="45" t="s">
        <v>191</v>
      </c>
      <c r="G71" s="9">
        <f t="shared" si="77"/>
        <v>5931.7070000000003</v>
      </c>
      <c r="H71" s="32">
        <v>22.18</v>
      </c>
      <c r="I71" s="33">
        <v>5851.027</v>
      </c>
      <c r="J71" s="32">
        <v>58.5</v>
      </c>
      <c r="K71" s="14">
        <f t="shared" si="78"/>
        <v>5082.0950000000003</v>
      </c>
      <c r="L71" s="32">
        <v>155.91999999999999</v>
      </c>
      <c r="M71" s="33">
        <v>4863.1750000000002</v>
      </c>
      <c r="N71" s="34">
        <v>63</v>
      </c>
      <c r="O71" s="10" t="s">
        <v>61</v>
      </c>
      <c r="P71" s="11"/>
      <c r="Q71" s="11"/>
    </row>
    <row r="72" spans="1:17" x14ac:dyDescent="0.3">
      <c r="A72" s="7" t="s">
        <v>155</v>
      </c>
      <c r="B72" s="8">
        <f t="shared" si="75"/>
        <v>23925.260000000002</v>
      </c>
      <c r="C72" s="48">
        <f t="shared" si="76"/>
        <v>4377.0949999999993</v>
      </c>
      <c r="D72" s="32">
        <v>3889.3449999999998</v>
      </c>
      <c r="E72" s="32">
        <v>487.75</v>
      </c>
      <c r="F72" s="45" t="s">
        <v>191</v>
      </c>
      <c r="G72" s="9">
        <f t="shared" si="77"/>
        <v>6374.55</v>
      </c>
      <c r="H72" s="32">
        <v>4</v>
      </c>
      <c r="I72" s="33">
        <v>6370.55</v>
      </c>
      <c r="J72" s="32" t="s">
        <v>191</v>
      </c>
      <c r="K72" s="14">
        <f t="shared" si="78"/>
        <v>13173.615</v>
      </c>
      <c r="L72" s="32">
        <v>21.5</v>
      </c>
      <c r="M72" s="33">
        <v>13152.115</v>
      </c>
      <c r="N72" s="34" t="s">
        <v>191</v>
      </c>
      <c r="O72" s="10" t="s">
        <v>62</v>
      </c>
      <c r="P72" s="11"/>
      <c r="Q72" s="11"/>
    </row>
    <row r="73" spans="1:17" x14ac:dyDescent="0.3">
      <c r="A73" s="7" t="s">
        <v>156</v>
      </c>
      <c r="B73" s="8">
        <f t="shared" si="75"/>
        <v>13357.615</v>
      </c>
      <c r="C73" s="48">
        <f t="shared" si="76"/>
        <v>344.92899999999997</v>
      </c>
      <c r="D73" s="32">
        <v>344.9</v>
      </c>
      <c r="E73" s="32">
        <v>2.9000000000000001E-2</v>
      </c>
      <c r="F73" s="45" t="s">
        <v>191</v>
      </c>
      <c r="G73" s="9">
        <f t="shared" si="77"/>
        <v>8191.866</v>
      </c>
      <c r="H73" s="32">
        <v>315.94499999999999</v>
      </c>
      <c r="I73" s="33">
        <v>7875.9210000000003</v>
      </c>
      <c r="J73" s="32" t="s">
        <v>191</v>
      </c>
      <c r="K73" s="14">
        <f t="shared" si="78"/>
        <v>4820.82</v>
      </c>
      <c r="L73" s="32">
        <v>417.505</v>
      </c>
      <c r="M73" s="33">
        <v>4403.3149999999996</v>
      </c>
      <c r="N73" s="34" t="s">
        <v>191</v>
      </c>
      <c r="O73" s="10" t="s">
        <v>63</v>
      </c>
      <c r="P73" s="11"/>
      <c r="Q73" s="11"/>
    </row>
    <row r="74" spans="1:17" x14ac:dyDescent="0.3">
      <c r="A74" s="98" t="s">
        <v>64</v>
      </c>
      <c r="B74" s="99">
        <f t="shared" ref="B74:D74" si="79">SUM(B76:B83)</f>
        <v>15119.236000000001</v>
      </c>
      <c r="C74" s="50">
        <f t="shared" ref="C74" si="80">SUM(C76:C83)</f>
        <v>7018.7060000000001</v>
      </c>
      <c r="D74" s="50">
        <f t="shared" si="79"/>
        <v>7018.7</v>
      </c>
      <c r="E74" s="50">
        <f t="shared" ref="E74" si="81">SUM(E76:E83)</f>
        <v>6.0000000000000001E-3</v>
      </c>
      <c r="F74" s="101">
        <f t="shared" ref="F74:H74" si="82">SUM(F76:F83)</f>
        <v>0</v>
      </c>
      <c r="G74" s="50">
        <f>SUM(G76:G83)</f>
        <v>5539.5779999999995</v>
      </c>
      <c r="H74" s="50">
        <f t="shared" si="82"/>
        <v>11.06</v>
      </c>
      <c r="I74" s="50">
        <f t="shared" ref="I74:K74" si="83">SUM(I76:I83)</f>
        <v>5261.2179999999998</v>
      </c>
      <c r="J74" s="50">
        <f t="shared" si="83"/>
        <v>267.3</v>
      </c>
      <c r="K74" s="50">
        <f t="shared" si="83"/>
        <v>2560.9520000000002</v>
      </c>
      <c r="L74" s="50">
        <f t="shared" ref="L74:N74" si="84">SUM(L76:L83)</f>
        <v>4.47</v>
      </c>
      <c r="M74" s="50">
        <f t="shared" si="84"/>
        <v>2485.232</v>
      </c>
      <c r="N74" s="100">
        <f t="shared" si="84"/>
        <v>71.25</v>
      </c>
      <c r="O74" s="107" t="s">
        <v>65</v>
      </c>
      <c r="P74" s="108"/>
      <c r="Q74" s="108"/>
    </row>
    <row r="75" spans="1:17" x14ac:dyDescent="0.3">
      <c r="A75" s="98"/>
      <c r="B75" s="99"/>
      <c r="C75" s="50"/>
      <c r="D75" s="50"/>
      <c r="E75" s="50"/>
      <c r="F75" s="101"/>
      <c r="G75" s="50"/>
      <c r="H75" s="50"/>
      <c r="I75" s="50"/>
      <c r="J75" s="50"/>
      <c r="K75" s="50"/>
      <c r="L75" s="50"/>
      <c r="M75" s="50"/>
      <c r="N75" s="100"/>
      <c r="O75" s="107"/>
      <c r="P75" s="108"/>
      <c r="Q75" s="108"/>
    </row>
    <row r="76" spans="1:17" x14ac:dyDescent="0.3">
      <c r="A76" s="15" t="s">
        <v>66</v>
      </c>
      <c r="B76" s="8">
        <f t="shared" ref="B76:B83" si="85">SUM(D76:G76,K76)</f>
        <v>0</v>
      </c>
      <c r="C76" s="48">
        <f t="shared" ref="C76:C83" si="86">SUM(D76:F76)</f>
        <v>0</v>
      </c>
      <c r="D76" s="32" t="s">
        <v>191</v>
      </c>
      <c r="E76" s="32" t="s">
        <v>191</v>
      </c>
      <c r="F76" s="45" t="s">
        <v>191</v>
      </c>
      <c r="G76" s="16">
        <f t="shared" ref="G76:G83" si="87">SUM(H76:J76)</f>
        <v>0</v>
      </c>
      <c r="H76" s="32" t="s">
        <v>191</v>
      </c>
      <c r="I76" s="33" t="s">
        <v>191</v>
      </c>
      <c r="J76" s="32" t="s">
        <v>191</v>
      </c>
      <c r="K76" s="17">
        <f t="shared" ref="K76:K83" si="88">SUM(L76:N76)</f>
        <v>0</v>
      </c>
      <c r="L76" s="32" t="s">
        <v>191</v>
      </c>
      <c r="M76" s="33" t="s">
        <v>191</v>
      </c>
      <c r="N76" s="34" t="s">
        <v>191</v>
      </c>
      <c r="O76" s="10" t="s">
        <v>67</v>
      </c>
      <c r="P76" s="11"/>
      <c r="Q76" s="11"/>
    </row>
    <row r="77" spans="1:17" x14ac:dyDescent="0.3">
      <c r="A77" s="15" t="s">
        <v>68</v>
      </c>
      <c r="B77" s="8">
        <f t="shared" si="85"/>
        <v>50.3</v>
      </c>
      <c r="C77" s="48">
        <f t="shared" si="86"/>
        <v>0</v>
      </c>
      <c r="D77" s="32" t="s">
        <v>191</v>
      </c>
      <c r="E77" s="32" t="s">
        <v>191</v>
      </c>
      <c r="F77" s="45" t="s">
        <v>191</v>
      </c>
      <c r="G77" s="9">
        <f t="shared" si="87"/>
        <v>9.3000000000000007</v>
      </c>
      <c r="H77" s="32">
        <v>7.5</v>
      </c>
      <c r="I77" s="33">
        <v>1.8</v>
      </c>
      <c r="J77" s="32" t="s">
        <v>191</v>
      </c>
      <c r="K77" s="14">
        <f t="shared" si="88"/>
        <v>41</v>
      </c>
      <c r="L77" s="32" t="s">
        <v>191</v>
      </c>
      <c r="M77" s="33">
        <v>41</v>
      </c>
      <c r="N77" s="34" t="s">
        <v>191</v>
      </c>
      <c r="O77" s="10" t="s">
        <v>69</v>
      </c>
      <c r="P77" s="11"/>
      <c r="Q77" s="11"/>
    </row>
    <row r="78" spans="1:17" x14ac:dyDescent="0.3">
      <c r="A78" s="15" t="s">
        <v>70</v>
      </c>
      <c r="B78" s="8">
        <f t="shared" si="85"/>
        <v>42.84</v>
      </c>
      <c r="C78" s="48">
        <f t="shared" si="86"/>
        <v>0</v>
      </c>
      <c r="D78" s="32" t="s">
        <v>191</v>
      </c>
      <c r="E78" s="32" t="s">
        <v>191</v>
      </c>
      <c r="F78" s="45" t="s">
        <v>191</v>
      </c>
      <c r="G78" s="9">
        <f t="shared" si="87"/>
        <v>42.84</v>
      </c>
      <c r="H78" s="32" t="s">
        <v>191</v>
      </c>
      <c r="I78" s="33">
        <v>42.84</v>
      </c>
      <c r="J78" s="32" t="s">
        <v>191</v>
      </c>
      <c r="K78" s="14">
        <f t="shared" si="88"/>
        <v>0</v>
      </c>
      <c r="L78" s="32" t="s">
        <v>191</v>
      </c>
      <c r="M78" s="33" t="s">
        <v>191</v>
      </c>
      <c r="N78" s="34" t="s">
        <v>191</v>
      </c>
      <c r="O78" s="10" t="s">
        <v>71</v>
      </c>
      <c r="P78" s="11"/>
      <c r="Q78" s="11"/>
    </row>
    <row r="79" spans="1:17" x14ac:dyDescent="0.3">
      <c r="A79" s="15" t="s">
        <v>72</v>
      </c>
      <c r="B79" s="8">
        <f t="shared" si="85"/>
        <v>0</v>
      </c>
      <c r="C79" s="48">
        <f t="shared" si="86"/>
        <v>0</v>
      </c>
      <c r="D79" s="32" t="s">
        <v>191</v>
      </c>
      <c r="E79" s="32" t="s">
        <v>191</v>
      </c>
      <c r="F79" s="45" t="s">
        <v>191</v>
      </c>
      <c r="G79" s="9">
        <f t="shared" si="87"/>
        <v>0</v>
      </c>
      <c r="H79" s="32" t="s">
        <v>191</v>
      </c>
      <c r="I79" s="33" t="s">
        <v>191</v>
      </c>
      <c r="J79" s="32" t="s">
        <v>191</v>
      </c>
      <c r="K79" s="14">
        <f t="shared" si="88"/>
        <v>0</v>
      </c>
      <c r="L79" s="32" t="s">
        <v>191</v>
      </c>
      <c r="M79" s="33" t="s">
        <v>191</v>
      </c>
      <c r="N79" s="34" t="s">
        <v>191</v>
      </c>
      <c r="O79" s="10" t="s">
        <v>73</v>
      </c>
      <c r="P79" s="11"/>
      <c r="Q79" s="11"/>
    </row>
    <row r="80" spans="1:17" x14ac:dyDescent="0.3">
      <c r="A80" s="15" t="s">
        <v>74</v>
      </c>
      <c r="B80" s="8">
        <f t="shared" si="85"/>
        <v>5863.1239999999998</v>
      </c>
      <c r="C80" s="48">
        <f t="shared" si="86"/>
        <v>699.00199999999995</v>
      </c>
      <c r="D80" s="32">
        <v>699</v>
      </c>
      <c r="E80" s="32">
        <v>2E-3</v>
      </c>
      <c r="F80" s="45" t="s">
        <v>191</v>
      </c>
      <c r="G80" s="9">
        <f t="shared" si="87"/>
        <v>3937.5499999999997</v>
      </c>
      <c r="H80" s="32">
        <v>1.6</v>
      </c>
      <c r="I80" s="33">
        <v>3935.95</v>
      </c>
      <c r="J80" s="32" t="s">
        <v>191</v>
      </c>
      <c r="K80" s="14">
        <f t="shared" si="88"/>
        <v>1226.5720000000001</v>
      </c>
      <c r="L80" s="32">
        <v>2.2400000000000002</v>
      </c>
      <c r="M80" s="33">
        <v>1224.3320000000001</v>
      </c>
      <c r="N80" s="34" t="s">
        <v>191</v>
      </c>
      <c r="O80" s="10" t="s">
        <v>75</v>
      </c>
      <c r="P80" s="11"/>
      <c r="Q80" s="11"/>
    </row>
    <row r="81" spans="1:17" x14ac:dyDescent="0.3">
      <c r="A81" s="15" t="s">
        <v>76</v>
      </c>
      <c r="B81" s="8">
        <f t="shared" si="85"/>
        <v>6417.8540000000003</v>
      </c>
      <c r="C81" s="48">
        <f t="shared" si="86"/>
        <v>5269.7039999999997</v>
      </c>
      <c r="D81" s="32">
        <v>5269.7</v>
      </c>
      <c r="E81" s="32">
        <v>4.0000000000000001E-3</v>
      </c>
      <c r="F81" s="45" t="s">
        <v>191</v>
      </c>
      <c r="G81" s="9">
        <f t="shared" si="87"/>
        <v>696.8900000000001</v>
      </c>
      <c r="H81" s="32">
        <v>0.24</v>
      </c>
      <c r="I81" s="33">
        <v>429.35</v>
      </c>
      <c r="J81" s="32">
        <v>267.3</v>
      </c>
      <c r="K81" s="14">
        <f t="shared" si="88"/>
        <v>451.26</v>
      </c>
      <c r="L81" s="32">
        <v>0.51</v>
      </c>
      <c r="M81" s="33">
        <v>379.5</v>
      </c>
      <c r="N81" s="34">
        <v>71.25</v>
      </c>
      <c r="O81" s="10" t="s">
        <v>77</v>
      </c>
      <c r="P81" s="11"/>
      <c r="Q81" s="11"/>
    </row>
    <row r="82" spans="1:17" x14ac:dyDescent="0.3">
      <c r="A82" s="15" t="s">
        <v>78</v>
      </c>
      <c r="B82" s="8">
        <f t="shared" si="85"/>
        <v>0</v>
      </c>
      <c r="C82" s="48">
        <f t="shared" si="86"/>
        <v>0</v>
      </c>
      <c r="D82" s="32" t="s">
        <v>191</v>
      </c>
      <c r="E82" s="32" t="s">
        <v>191</v>
      </c>
      <c r="F82" s="45" t="s">
        <v>191</v>
      </c>
      <c r="G82" s="9">
        <f t="shared" si="87"/>
        <v>0</v>
      </c>
      <c r="H82" s="32" t="s">
        <v>191</v>
      </c>
      <c r="I82" s="33" t="s">
        <v>191</v>
      </c>
      <c r="J82" s="32" t="s">
        <v>191</v>
      </c>
      <c r="K82" s="14">
        <f t="shared" si="88"/>
        <v>0</v>
      </c>
      <c r="L82" s="32" t="s">
        <v>191</v>
      </c>
      <c r="M82" s="33" t="s">
        <v>191</v>
      </c>
      <c r="N82" s="34" t="s">
        <v>191</v>
      </c>
      <c r="O82" s="10" t="s">
        <v>79</v>
      </c>
      <c r="P82" s="11"/>
      <c r="Q82" s="11"/>
    </row>
    <row r="83" spans="1:17" x14ac:dyDescent="0.3">
      <c r="A83" s="15" t="s">
        <v>80</v>
      </c>
      <c r="B83" s="8">
        <f t="shared" si="85"/>
        <v>2745.1179999999999</v>
      </c>
      <c r="C83" s="48">
        <f t="shared" si="86"/>
        <v>1050</v>
      </c>
      <c r="D83" s="32">
        <v>1050</v>
      </c>
      <c r="E83" s="32" t="s">
        <v>191</v>
      </c>
      <c r="F83" s="45" t="s">
        <v>191</v>
      </c>
      <c r="G83" s="9">
        <f t="shared" si="87"/>
        <v>852.99800000000005</v>
      </c>
      <c r="H83" s="32">
        <v>1.72</v>
      </c>
      <c r="I83" s="33">
        <v>851.27800000000002</v>
      </c>
      <c r="J83" s="32" t="s">
        <v>191</v>
      </c>
      <c r="K83" s="14">
        <f t="shared" si="88"/>
        <v>842.12</v>
      </c>
      <c r="L83" s="32">
        <v>1.72</v>
      </c>
      <c r="M83" s="33">
        <v>840.4</v>
      </c>
      <c r="N83" s="34" t="s">
        <v>191</v>
      </c>
      <c r="O83" s="10" t="s">
        <v>81</v>
      </c>
      <c r="P83" s="11"/>
      <c r="Q83" s="11"/>
    </row>
    <row r="84" spans="1:17" x14ac:dyDescent="0.3">
      <c r="A84" s="98" t="s">
        <v>82</v>
      </c>
      <c r="B84" s="99">
        <f>SUM(B86:B90)</f>
        <v>58113.570999999996</v>
      </c>
      <c r="C84" s="50">
        <f t="shared" ref="C84" si="89">SUM(C86:C90)</f>
        <v>3455.482</v>
      </c>
      <c r="D84" s="50">
        <f t="shared" ref="D84:E84" si="90">SUM(D86:D90)</f>
        <v>3438.7149999999997</v>
      </c>
      <c r="E84" s="50">
        <f t="shared" si="90"/>
        <v>16.766999999999999</v>
      </c>
      <c r="F84" s="101">
        <v>0</v>
      </c>
      <c r="G84" s="50">
        <f>SUM(G86:G90)</f>
        <v>47686.095000000008</v>
      </c>
      <c r="H84" s="50">
        <f>SUM(H86:H90)</f>
        <v>339.52000000000004</v>
      </c>
      <c r="I84" s="50">
        <f t="shared" ref="I84:K84" si="91">SUM(I86:I90)</f>
        <v>47286.125</v>
      </c>
      <c r="J84" s="50">
        <f t="shared" si="91"/>
        <v>60.45</v>
      </c>
      <c r="K84" s="50">
        <f t="shared" si="91"/>
        <v>6971.9939999999997</v>
      </c>
      <c r="L84" s="50">
        <f t="shared" ref="L84:N84" si="92">SUM(L86:L90)</f>
        <v>586.88000000000011</v>
      </c>
      <c r="M84" s="50">
        <f t="shared" si="92"/>
        <v>5614.2640000000001</v>
      </c>
      <c r="N84" s="100">
        <f t="shared" si="92"/>
        <v>770.85</v>
      </c>
      <c r="O84" s="107" t="s">
        <v>83</v>
      </c>
      <c r="P84" s="108"/>
      <c r="Q84" s="108"/>
    </row>
    <row r="85" spans="1:17" x14ac:dyDescent="0.3">
      <c r="A85" s="98"/>
      <c r="B85" s="99"/>
      <c r="C85" s="50"/>
      <c r="D85" s="50"/>
      <c r="E85" s="50"/>
      <c r="F85" s="101"/>
      <c r="G85" s="50"/>
      <c r="H85" s="50"/>
      <c r="I85" s="50"/>
      <c r="J85" s="50"/>
      <c r="K85" s="50"/>
      <c r="L85" s="50"/>
      <c r="M85" s="50"/>
      <c r="N85" s="100"/>
      <c r="O85" s="107"/>
      <c r="P85" s="108"/>
      <c r="Q85" s="108"/>
    </row>
    <row r="86" spans="1:17" x14ac:dyDescent="0.3">
      <c r="A86" s="7" t="s">
        <v>157</v>
      </c>
      <c r="B86" s="8">
        <f t="shared" ref="B86:B90" si="93">SUM(D86:G86,K86)</f>
        <v>43245.258999999998</v>
      </c>
      <c r="C86" s="48">
        <f t="shared" ref="C86:C90" si="94">SUM(D86:F86)</f>
        <v>26.504999999999999</v>
      </c>
      <c r="D86" s="32">
        <v>11.6</v>
      </c>
      <c r="E86" s="32">
        <v>14.904999999999999</v>
      </c>
      <c r="F86" s="45" t="s">
        <v>191</v>
      </c>
      <c r="G86" s="9">
        <f t="shared" ref="G86:G90" si="95">SUM(H86:J86)</f>
        <v>39785.235000000001</v>
      </c>
      <c r="H86" s="32">
        <v>191.33500000000001</v>
      </c>
      <c r="I86" s="33">
        <v>39593.9</v>
      </c>
      <c r="J86" s="32" t="s">
        <v>191</v>
      </c>
      <c r="K86" s="14">
        <f t="shared" ref="K86:K90" si="96">SUM(L86:N86)</f>
        <v>3433.5190000000002</v>
      </c>
      <c r="L86" s="32">
        <v>269.42</v>
      </c>
      <c r="M86" s="33">
        <v>3164.0990000000002</v>
      </c>
      <c r="N86" s="34" t="s">
        <v>191</v>
      </c>
      <c r="O86" s="10" t="s">
        <v>84</v>
      </c>
      <c r="P86" s="11"/>
      <c r="Q86" s="11"/>
    </row>
    <row r="87" spans="1:17" x14ac:dyDescent="0.3">
      <c r="A87" s="7" t="s">
        <v>158</v>
      </c>
      <c r="B87" s="8">
        <f t="shared" si="93"/>
        <v>926.98299999999995</v>
      </c>
      <c r="C87" s="48">
        <f t="shared" si="94"/>
        <v>29.003</v>
      </c>
      <c r="D87" s="32">
        <v>29</v>
      </c>
      <c r="E87" s="32">
        <v>3.0000000000000001E-3</v>
      </c>
      <c r="F87" s="45" t="s">
        <v>191</v>
      </c>
      <c r="G87" s="9">
        <f t="shared" si="95"/>
        <v>227.5</v>
      </c>
      <c r="H87" s="32">
        <v>142</v>
      </c>
      <c r="I87" s="33">
        <v>85.5</v>
      </c>
      <c r="J87" s="32" t="s">
        <v>191</v>
      </c>
      <c r="K87" s="14">
        <f t="shared" si="96"/>
        <v>670.48</v>
      </c>
      <c r="L87" s="32">
        <v>306</v>
      </c>
      <c r="M87" s="33">
        <v>364.48</v>
      </c>
      <c r="N87" s="34" t="s">
        <v>191</v>
      </c>
      <c r="O87" s="10" t="s">
        <v>85</v>
      </c>
      <c r="P87" s="11"/>
      <c r="Q87" s="11"/>
    </row>
    <row r="88" spans="1:17" x14ac:dyDescent="0.3">
      <c r="A88" s="7" t="s">
        <v>159</v>
      </c>
      <c r="B88" s="8">
        <f t="shared" si="93"/>
        <v>8785.75</v>
      </c>
      <c r="C88" s="48">
        <f t="shared" si="94"/>
        <v>4.43</v>
      </c>
      <c r="D88" s="32">
        <v>2.58</v>
      </c>
      <c r="E88" s="32">
        <v>1.85</v>
      </c>
      <c r="F88" s="45" t="s">
        <v>191</v>
      </c>
      <c r="G88" s="9">
        <f t="shared" si="95"/>
        <v>7430.72</v>
      </c>
      <c r="H88" s="32" t="s">
        <v>191</v>
      </c>
      <c r="I88" s="33">
        <v>7430.72</v>
      </c>
      <c r="J88" s="32" t="s">
        <v>191</v>
      </c>
      <c r="K88" s="14">
        <f t="shared" si="96"/>
        <v>1350.6</v>
      </c>
      <c r="L88" s="32" t="s">
        <v>191</v>
      </c>
      <c r="M88" s="33">
        <v>1350.6</v>
      </c>
      <c r="N88" s="34" t="s">
        <v>191</v>
      </c>
      <c r="O88" s="10" t="s">
        <v>86</v>
      </c>
      <c r="P88" s="11"/>
      <c r="Q88" s="11"/>
    </row>
    <row r="89" spans="1:17" x14ac:dyDescent="0.3">
      <c r="A89" s="7" t="s">
        <v>160</v>
      </c>
      <c r="B89" s="8">
        <f t="shared" si="93"/>
        <v>527.52199999999993</v>
      </c>
      <c r="C89" s="48">
        <f t="shared" si="94"/>
        <v>66.001999999999995</v>
      </c>
      <c r="D89" s="32">
        <v>66</v>
      </c>
      <c r="E89" s="32">
        <v>2E-3</v>
      </c>
      <c r="F89" s="45" t="s">
        <v>191</v>
      </c>
      <c r="G89" s="9">
        <f t="shared" si="95"/>
        <v>110.66</v>
      </c>
      <c r="H89" s="32">
        <v>5.56</v>
      </c>
      <c r="I89" s="33">
        <v>105.1</v>
      </c>
      <c r="J89" s="32" t="s">
        <v>191</v>
      </c>
      <c r="K89" s="14">
        <f t="shared" si="96"/>
        <v>350.85999999999996</v>
      </c>
      <c r="L89" s="32">
        <v>11.46</v>
      </c>
      <c r="M89" s="33">
        <v>339.4</v>
      </c>
      <c r="N89" s="34" t="s">
        <v>191</v>
      </c>
      <c r="O89" s="10" t="s">
        <v>87</v>
      </c>
      <c r="P89" s="11"/>
      <c r="Q89" s="11"/>
    </row>
    <row r="90" spans="1:17" x14ac:dyDescent="0.3">
      <c r="A90" s="7" t="s">
        <v>161</v>
      </c>
      <c r="B90" s="8">
        <f t="shared" si="93"/>
        <v>4628.0569999999998</v>
      </c>
      <c r="C90" s="48">
        <f t="shared" si="94"/>
        <v>3329.5419999999999</v>
      </c>
      <c r="D90" s="32">
        <v>3329.5349999999999</v>
      </c>
      <c r="E90" s="32">
        <v>7.0000000000000001E-3</v>
      </c>
      <c r="F90" s="45" t="s">
        <v>191</v>
      </c>
      <c r="G90" s="9">
        <f t="shared" si="95"/>
        <v>131.98000000000002</v>
      </c>
      <c r="H90" s="32">
        <v>0.625</v>
      </c>
      <c r="I90" s="33">
        <v>70.905000000000001</v>
      </c>
      <c r="J90" s="32">
        <v>60.45</v>
      </c>
      <c r="K90" s="14">
        <f t="shared" si="96"/>
        <v>1166.5350000000001</v>
      </c>
      <c r="L90" s="32" t="s">
        <v>191</v>
      </c>
      <c r="M90" s="33">
        <v>395.685</v>
      </c>
      <c r="N90" s="34">
        <v>770.85</v>
      </c>
      <c r="O90" s="10" t="s">
        <v>88</v>
      </c>
      <c r="P90" s="11"/>
      <c r="Q90" s="11"/>
    </row>
    <row r="91" spans="1:17" x14ac:dyDescent="0.3">
      <c r="A91" s="98" t="s">
        <v>89</v>
      </c>
      <c r="B91" s="99">
        <f>SUM(B93:B105)</f>
        <v>52435.501000000004</v>
      </c>
      <c r="C91" s="50">
        <f>SUM(C93:C105)</f>
        <v>17351.288</v>
      </c>
      <c r="D91" s="50">
        <f>SUM(D93:D105)</f>
        <v>17351.25</v>
      </c>
      <c r="E91" s="50">
        <f>SUM(E93:E105)</f>
        <v>3.7999999999999999E-2</v>
      </c>
      <c r="F91" s="101">
        <f t="shared" ref="F91" si="97">SUM(F93:F105)</f>
        <v>0</v>
      </c>
      <c r="G91" s="50">
        <f>SUM(G93:G105)</f>
        <v>15287.761999999997</v>
      </c>
      <c r="H91" s="50">
        <f>SUM(H93:H105)</f>
        <v>2441.2959999999998</v>
      </c>
      <c r="I91" s="50">
        <f t="shared" ref="I91:J91" si="98">SUM(I93:I105)</f>
        <v>12846.465999999999</v>
      </c>
      <c r="J91" s="50">
        <f t="shared" si="98"/>
        <v>0</v>
      </c>
      <c r="K91" s="50">
        <f>SUM(K93:K105)</f>
        <v>19796.450999999997</v>
      </c>
      <c r="L91" s="50">
        <f t="shared" ref="L91:N91" si="99">SUM(L93:L105)</f>
        <v>2559.4459999999999</v>
      </c>
      <c r="M91" s="50">
        <f t="shared" si="99"/>
        <v>17237.005000000001</v>
      </c>
      <c r="N91" s="100">
        <f t="shared" si="99"/>
        <v>0</v>
      </c>
      <c r="O91" s="107" t="s">
        <v>90</v>
      </c>
      <c r="P91" s="108"/>
      <c r="Q91" s="108"/>
    </row>
    <row r="92" spans="1:17" x14ac:dyDescent="0.3">
      <c r="A92" s="98"/>
      <c r="B92" s="99"/>
      <c r="C92" s="50"/>
      <c r="D92" s="50"/>
      <c r="E92" s="50"/>
      <c r="F92" s="101"/>
      <c r="G92" s="50"/>
      <c r="H92" s="50"/>
      <c r="I92" s="50"/>
      <c r="J92" s="50"/>
      <c r="K92" s="50"/>
      <c r="L92" s="50"/>
      <c r="M92" s="50"/>
      <c r="N92" s="100"/>
      <c r="O92" s="107"/>
      <c r="P92" s="108"/>
      <c r="Q92" s="108"/>
    </row>
    <row r="93" spans="1:17" x14ac:dyDescent="0.3">
      <c r="A93" s="7" t="s">
        <v>162</v>
      </c>
      <c r="B93" s="8">
        <f t="shared" ref="B93:B105" si="100">SUM(D93:G93,K93)</f>
        <v>583.98299999999995</v>
      </c>
      <c r="C93" s="48">
        <f t="shared" ref="C93:C105" si="101">SUM(D93:F93)</f>
        <v>417.00299999999999</v>
      </c>
      <c r="D93" s="32">
        <v>417</v>
      </c>
      <c r="E93" s="32">
        <v>3.0000000000000001E-3</v>
      </c>
      <c r="F93" s="45" t="s">
        <v>191</v>
      </c>
      <c r="G93" s="9">
        <f t="shared" ref="G93:G105" si="102">SUM(H93:J93)</f>
        <v>87.48</v>
      </c>
      <c r="H93" s="32">
        <v>77.400000000000006</v>
      </c>
      <c r="I93" s="33">
        <v>10.08</v>
      </c>
      <c r="J93" s="32" t="s">
        <v>191</v>
      </c>
      <c r="K93" s="14">
        <f t="shared" ref="K93:K105" si="103">SUM(L93:N93)</f>
        <v>79.5</v>
      </c>
      <c r="L93" s="32">
        <v>79.5</v>
      </c>
      <c r="M93" s="33" t="s">
        <v>191</v>
      </c>
      <c r="N93" s="34" t="s">
        <v>191</v>
      </c>
      <c r="O93" s="10" t="s">
        <v>91</v>
      </c>
      <c r="P93" s="11"/>
      <c r="Q93" s="11"/>
    </row>
    <row r="94" spans="1:17" x14ac:dyDescent="0.3">
      <c r="A94" s="7" t="s">
        <v>163</v>
      </c>
      <c r="B94" s="8">
        <f t="shared" si="100"/>
        <v>1624.1790000000001</v>
      </c>
      <c r="C94" s="48">
        <f t="shared" si="101"/>
        <v>1356.0029999999999</v>
      </c>
      <c r="D94" s="32">
        <v>1356</v>
      </c>
      <c r="E94" s="32">
        <v>3.0000000000000001E-3</v>
      </c>
      <c r="F94" s="45" t="s">
        <v>191</v>
      </c>
      <c r="G94" s="9">
        <f t="shared" si="102"/>
        <v>105.65100000000001</v>
      </c>
      <c r="H94" s="32">
        <v>29.420999999999999</v>
      </c>
      <c r="I94" s="33">
        <v>76.23</v>
      </c>
      <c r="J94" s="32" t="s">
        <v>191</v>
      </c>
      <c r="K94" s="14">
        <f t="shared" si="103"/>
        <v>162.52500000000001</v>
      </c>
      <c r="L94" s="32">
        <v>44.098999999999997</v>
      </c>
      <c r="M94" s="33">
        <v>118.426</v>
      </c>
      <c r="N94" s="34" t="s">
        <v>191</v>
      </c>
      <c r="O94" s="10" t="s">
        <v>92</v>
      </c>
      <c r="P94" s="11"/>
      <c r="Q94" s="11"/>
    </row>
    <row r="95" spans="1:17" x14ac:dyDescent="0.3">
      <c r="A95" s="7" t="s">
        <v>164</v>
      </c>
      <c r="B95" s="8">
        <f t="shared" si="100"/>
        <v>1273.0730000000001</v>
      </c>
      <c r="C95" s="48">
        <f t="shared" si="101"/>
        <v>212.803</v>
      </c>
      <c r="D95" s="32">
        <v>212.8</v>
      </c>
      <c r="E95" s="32">
        <v>3.0000000000000001E-3</v>
      </c>
      <c r="F95" s="45" t="s">
        <v>191</v>
      </c>
      <c r="G95" s="9">
        <f t="shared" si="102"/>
        <v>194.22</v>
      </c>
      <c r="H95" s="32">
        <v>47.94</v>
      </c>
      <c r="I95" s="33">
        <v>146.28</v>
      </c>
      <c r="J95" s="32" t="s">
        <v>191</v>
      </c>
      <c r="K95" s="14">
        <f t="shared" si="103"/>
        <v>866.05000000000007</v>
      </c>
      <c r="L95" s="32">
        <v>141.35</v>
      </c>
      <c r="M95" s="33">
        <v>724.7</v>
      </c>
      <c r="N95" s="34" t="s">
        <v>191</v>
      </c>
      <c r="O95" s="10" t="s">
        <v>93</v>
      </c>
      <c r="P95" s="11"/>
      <c r="Q95" s="11"/>
    </row>
    <row r="96" spans="1:17" x14ac:dyDescent="0.3">
      <c r="A96" s="7" t="s">
        <v>165</v>
      </c>
      <c r="B96" s="8">
        <f t="shared" si="100"/>
        <v>3781.7049999999999</v>
      </c>
      <c r="C96" s="48">
        <f t="shared" si="101"/>
        <v>336.70499999999998</v>
      </c>
      <c r="D96" s="32">
        <v>336.7</v>
      </c>
      <c r="E96" s="32">
        <v>5.0000000000000001E-3</v>
      </c>
      <c r="F96" s="45" t="s">
        <v>191</v>
      </c>
      <c r="G96" s="9">
        <f t="shared" si="102"/>
        <v>965</v>
      </c>
      <c r="H96" s="32">
        <v>380</v>
      </c>
      <c r="I96" s="33">
        <v>585</v>
      </c>
      <c r="J96" s="32" t="s">
        <v>191</v>
      </c>
      <c r="K96" s="14">
        <f t="shared" si="103"/>
        <v>2480</v>
      </c>
      <c r="L96" s="32">
        <v>762.5</v>
      </c>
      <c r="M96" s="33">
        <v>1717.5</v>
      </c>
      <c r="N96" s="34" t="s">
        <v>191</v>
      </c>
      <c r="O96" s="10" t="s">
        <v>94</v>
      </c>
      <c r="P96" s="11"/>
      <c r="Q96" s="11"/>
    </row>
    <row r="97" spans="1:17" x14ac:dyDescent="0.3">
      <c r="A97" s="7" t="s">
        <v>166</v>
      </c>
      <c r="B97" s="8">
        <f t="shared" si="100"/>
        <v>1632.7429999999999</v>
      </c>
      <c r="C97" s="48">
        <f t="shared" si="101"/>
        <v>0</v>
      </c>
      <c r="D97" s="32" t="s">
        <v>191</v>
      </c>
      <c r="E97" s="32" t="s">
        <v>191</v>
      </c>
      <c r="F97" s="45" t="s">
        <v>191</v>
      </c>
      <c r="G97" s="9">
        <f t="shared" si="102"/>
        <v>1007.8630000000001</v>
      </c>
      <c r="H97" s="32" t="s">
        <v>191</v>
      </c>
      <c r="I97" s="33">
        <v>1007.8630000000001</v>
      </c>
      <c r="J97" s="32" t="s">
        <v>191</v>
      </c>
      <c r="K97" s="14">
        <f t="shared" si="103"/>
        <v>624.88</v>
      </c>
      <c r="L97" s="32" t="s">
        <v>191</v>
      </c>
      <c r="M97" s="33">
        <v>624.88</v>
      </c>
      <c r="N97" s="34" t="s">
        <v>191</v>
      </c>
      <c r="O97" s="10" t="s">
        <v>95</v>
      </c>
      <c r="P97" s="11"/>
      <c r="Q97" s="11"/>
    </row>
    <row r="98" spans="1:17" x14ac:dyDescent="0.3">
      <c r="A98" s="7" t="s">
        <v>167</v>
      </c>
      <c r="B98" s="8">
        <f t="shared" si="100"/>
        <v>2583.201</v>
      </c>
      <c r="C98" s="48">
        <f t="shared" si="101"/>
        <v>204.00200000000001</v>
      </c>
      <c r="D98" s="32">
        <v>204</v>
      </c>
      <c r="E98" s="32">
        <v>2E-3</v>
      </c>
      <c r="F98" s="45" t="s">
        <v>191</v>
      </c>
      <c r="G98" s="9">
        <f t="shared" si="102"/>
        <v>959.88</v>
      </c>
      <c r="H98" s="32">
        <v>858.6</v>
      </c>
      <c r="I98" s="33">
        <v>101.28</v>
      </c>
      <c r="J98" s="32" t="s">
        <v>191</v>
      </c>
      <c r="K98" s="14">
        <f t="shared" si="103"/>
        <v>1419.319</v>
      </c>
      <c r="L98" s="32">
        <v>446.6</v>
      </c>
      <c r="M98" s="33">
        <v>972.71900000000005</v>
      </c>
      <c r="N98" s="34" t="s">
        <v>191</v>
      </c>
      <c r="O98" s="10" t="s">
        <v>96</v>
      </c>
      <c r="P98" s="11"/>
      <c r="Q98" s="11"/>
    </row>
    <row r="99" spans="1:17" x14ac:dyDescent="0.3">
      <c r="A99" s="7" t="s">
        <v>168</v>
      </c>
      <c r="B99" s="8">
        <f t="shared" si="100"/>
        <v>3392.5689999999995</v>
      </c>
      <c r="C99" s="48">
        <f t="shared" si="101"/>
        <v>702.86900000000003</v>
      </c>
      <c r="D99" s="32">
        <v>702.86500000000001</v>
      </c>
      <c r="E99" s="32">
        <v>4.0000000000000001E-3</v>
      </c>
      <c r="F99" s="45" t="s">
        <v>191</v>
      </c>
      <c r="G99" s="9">
        <f t="shared" si="102"/>
        <v>1324.4399999999998</v>
      </c>
      <c r="H99" s="32">
        <v>89.32</v>
      </c>
      <c r="I99" s="33">
        <v>1235.1199999999999</v>
      </c>
      <c r="J99" s="32" t="s">
        <v>191</v>
      </c>
      <c r="K99" s="14">
        <f t="shared" si="103"/>
        <v>1365.26</v>
      </c>
      <c r="L99" s="32">
        <v>100.45</v>
      </c>
      <c r="M99" s="33">
        <v>1264.81</v>
      </c>
      <c r="N99" s="34" t="s">
        <v>191</v>
      </c>
      <c r="O99" s="10" t="s">
        <v>97</v>
      </c>
      <c r="P99" s="11"/>
      <c r="Q99" s="11"/>
    </row>
    <row r="100" spans="1:17" x14ac:dyDescent="0.3">
      <c r="A100" s="7" t="s">
        <v>169</v>
      </c>
      <c r="B100" s="8">
        <f t="shared" si="100"/>
        <v>1259.347</v>
      </c>
      <c r="C100" s="48">
        <f t="shared" si="101"/>
        <v>248.00200000000001</v>
      </c>
      <c r="D100" s="32">
        <v>248</v>
      </c>
      <c r="E100" s="32">
        <v>2E-3</v>
      </c>
      <c r="F100" s="45" t="s">
        <v>191</v>
      </c>
      <c r="G100" s="9">
        <f t="shared" si="102"/>
        <v>269.471</v>
      </c>
      <c r="H100" s="32">
        <v>57.210999999999999</v>
      </c>
      <c r="I100" s="33">
        <v>212.26</v>
      </c>
      <c r="J100" s="32" t="s">
        <v>191</v>
      </c>
      <c r="K100" s="14">
        <f t="shared" si="103"/>
        <v>741.87400000000002</v>
      </c>
      <c r="L100" s="32">
        <v>102.43300000000001</v>
      </c>
      <c r="M100" s="33">
        <v>639.44100000000003</v>
      </c>
      <c r="N100" s="34" t="s">
        <v>191</v>
      </c>
      <c r="O100" s="10" t="s">
        <v>98</v>
      </c>
      <c r="P100" s="11"/>
      <c r="Q100" s="11"/>
    </row>
    <row r="101" spans="1:17" x14ac:dyDescent="0.3">
      <c r="A101" s="7" t="s">
        <v>170</v>
      </c>
      <c r="B101" s="8">
        <f t="shared" si="100"/>
        <v>660.70099999999991</v>
      </c>
      <c r="C101" s="48">
        <f t="shared" si="101"/>
        <v>390.00099999999998</v>
      </c>
      <c r="D101" s="32">
        <v>390</v>
      </c>
      <c r="E101" s="32">
        <v>1E-3</v>
      </c>
      <c r="F101" s="45" t="s">
        <v>191</v>
      </c>
      <c r="G101" s="9">
        <f t="shared" si="102"/>
        <v>202.39999999999998</v>
      </c>
      <c r="H101" s="32">
        <v>163.69999999999999</v>
      </c>
      <c r="I101" s="33">
        <v>38.700000000000003</v>
      </c>
      <c r="J101" s="32" t="s">
        <v>191</v>
      </c>
      <c r="K101" s="14">
        <f t="shared" si="103"/>
        <v>68.3</v>
      </c>
      <c r="L101" s="32">
        <v>68.3</v>
      </c>
      <c r="M101" s="33" t="s">
        <v>191</v>
      </c>
      <c r="N101" s="34" t="s">
        <v>191</v>
      </c>
      <c r="O101" s="10" t="s">
        <v>99</v>
      </c>
      <c r="P101" s="11"/>
      <c r="Q101" s="11"/>
    </row>
    <row r="102" spans="1:17" x14ac:dyDescent="0.3">
      <c r="A102" s="7" t="s">
        <v>171</v>
      </c>
      <c r="B102" s="8">
        <f t="shared" si="100"/>
        <v>23935.899000000005</v>
      </c>
      <c r="C102" s="48">
        <f t="shared" si="101"/>
        <v>11229.669000000002</v>
      </c>
      <c r="D102" s="32">
        <v>11229.665000000001</v>
      </c>
      <c r="E102" s="32">
        <v>4.0000000000000001E-3</v>
      </c>
      <c r="F102" s="45" t="s">
        <v>191</v>
      </c>
      <c r="G102" s="9">
        <f t="shared" si="102"/>
        <v>5966.4169999999995</v>
      </c>
      <c r="H102" s="32">
        <v>106.004</v>
      </c>
      <c r="I102" s="33">
        <v>5860.4129999999996</v>
      </c>
      <c r="J102" s="32" t="s">
        <v>191</v>
      </c>
      <c r="K102" s="14">
        <f t="shared" si="103"/>
        <v>6739.8130000000001</v>
      </c>
      <c r="L102" s="32">
        <v>377.00400000000002</v>
      </c>
      <c r="M102" s="33">
        <v>6362.8090000000002</v>
      </c>
      <c r="N102" s="34" t="s">
        <v>191</v>
      </c>
      <c r="O102" s="10" t="s">
        <v>100</v>
      </c>
      <c r="P102" s="11"/>
      <c r="Q102" s="11"/>
    </row>
    <row r="103" spans="1:17" x14ac:dyDescent="0.3">
      <c r="A103" s="7" t="s">
        <v>172</v>
      </c>
      <c r="B103" s="8">
        <f t="shared" si="100"/>
        <v>776.0920000000001</v>
      </c>
      <c r="C103" s="48">
        <f t="shared" si="101"/>
        <v>387.50200000000001</v>
      </c>
      <c r="D103" s="32">
        <v>387.5</v>
      </c>
      <c r="E103" s="32">
        <v>2E-3</v>
      </c>
      <c r="F103" s="45" t="s">
        <v>191</v>
      </c>
      <c r="G103" s="9">
        <f t="shared" si="102"/>
        <v>198.88</v>
      </c>
      <c r="H103" s="32">
        <v>24.4</v>
      </c>
      <c r="I103" s="33">
        <v>174.48</v>
      </c>
      <c r="J103" s="32" t="s">
        <v>191</v>
      </c>
      <c r="K103" s="14">
        <f t="shared" si="103"/>
        <v>189.70999999999998</v>
      </c>
      <c r="L103" s="32">
        <v>31.11</v>
      </c>
      <c r="M103" s="33">
        <v>158.6</v>
      </c>
      <c r="N103" s="34" t="s">
        <v>191</v>
      </c>
      <c r="O103" s="10" t="s">
        <v>101</v>
      </c>
      <c r="P103" s="11"/>
      <c r="Q103" s="11"/>
    </row>
    <row r="104" spans="1:17" x14ac:dyDescent="0.3">
      <c r="A104" s="7" t="s">
        <v>173</v>
      </c>
      <c r="B104" s="8">
        <f t="shared" si="100"/>
        <v>9509.7469999999994</v>
      </c>
      <c r="C104" s="48">
        <f t="shared" si="101"/>
        <v>1561.7270000000001</v>
      </c>
      <c r="D104" s="32">
        <v>1561.72</v>
      </c>
      <c r="E104" s="32">
        <v>7.0000000000000001E-3</v>
      </c>
      <c r="F104" s="45" t="s">
        <v>191</v>
      </c>
      <c r="G104" s="9">
        <f t="shared" si="102"/>
        <v>3294.9</v>
      </c>
      <c r="H104" s="32" t="s">
        <v>191</v>
      </c>
      <c r="I104" s="33">
        <v>3294.9</v>
      </c>
      <c r="J104" s="32" t="s">
        <v>191</v>
      </c>
      <c r="K104" s="14">
        <f t="shared" si="103"/>
        <v>4653.12</v>
      </c>
      <c r="L104" s="32" t="s">
        <v>191</v>
      </c>
      <c r="M104" s="33">
        <v>4653.12</v>
      </c>
      <c r="N104" s="34" t="s">
        <v>191</v>
      </c>
      <c r="O104" s="10" t="s">
        <v>102</v>
      </c>
      <c r="P104" s="11"/>
      <c r="Q104" s="11"/>
    </row>
    <row r="105" spans="1:17" x14ac:dyDescent="0.3">
      <c r="A105" s="7" t="s">
        <v>174</v>
      </c>
      <c r="B105" s="8">
        <f t="shared" si="100"/>
        <v>1422.2620000000002</v>
      </c>
      <c r="C105" s="48">
        <f t="shared" si="101"/>
        <v>305.00200000000001</v>
      </c>
      <c r="D105" s="32">
        <v>305</v>
      </c>
      <c r="E105" s="32">
        <v>2E-3</v>
      </c>
      <c r="F105" s="45" t="s">
        <v>191</v>
      </c>
      <c r="G105" s="9">
        <f t="shared" si="102"/>
        <v>711.16</v>
      </c>
      <c r="H105" s="32">
        <v>607.29999999999995</v>
      </c>
      <c r="I105" s="33">
        <v>103.86</v>
      </c>
      <c r="J105" s="32" t="s">
        <v>191</v>
      </c>
      <c r="K105" s="14">
        <f t="shared" si="103"/>
        <v>406.1</v>
      </c>
      <c r="L105" s="32">
        <v>406.1</v>
      </c>
      <c r="M105" s="33" t="s">
        <v>191</v>
      </c>
      <c r="N105" s="34" t="s">
        <v>191</v>
      </c>
      <c r="O105" s="10" t="s">
        <v>103</v>
      </c>
      <c r="P105" s="11"/>
      <c r="Q105" s="11"/>
    </row>
    <row r="106" spans="1:17" x14ac:dyDescent="0.3">
      <c r="A106" s="98" t="s">
        <v>104</v>
      </c>
      <c r="B106" s="99">
        <f t="shared" ref="B106:D106" si="104">SUM(B108:B111)</f>
        <v>199936.80199999997</v>
      </c>
      <c r="C106" s="50">
        <f t="shared" ref="C106" si="105">SUM(C108:C111)</f>
        <v>994.46900000000005</v>
      </c>
      <c r="D106" s="50">
        <f t="shared" si="104"/>
        <v>990.44</v>
      </c>
      <c r="E106" s="50">
        <f t="shared" ref="E106" si="106">SUM(E108:E111)</f>
        <v>4.0289999999999999</v>
      </c>
      <c r="F106" s="101">
        <f t="shared" ref="F106" si="107">SUM(F108:F111)</f>
        <v>0</v>
      </c>
      <c r="G106" s="50">
        <f>SUM(G108:G111)</f>
        <v>152088.274</v>
      </c>
      <c r="H106" s="50">
        <f>SUM(H108:H111)</f>
        <v>1644.8420000000001</v>
      </c>
      <c r="I106" s="50">
        <f t="shared" ref="I106:K106" si="108">SUM(I108:I111)</f>
        <v>146231.49900000001</v>
      </c>
      <c r="J106" s="50">
        <f t="shared" si="108"/>
        <v>4211.933</v>
      </c>
      <c r="K106" s="50">
        <f t="shared" si="108"/>
        <v>46854.059000000001</v>
      </c>
      <c r="L106" s="50">
        <f t="shared" ref="L106:N106" si="109">SUM(L108:L111)</f>
        <v>2886.0359999999996</v>
      </c>
      <c r="M106" s="50">
        <f t="shared" si="109"/>
        <v>43388.184000000001</v>
      </c>
      <c r="N106" s="100">
        <f t="shared" si="109"/>
        <v>579.83899999999994</v>
      </c>
      <c r="O106" s="107" t="s">
        <v>105</v>
      </c>
      <c r="P106" s="108"/>
      <c r="Q106" s="108"/>
    </row>
    <row r="107" spans="1:17" x14ac:dyDescent="0.3">
      <c r="A107" s="98"/>
      <c r="B107" s="99"/>
      <c r="C107" s="50"/>
      <c r="D107" s="50"/>
      <c r="E107" s="50"/>
      <c r="F107" s="101"/>
      <c r="G107" s="50"/>
      <c r="H107" s="50"/>
      <c r="I107" s="50"/>
      <c r="J107" s="50"/>
      <c r="K107" s="50"/>
      <c r="L107" s="50"/>
      <c r="M107" s="50"/>
      <c r="N107" s="100"/>
      <c r="O107" s="107"/>
      <c r="P107" s="108"/>
      <c r="Q107" s="108"/>
    </row>
    <row r="108" spans="1:17" x14ac:dyDescent="0.3">
      <c r="A108" s="7" t="s">
        <v>175</v>
      </c>
      <c r="B108" s="8">
        <f t="shared" ref="B108:B111" si="110">SUM(D108:G108,K108)</f>
        <v>66594.489999999991</v>
      </c>
      <c r="C108" s="48">
        <f t="shared" ref="C108:C111" si="111">SUM(D108:F108)</f>
        <v>99.754999999999995</v>
      </c>
      <c r="D108" s="32">
        <v>99.74</v>
      </c>
      <c r="E108" s="32">
        <v>1.4999999999999999E-2</v>
      </c>
      <c r="F108" s="45" t="s">
        <v>191</v>
      </c>
      <c r="G108" s="9">
        <f t="shared" ref="G108:G111" si="112">SUM(H108:J108)</f>
        <v>49453.546999999999</v>
      </c>
      <c r="H108" s="32">
        <v>858.59500000000003</v>
      </c>
      <c r="I108" s="33">
        <v>48594.951999999997</v>
      </c>
      <c r="J108" s="32" t="s">
        <v>191</v>
      </c>
      <c r="K108" s="14">
        <f t="shared" ref="K108:K111" si="113">SUM(L108:N108)</f>
        <v>17041.188000000002</v>
      </c>
      <c r="L108" s="32">
        <v>2024.0889999999999</v>
      </c>
      <c r="M108" s="33">
        <v>15017.099</v>
      </c>
      <c r="N108" s="34" t="s">
        <v>191</v>
      </c>
      <c r="O108" s="10" t="s">
        <v>106</v>
      </c>
      <c r="P108" s="11"/>
      <c r="Q108" s="11"/>
    </row>
    <row r="109" spans="1:17" x14ac:dyDescent="0.3">
      <c r="A109" s="7" t="s">
        <v>176</v>
      </c>
      <c r="B109" s="8">
        <f t="shared" si="110"/>
        <v>4974.8330000000005</v>
      </c>
      <c r="C109" s="48">
        <f t="shared" si="111"/>
        <v>0</v>
      </c>
      <c r="D109" s="32" t="s">
        <v>191</v>
      </c>
      <c r="E109" s="32" t="s">
        <v>191</v>
      </c>
      <c r="F109" s="45" t="s">
        <v>191</v>
      </c>
      <c r="G109" s="9">
        <f t="shared" si="112"/>
        <v>3703.9960000000001</v>
      </c>
      <c r="H109" s="32">
        <v>135.047</v>
      </c>
      <c r="I109" s="33">
        <v>3019.2159999999999</v>
      </c>
      <c r="J109" s="32">
        <v>549.73299999999995</v>
      </c>
      <c r="K109" s="14">
        <f t="shared" si="113"/>
        <v>1270.837</v>
      </c>
      <c r="L109" s="32">
        <v>94.569000000000003</v>
      </c>
      <c r="M109" s="33">
        <v>880.97900000000004</v>
      </c>
      <c r="N109" s="34">
        <v>295.28899999999999</v>
      </c>
      <c r="O109" s="10" t="s">
        <v>107</v>
      </c>
      <c r="P109" s="11"/>
      <c r="Q109" s="11"/>
    </row>
    <row r="110" spans="1:17" x14ac:dyDescent="0.3">
      <c r="A110" s="7" t="s">
        <v>177</v>
      </c>
      <c r="B110" s="8">
        <f t="shared" si="110"/>
        <v>83578.728000000003</v>
      </c>
      <c r="C110" s="48">
        <f t="shared" si="111"/>
        <v>809.70800000000008</v>
      </c>
      <c r="D110" s="32">
        <v>809.7</v>
      </c>
      <c r="E110" s="32">
        <v>8.0000000000000002E-3</v>
      </c>
      <c r="F110" s="45" t="s">
        <v>191</v>
      </c>
      <c r="G110" s="9">
        <f t="shared" si="112"/>
        <v>66411.27</v>
      </c>
      <c r="H110" s="32">
        <v>469.82</v>
      </c>
      <c r="I110" s="33">
        <v>62279.25</v>
      </c>
      <c r="J110" s="32">
        <v>3662.2</v>
      </c>
      <c r="K110" s="14">
        <f t="shared" si="113"/>
        <v>16357.75</v>
      </c>
      <c r="L110" s="32">
        <v>533.91</v>
      </c>
      <c r="M110" s="33">
        <v>15539.29</v>
      </c>
      <c r="N110" s="34">
        <v>284.55</v>
      </c>
      <c r="O110" s="10" t="s">
        <v>108</v>
      </c>
      <c r="P110" s="11"/>
      <c r="Q110" s="11"/>
    </row>
    <row r="111" spans="1:17" ht="15" thickBot="1" x14ac:dyDescent="0.35">
      <c r="A111" s="18" t="s">
        <v>178</v>
      </c>
      <c r="B111" s="19">
        <f t="shared" si="110"/>
        <v>44788.751000000004</v>
      </c>
      <c r="C111" s="49">
        <f t="shared" si="111"/>
        <v>85.006</v>
      </c>
      <c r="D111" s="35">
        <v>81</v>
      </c>
      <c r="E111" s="35">
        <v>4.0060000000000002</v>
      </c>
      <c r="F111" s="46" t="s">
        <v>191</v>
      </c>
      <c r="G111" s="20">
        <f t="shared" si="112"/>
        <v>32519.460999999999</v>
      </c>
      <c r="H111" s="35">
        <v>181.38</v>
      </c>
      <c r="I111" s="36">
        <v>32338.080999999998</v>
      </c>
      <c r="J111" s="35" t="s">
        <v>191</v>
      </c>
      <c r="K111" s="44">
        <f t="shared" si="113"/>
        <v>12184.284000000001</v>
      </c>
      <c r="L111" s="35">
        <v>233.46799999999999</v>
      </c>
      <c r="M111" s="36">
        <v>11950.816000000001</v>
      </c>
      <c r="N111" s="37" t="s">
        <v>191</v>
      </c>
      <c r="O111" s="21" t="s">
        <v>109</v>
      </c>
      <c r="P111" s="22"/>
      <c r="Q111" s="22"/>
    </row>
    <row r="112" spans="1:17" ht="16.2" x14ac:dyDescent="0.3">
      <c r="A112" s="23" t="s">
        <v>189</v>
      </c>
      <c r="K112" s="24"/>
      <c r="L112" s="24"/>
      <c r="O112" s="2" t="s">
        <v>190</v>
      </c>
      <c r="P112" s="47"/>
      <c r="Q112" s="47"/>
    </row>
    <row r="113" spans="1:11" x14ac:dyDescent="0.3">
      <c r="K113" s="33"/>
    </row>
    <row r="121" spans="1:11" x14ac:dyDescent="0.3">
      <c r="A121" s="25"/>
    </row>
    <row r="122" spans="1:11" x14ac:dyDescent="0.3">
      <c r="A122" s="117"/>
      <c r="B122" s="117"/>
      <c r="C122" s="117"/>
      <c r="D122" s="117"/>
      <c r="E122" s="26"/>
      <c r="F122" s="26"/>
      <c r="G122" s="116"/>
      <c r="H122" s="116"/>
      <c r="I122" s="116"/>
      <c r="J122" s="116"/>
    </row>
    <row r="123" spans="1:11" x14ac:dyDescent="0.3">
      <c r="A123" s="117"/>
      <c r="B123" s="117"/>
      <c r="C123" s="117"/>
      <c r="D123" s="117"/>
      <c r="E123" s="26"/>
      <c r="F123" s="26"/>
      <c r="G123" s="116"/>
      <c r="H123" s="116"/>
      <c r="I123" s="116"/>
      <c r="J123" s="116"/>
    </row>
    <row r="124" spans="1:11" x14ac:dyDescent="0.3">
      <c r="A124" s="117"/>
      <c r="B124" s="117"/>
      <c r="C124" s="117"/>
      <c r="D124" s="117"/>
      <c r="E124" s="26"/>
      <c r="F124" s="26"/>
      <c r="G124" s="116"/>
      <c r="H124" s="116"/>
      <c r="I124" s="116"/>
      <c r="J124" s="116"/>
    </row>
    <row r="125" spans="1:11" x14ac:dyDescent="0.3">
      <c r="A125" s="25"/>
      <c r="F125" s="118"/>
      <c r="G125" s="118"/>
      <c r="H125" s="118"/>
      <c r="I125" s="118"/>
      <c r="J125" s="118"/>
    </row>
    <row r="126" spans="1:11" x14ac:dyDescent="0.3">
      <c r="A126" s="119"/>
      <c r="B126" s="119"/>
      <c r="C126" s="119"/>
      <c r="D126" s="120"/>
      <c r="E126" s="41"/>
      <c r="F126" s="119"/>
      <c r="G126" s="119"/>
      <c r="H126" s="119"/>
      <c r="I126" s="119"/>
      <c r="J126" s="119"/>
    </row>
    <row r="127" spans="1:11" x14ac:dyDescent="0.3">
      <c r="A127" s="119"/>
      <c r="B127" s="120"/>
      <c r="C127" s="120"/>
      <c r="D127" s="120"/>
      <c r="E127" s="41"/>
      <c r="F127" s="119"/>
      <c r="G127" s="119"/>
      <c r="H127" s="119"/>
      <c r="I127" s="119"/>
      <c r="J127" s="119"/>
    </row>
    <row r="128" spans="1:11" x14ac:dyDescent="0.3">
      <c r="A128" s="119"/>
      <c r="B128" s="119"/>
      <c r="C128" s="119"/>
      <c r="D128" s="119"/>
      <c r="E128" s="40"/>
      <c r="F128" s="119"/>
      <c r="G128" s="119"/>
      <c r="H128" s="119"/>
      <c r="I128" s="119"/>
      <c r="J128" s="119"/>
    </row>
    <row r="129" spans="1:10" x14ac:dyDescent="0.3">
      <c r="A129" s="119"/>
      <c r="B129" s="27"/>
      <c r="C129" s="27"/>
      <c r="D129" s="27"/>
      <c r="E129" s="27"/>
      <c r="F129" s="27"/>
      <c r="G129" s="27"/>
      <c r="H129" s="27"/>
      <c r="I129" s="27"/>
      <c r="J129" s="27"/>
    </row>
    <row r="130" spans="1:10" x14ac:dyDescent="0.3">
      <c r="A130" s="28"/>
    </row>
    <row r="131" spans="1:10" x14ac:dyDescent="0.3">
      <c r="A131" s="29"/>
    </row>
    <row r="132" spans="1:10" x14ac:dyDescent="0.3">
      <c r="A132" s="114"/>
      <c r="B132" s="115"/>
      <c r="C132" s="30"/>
      <c r="D132" s="115"/>
      <c r="E132" s="30"/>
      <c r="F132" s="30"/>
      <c r="G132" s="115"/>
      <c r="H132" s="115"/>
      <c r="I132" s="115"/>
      <c r="J132" s="115"/>
    </row>
    <row r="133" spans="1:10" x14ac:dyDescent="0.3">
      <c r="A133" s="114"/>
      <c r="B133" s="115"/>
      <c r="C133" s="30"/>
      <c r="D133" s="115"/>
      <c r="E133" s="30"/>
      <c r="F133" s="30"/>
      <c r="G133" s="115"/>
      <c r="H133" s="115"/>
      <c r="I133" s="115"/>
      <c r="J133" s="115"/>
    </row>
    <row r="134" spans="1:10" x14ac:dyDescent="0.3">
      <c r="A134" s="114"/>
      <c r="B134" s="115"/>
      <c r="C134" s="30"/>
      <c r="D134" s="115"/>
      <c r="E134" s="30"/>
      <c r="F134" s="30"/>
      <c r="G134" s="115"/>
      <c r="H134" s="115"/>
      <c r="I134" s="115"/>
      <c r="J134" s="115"/>
    </row>
    <row r="135" spans="1:10" x14ac:dyDescent="0.3">
      <c r="A135" s="29"/>
      <c r="F135" s="6"/>
      <c r="G135" s="6"/>
    </row>
    <row r="136" spans="1:10" x14ac:dyDescent="0.3">
      <c r="A136" s="29"/>
      <c r="F136" s="6"/>
      <c r="G136" s="6"/>
    </row>
    <row r="137" spans="1:10" x14ac:dyDescent="0.3">
      <c r="A137" s="29"/>
      <c r="F137" s="6"/>
      <c r="G137" s="6"/>
    </row>
    <row r="138" spans="1:10" x14ac:dyDescent="0.3">
      <c r="A138" s="29"/>
      <c r="F138" s="6"/>
      <c r="G138" s="6"/>
    </row>
    <row r="139" spans="1:10" x14ac:dyDescent="0.3">
      <c r="A139" s="29"/>
      <c r="F139" s="6"/>
      <c r="G139" s="6"/>
    </row>
    <row r="140" spans="1:10" x14ac:dyDescent="0.3">
      <c r="A140" s="29"/>
      <c r="F140" s="6"/>
      <c r="G140" s="6"/>
    </row>
    <row r="141" spans="1:10" x14ac:dyDescent="0.3">
      <c r="A141" s="114"/>
    </row>
    <row r="142" spans="1:10" x14ac:dyDescent="0.3">
      <c r="A142" s="114"/>
    </row>
    <row r="143" spans="1:10" x14ac:dyDescent="0.3">
      <c r="A143" s="29"/>
      <c r="F143" s="6"/>
      <c r="G143" s="6"/>
    </row>
    <row r="144" spans="1:10" x14ac:dyDescent="0.3">
      <c r="A144" s="29"/>
      <c r="F144" s="6"/>
      <c r="G144" s="6"/>
    </row>
    <row r="145" spans="1:7" x14ac:dyDescent="0.3">
      <c r="A145" s="29"/>
      <c r="F145" s="6"/>
      <c r="G145" s="6"/>
    </row>
    <row r="146" spans="1:7" x14ac:dyDescent="0.3">
      <c r="A146" s="29"/>
      <c r="F146" s="6"/>
      <c r="G146" s="6"/>
    </row>
    <row r="147" spans="1:7" x14ac:dyDescent="0.3">
      <c r="A147" s="29"/>
      <c r="F147" s="6"/>
      <c r="G147" s="6"/>
    </row>
    <row r="148" spans="1:7" x14ac:dyDescent="0.3">
      <c r="A148" s="29"/>
      <c r="F148" s="6"/>
      <c r="G148" s="6"/>
    </row>
    <row r="149" spans="1:7" x14ac:dyDescent="0.3">
      <c r="A149" s="29"/>
      <c r="F149" s="6"/>
      <c r="G149" s="6"/>
    </row>
    <row r="150" spans="1:7" x14ac:dyDescent="0.3">
      <c r="A150" s="29"/>
      <c r="F150" s="6"/>
      <c r="G150" s="6"/>
    </row>
    <row r="151" spans="1:7" x14ac:dyDescent="0.3">
      <c r="A151" s="29"/>
      <c r="F151" s="6"/>
      <c r="G151" s="6"/>
    </row>
    <row r="152" spans="1:7" x14ac:dyDescent="0.3">
      <c r="A152" s="29"/>
      <c r="F152" s="6"/>
      <c r="G152" s="6"/>
    </row>
    <row r="153" spans="1:7" x14ac:dyDescent="0.3">
      <c r="A153" s="29"/>
      <c r="F153" s="6"/>
      <c r="G153" s="6"/>
    </row>
    <row r="154" spans="1:7" x14ac:dyDescent="0.3">
      <c r="A154" s="113"/>
    </row>
    <row r="155" spans="1:7" x14ac:dyDescent="0.3">
      <c r="A155" s="113"/>
    </row>
    <row r="156" spans="1:7" x14ac:dyDescent="0.3">
      <c r="A156" s="29"/>
      <c r="F156" s="6"/>
      <c r="G156" s="6"/>
    </row>
    <row r="157" spans="1:7" x14ac:dyDescent="0.3">
      <c r="A157" s="29"/>
      <c r="F157" s="6"/>
      <c r="G157" s="6"/>
    </row>
    <row r="158" spans="1:7" x14ac:dyDescent="0.3">
      <c r="A158" s="29"/>
      <c r="F158" s="6"/>
      <c r="G158" s="6"/>
    </row>
    <row r="159" spans="1:7" x14ac:dyDescent="0.3">
      <c r="A159" s="29"/>
      <c r="F159" s="6"/>
      <c r="G159" s="6"/>
    </row>
    <row r="160" spans="1:7" x14ac:dyDescent="0.3">
      <c r="A160" s="113"/>
    </row>
    <row r="161" spans="1:7" x14ac:dyDescent="0.3">
      <c r="A161" s="113"/>
    </row>
    <row r="162" spans="1:7" x14ac:dyDescent="0.3">
      <c r="A162" s="29"/>
      <c r="F162" s="6"/>
      <c r="G162" s="6"/>
    </row>
    <row r="163" spans="1:7" x14ac:dyDescent="0.3">
      <c r="A163" s="29"/>
      <c r="F163" s="6"/>
      <c r="G163" s="6"/>
    </row>
    <row r="164" spans="1:7" x14ac:dyDescent="0.3">
      <c r="A164" s="29"/>
      <c r="F164" s="6"/>
      <c r="G164" s="6"/>
    </row>
    <row r="165" spans="1:7" x14ac:dyDescent="0.3">
      <c r="A165" s="29"/>
      <c r="F165" s="6"/>
      <c r="G165" s="6"/>
    </row>
    <row r="166" spans="1:7" x14ac:dyDescent="0.3">
      <c r="A166" s="29"/>
      <c r="F166" s="6"/>
      <c r="G166" s="6"/>
    </row>
    <row r="167" spans="1:7" x14ac:dyDescent="0.3">
      <c r="A167" s="113"/>
    </row>
    <row r="168" spans="1:7" x14ac:dyDescent="0.3">
      <c r="A168" s="113"/>
    </row>
    <row r="169" spans="1:7" x14ac:dyDescent="0.3">
      <c r="A169" s="29"/>
      <c r="F169" s="6"/>
      <c r="G169" s="6"/>
    </row>
    <row r="170" spans="1:7" x14ac:dyDescent="0.3">
      <c r="A170" s="29"/>
      <c r="F170" s="6"/>
      <c r="G170" s="6"/>
    </row>
    <row r="171" spans="1:7" x14ac:dyDescent="0.3">
      <c r="A171" s="29"/>
      <c r="F171" s="6"/>
      <c r="G171" s="6"/>
    </row>
    <row r="172" spans="1:7" x14ac:dyDescent="0.3">
      <c r="A172" s="29"/>
      <c r="F172" s="6"/>
      <c r="G172" s="6"/>
    </row>
    <row r="173" spans="1:7" x14ac:dyDescent="0.3">
      <c r="A173" s="29"/>
      <c r="F173" s="6"/>
      <c r="G173" s="6"/>
    </row>
    <row r="174" spans="1:7" x14ac:dyDescent="0.3">
      <c r="A174" s="113"/>
    </row>
    <row r="175" spans="1:7" x14ac:dyDescent="0.3">
      <c r="A175" s="113"/>
    </row>
    <row r="176" spans="1:7" x14ac:dyDescent="0.3">
      <c r="A176" s="29"/>
      <c r="F176" s="6"/>
      <c r="G176" s="6"/>
    </row>
    <row r="177" spans="1:7" x14ac:dyDescent="0.3">
      <c r="A177" s="29"/>
      <c r="F177" s="6"/>
      <c r="G177" s="6"/>
    </row>
    <row r="178" spans="1:7" x14ac:dyDescent="0.3">
      <c r="A178" s="29"/>
      <c r="F178" s="6"/>
      <c r="G178" s="6"/>
    </row>
    <row r="179" spans="1:7" x14ac:dyDescent="0.3">
      <c r="A179" s="29"/>
      <c r="F179" s="6"/>
      <c r="G179" s="6"/>
    </row>
    <row r="180" spans="1:7" x14ac:dyDescent="0.3">
      <c r="A180" s="29"/>
      <c r="F180" s="6"/>
      <c r="G180" s="6"/>
    </row>
    <row r="181" spans="1:7" x14ac:dyDescent="0.3">
      <c r="A181" s="113"/>
    </row>
    <row r="182" spans="1:7" x14ac:dyDescent="0.3">
      <c r="A182" s="113"/>
    </row>
    <row r="183" spans="1:7" x14ac:dyDescent="0.3">
      <c r="A183" s="29"/>
      <c r="F183" s="6"/>
      <c r="G183" s="6"/>
    </row>
    <row r="184" spans="1:7" x14ac:dyDescent="0.3">
      <c r="A184" s="29"/>
      <c r="F184" s="6"/>
      <c r="G184" s="6"/>
    </row>
    <row r="185" spans="1:7" x14ac:dyDescent="0.3">
      <c r="A185" s="29"/>
      <c r="F185" s="6"/>
      <c r="G185" s="6"/>
    </row>
    <row r="186" spans="1:7" x14ac:dyDescent="0.3">
      <c r="A186" s="113"/>
    </row>
    <row r="187" spans="1:7" x14ac:dyDescent="0.3">
      <c r="A187" s="113"/>
    </row>
    <row r="188" spans="1:7" x14ac:dyDescent="0.3">
      <c r="A188" s="29"/>
      <c r="F188" s="6"/>
      <c r="G188" s="6"/>
    </row>
    <row r="189" spans="1:7" x14ac:dyDescent="0.3">
      <c r="A189" s="29"/>
      <c r="F189" s="6"/>
      <c r="G189" s="6"/>
    </row>
    <row r="190" spans="1:7" x14ac:dyDescent="0.3">
      <c r="A190" s="29"/>
      <c r="F190" s="6"/>
      <c r="G190" s="6"/>
    </row>
    <row r="191" spans="1:7" x14ac:dyDescent="0.3">
      <c r="A191" s="29"/>
      <c r="F191" s="6"/>
      <c r="G191" s="6"/>
    </row>
    <row r="192" spans="1:7" x14ac:dyDescent="0.3">
      <c r="A192" s="29"/>
      <c r="F192" s="6"/>
      <c r="G192" s="6"/>
    </row>
    <row r="193" spans="1:7" x14ac:dyDescent="0.3">
      <c r="A193" s="113"/>
    </row>
    <row r="194" spans="1:7" x14ac:dyDescent="0.3">
      <c r="A194" s="113"/>
    </row>
    <row r="195" spans="1:7" x14ac:dyDescent="0.3">
      <c r="A195" s="29"/>
      <c r="F195" s="6"/>
      <c r="G195" s="6"/>
    </row>
    <row r="196" spans="1:7" x14ac:dyDescent="0.3">
      <c r="A196" s="29"/>
      <c r="F196" s="6"/>
      <c r="G196" s="6"/>
    </row>
    <row r="197" spans="1:7" x14ac:dyDescent="0.3">
      <c r="A197" s="29"/>
      <c r="F197" s="6"/>
      <c r="G197" s="6"/>
    </row>
    <row r="198" spans="1:7" x14ac:dyDescent="0.3">
      <c r="A198" s="29"/>
      <c r="F198" s="6"/>
      <c r="G198" s="6"/>
    </row>
    <row r="199" spans="1:7" x14ac:dyDescent="0.3">
      <c r="A199" s="29"/>
      <c r="F199" s="6"/>
      <c r="G199" s="6"/>
    </row>
    <row r="200" spans="1:7" x14ac:dyDescent="0.3">
      <c r="A200" s="29"/>
      <c r="F200" s="6"/>
      <c r="G200" s="6"/>
    </row>
    <row r="201" spans="1:7" x14ac:dyDescent="0.3">
      <c r="A201" s="29"/>
      <c r="F201" s="6"/>
      <c r="G201" s="6"/>
    </row>
    <row r="202" spans="1:7" x14ac:dyDescent="0.3">
      <c r="A202" s="29"/>
      <c r="F202" s="6"/>
      <c r="G202" s="6"/>
    </row>
    <row r="203" spans="1:7" x14ac:dyDescent="0.3">
      <c r="A203" s="113"/>
    </row>
    <row r="204" spans="1:7" x14ac:dyDescent="0.3">
      <c r="A204" s="113"/>
    </row>
    <row r="205" spans="1:7" x14ac:dyDescent="0.3">
      <c r="A205" s="29"/>
      <c r="F205" s="6"/>
      <c r="G205" s="6"/>
    </row>
    <row r="206" spans="1:7" x14ac:dyDescent="0.3">
      <c r="A206" s="29"/>
      <c r="F206" s="6"/>
      <c r="G206" s="6"/>
    </row>
    <row r="207" spans="1:7" x14ac:dyDescent="0.3">
      <c r="A207" s="29"/>
      <c r="F207" s="6"/>
      <c r="G207" s="6"/>
    </row>
    <row r="208" spans="1:7" x14ac:dyDescent="0.3">
      <c r="A208" s="29"/>
      <c r="F208" s="6"/>
      <c r="G208" s="6"/>
    </row>
    <row r="209" spans="1:7" x14ac:dyDescent="0.3">
      <c r="A209" s="29"/>
      <c r="F209" s="6"/>
      <c r="G209" s="6"/>
    </row>
    <row r="210" spans="1:7" x14ac:dyDescent="0.3">
      <c r="A210" s="113"/>
    </row>
    <row r="211" spans="1:7" x14ac:dyDescent="0.3">
      <c r="A211" s="113"/>
    </row>
    <row r="212" spans="1:7" x14ac:dyDescent="0.3">
      <c r="A212" s="29"/>
      <c r="F212" s="6"/>
      <c r="G212" s="6"/>
    </row>
    <row r="213" spans="1:7" x14ac:dyDescent="0.3">
      <c r="A213" s="29"/>
      <c r="F213" s="6"/>
      <c r="G213" s="6"/>
    </row>
    <row r="214" spans="1:7" x14ac:dyDescent="0.3">
      <c r="A214" s="29"/>
      <c r="F214" s="6"/>
      <c r="G214" s="6"/>
    </row>
    <row r="215" spans="1:7" x14ac:dyDescent="0.3">
      <c r="A215" s="29"/>
      <c r="F215" s="6"/>
      <c r="G215" s="6"/>
    </row>
    <row r="216" spans="1:7" x14ac:dyDescent="0.3">
      <c r="A216" s="29"/>
      <c r="F216" s="6"/>
      <c r="G216" s="6"/>
    </row>
    <row r="217" spans="1:7" x14ac:dyDescent="0.3">
      <c r="A217" s="29"/>
      <c r="F217" s="6"/>
      <c r="G217" s="6"/>
    </row>
    <row r="218" spans="1:7" x14ac:dyDescent="0.3">
      <c r="A218" s="29"/>
      <c r="F218" s="6"/>
      <c r="G218" s="6"/>
    </row>
    <row r="219" spans="1:7" x14ac:dyDescent="0.3">
      <c r="A219" s="29"/>
      <c r="F219" s="6"/>
      <c r="G219" s="6"/>
    </row>
    <row r="220" spans="1:7" x14ac:dyDescent="0.3">
      <c r="A220" s="29"/>
      <c r="F220" s="6"/>
      <c r="G220" s="6"/>
    </row>
    <row r="221" spans="1:7" x14ac:dyDescent="0.3">
      <c r="A221" s="29"/>
      <c r="F221" s="6"/>
      <c r="G221" s="6"/>
    </row>
    <row r="222" spans="1:7" x14ac:dyDescent="0.3">
      <c r="A222" s="29"/>
      <c r="F222" s="6"/>
      <c r="G222" s="6"/>
    </row>
    <row r="223" spans="1:7" x14ac:dyDescent="0.3">
      <c r="A223" s="29"/>
      <c r="F223" s="6"/>
      <c r="G223" s="6"/>
    </row>
    <row r="224" spans="1:7" x14ac:dyDescent="0.3">
      <c r="A224" s="29"/>
      <c r="F224" s="6"/>
      <c r="G224" s="6"/>
    </row>
    <row r="225" spans="1:7" x14ac:dyDescent="0.3">
      <c r="A225" s="113"/>
    </row>
    <row r="226" spans="1:7" x14ac:dyDescent="0.3">
      <c r="A226" s="113"/>
    </row>
    <row r="227" spans="1:7" x14ac:dyDescent="0.3">
      <c r="A227" s="29"/>
      <c r="F227" s="6"/>
      <c r="G227" s="6"/>
    </row>
    <row r="228" spans="1:7" x14ac:dyDescent="0.3">
      <c r="A228" s="29"/>
      <c r="F228" s="6"/>
      <c r="G228" s="6"/>
    </row>
    <row r="229" spans="1:7" x14ac:dyDescent="0.3">
      <c r="A229" s="29"/>
      <c r="F229" s="6"/>
      <c r="G229" s="6"/>
    </row>
    <row r="230" spans="1:7" x14ac:dyDescent="0.3">
      <c r="A230" s="29"/>
      <c r="F230" s="6"/>
      <c r="G230" s="6"/>
    </row>
    <row r="231" spans="1:7" x14ac:dyDescent="0.3">
      <c r="A231" s="29"/>
    </row>
    <row r="232" spans="1:7" x14ac:dyDescent="0.3">
      <c r="A232" s="29"/>
    </row>
  </sheetData>
  <mergeCells count="247">
    <mergeCell ref="A210:A211"/>
    <mergeCell ref="A122:D124"/>
    <mergeCell ref="A106:A107"/>
    <mergeCell ref="B106:B107"/>
    <mergeCell ref="D106:D107"/>
    <mergeCell ref="F125:J125"/>
    <mergeCell ref="A126:A129"/>
    <mergeCell ref="H126:I128"/>
    <mergeCell ref="J126:J128"/>
    <mergeCell ref="A167:A168"/>
    <mergeCell ref="A174:A175"/>
    <mergeCell ref="A181:A182"/>
    <mergeCell ref="A141:A142"/>
    <mergeCell ref="A154:A155"/>
    <mergeCell ref="A160:A161"/>
    <mergeCell ref="G132:G134"/>
    <mergeCell ref="H132:H134"/>
    <mergeCell ref="I132:I134"/>
    <mergeCell ref="J132:J134"/>
    <mergeCell ref="B126:D127"/>
    <mergeCell ref="F126:G128"/>
    <mergeCell ref="F106:F107"/>
    <mergeCell ref="E106:E107"/>
    <mergeCell ref="B128:D128"/>
    <mergeCell ref="H84:H85"/>
    <mergeCell ref="I84:I85"/>
    <mergeCell ref="D74:D75"/>
    <mergeCell ref="G106:G107"/>
    <mergeCell ref="H106:H107"/>
    <mergeCell ref="I106:I107"/>
    <mergeCell ref="G74:G75"/>
    <mergeCell ref="H74:H75"/>
    <mergeCell ref="I74:I75"/>
    <mergeCell ref="E74:E75"/>
    <mergeCell ref="E84:E85"/>
    <mergeCell ref="E91:E92"/>
    <mergeCell ref="N106:N107"/>
    <mergeCell ref="O106:Q107"/>
    <mergeCell ref="J106:J107"/>
    <mergeCell ref="K106:K107"/>
    <mergeCell ref="L106:L107"/>
    <mergeCell ref="M106:M107"/>
    <mergeCell ref="A225:A226"/>
    <mergeCell ref="F11:F12"/>
    <mergeCell ref="F13:F14"/>
    <mergeCell ref="F21:F22"/>
    <mergeCell ref="F35:F36"/>
    <mergeCell ref="F41:F42"/>
    <mergeCell ref="A186:A187"/>
    <mergeCell ref="A193:A194"/>
    <mergeCell ref="A203:A204"/>
    <mergeCell ref="A132:A134"/>
    <mergeCell ref="B132:B134"/>
    <mergeCell ref="D132:D134"/>
    <mergeCell ref="A91:A92"/>
    <mergeCell ref="A74:A75"/>
    <mergeCell ref="B74:B75"/>
    <mergeCell ref="F91:F92"/>
    <mergeCell ref="F62:F63"/>
    <mergeCell ref="G122:J124"/>
    <mergeCell ref="M84:M85"/>
    <mergeCell ref="N84:N85"/>
    <mergeCell ref="J84:J85"/>
    <mergeCell ref="K84:K85"/>
    <mergeCell ref="O84:Q85"/>
    <mergeCell ref="L84:L85"/>
    <mergeCell ref="O91:Q92"/>
    <mergeCell ref="A84:A85"/>
    <mergeCell ref="B84:B85"/>
    <mergeCell ref="D84:D85"/>
    <mergeCell ref="G84:G85"/>
    <mergeCell ref="M91:M92"/>
    <mergeCell ref="N91:N92"/>
    <mergeCell ref="I91:I92"/>
    <mergeCell ref="J91:J92"/>
    <mergeCell ref="K91:K92"/>
    <mergeCell ref="L91:L92"/>
    <mergeCell ref="G91:G92"/>
    <mergeCell ref="H91:H92"/>
    <mergeCell ref="B91:B92"/>
    <mergeCell ref="D91:D92"/>
    <mergeCell ref="F84:F85"/>
    <mergeCell ref="C84:C85"/>
    <mergeCell ref="C91:C92"/>
    <mergeCell ref="O74:Q75"/>
    <mergeCell ref="A67:A68"/>
    <mergeCell ref="B67:B68"/>
    <mergeCell ref="D67:D68"/>
    <mergeCell ref="G67:G68"/>
    <mergeCell ref="H67:H68"/>
    <mergeCell ref="I67:I68"/>
    <mergeCell ref="K74:K75"/>
    <mergeCell ref="L74:L75"/>
    <mergeCell ref="N67:N68"/>
    <mergeCell ref="O67:Q68"/>
    <mergeCell ref="J67:J68"/>
    <mergeCell ref="K67:K68"/>
    <mergeCell ref="L67:L68"/>
    <mergeCell ref="M67:M68"/>
    <mergeCell ref="M74:M75"/>
    <mergeCell ref="N74:N75"/>
    <mergeCell ref="F67:F68"/>
    <mergeCell ref="F74:F75"/>
    <mergeCell ref="C74:C75"/>
    <mergeCell ref="J74:J75"/>
    <mergeCell ref="E67:E68"/>
    <mergeCell ref="A41:A42"/>
    <mergeCell ref="B41:B42"/>
    <mergeCell ref="A48:A49"/>
    <mergeCell ref="B48:B49"/>
    <mergeCell ref="K55:K56"/>
    <mergeCell ref="O55:Q56"/>
    <mergeCell ref="A62:A63"/>
    <mergeCell ref="B62:B63"/>
    <mergeCell ref="D62:D63"/>
    <mergeCell ref="G62:G63"/>
    <mergeCell ref="H62:H63"/>
    <mergeCell ref="L55:L56"/>
    <mergeCell ref="M62:M63"/>
    <mergeCell ref="N62:N63"/>
    <mergeCell ref="I62:I63"/>
    <mergeCell ref="J62:J63"/>
    <mergeCell ref="K62:K63"/>
    <mergeCell ref="L62:L63"/>
    <mergeCell ref="O62:Q63"/>
    <mergeCell ref="A55:A56"/>
    <mergeCell ref="G41:G42"/>
    <mergeCell ref="H41:H42"/>
    <mergeCell ref="D48:D49"/>
    <mergeCell ref="D41:D42"/>
    <mergeCell ref="M55:M56"/>
    <mergeCell ref="N55:N56"/>
    <mergeCell ref="H55:H56"/>
    <mergeCell ref="I55:I56"/>
    <mergeCell ref="J55:J56"/>
    <mergeCell ref="I41:I42"/>
    <mergeCell ref="M35:M36"/>
    <mergeCell ref="I35:I36"/>
    <mergeCell ref="J35:J36"/>
    <mergeCell ref="K35:K36"/>
    <mergeCell ref="J41:J42"/>
    <mergeCell ref="K41:K42"/>
    <mergeCell ref="L41:L42"/>
    <mergeCell ref="B55:B56"/>
    <mergeCell ref="D55:D56"/>
    <mergeCell ref="G55:G56"/>
    <mergeCell ref="K48:K49"/>
    <mergeCell ref="L48:L49"/>
    <mergeCell ref="G48:G49"/>
    <mergeCell ref="H48:H49"/>
    <mergeCell ref="I48:I49"/>
    <mergeCell ref="J48:J49"/>
    <mergeCell ref="F48:F49"/>
    <mergeCell ref="F55:F56"/>
    <mergeCell ref="E48:E49"/>
    <mergeCell ref="E55:E56"/>
    <mergeCell ref="O48:Q49"/>
    <mergeCell ref="M41:M42"/>
    <mergeCell ref="N41:N42"/>
    <mergeCell ref="M48:M49"/>
    <mergeCell ref="N48:N49"/>
    <mergeCell ref="L13:L14"/>
    <mergeCell ref="M13:M14"/>
    <mergeCell ref="N13:N14"/>
    <mergeCell ref="N21:N22"/>
    <mergeCell ref="O13:Q14"/>
    <mergeCell ref="O35:Q36"/>
    <mergeCell ref="O41:Q42"/>
    <mergeCell ref="O21:Q22"/>
    <mergeCell ref="L21:L22"/>
    <mergeCell ref="A35:A36"/>
    <mergeCell ref="B35:B36"/>
    <mergeCell ref="D35:D36"/>
    <mergeCell ref="G35:G36"/>
    <mergeCell ref="H35:H36"/>
    <mergeCell ref="M21:M22"/>
    <mergeCell ref="N35:N36"/>
    <mergeCell ref="L35:L36"/>
    <mergeCell ref="A11:A12"/>
    <mergeCell ref="G21:G22"/>
    <mergeCell ref="K13:K14"/>
    <mergeCell ref="G13:G14"/>
    <mergeCell ref="H13:H14"/>
    <mergeCell ref="I13:I14"/>
    <mergeCell ref="J13:J14"/>
    <mergeCell ref="A13:A14"/>
    <mergeCell ref="A21:A22"/>
    <mergeCell ref="B21:B22"/>
    <mergeCell ref="D21:D22"/>
    <mergeCell ref="B13:B14"/>
    <mergeCell ref="D13:D14"/>
    <mergeCell ref="B11:B12"/>
    <mergeCell ref="D11:D12"/>
    <mergeCell ref="H21:H22"/>
    <mergeCell ref="I21:I22"/>
    <mergeCell ref="J21:J22"/>
    <mergeCell ref="K21:K22"/>
    <mergeCell ref="A7:A10"/>
    <mergeCell ref="B7:B10"/>
    <mergeCell ref="G9:G10"/>
    <mergeCell ref="O7:Q10"/>
    <mergeCell ref="L9:L10"/>
    <mergeCell ref="M9:M10"/>
    <mergeCell ref="J9:J10"/>
    <mergeCell ref="K9:K10"/>
    <mergeCell ref="N9:N10"/>
    <mergeCell ref="H9:H10"/>
    <mergeCell ref="I9:I10"/>
    <mergeCell ref="N11:N12"/>
    <mergeCell ref="I11:I12"/>
    <mergeCell ref="O11:Q12"/>
    <mergeCell ref="J11:J12"/>
    <mergeCell ref="K11:K12"/>
    <mergeCell ref="L11:L12"/>
    <mergeCell ref="M11:M12"/>
    <mergeCell ref="G11:G12"/>
    <mergeCell ref="H11:H12"/>
    <mergeCell ref="E11:E12"/>
    <mergeCell ref="G6:J6"/>
    <mergeCell ref="K6:N6"/>
    <mergeCell ref="P6:Q6"/>
    <mergeCell ref="G7:J8"/>
    <mergeCell ref="K7:N8"/>
    <mergeCell ref="B2:N2"/>
    <mergeCell ref="B3:N3"/>
    <mergeCell ref="B4:N4"/>
    <mergeCell ref="B5:N5"/>
    <mergeCell ref="C106:C107"/>
    <mergeCell ref="C7:F8"/>
    <mergeCell ref="F9:F10"/>
    <mergeCell ref="E9:E10"/>
    <mergeCell ref="D9:D10"/>
    <mergeCell ref="C9:C10"/>
    <mergeCell ref="C11:C12"/>
    <mergeCell ref="C13:C14"/>
    <mergeCell ref="C21:C22"/>
    <mergeCell ref="C35:C36"/>
    <mergeCell ref="C41:C42"/>
    <mergeCell ref="C48:C49"/>
    <mergeCell ref="C55:C56"/>
    <mergeCell ref="C62:C63"/>
    <mergeCell ref="C67:C68"/>
    <mergeCell ref="E13:E14"/>
    <mergeCell ref="E21:E22"/>
    <mergeCell ref="E35:E36"/>
    <mergeCell ref="E41:E42"/>
    <mergeCell ref="E62:E63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F30 F35:F36 F42 F48:F49 F55:F56 F62:F63 F74:F75 F84:F85 F91:F92 F106:F107 F41" formulaRange="1"/>
    <ignoredError sqref="H14:J14 H21:J22 G16:G20 K16:K20 H30:J30 G23:G29 K23:K29 H36:J36 G31:G34 K31:K34 H41:J42 G37:G40 K37:K40 H48:J49 G43:G47 K43:K47 H55:J56 G50:G54 K50:K54 H62:J63 G57:G61 K57:K61 H67:J68 G64:G66 K64:K66 I74:J75 G69:G73 K69:K73 H84:J85 G76:G83 K76:K83 H91:J92 G86:G90 K86:K90 H106:J107 G93:G105 K93:K105 G108:G111 K108:K111 H13:J13 M13:N13 L14:N14 L21:N22 L30:N30 H35:J35 M35:N35 L36:N36 L42:N42 L41 N41 L48:N49 L55:N56 L62:N63 L67:N68 L74:N75 L84:N85 L91:N92 L106:N10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2015-05-18T07:58:42Z</cp:lastPrinted>
  <dcterms:created xsi:type="dcterms:W3CDTF">2015-05-18T06:58:45Z</dcterms:created>
  <dcterms:modified xsi:type="dcterms:W3CDTF">2024-06-06T08:50:05Z</dcterms:modified>
</cp:coreProperties>
</file>