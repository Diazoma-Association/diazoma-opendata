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B90AE577-7CE2-4003-A2D4-B1C47D1FC623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1" l="1"/>
  <c r="J95" i="1"/>
  <c r="J94" i="1"/>
  <c r="J93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7" i="1"/>
  <c r="J76" i="1"/>
  <c r="J75" i="1"/>
  <c r="J74" i="1"/>
  <c r="J73" i="1"/>
  <c r="J72" i="1" s="1"/>
  <c r="J71" i="1"/>
  <c r="J70" i="1"/>
  <c r="J69" i="1"/>
  <c r="J68" i="1"/>
  <c r="J67" i="1"/>
  <c r="J66" i="1"/>
  <c r="J65" i="1"/>
  <c r="J64" i="1"/>
  <c r="J62" i="1"/>
  <c r="J61" i="1"/>
  <c r="J60" i="1"/>
  <c r="J59" i="1"/>
  <c r="J58" i="1"/>
  <c r="J56" i="1"/>
  <c r="J55" i="1"/>
  <c r="J54" i="1"/>
  <c r="J53" i="1" s="1"/>
  <c r="J52" i="1"/>
  <c r="J51" i="1"/>
  <c r="J50" i="1"/>
  <c r="J49" i="1"/>
  <c r="J47" i="1" s="1"/>
  <c r="J48" i="1"/>
  <c r="J46" i="1"/>
  <c r="J45" i="1"/>
  <c r="J44" i="1"/>
  <c r="J43" i="1"/>
  <c r="J42" i="1"/>
  <c r="J41" i="1" s="1"/>
  <c r="J40" i="1"/>
  <c r="J39" i="1"/>
  <c r="J38" i="1"/>
  <c r="J37" i="1"/>
  <c r="J36" i="1"/>
  <c r="J34" i="1"/>
  <c r="J33" i="1"/>
  <c r="J32" i="1"/>
  <c r="J31" i="1"/>
  <c r="J29" i="1"/>
  <c r="J28" i="1"/>
  <c r="J27" i="1"/>
  <c r="J26" i="1"/>
  <c r="J24" i="1"/>
  <c r="J23" i="1"/>
  <c r="J22" i="1"/>
  <c r="J17" i="1" s="1"/>
  <c r="J21" i="1"/>
  <c r="J20" i="1"/>
  <c r="J19" i="1"/>
  <c r="J18" i="1"/>
  <c r="J12" i="1"/>
  <c r="J13" i="1"/>
  <c r="J14" i="1"/>
  <c r="J15" i="1"/>
  <c r="J16" i="1"/>
  <c r="J11" i="1"/>
  <c r="F11" i="1"/>
  <c r="J25" i="1"/>
  <c r="B11" i="1"/>
  <c r="F22" i="1"/>
  <c r="B37" i="1"/>
  <c r="F21" i="1"/>
  <c r="I10" i="1"/>
  <c r="E10" i="1"/>
  <c r="D10" i="1"/>
  <c r="F13" i="1"/>
  <c r="D92" i="1"/>
  <c r="E92" i="1"/>
  <c r="G92" i="1"/>
  <c r="H92" i="1"/>
  <c r="I92" i="1"/>
  <c r="K92" i="1"/>
  <c r="D78" i="1"/>
  <c r="E78" i="1"/>
  <c r="G78" i="1"/>
  <c r="H78" i="1"/>
  <c r="I78" i="1"/>
  <c r="K78" i="1"/>
  <c r="D72" i="1"/>
  <c r="E72" i="1"/>
  <c r="G72" i="1"/>
  <c r="H72" i="1"/>
  <c r="I72" i="1"/>
  <c r="K72" i="1"/>
  <c r="D63" i="1"/>
  <c r="E63" i="1"/>
  <c r="G63" i="1"/>
  <c r="H63" i="1"/>
  <c r="I63" i="1"/>
  <c r="K63" i="1"/>
  <c r="D57" i="1"/>
  <c r="E57" i="1"/>
  <c r="G57" i="1"/>
  <c r="H57" i="1"/>
  <c r="I57" i="1"/>
  <c r="K57" i="1"/>
  <c r="L57" i="1"/>
  <c r="E53" i="1"/>
  <c r="G53" i="1"/>
  <c r="H53" i="1"/>
  <c r="I53" i="1"/>
  <c r="K53" i="1"/>
  <c r="L53" i="1"/>
  <c r="D53" i="1"/>
  <c r="G41" i="1"/>
  <c r="K47" i="1"/>
  <c r="K41" i="1"/>
  <c r="D41" i="1"/>
  <c r="E41" i="1"/>
  <c r="H41" i="1"/>
  <c r="I41" i="1"/>
  <c r="L41" i="1"/>
  <c r="C41" i="1"/>
  <c r="L35" i="1"/>
  <c r="K35" i="1"/>
  <c r="I35" i="1"/>
  <c r="H35" i="1"/>
  <c r="G35" i="1"/>
  <c r="L30" i="1"/>
  <c r="G30" i="1"/>
  <c r="K30" i="1"/>
  <c r="K17" i="1"/>
  <c r="K25" i="1"/>
  <c r="K10" i="1"/>
  <c r="F71" i="1"/>
  <c r="F70" i="1"/>
  <c r="F69" i="1"/>
  <c r="F68" i="1"/>
  <c r="F67" i="1"/>
  <c r="F66" i="1"/>
  <c r="F65" i="1"/>
  <c r="F64" i="1"/>
  <c r="F77" i="1"/>
  <c r="F76" i="1"/>
  <c r="F75" i="1"/>
  <c r="F74" i="1"/>
  <c r="F73" i="1"/>
  <c r="F82" i="1"/>
  <c r="B64" i="1"/>
  <c r="B12" i="1"/>
  <c r="C10" i="1"/>
  <c r="L25" i="1"/>
  <c r="H25" i="1"/>
  <c r="I25" i="1"/>
  <c r="G25" i="1"/>
  <c r="D25" i="1"/>
  <c r="E25" i="1"/>
  <c r="C25" i="1"/>
  <c r="B22" i="1"/>
  <c r="L17" i="1"/>
  <c r="H17" i="1"/>
  <c r="I17" i="1"/>
  <c r="G17" i="1"/>
  <c r="D17" i="1"/>
  <c r="E17" i="1"/>
  <c r="C17" i="1"/>
  <c r="B18" i="1"/>
  <c r="L10" i="1"/>
  <c r="F94" i="1"/>
  <c r="F95" i="1"/>
  <c r="F96" i="1"/>
  <c r="F93" i="1"/>
  <c r="F90" i="1"/>
  <c r="F91" i="1"/>
  <c r="F89" i="1"/>
  <c r="F88" i="1"/>
  <c r="F87" i="1"/>
  <c r="F86" i="1"/>
  <c r="F85" i="1"/>
  <c r="F84" i="1"/>
  <c r="F83" i="1"/>
  <c r="F80" i="1"/>
  <c r="F81" i="1"/>
  <c r="F79" i="1"/>
  <c r="F59" i="1"/>
  <c r="F60" i="1"/>
  <c r="F61" i="1"/>
  <c r="F62" i="1"/>
  <c r="F58" i="1"/>
  <c r="F55" i="1"/>
  <c r="F56" i="1"/>
  <c r="F54" i="1"/>
  <c r="F52" i="1"/>
  <c r="F51" i="1"/>
  <c r="F49" i="1"/>
  <c r="F50" i="1"/>
  <c r="F48" i="1"/>
  <c r="F43" i="1"/>
  <c r="F44" i="1"/>
  <c r="F45" i="1"/>
  <c r="F46" i="1"/>
  <c r="F42" i="1"/>
  <c r="F37" i="1"/>
  <c r="F38" i="1"/>
  <c r="F39" i="1"/>
  <c r="F40" i="1"/>
  <c r="F36" i="1"/>
  <c r="F32" i="1"/>
  <c r="F33" i="1"/>
  <c r="F34" i="1"/>
  <c r="F31" i="1"/>
  <c r="F19" i="1"/>
  <c r="F20" i="1"/>
  <c r="F23" i="1"/>
  <c r="F24" i="1"/>
  <c r="F26" i="1"/>
  <c r="F27" i="1"/>
  <c r="F28" i="1"/>
  <c r="F29" i="1"/>
  <c r="F18" i="1"/>
  <c r="F12" i="1"/>
  <c r="F14" i="1"/>
  <c r="F15" i="1"/>
  <c r="F16" i="1"/>
  <c r="B94" i="1"/>
  <c r="B95" i="1"/>
  <c r="B96" i="1"/>
  <c r="B93" i="1"/>
  <c r="B80" i="1"/>
  <c r="B81" i="1"/>
  <c r="B82" i="1"/>
  <c r="B83" i="1"/>
  <c r="B84" i="1"/>
  <c r="B85" i="1"/>
  <c r="B86" i="1"/>
  <c r="B87" i="1"/>
  <c r="B88" i="1"/>
  <c r="B89" i="1"/>
  <c r="B90" i="1"/>
  <c r="B91" i="1"/>
  <c r="B79" i="1"/>
  <c r="B74" i="1"/>
  <c r="B75" i="1"/>
  <c r="B76" i="1"/>
  <c r="B77" i="1"/>
  <c r="B73" i="1"/>
  <c r="B66" i="1"/>
  <c r="B67" i="1"/>
  <c r="B68" i="1"/>
  <c r="B69" i="1"/>
  <c r="B70" i="1"/>
  <c r="B71" i="1"/>
  <c r="B65" i="1"/>
  <c r="B59" i="1"/>
  <c r="B60" i="1"/>
  <c r="B61" i="1"/>
  <c r="B62" i="1"/>
  <c r="B58" i="1"/>
  <c r="B55" i="1"/>
  <c r="B56" i="1"/>
  <c r="B54" i="1"/>
  <c r="B49" i="1"/>
  <c r="B50" i="1"/>
  <c r="B51" i="1"/>
  <c r="B52" i="1"/>
  <c r="B48" i="1"/>
  <c r="B43" i="1"/>
  <c r="B44" i="1"/>
  <c r="B45" i="1"/>
  <c r="B46" i="1"/>
  <c r="B42" i="1"/>
  <c r="B38" i="1"/>
  <c r="B39" i="1"/>
  <c r="B40" i="1"/>
  <c r="B36" i="1"/>
  <c r="B32" i="1"/>
  <c r="B33" i="1"/>
  <c r="B34" i="1"/>
  <c r="B31" i="1"/>
  <c r="B19" i="1"/>
  <c r="B20" i="1"/>
  <c r="B21" i="1"/>
  <c r="B23" i="1"/>
  <c r="B24" i="1"/>
  <c r="B26" i="1"/>
  <c r="B27" i="1"/>
  <c r="B28" i="1"/>
  <c r="B29" i="1"/>
  <c r="B13" i="1"/>
  <c r="B14" i="1"/>
  <c r="B15" i="1"/>
  <c r="B16" i="1"/>
  <c r="C92" i="1"/>
  <c r="C78" i="1"/>
  <c r="C72" i="1"/>
  <c r="C63" i="1"/>
  <c r="C57" i="1"/>
  <c r="C53" i="1"/>
  <c r="C47" i="1"/>
  <c r="C35" i="1"/>
  <c r="C30" i="1"/>
  <c r="L92" i="1"/>
  <c r="L78" i="1"/>
  <c r="L72" i="1"/>
  <c r="L63" i="1"/>
  <c r="L47" i="1"/>
  <c r="I47" i="1"/>
  <c r="H47" i="1"/>
  <c r="G47" i="1"/>
  <c r="E47" i="1"/>
  <c r="D47" i="1"/>
  <c r="E35" i="1"/>
  <c r="D35" i="1"/>
  <c r="I30" i="1"/>
  <c r="H30" i="1"/>
  <c r="E30" i="1"/>
  <c r="D30" i="1"/>
  <c r="H10" i="1"/>
  <c r="G10" i="1"/>
  <c r="J92" i="1" l="1"/>
  <c r="J78" i="1"/>
  <c r="J35" i="1"/>
  <c r="J63" i="1"/>
  <c r="J57" i="1"/>
  <c r="J30" i="1"/>
  <c r="I9" i="1"/>
  <c r="J10" i="1"/>
  <c r="J9" i="1" s="1"/>
  <c r="B57" i="1"/>
  <c r="B72" i="1"/>
  <c r="B92" i="1"/>
  <c r="F17" i="1"/>
  <c r="F57" i="1"/>
  <c r="F35" i="1"/>
  <c r="B35" i="1"/>
  <c r="B30" i="1"/>
  <c r="B78" i="1"/>
  <c r="F72" i="1"/>
  <c r="F53" i="1"/>
  <c r="B47" i="1"/>
  <c r="B25" i="1"/>
  <c r="F92" i="1"/>
  <c r="F78" i="1"/>
  <c r="F63" i="1"/>
  <c r="B53" i="1"/>
  <c r="F41" i="1"/>
  <c r="B41" i="1"/>
  <c r="H9" i="1"/>
  <c r="F30" i="1"/>
  <c r="F25" i="1"/>
  <c r="C9" i="1"/>
  <c r="D9" i="1"/>
  <c r="B17" i="1"/>
  <c r="F47" i="1"/>
  <c r="F10" i="1"/>
  <c r="B63" i="1"/>
  <c r="B10" i="1"/>
  <c r="K9" i="1"/>
  <c r="G9" i="1"/>
  <c r="L9" i="1"/>
  <c r="E9" i="1"/>
  <c r="F9" i="1" l="1"/>
  <c r="B9" i="1"/>
</calcChain>
</file>

<file path=xl/sharedStrings.xml><?xml version="1.0" encoding="utf-8"?>
<sst xmlns="http://schemas.openxmlformats.org/spreadsheetml/2006/main" count="406" uniqueCount="204">
  <si>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</si>
  <si>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</si>
  <si>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</si>
  <si>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</si>
  <si>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</si>
  <si>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</si>
  <si>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</si>
  <si>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</si>
  <si>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</si>
  <si>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</si>
  <si>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</si>
  <si>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</si>
  <si>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</si>
  <si>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</si>
  <si>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</si>
  <si>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</si>
  <si>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</si>
  <si>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</si>
  <si>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</si>
  <si>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</si>
  <si>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</si>
  <si>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</si>
  <si>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</si>
  <si>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</si>
  <si>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</si>
  <si>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</si>
  <si>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</si>
  <si>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</si>
  <si>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</si>
  <si>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</si>
  <si>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</si>
  <si>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</si>
  <si>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</si>
  <si>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</si>
  <si>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</si>
  <si>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</si>
  <si>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</si>
  <si>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</si>
  <si>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</si>
  <si>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</si>
  <si>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</si>
  <si>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</si>
  <si>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</si>
  <si>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</si>
  <si>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</si>
  <si>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</si>
  <si>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</si>
  <si>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</si>
  <si>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</si>
  <si>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</si>
  <si>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</si>
  <si>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</si>
  <si>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</si>
  <si>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</si>
  <si>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</si>
  <si>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</si>
  <si>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</si>
  <si>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</si>
  <si>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</si>
  <si>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</si>
  <si>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</si>
  <si>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</si>
  <si>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</si>
  <si>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</si>
  <si>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</si>
  <si>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</si>
  <si>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</si>
  <si>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</si>
  <si>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</si>
  <si>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</si>
  <si>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</si>
  <si>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</si>
  <si>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</si>
  <si>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</si>
  <si>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</si>
  <si>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</si>
  <si>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</si>
  <si>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</si>
  <si>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</si>
  <si>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</si>
  <si>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</si>
  <si>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</si>
  <si>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</si>
  <si>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</si>
  <si>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</si>
  <si>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</si>
  <si>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</si>
  <si>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</si>
  <si>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</si>
  <si>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</si>
  <si>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</si>
  <si>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</si>
  <si>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</si>
  <si>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</si>
  <si>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</si>
  <si>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</si>
  <si>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</si>
  <si>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</si>
  <si>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</si>
  <si>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</si>
  <si>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</si>
  <si>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</si>
  <si>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</si>
  <si>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</si>
  <si>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Περιφέρεια Δυτικής Μακεδονίας</t>
  </si>
  <si>
    <t>Region of Western Macedonia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</si>
  <si>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</si>
  <si>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</si>
  <si>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</si>
  <si>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</si>
  <si>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</si>
  <si>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</si>
  <si>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</si>
  <si>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</si>
  <si>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</si>
  <si>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</si>
  <si>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</si>
  <si>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</si>
  <si>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</si>
  <si>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</si>
  <si>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</si>
  <si>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</si>
  <si>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</si>
  <si>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</si>
  <si>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</si>
  <si>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</si>
  <si>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</si>
  <si>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</si>
  <si>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</si>
  <si>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</si>
  <si>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</si>
  <si>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</si>
  <si>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</si>
  <si>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</si>
  <si>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</si>
  <si>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</si>
  <si>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</si>
  <si>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</si>
  <si>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</si>
  <si>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</si>
  <si>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</si>
  <si>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</si>
  <si>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</si>
  <si>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</si>
  <si>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</si>
  <si>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</si>
  <si>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</si>
  <si>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</si>
  <si>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</si>
  <si>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</si>
  <si>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</si>
  <si>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</si>
  <si>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</si>
  <si>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</si>
  <si>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</si>
  <si>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</si>
  <si>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</si>
  <si>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</si>
  <si>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</si>
  <si>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</si>
  <si>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</si>
  <si>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</si>
  <si>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</si>
  <si>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</si>
  <si>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</si>
  <si>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</si>
  <si>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</si>
  <si>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</si>
  <si>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</si>
  <si>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</si>
  <si>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</si>
  <si>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</si>
  <si>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</si>
  <si>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</si>
  <si>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</si>
  <si>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</si>
  <si>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</si>
  <si>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</si>
  <si>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</si>
  <si>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</si>
  <si>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—</t>
  </si>
  <si>
    <t>Total</t>
  </si>
  <si>
    <t>Domestic</t>
  </si>
  <si>
    <t>In flock</t>
  </si>
  <si>
    <t>Nomadic</t>
  </si>
  <si>
    <t>Σύνολο</t>
  </si>
  <si>
    <t>Οικόσιτα</t>
  </si>
  <si>
    <t>Κοπαδιάρικα</t>
  </si>
  <si>
    <t>Νομαδικά</t>
  </si>
  <si>
    <t>for pork meat</t>
  </si>
  <si>
    <t>for breeding</t>
  </si>
  <si>
    <t xml:space="preserve"> Αναπαραγωγής </t>
  </si>
  <si>
    <t>Οικόσιτες</t>
  </si>
  <si>
    <t>Κοπαδιάρικες</t>
  </si>
  <si>
    <t>Νομαδικές</t>
  </si>
  <si>
    <t>Κρεατο-παραγωγής</t>
  </si>
  <si>
    <t>Sheep</t>
  </si>
  <si>
    <t>Πρόβατα</t>
  </si>
  <si>
    <t>Goats</t>
  </si>
  <si>
    <t>Pigs</t>
  </si>
  <si>
    <t>Αίγες</t>
  </si>
  <si>
    <t>Χοίροι</t>
  </si>
  <si>
    <t>Πίνακας 3. Πρόβατα, αίγες και χοίροι (όλων των ηλικιών) στις 31.12.2023, κατά Περιφέρεια και Περιφερειακή Ενότητα</t>
  </si>
  <si>
    <t>Table 3. Sheep, goats and pigs (all ages) on 31st December 2023,by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</si>
</sst>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49" fontId="2" fillId="0" borderId="18" xfId="0" applyNumberFormat="1" applyFont="1" applyBorder="1" applyAlignment="1">
      <alignment vertical="center" wrapText="1"/>
    </xf>
    <xf numFmtId="49" fontId="2" fillId="0" borderId="16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0" fillId="0" borderId="0" xfId="0" applyAlignment="1">
      <alignment horizontal="left" indent="1"/>
    </xf>
    <xf numFmtId="0" fontId="8" fillId="0" borderId="3" xfId="0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0" fontId="1" fillId="0" borderId="0" xfId="0" applyFont="1" applyAlignment="1">
      <alignment vertical="center" wrapText="1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indent="1"/>
    </xf>
    <xf numFmtId="0" fontId="7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/>
    </xf>
    <xf numFmtId="3" fontId="2" fillId="2" borderId="23" xfId="0" applyNumberFormat="1" applyFont="1" applyFill="1" applyBorder="1" applyAlignment="1">
      <alignment vertical="center" wrapText="1"/>
    </xf>
    <xf numFmtId="3" fontId="2" fillId="2" borderId="11" xfId="0" applyNumberFormat="1" applyFont="1" applyFill="1" applyBorder="1" applyAlignment="1">
      <alignment vertical="center" wrapText="1"/>
    </xf>
    <xf numFmtId="3" fontId="2" fillId="2" borderId="24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0" xfId="0" quotePrefix="1" applyNumberFormat="1" applyFont="1" applyFill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vertical="center" wrapText="1"/>
    </xf>
    <xf numFmtId="3" fontId="2" fillId="2" borderId="17" xfId="0" applyNumberFormat="1" applyFont="1" applyFill="1" applyBorder="1" applyAlignment="1">
      <alignment vertical="center"/>
    </xf>
    <xf numFmtId="3" fontId="3" fillId="2" borderId="9" xfId="0" quotePrefix="1" applyNumberFormat="1" applyFont="1" applyFill="1" applyBorder="1" applyAlignment="1">
      <alignment horizontal="right"/>
    </xf>
    <xf numFmtId="3" fontId="2" fillId="2" borderId="9" xfId="0" quotePrefix="1" applyNumberFormat="1" applyFont="1" applyFill="1" applyBorder="1" applyAlignment="1">
      <alignment horizontal="right" vertical="center"/>
    </xf>
    <xf numFmtId="3" fontId="3" fillId="2" borderId="15" xfId="0" quotePrefix="1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8" fillId="2" borderId="3" xfId="0" applyNumberFormat="1" applyFont="1" applyFill="1" applyBorder="1" applyAlignment="1">
      <alignment horizontal="right" vertical="top"/>
    </xf>
    <xf numFmtId="3" fontId="8" fillId="2" borderId="13" xfId="0" applyNumberFormat="1" applyFont="1" applyFill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showGridLines="0" tabSelected="1" zoomScaleNormal="100" workbookViewId="0">
      <selection activeCell="E14" sqref="E14"/>
    </sheetView>
  </sheetViews>
  <sheetFormatPr defaultRowHeight="14.4" x14ac:dyDescent="0.3"/>
  <cols>
    <col min="1" max="1" width="42.88671875" bestFit="1" customWidth="1"/>
    <col min="2" max="2" width="9.109375" bestFit="1" customWidth="1"/>
    <col min="3" max="3" width="8.6640625" bestFit="1" customWidth="1"/>
    <col min="4" max="4" width="11.5546875" bestFit="1" customWidth="1"/>
    <col min="5" max="5" width="9.21875" bestFit="1" customWidth="1"/>
    <col min="6" max="6" width="9.109375" bestFit="1" customWidth="1"/>
    <col min="7" max="7" width="9" bestFit="1" customWidth="1"/>
    <col min="8" max="8" width="12.109375" bestFit="1" customWidth="1"/>
    <col min="9" max="9" width="9.77734375" bestFit="1" customWidth="1"/>
    <col min="10" max="10" width="9.77734375" customWidth="1"/>
    <col min="11" max="11" width="10.77734375" bestFit="1" customWidth="1"/>
    <col min="12" max="12" width="13.88671875" bestFit="1" customWidth="1"/>
    <col min="13" max="13" width="35.88671875" bestFit="1" customWidth="1"/>
    <col min="14" max="14" width="10.109375" customWidth="1"/>
  </cols>
  <sheetData>
    <row r="1" spans="1:14" ht="13.8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3"/>
      <c r="N1" s="4"/>
    </row>
    <row r="2" spans="1:14" ht="18" x14ac:dyDescent="0.3">
      <c r="A2" s="47" t="s">
        <v>202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"/>
    </row>
    <row r="3" spans="1:14" ht="18" x14ac:dyDescent="0.3">
      <c r="A3" s="47" t="s">
        <v>203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"/>
    </row>
    <row r="4" spans="1:14" ht="15" thickBot="1" x14ac:dyDescent="0.35">
      <c r="A4" s="29" t="s">
        <v>0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28" t="s">
        <v>1</v>
      </c>
      <c r="N4" s="7"/>
    </row>
    <row r="5" spans="1:14" x14ac:dyDescent="0.3">
      <c r="A5" s="58" t="s">
        <v>2</v>
      </c>
      <c r="B5" s="48" t="s">
        <v>197</v>
      </c>
      <c r="C5" s="49"/>
      <c r="D5" s="49"/>
      <c r="E5" s="50"/>
      <c r="F5" s="51" t="s">
        <v>200</v>
      </c>
      <c r="G5" s="49"/>
      <c r="H5" s="49"/>
      <c r="I5" s="50"/>
      <c r="J5" s="51" t="s">
        <v>201</v>
      </c>
      <c r="K5" s="49"/>
      <c r="L5" s="57"/>
      <c r="M5" s="61" t="s">
        <v>3</v>
      </c>
    </row>
    <row r="6" spans="1:14" x14ac:dyDescent="0.3">
      <c r="A6" s="59"/>
      <c r="B6" s="52" t="s">
        <v>196</v>
      </c>
      <c r="C6" s="53"/>
      <c r="D6" s="53"/>
      <c r="E6" s="54"/>
      <c r="F6" s="55" t="s">
        <v>198</v>
      </c>
      <c r="G6" s="53"/>
      <c r="H6" s="53"/>
      <c r="I6" s="54"/>
      <c r="J6" s="55" t="s">
        <v>199</v>
      </c>
      <c r="K6" s="53"/>
      <c r="L6" s="56"/>
      <c r="M6" s="62"/>
    </row>
    <row r="7" spans="1:14" ht="28.8" x14ac:dyDescent="0.3">
      <c r="A7" s="59"/>
      <c r="B7" s="30" t="s">
        <v>185</v>
      </c>
      <c r="C7" s="31" t="s">
        <v>186</v>
      </c>
      <c r="D7" s="31" t="s">
        <v>187</v>
      </c>
      <c r="E7" s="31" t="s">
        <v>188</v>
      </c>
      <c r="F7" s="32" t="s">
        <v>185</v>
      </c>
      <c r="G7" s="31" t="s">
        <v>192</v>
      </c>
      <c r="H7" s="31" t="s">
        <v>193</v>
      </c>
      <c r="I7" s="31" t="s">
        <v>194</v>
      </c>
      <c r="J7" s="32" t="s">
        <v>185</v>
      </c>
      <c r="K7" s="31" t="s">
        <v>195</v>
      </c>
      <c r="L7" s="33" t="s">
        <v>191</v>
      </c>
      <c r="M7" s="62"/>
    </row>
    <row r="8" spans="1:14" ht="28.8" x14ac:dyDescent="0.3">
      <c r="A8" s="60"/>
      <c r="B8" s="30" t="s">
        <v>181</v>
      </c>
      <c r="C8" s="31" t="s">
        <v>182</v>
      </c>
      <c r="D8" s="31" t="s">
        <v>183</v>
      </c>
      <c r="E8" s="31" t="s">
        <v>184</v>
      </c>
      <c r="F8" s="32" t="s">
        <v>181</v>
      </c>
      <c r="G8" s="31" t="s">
        <v>182</v>
      </c>
      <c r="H8" s="31" t="s">
        <v>183</v>
      </c>
      <c r="I8" s="31" t="s">
        <v>184</v>
      </c>
      <c r="J8" s="32" t="s">
        <v>181</v>
      </c>
      <c r="K8" s="31" t="s">
        <v>189</v>
      </c>
      <c r="L8" s="33" t="s">
        <v>190</v>
      </c>
      <c r="M8" s="63"/>
    </row>
    <row r="9" spans="1:14" ht="25.65" customHeight="1" x14ac:dyDescent="0.3">
      <c r="A9" s="22" t="s">
        <v>4</v>
      </c>
      <c r="B9" s="74">
        <f t="shared" ref="B9:L9" si="0">SUM(B10,B17,B25,B30,B35,B41,B47,B53,B57,B63,B72,B78,B92)</f>
        <v>9013827</v>
      </c>
      <c r="C9" s="64">
        <f t="shared" si="0"/>
        <v>157607</v>
      </c>
      <c r="D9" s="64">
        <f t="shared" si="0"/>
        <v>8699690</v>
      </c>
      <c r="E9" s="64">
        <f t="shared" si="0"/>
        <v>156530</v>
      </c>
      <c r="F9" s="64">
        <f t="shared" si="0"/>
        <v>3505202</v>
      </c>
      <c r="G9" s="64">
        <f t="shared" si="0"/>
        <v>104254</v>
      </c>
      <c r="H9" s="64">
        <f t="shared" si="0"/>
        <v>3275712</v>
      </c>
      <c r="I9" s="64">
        <f>SUM(I10,I17,I25,I30,I35,I41,I47,I53,I57,I63,I72,I78,I92)</f>
        <v>125236</v>
      </c>
      <c r="J9" s="64">
        <f>SUM(J10,J17,J25,J30,J35,J41,J47,J53,J57,J63,J72,J78,J92)</f>
        <v>705933</v>
      </c>
      <c r="K9" s="66">
        <f t="shared" si="0"/>
        <v>601472</v>
      </c>
      <c r="L9" s="67">
        <f t="shared" si="0"/>
        <v>104461</v>
      </c>
      <c r="M9" s="34" t="s">
        <v>5</v>
      </c>
    </row>
    <row r="10" spans="1:14" ht="21.3" customHeight="1" x14ac:dyDescent="0.3">
      <c r="A10" s="23" t="s">
        <v>6</v>
      </c>
      <c r="B10" s="75">
        <f>SUM(B11:B16)</f>
        <v>434105</v>
      </c>
      <c r="C10" s="65">
        <f>SUM(C11:C16)</f>
        <v>5100</v>
      </c>
      <c r="D10" s="65">
        <f>SUM(D11:D16)</f>
        <v>429005</v>
      </c>
      <c r="E10" s="65">
        <f>SUM(E11:E16)</f>
        <v>0</v>
      </c>
      <c r="F10" s="65">
        <f>SUM(F11:F16)</f>
        <v>289885</v>
      </c>
      <c r="G10" s="65">
        <f t="shared" ref="G10:H10" si="1">SUM(G11:G16)</f>
        <v>1734</v>
      </c>
      <c r="H10" s="65">
        <f t="shared" si="1"/>
        <v>288151</v>
      </c>
      <c r="I10" s="65">
        <f>SUM(I11:I16)</f>
        <v>0</v>
      </c>
      <c r="J10" s="65">
        <f>SUM(J11:J16)</f>
        <v>27688</v>
      </c>
      <c r="K10" s="68">
        <f>SUM(K11:K16)</f>
        <v>19989</v>
      </c>
      <c r="L10" s="69">
        <f>SUM(L11:L16)</f>
        <v>7699</v>
      </c>
      <c r="M10" s="35" t="s">
        <v>7</v>
      </c>
    </row>
    <row r="11" spans="1:14" x14ac:dyDescent="0.3">
      <c r="A11" s="8" t="s">
        <v>174</v>
      </c>
      <c r="B11" s="76">
        <f>SUM(C11:E11)</f>
        <v>97586</v>
      </c>
      <c r="C11" s="36">
        <v>178</v>
      </c>
      <c r="D11" s="37">
        <v>97408</v>
      </c>
      <c r="E11" s="36" t="s">
        <v>180</v>
      </c>
      <c r="F11" s="79">
        <f>SUM(G11:I11)</f>
        <v>63842</v>
      </c>
      <c r="G11" s="36">
        <v>159</v>
      </c>
      <c r="H11" s="37">
        <v>63683</v>
      </c>
      <c r="I11" s="36" t="s">
        <v>180</v>
      </c>
      <c r="J11" s="81">
        <f>SUM(K11:L11)</f>
        <v>449</v>
      </c>
      <c r="K11" s="37">
        <v>239</v>
      </c>
      <c r="L11" s="38">
        <v>210</v>
      </c>
      <c r="M11" s="39" t="s">
        <v>8</v>
      </c>
    </row>
    <row r="12" spans="1:14" x14ac:dyDescent="0.3">
      <c r="A12" s="8" t="s">
        <v>175</v>
      </c>
      <c r="B12" s="76">
        <f>SUM(C12:E12)</f>
        <v>85548</v>
      </c>
      <c r="C12" s="36">
        <v>1947</v>
      </c>
      <c r="D12" s="37">
        <v>83601</v>
      </c>
      <c r="E12" s="36" t="s">
        <v>180</v>
      </c>
      <c r="F12" s="79">
        <f t="shared" ref="F12:F16" si="2">SUM(G12:I12)</f>
        <v>44744</v>
      </c>
      <c r="G12" s="36">
        <v>72</v>
      </c>
      <c r="H12" s="37">
        <v>44672</v>
      </c>
      <c r="I12" s="36" t="s">
        <v>180</v>
      </c>
      <c r="J12" s="81">
        <f t="shared" ref="J12:J16" si="3">SUM(K12:L12)</f>
        <v>17017</v>
      </c>
      <c r="K12" s="37">
        <v>11933</v>
      </c>
      <c r="L12" s="38">
        <v>5084</v>
      </c>
      <c r="M12" s="39" t="s">
        <v>9</v>
      </c>
    </row>
    <row r="13" spans="1:14" x14ac:dyDescent="0.3">
      <c r="A13" s="8" t="s">
        <v>176</v>
      </c>
      <c r="B13" s="76">
        <f t="shared" ref="B13:B16" si="4">SUM(C13:E13)</f>
        <v>70996</v>
      </c>
      <c r="C13" s="36">
        <v>2975</v>
      </c>
      <c r="D13" s="37">
        <v>68021</v>
      </c>
      <c r="E13" s="36" t="s">
        <v>180</v>
      </c>
      <c r="F13" s="79">
        <f>SUM(G13:I13)</f>
        <v>62606</v>
      </c>
      <c r="G13" s="36">
        <v>1499</v>
      </c>
      <c r="H13" s="37">
        <v>61107</v>
      </c>
      <c r="I13" s="36" t="s">
        <v>180</v>
      </c>
      <c r="J13" s="81">
        <f t="shared" si="3"/>
        <v>1844</v>
      </c>
      <c r="K13" s="37">
        <v>897</v>
      </c>
      <c r="L13" s="38">
        <v>947</v>
      </c>
      <c r="M13" s="39" t="s">
        <v>10</v>
      </c>
    </row>
    <row r="14" spans="1:14" x14ac:dyDescent="0.3">
      <c r="A14" s="8" t="s">
        <v>177</v>
      </c>
      <c r="B14" s="76">
        <f t="shared" si="4"/>
        <v>19567</v>
      </c>
      <c r="C14" s="36" t="s">
        <v>180</v>
      </c>
      <c r="D14" s="37">
        <v>19567</v>
      </c>
      <c r="E14" s="36" t="s">
        <v>180</v>
      </c>
      <c r="F14" s="79">
        <f t="shared" si="2"/>
        <v>14793</v>
      </c>
      <c r="G14" s="36" t="s">
        <v>180</v>
      </c>
      <c r="H14" s="37">
        <v>14793</v>
      </c>
      <c r="I14" s="36" t="s">
        <v>180</v>
      </c>
      <c r="J14" s="81">
        <f t="shared" si="3"/>
        <v>0</v>
      </c>
      <c r="K14" s="37" t="s">
        <v>180</v>
      </c>
      <c r="L14" s="38" t="s">
        <v>180</v>
      </c>
      <c r="M14" s="39" t="s">
        <v>11</v>
      </c>
    </row>
    <row r="15" spans="1:14" x14ac:dyDescent="0.3">
      <c r="A15" s="8" t="s">
        <v>178</v>
      </c>
      <c r="B15" s="76">
        <f t="shared" si="4"/>
        <v>69874</v>
      </c>
      <c r="C15" s="36" t="s">
        <v>180</v>
      </c>
      <c r="D15" s="37">
        <v>69874</v>
      </c>
      <c r="E15" s="36" t="s">
        <v>180</v>
      </c>
      <c r="F15" s="79">
        <f t="shared" si="2"/>
        <v>49809</v>
      </c>
      <c r="G15" s="36">
        <v>4</v>
      </c>
      <c r="H15" s="37">
        <v>49805</v>
      </c>
      <c r="I15" s="36" t="s">
        <v>180</v>
      </c>
      <c r="J15" s="81">
        <f t="shared" si="3"/>
        <v>3978</v>
      </c>
      <c r="K15" s="37">
        <v>3009</v>
      </c>
      <c r="L15" s="38">
        <v>969</v>
      </c>
      <c r="M15" s="39" t="s">
        <v>12</v>
      </c>
    </row>
    <row r="16" spans="1:14" x14ac:dyDescent="0.3">
      <c r="A16" s="8" t="s">
        <v>179</v>
      </c>
      <c r="B16" s="76">
        <f t="shared" si="4"/>
        <v>90534</v>
      </c>
      <c r="C16" s="40" t="s">
        <v>180</v>
      </c>
      <c r="D16" s="37">
        <v>90534</v>
      </c>
      <c r="E16" s="40" t="s">
        <v>180</v>
      </c>
      <c r="F16" s="79">
        <f t="shared" si="2"/>
        <v>54091</v>
      </c>
      <c r="G16" s="40" t="s">
        <v>180</v>
      </c>
      <c r="H16" s="37">
        <v>54091</v>
      </c>
      <c r="I16" s="40" t="s">
        <v>180</v>
      </c>
      <c r="J16" s="81">
        <f t="shared" si="3"/>
        <v>4400</v>
      </c>
      <c r="K16" s="37">
        <v>3911</v>
      </c>
      <c r="L16" s="41">
        <v>489</v>
      </c>
      <c r="M16" s="39" t="s">
        <v>13</v>
      </c>
    </row>
    <row r="17" spans="1:13" ht="23.85" customHeight="1" x14ac:dyDescent="0.3">
      <c r="A17" s="23" t="s">
        <v>14</v>
      </c>
      <c r="B17" s="75">
        <f>SUM(B18:B24)</f>
        <v>665963</v>
      </c>
      <c r="C17" s="65">
        <f>SUM(C18:C24)</f>
        <v>2387</v>
      </c>
      <c r="D17" s="65">
        <f t="shared" ref="D17:E17" si="5">SUM(D18:D24)</f>
        <v>663341</v>
      </c>
      <c r="E17" s="65">
        <f t="shared" si="5"/>
        <v>235</v>
      </c>
      <c r="F17" s="65">
        <f>SUM(F18:F24)</f>
        <v>382755</v>
      </c>
      <c r="G17" s="65">
        <f>SUM(G18:G24)</f>
        <v>1432</v>
      </c>
      <c r="H17" s="65">
        <f t="shared" ref="H17:J17" si="6">SUM(H18:H24)</f>
        <v>381262</v>
      </c>
      <c r="I17" s="65">
        <f t="shared" si="6"/>
        <v>61</v>
      </c>
      <c r="J17" s="65">
        <f t="shared" si="6"/>
        <v>119246</v>
      </c>
      <c r="K17" s="68">
        <f>SUM(K18:K24)</f>
        <v>103332</v>
      </c>
      <c r="L17" s="69">
        <f>SUM(L18:L24)</f>
        <v>15914</v>
      </c>
      <c r="M17" s="42" t="s">
        <v>15</v>
      </c>
    </row>
    <row r="18" spans="1:13" x14ac:dyDescent="0.3">
      <c r="A18" s="8" t="s">
        <v>106</v>
      </c>
      <c r="B18" s="76">
        <f>SUM(C18:E18)</f>
        <v>118676</v>
      </c>
      <c r="C18" s="36" t="s">
        <v>180</v>
      </c>
      <c r="D18" s="37">
        <v>118676</v>
      </c>
      <c r="E18" s="36" t="s">
        <v>180</v>
      </c>
      <c r="F18" s="79">
        <f>SUM(G18:I18)</f>
        <v>95511</v>
      </c>
      <c r="G18" s="36" t="s">
        <v>180</v>
      </c>
      <c r="H18" s="37">
        <v>95511</v>
      </c>
      <c r="I18" s="36" t="s">
        <v>180</v>
      </c>
      <c r="J18" s="81">
        <f t="shared" ref="J18:J24" si="7">SUM(K18:L18)</f>
        <v>11025</v>
      </c>
      <c r="K18" s="37">
        <v>9748</v>
      </c>
      <c r="L18" s="38">
        <v>1277</v>
      </c>
      <c r="M18" s="39" t="s">
        <v>16</v>
      </c>
    </row>
    <row r="19" spans="1:13" x14ac:dyDescent="0.3">
      <c r="A19" s="8" t="s">
        <v>107</v>
      </c>
      <c r="B19" s="76">
        <f t="shared" ref="B19:B29" si="8">SUM(C19:E19)</f>
        <v>29822</v>
      </c>
      <c r="C19" s="36">
        <v>215</v>
      </c>
      <c r="D19" s="37">
        <v>29607</v>
      </c>
      <c r="E19" s="36" t="s">
        <v>180</v>
      </c>
      <c r="F19" s="79">
        <f t="shared" ref="F19:F29" si="9">SUM(G19:I19)</f>
        <v>14290</v>
      </c>
      <c r="G19" s="36">
        <v>230</v>
      </c>
      <c r="H19" s="37">
        <v>14060</v>
      </c>
      <c r="I19" s="36" t="s">
        <v>180</v>
      </c>
      <c r="J19" s="81">
        <f t="shared" si="7"/>
        <v>10659</v>
      </c>
      <c r="K19" s="37">
        <v>7866</v>
      </c>
      <c r="L19" s="38">
        <v>2793</v>
      </c>
      <c r="M19" s="39" t="s">
        <v>17</v>
      </c>
    </row>
    <row r="20" spans="1:13" x14ac:dyDescent="0.3">
      <c r="A20" s="8" t="s">
        <v>108</v>
      </c>
      <c r="B20" s="76">
        <f t="shared" si="8"/>
        <v>92595</v>
      </c>
      <c r="C20" s="40" t="s">
        <v>180</v>
      </c>
      <c r="D20" s="37">
        <v>92595</v>
      </c>
      <c r="E20" s="40" t="s">
        <v>180</v>
      </c>
      <c r="F20" s="79">
        <f t="shared" si="9"/>
        <v>38258</v>
      </c>
      <c r="G20" s="40" t="s">
        <v>180</v>
      </c>
      <c r="H20" s="37">
        <v>38258</v>
      </c>
      <c r="I20" s="40" t="s">
        <v>180</v>
      </c>
      <c r="J20" s="81">
        <f t="shared" si="7"/>
        <v>4866</v>
      </c>
      <c r="K20" s="37">
        <v>4225</v>
      </c>
      <c r="L20" s="41">
        <v>641</v>
      </c>
      <c r="M20" s="39" t="s">
        <v>18</v>
      </c>
    </row>
    <row r="21" spans="1:13" x14ac:dyDescent="0.3">
      <c r="A21" s="8" t="s">
        <v>109</v>
      </c>
      <c r="B21" s="76">
        <f t="shared" si="8"/>
        <v>92969</v>
      </c>
      <c r="C21" s="36">
        <v>242</v>
      </c>
      <c r="D21" s="37">
        <v>92727</v>
      </c>
      <c r="E21" s="36" t="s">
        <v>180</v>
      </c>
      <c r="F21" s="79">
        <f>SUM(G21:I21)</f>
        <v>36736</v>
      </c>
      <c r="G21" s="36">
        <v>274</v>
      </c>
      <c r="H21" s="37">
        <v>36462</v>
      </c>
      <c r="I21" s="36" t="s">
        <v>180</v>
      </c>
      <c r="J21" s="81">
        <f t="shared" si="7"/>
        <v>7896</v>
      </c>
      <c r="K21" s="37">
        <v>6594</v>
      </c>
      <c r="L21" s="38">
        <v>1302</v>
      </c>
      <c r="M21" s="39" t="s">
        <v>19</v>
      </c>
    </row>
    <row r="22" spans="1:13" x14ac:dyDescent="0.3">
      <c r="A22" s="8" t="s">
        <v>110</v>
      </c>
      <c r="B22" s="76">
        <f>SUM(C22:E22)</f>
        <v>106550</v>
      </c>
      <c r="C22" s="36">
        <v>160</v>
      </c>
      <c r="D22" s="37">
        <v>106155</v>
      </c>
      <c r="E22" s="36">
        <v>235</v>
      </c>
      <c r="F22" s="79">
        <f>SUM(G22:I22)</f>
        <v>41912</v>
      </c>
      <c r="G22" s="36" t="s">
        <v>180</v>
      </c>
      <c r="H22" s="37">
        <v>41851</v>
      </c>
      <c r="I22" s="36">
        <v>61</v>
      </c>
      <c r="J22" s="81">
        <f t="shared" si="7"/>
        <v>49762</v>
      </c>
      <c r="K22" s="37">
        <v>44305</v>
      </c>
      <c r="L22" s="38">
        <v>5457</v>
      </c>
      <c r="M22" s="39" t="s">
        <v>20</v>
      </c>
    </row>
    <row r="23" spans="1:13" x14ac:dyDescent="0.3">
      <c r="A23" s="8" t="s">
        <v>111</v>
      </c>
      <c r="B23" s="76">
        <f t="shared" si="8"/>
        <v>175399</v>
      </c>
      <c r="C23" s="36">
        <v>1770</v>
      </c>
      <c r="D23" s="37">
        <v>173629</v>
      </c>
      <c r="E23" s="36" t="s">
        <v>180</v>
      </c>
      <c r="F23" s="79">
        <f t="shared" si="9"/>
        <v>86698</v>
      </c>
      <c r="G23" s="36">
        <v>928</v>
      </c>
      <c r="H23" s="37">
        <v>85770</v>
      </c>
      <c r="I23" s="36" t="s">
        <v>180</v>
      </c>
      <c r="J23" s="81">
        <f t="shared" si="7"/>
        <v>12036</v>
      </c>
      <c r="K23" s="37">
        <v>9582</v>
      </c>
      <c r="L23" s="38">
        <v>2454</v>
      </c>
      <c r="M23" s="39" t="s">
        <v>21</v>
      </c>
    </row>
    <row r="24" spans="1:13" x14ac:dyDescent="0.3">
      <c r="A24" s="8" t="s">
        <v>112</v>
      </c>
      <c r="B24" s="76">
        <f t="shared" si="8"/>
        <v>49952</v>
      </c>
      <c r="C24" s="36" t="s">
        <v>180</v>
      </c>
      <c r="D24" s="37">
        <v>49952</v>
      </c>
      <c r="E24" s="36" t="s">
        <v>180</v>
      </c>
      <c r="F24" s="79">
        <f t="shared" si="9"/>
        <v>69350</v>
      </c>
      <c r="G24" s="36" t="s">
        <v>180</v>
      </c>
      <c r="H24" s="37">
        <v>69350</v>
      </c>
      <c r="I24" s="36" t="s">
        <v>180</v>
      </c>
      <c r="J24" s="81">
        <f t="shared" si="7"/>
        <v>23002</v>
      </c>
      <c r="K24" s="37">
        <v>21012</v>
      </c>
      <c r="L24" s="38">
        <v>1990</v>
      </c>
      <c r="M24" s="39" t="s">
        <v>22</v>
      </c>
    </row>
    <row r="25" spans="1:13" ht="24" customHeight="1" x14ac:dyDescent="0.3">
      <c r="A25" s="9" t="s">
        <v>104</v>
      </c>
      <c r="B25" s="77">
        <f>SUM(B26:B29)</f>
        <v>383364</v>
      </c>
      <c r="C25" s="70">
        <f>SUM(C26:C29)</f>
        <v>711</v>
      </c>
      <c r="D25" s="71">
        <f t="shared" ref="D25:E25" si="10">SUM(D26:D29)</f>
        <v>382653</v>
      </c>
      <c r="E25" s="70">
        <f t="shared" si="10"/>
        <v>0</v>
      </c>
      <c r="F25" s="72">
        <f>SUM(F26:F29)</f>
        <v>135172</v>
      </c>
      <c r="G25" s="70">
        <f>SUM(G26:G29)</f>
        <v>885</v>
      </c>
      <c r="H25" s="71">
        <f t="shared" ref="H25:I25" si="11">SUM(H26:H29)</f>
        <v>134287</v>
      </c>
      <c r="I25" s="70">
        <f t="shared" si="11"/>
        <v>0</v>
      </c>
      <c r="J25" s="70">
        <f>SUM(J26:J29)</f>
        <v>11142</v>
      </c>
      <c r="K25" s="72">
        <f>SUM(K26:K29)</f>
        <v>9685</v>
      </c>
      <c r="L25" s="73">
        <f>SUM(L26:L29)</f>
        <v>1457</v>
      </c>
      <c r="M25" s="10" t="s">
        <v>105</v>
      </c>
    </row>
    <row r="26" spans="1:13" x14ac:dyDescent="0.3">
      <c r="A26" s="8" t="s">
        <v>121</v>
      </c>
      <c r="B26" s="76">
        <f t="shared" si="8"/>
        <v>159473</v>
      </c>
      <c r="C26" s="36">
        <v>46</v>
      </c>
      <c r="D26" s="37">
        <v>159427</v>
      </c>
      <c r="E26" s="36" t="s">
        <v>180</v>
      </c>
      <c r="F26" s="79">
        <f t="shared" si="9"/>
        <v>62252</v>
      </c>
      <c r="G26" s="36">
        <v>96</v>
      </c>
      <c r="H26" s="37">
        <v>62156</v>
      </c>
      <c r="I26" s="36" t="s">
        <v>180</v>
      </c>
      <c r="J26" s="81">
        <f t="shared" ref="J26:J29" si="12">SUM(K26:L26)</f>
        <v>4801</v>
      </c>
      <c r="K26" s="37">
        <v>4077</v>
      </c>
      <c r="L26" s="38">
        <v>724</v>
      </c>
      <c r="M26" s="39" t="s">
        <v>23</v>
      </c>
    </row>
    <row r="27" spans="1:13" x14ac:dyDescent="0.3">
      <c r="A27" s="8" t="s">
        <v>122</v>
      </c>
      <c r="B27" s="76">
        <f t="shared" si="8"/>
        <v>77421</v>
      </c>
      <c r="C27" s="36">
        <v>25</v>
      </c>
      <c r="D27" s="37">
        <v>77396</v>
      </c>
      <c r="E27" s="36" t="s">
        <v>180</v>
      </c>
      <c r="F27" s="79">
        <f t="shared" si="9"/>
        <v>36867</v>
      </c>
      <c r="G27" s="36">
        <v>6</v>
      </c>
      <c r="H27" s="37">
        <v>36861</v>
      </c>
      <c r="I27" s="36" t="s">
        <v>180</v>
      </c>
      <c r="J27" s="81">
        <f t="shared" si="12"/>
        <v>845</v>
      </c>
      <c r="K27" s="37">
        <v>454</v>
      </c>
      <c r="L27" s="38">
        <v>391</v>
      </c>
      <c r="M27" s="39" t="s">
        <v>24</v>
      </c>
    </row>
    <row r="28" spans="1:13" x14ac:dyDescent="0.3">
      <c r="A28" s="8" t="s">
        <v>123</v>
      </c>
      <c r="B28" s="76">
        <f t="shared" si="8"/>
        <v>58597</v>
      </c>
      <c r="C28" s="36">
        <v>165</v>
      </c>
      <c r="D28" s="37">
        <v>58432</v>
      </c>
      <c r="E28" s="36" t="s">
        <v>180</v>
      </c>
      <c r="F28" s="79">
        <f t="shared" si="9"/>
        <v>11109</v>
      </c>
      <c r="G28" s="36">
        <v>103</v>
      </c>
      <c r="H28" s="37">
        <v>11006</v>
      </c>
      <c r="I28" s="36" t="s">
        <v>180</v>
      </c>
      <c r="J28" s="81">
        <f t="shared" si="12"/>
        <v>4240</v>
      </c>
      <c r="K28" s="37">
        <v>4092</v>
      </c>
      <c r="L28" s="38">
        <v>148</v>
      </c>
      <c r="M28" s="39" t="s">
        <v>25</v>
      </c>
    </row>
    <row r="29" spans="1:13" x14ac:dyDescent="0.3">
      <c r="A29" s="8" t="s">
        <v>124</v>
      </c>
      <c r="B29" s="76">
        <f t="shared" si="8"/>
        <v>87873</v>
      </c>
      <c r="C29" s="36">
        <v>475</v>
      </c>
      <c r="D29" s="37">
        <v>87398</v>
      </c>
      <c r="E29" s="36" t="s">
        <v>180</v>
      </c>
      <c r="F29" s="79">
        <f t="shared" si="9"/>
        <v>24944</v>
      </c>
      <c r="G29" s="36">
        <v>680</v>
      </c>
      <c r="H29" s="37">
        <v>24264</v>
      </c>
      <c r="I29" s="36" t="s">
        <v>180</v>
      </c>
      <c r="J29" s="81">
        <f t="shared" si="12"/>
        <v>1256</v>
      </c>
      <c r="K29" s="37">
        <v>1062</v>
      </c>
      <c r="L29" s="38">
        <v>194</v>
      </c>
      <c r="M29" s="39" t="s">
        <v>26</v>
      </c>
    </row>
    <row r="30" spans="1:13" ht="23.85" customHeight="1" x14ac:dyDescent="0.3">
      <c r="A30" s="23" t="s">
        <v>27</v>
      </c>
      <c r="B30" s="75">
        <f>SUM(B31:B34)</f>
        <v>483492</v>
      </c>
      <c r="C30" s="65">
        <f>SUM(C31:C34)</f>
        <v>396</v>
      </c>
      <c r="D30" s="65">
        <f>SUM(D31:D34)</f>
        <v>475551</v>
      </c>
      <c r="E30" s="65">
        <f t="shared" ref="E30:J30" si="13">SUM(E31:E34)</f>
        <v>7545</v>
      </c>
      <c r="F30" s="65">
        <f>SUM(F31:F34)</f>
        <v>123002</v>
      </c>
      <c r="G30" s="65">
        <f>SUM(G31:G34)</f>
        <v>511</v>
      </c>
      <c r="H30" s="65">
        <f t="shared" si="13"/>
        <v>118912</v>
      </c>
      <c r="I30" s="65">
        <f t="shared" si="13"/>
        <v>3579</v>
      </c>
      <c r="J30" s="65">
        <f t="shared" si="13"/>
        <v>138262</v>
      </c>
      <c r="K30" s="68">
        <f>SUM(K31:K34)</f>
        <v>121917</v>
      </c>
      <c r="L30" s="69">
        <f>SUM(L31:L34)</f>
        <v>16345</v>
      </c>
      <c r="M30" s="10" t="s">
        <v>28</v>
      </c>
    </row>
    <row r="31" spans="1:13" x14ac:dyDescent="0.3">
      <c r="A31" s="8" t="s">
        <v>125</v>
      </c>
      <c r="B31" s="76">
        <f>SUM(C31:E31)</f>
        <v>156877</v>
      </c>
      <c r="C31" s="36">
        <v>236</v>
      </c>
      <c r="D31" s="37">
        <v>156641</v>
      </c>
      <c r="E31" s="36" t="s">
        <v>180</v>
      </c>
      <c r="F31" s="79">
        <f>SUM(G31:I31)</f>
        <v>37031</v>
      </c>
      <c r="G31" s="36">
        <v>339</v>
      </c>
      <c r="H31" s="37">
        <v>36692</v>
      </c>
      <c r="I31" s="36" t="s">
        <v>180</v>
      </c>
      <c r="J31" s="81">
        <f t="shared" ref="J31:J34" si="14">SUM(K31:L31)</f>
        <v>12503</v>
      </c>
      <c r="K31" s="37">
        <v>11008</v>
      </c>
      <c r="L31" s="38">
        <v>1495</v>
      </c>
      <c r="M31" s="39" t="s">
        <v>29</v>
      </c>
    </row>
    <row r="32" spans="1:13" x14ac:dyDescent="0.3">
      <c r="A32" s="8" t="s">
        <v>126</v>
      </c>
      <c r="B32" s="76">
        <f>SUM(C32:E32)</f>
        <v>97945</v>
      </c>
      <c r="C32" s="40" t="s">
        <v>180</v>
      </c>
      <c r="D32" s="37">
        <v>97945</v>
      </c>
      <c r="E32" s="40" t="s">
        <v>180</v>
      </c>
      <c r="F32" s="79">
        <f>SUM(G32:I32)</f>
        <v>13581</v>
      </c>
      <c r="G32" s="40" t="s">
        <v>180</v>
      </c>
      <c r="H32" s="37">
        <v>13581</v>
      </c>
      <c r="I32" s="40" t="s">
        <v>180</v>
      </c>
      <c r="J32" s="81">
        <f t="shared" si="14"/>
        <v>7761</v>
      </c>
      <c r="K32" s="37">
        <v>3097</v>
      </c>
      <c r="L32" s="41">
        <v>4664</v>
      </c>
      <c r="M32" s="39" t="s">
        <v>30</v>
      </c>
    </row>
    <row r="33" spans="1:13" x14ac:dyDescent="0.3">
      <c r="A33" s="8" t="s">
        <v>127</v>
      </c>
      <c r="B33" s="76">
        <f>SUM(C33:E33)</f>
        <v>109698</v>
      </c>
      <c r="C33" s="36">
        <v>160</v>
      </c>
      <c r="D33" s="37">
        <v>102987</v>
      </c>
      <c r="E33" s="36">
        <v>6551</v>
      </c>
      <c r="F33" s="79">
        <f>SUM(G33:I33)</f>
        <v>43374</v>
      </c>
      <c r="G33" s="36">
        <v>154</v>
      </c>
      <c r="H33" s="37">
        <v>39641</v>
      </c>
      <c r="I33" s="36">
        <v>3579</v>
      </c>
      <c r="J33" s="81">
        <f t="shared" si="14"/>
        <v>180</v>
      </c>
      <c r="K33" s="37">
        <v>119</v>
      </c>
      <c r="L33" s="38">
        <v>61</v>
      </c>
      <c r="M33" s="39" t="s">
        <v>31</v>
      </c>
    </row>
    <row r="34" spans="1:13" x14ac:dyDescent="0.3">
      <c r="A34" s="8" t="s">
        <v>128</v>
      </c>
      <c r="B34" s="76">
        <f>SUM(C34:E34)</f>
        <v>118972</v>
      </c>
      <c r="C34" s="36" t="s">
        <v>180</v>
      </c>
      <c r="D34" s="37">
        <v>117978</v>
      </c>
      <c r="E34" s="36">
        <v>994</v>
      </c>
      <c r="F34" s="79">
        <f>SUM(G34:I34)</f>
        <v>29016</v>
      </c>
      <c r="G34" s="36">
        <v>18</v>
      </c>
      <c r="H34" s="37">
        <v>28998</v>
      </c>
      <c r="I34" s="36" t="s">
        <v>180</v>
      </c>
      <c r="J34" s="81">
        <f t="shared" si="14"/>
        <v>117818</v>
      </c>
      <c r="K34" s="37">
        <v>107693</v>
      </c>
      <c r="L34" s="38">
        <v>10125</v>
      </c>
      <c r="M34" s="39" t="s">
        <v>32</v>
      </c>
    </row>
    <row r="35" spans="1:13" ht="25.65" customHeight="1" x14ac:dyDescent="0.3">
      <c r="A35" s="23" t="s">
        <v>33</v>
      </c>
      <c r="B35" s="75">
        <f>SUM(B36:B40)</f>
        <v>1183424</v>
      </c>
      <c r="C35" s="65">
        <f>SUM(C36:C40)</f>
        <v>1276</v>
      </c>
      <c r="D35" s="65">
        <f t="shared" ref="D35:L35" si="15">SUM(D36:D40)</f>
        <v>1167659</v>
      </c>
      <c r="E35" s="65">
        <f t="shared" si="15"/>
        <v>14489</v>
      </c>
      <c r="F35" s="65">
        <f t="shared" si="15"/>
        <v>331196</v>
      </c>
      <c r="G35" s="65">
        <f t="shared" si="15"/>
        <v>835</v>
      </c>
      <c r="H35" s="65">
        <f t="shared" si="15"/>
        <v>325006</v>
      </c>
      <c r="I35" s="65">
        <f t="shared" si="15"/>
        <v>5355</v>
      </c>
      <c r="J35" s="65">
        <f t="shared" si="15"/>
        <v>147992</v>
      </c>
      <c r="K35" s="68">
        <f t="shared" si="15"/>
        <v>130170</v>
      </c>
      <c r="L35" s="69">
        <f t="shared" si="15"/>
        <v>17822</v>
      </c>
      <c r="M35" s="10" t="s">
        <v>34</v>
      </c>
    </row>
    <row r="36" spans="1:13" x14ac:dyDescent="0.3">
      <c r="A36" s="8" t="s">
        <v>129</v>
      </c>
      <c r="B36" s="76">
        <f>SUM(C36:E36)</f>
        <v>685186</v>
      </c>
      <c r="C36" s="36" t="s">
        <v>180</v>
      </c>
      <c r="D36" s="37">
        <v>685186</v>
      </c>
      <c r="E36" s="36" t="s">
        <v>180</v>
      </c>
      <c r="F36" s="79">
        <f>SUM(G36:I36)</f>
        <v>173404</v>
      </c>
      <c r="G36" s="36" t="s">
        <v>180</v>
      </c>
      <c r="H36" s="37">
        <v>173404</v>
      </c>
      <c r="I36" s="36" t="s">
        <v>180</v>
      </c>
      <c r="J36" s="81">
        <f t="shared" ref="J36:J40" si="16">SUM(K36:L36)</f>
        <v>92654</v>
      </c>
      <c r="K36" s="37">
        <v>84103</v>
      </c>
      <c r="L36" s="38">
        <v>8551</v>
      </c>
      <c r="M36" s="39" t="s">
        <v>35</v>
      </c>
    </row>
    <row r="37" spans="1:13" x14ac:dyDescent="0.3">
      <c r="A37" s="8" t="s">
        <v>130</v>
      </c>
      <c r="B37" s="76">
        <f>SUM(C37:E37)</f>
        <v>157673</v>
      </c>
      <c r="C37" s="36">
        <v>90</v>
      </c>
      <c r="D37" s="37">
        <v>156387</v>
      </c>
      <c r="E37" s="36">
        <v>1196</v>
      </c>
      <c r="F37" s="79">
        <f>SUM(G37:I37)</f>
        <v>22483</v>
      </c>
      <c r="G37" s="36" t="s">
        <v>180</v>
      </c>
      <c r="H37" s="37">
        <v>22209</v>
      </c>
      <c r="I37" s="36">
        <v>274</v>
      </c>
      <c r="J37" s="81">
        <f t="shared" si="16"/>
        <v>11399</v>
      </c>
      <c r="K37" s="37">
        <v>10508</v>
      </c>
      <c r="L37" s="38">
        <v>891</v>
      </c>
      <c r="M37" s="39" t="s">
        <v>36</v>
      </c>
    </row>
    <row r="38" spans="1:13" x14ac:dyDescent="0.3">
      <c r="A38" s="8" t="s">
        <v>131</v>
      </c>
      <c r="B38" s="76">
        <f>SUM(C38:E38)</f>
        <v>146388</v>
      </c>
      <c r="C38" s="36">
        <v>7</v>
      </c>
      <c r="D38" s="37">
        <v>146381</v>
      </c>
      <c r="E38" s="36" t="s">
        <v>180</v>
      </c>
      <c r="F38" s="79">
        <f>SUM(G38:I38)</f>
        <v>57299</v>
      </c>
      <c r="G38" s="36">
        <v>25</v>
      </c>
      <c r="H38" s="37">
        <v>57274</v>
      </c>
      <c r="I38" s="36" t="s">
        <v>180</v>
      </c>
      <c r="J38" s="81">
        <f t="shared" si="16"/>
        <v>8798</v>
      </c>
      <c r="K38" s="37">
        <v>7507</v>
      </c>
      <c r="L38" s="38">
        <v>1291</v>
      </c>
      <c r="M38" s="39" t="s">
        <v>37</v>
      </c>
    </row>
    <row r="39" spans="1:13" x14ac:dyDescent="0.3">
      <c r="A39" s="8" t="s">
        <v>132</v>
      </c>
      <c r="B39" s="76">
        <f>SUM(C39:E39)</f>
        <v>672</v>
      </c>
      <c r="C39" s="36" t="s">
        <v>180</v>
      </c>
      <c r="D39" s="37">
        <v>672</v>
      </c>
      <c r="E39" s="36" t="s">
        <v>180</v>
      </c>
      <c r="F39" s="79">
        <f>SUM(G39:I39)</f>
        <v>8263</v>
      </c>
      <c r="G39" s="36">
        <v>10</v>
      </c>
      <c r="H39" s="37">
        <v>8253</v>
      </c>
      <c r="I39" s="36" t="s">
        <v>180</v>
      </c>
      <c r="J39" s="81">
        <f t="shared" si="16"/>
        <v>0</v>
      </c>
      <c r="K39" s="37" t="s">
        <v>180</v>
      </c>
      <c r="L39" s="38" t="s">
        <v>180</v>
      </c>
      <c r="M39" s="39" t="s">
        <v>38</v>
      </c>
    </row>
    <row r="40" spans="1:13" x14ac:dyDescent="0.3">
      <c r="A40" s="8" t="s">
        <v>133</v>
      </c>
      <c r="B40" s="76">
        <f>SUM(C40:E40)</f>
        <v>193505</v>
      </c>
      <c r="C40" s="36">
        <v>1179</v>
      </c>
      <c r="D40" s="37">
        <v>179033</v>
      </c>
      <c r="E40" s="36">
        <v>13293</v>
      </c>
      <c r="F40" s="79">
        <f>SUM(G40:I40)</f>
        <v>69747</v>
      </c>
      <c r="G40" s="36">
        <v>800</v>
      </c>
      <c r="H40" s="37">
        <v>63866</v>
      </c>
      <c r="I40" s="36">
        <v>5081</v>
      </c>
      <c r="J40" s="81">
        <f t="shared" si="16"/>
        <v>35141</v>
      </c>
      <c r="K40" s="37">
        <v>28052</v>
      </c>
      <c r="L40" s="38">
        <v>7089</v>
      </c>
      <c r="M40" s="39" t="s">
        <v>39</v>
      </c>
    </row>
    <row r="41" spans="1:13" ht="25.65" customHeight="1" x14ac:dyDescent="0.3">
      <c r="A41" s="23" t="s">
        <v>40</v>
      </c>
      <c r="B41" s="75">
        <f>SUM(B42:B46)</f>
        <v>482162</v>
      </c>
      <c r="C41" s="65">
        <f>SUM(C42:C46)</f>
        <v>8731</v>
      </c>
      <c r="D41" s="65">
        <f t="shared" ref="D41:L41" si="17">SUM(D42:D46)</f>
        <v>445683</v>
      </c>
      <c r="E41" s="65">
        <f t="shared" si="17"/>
        <v>27748</v>
      </c>
      <c r="F41" s="65">
        <f>SUM(F42:F46)</f>
        <v>264247</v>
      </c>
      <c r="G41" s="65">
        <f>SUM(G42:G46)</f>
        <v>6539</v>
      </c>
      <c r="H41" s="65">
        <f t="shared" si="17"/>
        <v>250367</v>
      </c>
      <c r="I41" s="65">
        <f t="shared" si="17"/>
        <v>7341</v>
      </c>
      <c r="J41" s="65">
        <f t="shared" si="17"/>
        <v>62571</v>
      </c>
      <c r="K41" s="68">
        <f>SUM(K42:K46)</f>
        <v>51497</v>
      </c>
      <c r="L41" s="69">
        <f t="shared" si="17"/>
        <v>11074</v>
      </c>
      <c r="M41" s="10" t="s">
        <v>41</v>
      </c>
    </row>
    <row r="42" spans="1:13" x14ac:dyDescent="0.3">
      <c r="A42" s="8" t="s">
        <v>134</v>
      </c>
      <c r="B42" s="76">
        <f>SUM(C42:E42)</f>
        <v>167720</v>
      </c>
      <c r="C42" s="36">
        <v>4969</v>
      </c>
      <c r="D42" s="37">
        <v>137307</v>
      </c>
      <c r="E42" s="36">
        <v>25444</v>
      </c>
      <c r="F42" s="79">
        <f>SUM(G42:I42)</f>
        <v>64262</v>
      </c>
      <c r="G42" s="36">
        <v>3461</v>
      </c>
      <c r="H42" s="37">
        <v>53460</v>
      </c>
      <c r="I42" s="36">
        <v>7341</v>
      </c>
      <c r="J42" s="81">
        <f t="shared" ref="J42:J46" si="18">SUM(K42:L42)</f>
        <v>4184</v>
      </c>
      <c r="K42" s="37">
        <v>3235</v>
      </c>
      <c r="L42" s="38">
        <v>949</v>
      </c>
      <c r="M42" s="39" t="s">
        <v>42</v>
      </c>
    </row>
    <row r="43" spans="1:13" x14ac:dyDescent="0.3">
      <c r="A43" s="8" t="s">
        <v>135</v>
      </c>
      <c r="B43" s="76">
        <f>SUM(C43:E43)</f>
        <v>94117</v>
      </c>
      <c r="C43" s="36">
        <v>1376</v>
      </c>
      <c r="D43" s="37">
        <v>90437</v>
      </c>
      <c r="E43" s="36">
        <v>2304</v>
      </c>
      <c r="F43" s="79">
        <f>SUM(G43:I43)</f>
        <v>48938</v>
      </c>
      <c r="G43" s="36">
        <v>658</v>
      </c>
      <c r="H43" s="37">
        <v>48280</v>
      </c>
      <c r="I43" s="36" t="s">
        <v>180</v>
      </c>
      <c r="J43" s="81">
        <f t="shared" si="18"/>
        <v>21383</v>
      </c>
      <c r="K43" s="37">
        <v>18044</v>
      </c>
      <c r="L43" s="38">
        <v>3339</v>
      </c>
      <c r="M43" s="39" t="s">
        <v>43</v>
      </c>
    </row>
    <row r="44" spans="1:13" x14ac:dyDescent="0.3">
      <c r="A44" s="8" t="s">
        <v>136</v>
      </c>
      <c r="B44" s="76">
        <f>SUM(C44:E44)</f>
        <v>142462</v>
      </c>
      <c r="C44" s="36">
        <v>413</v>
      </c>
      <c r="D44" s="37">
        <v>142049</v>
      </c>
      <c r="E44" s="36" t="s">
        <v>180</v>
      </c>
      <c r="F44" s="79">
        <f>SUM(G44:I44)</f>
        <v>93173</v>
      </c>
      <c r="G44" s="36">
        <v>377</v>
      </c>
      <c r="H44" s="37">
        <v>92796</v>
      </c>
      <c r="I44" s="36" t="s">
        <v>180</v>
      </c>
      <c r="J44" s="81">
        <f t="shared" si="18"/>
        <v>36412</v>
      </c>
      <c r="K44" s="37">
        <v>29726</v>
      </c>
      <c r="L44" s="38">
        <v>6686</v>
      </c>
      <c r="M44" s="39" t="s">
        <v>44</v>
      </c>
    </row>
    <row r="45" spans="1:13" x14ac:dyDescent="0.3">
      <c r="A45" s="8" t="s">
        <v>137</v>
      </c>
      <c r="B45" s="76">
        <f>SUM(C45:E45)</f>
        <v>25311</v>
      </c>
      <c r="C45" s="36">
        <v>635</v>
      </c>
      <c r="D45" s="37">
        <v>24676</v>
      </c>
      <c r="E45" s="36" t="s">
        <v>180</v>
      </c>
      <c r="F45" s="79">
        <f>SUM(G45:I45)</f>
        <v>18583</v>
      </c>
      <c r="G45" s="36">
        <v>797</v>
      </c>
      <c r="H45" s="37">
        <v>17786</v>
      </c>
      <c r="I45" s="36" t="s">
        <v>180</v>
      </c>
      <c r="J45" s="81">
        <f t="shared" si="18"/>
        <v>101</v>
      </c>
      <c r="K45" s="37">
        <v>67</v>
      </c>
      <c r="L45" s="38">
        <v>34</v>
      </c>
      <c r="M45" s="39" t="s">
        <v>45</v>
      </c>
    </row>
    <row r="46" spans="1:13" x14ac:dyDescent="0.3">
      <c r="A46" s="8" t="s">
        <v>138</v>
      </c>
      <c r="B46" s="76">
        <f>SUM(C46:E46)</f>
        <v>52552</v>
      </c>
      <c r="C46" s="36">
        <v>1338</v>
      </c>
      <c r="D46" s="37">
        <v>51214</v>
      </c>
      <c r="E46" s="36" t="s">
        <v>180</v>
      </c>
      <c r="F46" s="79">
        <f>SUM(G46:I46)</f>
        <v>39291</v>
      </c>
      <c r="G46" s="36">
        <v>1246</v>
      </c>
      <c r="H46" s="37">
        <v>38045</v>
      </c>
      <c r="I46" s="36" t="s">
        <v>180</v>
      </c>
      <c r="J46" s="81">
        <f t="shared" si="18"/>
        <v>491</v>
      </c>
      <c r="K46" s="37">
        <v>425</v>
      </c>
      <c r="L46" s="38">
        <v>66</v>
      </c>
      <c r="M46" s="39" t="s">
        <v>46</v>
      </c>
    </row>
    <row r="47" spans="1:13" ht="23.4" customHeight="1" x14ac:dyDescent="0.3">
      <c r="A47" s="23" t="s">
        <v>47</v>
      </c>
      <c r="B47" s="75">
        <f>SUM(B48:B52)</f>
        <v>132119</v>
      </c>
      <c r="C47" s="65">
        <f>SUM(C48:C52)</f>
        <v>6472</v>
      </c>
      <c r="D47" s="65">
        <f t="shared" ref="D47:L47" si="19">SUM(D48:D52)</f>
        <v>125647</v>
      </c>
      <c r="E47" s="65">
        <f t="shared" si="19"/>
        <v>0</v>
      </c>
      <c r="F47" s="65">
        <f>SUM(F48:F52)</f>
        <v>109716</v>
      </c>
      <c r="G47" s="65">
        <f t="shared" si="19"/>
        <v>5020</v>
      </c>
      <c r="H47" s="65">
        <f t="shared" si="19"/>
        <v>104696</v>
      </c>
      <c r="I47" s="65">
        <f t="shared" si="19"/>
        <v>0</v>
      </c>
      <c r="J47" s="65">
        <f t="shared" si="19"/>
        <v>135</v>
      </c>
      <c r="K47" s="68">
        <f>SUM(K48:K52)</f>
        <v>94</v>
      </c>
      <c r="L47" s="69">
        <f t="shared" si="19"/>
        <v>41</v>
      </c>
      <c r="M47" s="10" t="s">
        <v>48</v>
      </c>
    </row>
    <row r="48" spans="1:13" x14ac:dyDescent="0.3">
      <c r="A48" s="8" t="s">
        <v>139</v>
      </c>
      <c r="B48" s="76">
        <f>SUM(C48:E48)</f>
        <v>5175</v>
      </c>
      <c r="C48" s="36">
        <v>2743</v>
      </c>
      <c r="D48" s="37">
        <v>2432</v>
      </c>
      <c r="E48" s="36" t="s">
        <v>180</v>
      </c>
      <c r="F48" s="79">
        <f>SUM(G48:H48)</f>
        <v>2043</v>
      </c>
      <c r="G48" s="36">
        <v>766</v>
      </c>
      <c r="H48" s="37">
        <v>1277</v>
      </c>
      <c r="I48" s="36" t="s">
        <v>180</v>
      </c>
      <c r="J48" s="81">
        <f t="shared" ref="J48:J52" si="20">SUM(K48:L48)</f>
        <v>40</v>
      </c>
      <c r="K48" s="37">
        <v>25</v>
      </c>
      <c r="L48" s="38">
        <v>15</v>
      </c>
      <c r="M48" s="39" t="s">
        <v>49</v>
      </c>
    </row>
    <row r="49" spans="1:13" x14ac:dyDescent="0.3">
      <c r="A49" s="8" t="s">
        <v>140</v>
      </c>
      <c r="B49" s="76">
        <f>SUM(C49:E49)</f>
        <v>8657</v>
      </c>
      <c r="C49" s="36">
        <v>3434</v>
      </c>
      <c r="D49" s="37">
        <v>5223</v>
      </c>
      <c r="E49" s="36" t="s">
        <v>180</v>
      </c>
      <c r="F49" s="79">
        <f>SUM(G49:H49)</f>
        <v>8664</v>
      </c>
      <c r="G49" s="36">
        <v>4083</v>
      </c>
      <c r="H49" s="37">
        <v>4581</v>
      </c>
      <c r="I49" s="36" t="s">
        <v>180</v>
      </c>
      <c r="J49" s="81">
        <f t="shared" si="20"/>
        <v>42</v>
      </c>
      <c r="K49" s="37">
        <v>38</v>
      </c>
      <c r="L49" s="38">
        <v>4</v>
      </c>
      <c r="M49" s="39" t="s">
        <v>50</v>
      </c>
    </row>
    <row r="50" spans="1:13" x14ac:dyDescent="0.3">
      <c r="A50" s="8" t="s">
        <v>141</v>
      </c>
      <c r="B50" s="76">
        <f>SUM(C50:E50)</f>
        <v>3900</v>
      </c>
      <c r="C50" s="36" t="s">
        <v>180</v>
      </c>
      <c r="D50" s="37">
        <v>3900</v>
      </c>
      <c r="E50" s="36" t="s">
        <v>180</v>
      </c>
      <c r="F50" s="79">
        <f>SUM(G50:H50)</f>
        <v>5000</v>
      </c>
      <c r="G50" s="36" t="s">
        <v>180</v>
      </c>
      <c r="H50" s="37">
        <v>5000</v>
      </c>
      <c r="I50" s="36" t="s">
        <v>180</v>
      </c>
      <c r="J50" s="81">
        <f t="shared" si="20"/>
        <v>16</v>
      </c>
      <c r="K50" s="37">
        <v>2</v>
      </c>
      <c r="L50" s="38">
        <v>14</v>
      </c>
      <c r="M50" s="39" t="s">
        <v>51</v>
      </c>
    </row>
    <row r="51" spans="1:13" x14ac:dyDescent="0.3">
      <c r="A51" s="8" t="s">
        <v>142</v>
      </c>
      <c r="B51" s="76">
        <f>SUM(C51:E51)</f>
        <v>107915</v>
      </c>
      <c r="C51" s="36" t="s">
        <v>180</v>
      </c>
      <c r="D51" s="37">
        <v>107915</v>
      </c>
      <c r="E51" s="36" t="s">
        <v>180</v>
      </c>
      <c r="F51" s="79">
        <f>SUM(G51:I51)</f>
        <v>87716</v>
      </c>
      <c r="G51" s="36" t="s">
        <v>180</v>
      </c>
      <c r="H51" s="37">
        <v>87716</v>
      </c>
      <c r="I51" s="36" t="s">
        <v>180</v>
      </c>
      <c r="J51" s="81">
        <f t="shared" si="20"/>
        <v>29</v>
      </c>
      <c r="K51" s="37">
        <v>21</v>
      </c>
      <c r="L51" s="38">
        <v>8</v>
      </c>
      <c r="M51" s="39" t="s">
        <v>52</v>
      </c>
    </row>
    <row r="52" spans="1:13" x14ac:dyDescent="0.3">
      <c r="A52" s="8" t="s">
        <v>143</v>
      </c>
      <c r="B52" s="76">
        <f>SUM(C52:E52)</f>
        <v>6472</v>
      </c>
      <c r="C52" s="36">
        <v>295</v>
      </c>
      <c r="D52" s="37">
        <v>6177</v>
      </c>
      <c r="E52" s="36" t="s">
        <v>180</v>
      </c>
      <c r="F52" s="79">
        <f>SUM(G52:H52)</f>
        <v>6293</v>
      </c>
      <c r="G52" s="36">
        <v>171</v>
      </c>
      <c r="H52" s="37">
        <v>6122</v>
      </c>
      <c r="I52" s="36" t="s">
        <v>180</v>
      </c>
      <c r="J52" s="81">
        <f t="shared" si="20"/>
        <v>8</v>
      </c>
      <c r="K52" s="37">
        <v>8</v>
      </c>
      <c r="L52" s="38" t="s">
        <v>180</v>
      </c>
      <c r="M52" s="39" t="s">
        <v>53</v>
      </c>
    </row>
    <row r="53" spans="1:13" ht="23.85" customHeight="1" x14ac:dyDescent="0.3">
      <c r="A53" s="23" t="s">
        <v>54</v>
      </c>
      <c r="B53" s="75">
        <f>SUM(B54:B56)</f>
        <v>1509659</v>
      </c>
      <c r="C53" s="65">
        <f>SUM(C54:C56)</f>
        <v>77645</v>
      </c>
      <c r="D53" s="65">
        <f>SUM(D54:D56)</f>
        <v>1415054</v>
      </c>
      <c r="E53" s="65">
        <f t="shared" ref="E53:L53" si="21">SUM(E54:E56)</f>
        <v>16960</v>
      </c>
      <c r="F53" s="65">
        <f t="shared" si="21"/>
        <v>465068</v>
      </c>
      <c r="G53" s="65">
        <f t="shared" si="21"/>
        <v>33576</v>
      </c>
      <c r="H53" s="65">
        <f t="shared" si="21"/>
        <v>425662</v>
      </c>
      <c r="I53" s="65">
        <f t="shared" si="21"/>
        <v>5830</v>
      </c>
      <c r="J53" s="65">
        <f t="shared" si="21"/>
        <v>90319</v>
      </c>
      <c r="K53" s="68">
        <f t="shared" si="21"/>
        <v>75609</v>
      </c>
      <c r="L53" s="69">
        <f t="shared" si="21"/>
        <v>14710</v>
      </c>
      <c r="M53" s="10" t="s">
        <v>55</v>
      </c>
    </row>
    <row r="54" spans="1:13" x14ac:dyDescent="0.3">
      <c r="A54" s="8" t="s">
        <v>144</v>
      </c>
      <c r="B54" s="76">
        <f>SUM(C54:E54)</f>
        <v>391207</v>
      </c>
      <c r="C54" s="36">
        <v>16307</v>
      </c>
      <c r="D54" s="37">
        <v>374900</v>
      </c>
      <c r="E54" s="36" t="s">
        <v>180</v>
      </c>
      <c r="F54" s="79">
        <f>SUM(G54:I54)</f>
        <v>141468</v>
      </c>
      <c r="G54" s="36">
        <v>3107</v>
      </c>
      <c r="H54" s="37">
        <v>138361</v>
      </c>
      <c r="I54" s="36" t="s">
        <v>180</v>
      </c>
      <c r="J54" s="81">
        <f t="shared" ref="J54:J56" si="22">SUM(K54:L54)</f>
        <v>170</v>
      </c>
      <c r="K54" s="37">
        <v>111</v>
      </c>
      <c r="L54" s="38">
        <v>59</v>
      </c>
      <c r="M54" s="39" t="s">
        <v>56</v>
      </c>
    </row>
    <row r="55" spans="1:13" x14ac:dyDescent="0.3">
      <c r="A55" s="8" t="s">
        <v>145</v>
      </c>
      <c r="B55" s="76">
        <f>SUM(C55:E55)</f>
        <v>800751</v>
      </c>
      <c r="C55" s="36">
        <v>54899</v>
      </c>
      <c r="D55" s="37">
        <v>728892</v>
      </c>
      <c r="E55" s="36">
        <v>16960</v>
      </c>
      <c r="F55" s="79">
        <f>SUM(G55:I55)</f>
        <v>258938</v>
      </c>
      <c r="G55" s="36">
        <v>26238</v>
      </c>
      <c r="H55" s="37">
        <v>226870</v>
      </c>
      <c r="I55" s="36">
        <v>5830</v>
      </c>
      <c r="J55" s="81">
        <f t="shared" si="22"/>
        <v>85804</v>
      </c>
      <c r="K55" s="37">
        <v>71979</v>
      </c>
      <c r="L55" s="38">
        <v>13825</v>
      </c>
      <c r="M55" s="39" t="s">
        <v>57</v>
      </c>
    </row>
    <row r="56" spans="1:13" x14ac:dyDescent="0.3">
      <c r="A56" s="8" t="s">
        <v>146</v>
      </c>
      <c r="B56" s="76">
        <f>SUM(C56:E56)</f>
        <v>317701</v>
      </c>
      <c r="C56" s="36">
        <v>6439</v>
      </c>
      <c r="D56" s="37">
        <v>311262</v>
      </c>
      <c r="E56" s="36" t="s">
        <v>180</v>
      </c>
      <c r="F56" s="79">
        <f>SUM(G56:I56)</f>
        <v>64662</v>
      </c>
      <c r="G56" s="36">
        <v>4231</v>
      </c>
      <c r="H56" s="37">
        <v>60431</v>
      </c>
      <c r="I56" s="36" t="s">
        <v>180</v>
      </c>
      <c r="J56" s="81">
        <f t="shared" si="22"/>
        <v>4345</v>
      </c>
      <c r="K56" s="37">
        <v>3519</v>
      </c>
      <c r="L56" s="38">
        <v>826</v>
      </c>
      <c r="M56" s="39" t="s">
        <v>58</v>
      </c>
    </row>
    <row r="57" spans="1:13" ht="25.05" customHeight="1" x14ac:dyDescent="0.3">
      <c r="A57" s="23" t="s">
        <v>59</v>
      </c>
      <c r="B57" s="75">
        <f>SUM(B58:B62)</f>
        <v>338794</v>
      </c>
      <c r="C57" s="65">
        <f>SUM(C58:C62)</f>
        <v>6917</v>
      </c>
      <c r="D57" s="65">
        <f t="shared" ref="D57:L57" si="23">SUM(D58:D62)</f>
        <v>326754</v>
      </c>
      <c r="E57" s="65">
        <f t="shared" si="23"/>
        <v>5123</v>
      </c>
      <c r="F57" s="65">
        <f t="shared" si="23"/>
        <v>365320</v>
      </c>
      <c r="G57" s="65">
        <f t="shared" si="23"/>
        <v>5075</v>
      </c>
      <c r="H57" s="65">
        <f t="shared" si="23"/>
        <v>306976</v>
      </c>
      <c r="I57" s="65">
        <f t="shared" si="23"/>
        <v>53269</v>
      </c>
      <c r="J57" s="65">
        <f t="shared" si="23"/>
        <v>56199</v>
      </c>
      <c r="K57" s="68">
        <f t="shared" si="23"/>
        <v>50692</v>
      </c>
      <c r="L57" s="69">
        <f t="shared" si="23"/>
        <v>5507</v>
      </c>
      <c r="M57" s="10" t="s">
        <v>60</v>
      </c>
    </row>
    <row r="58" spans="1:13" x14ac:dyDescent="0.3">
      <c r="A58" s="8" t="s">
        <v>147</v>
      </c>
      <c r="B58" s="76">
        <f>SUM(C58:E58)</f>
        <v>96912</v>
      </c>
      <c r="C58" s="36">
        <v>2647</v>
      </c>
      <c r="D58" s="37">
        <v>94265</v>
      </c>
      <c r="E58" s="36" t="s">
        <v>180</v>
      </c>
      <c r="F58" s="79">
        <f>SUM(G58:I58)</f>
        <v>71345</v>
      </c>
      <c r="G58" s="36">
        <v>1151</v>
      </c>
      <c r="H58" s="37">
        <v>70194</v>
      </c>
      <c r="I58" s="36" t="s">
        <v>180</v>
      </c>
      <c r="J58" s="81">
        <f t="shared" ref="J58:J62" si="24">SUM(K58:L58)</f>
        <v>6707</v>
      </c>
      <c r="K58" s="37">
        <v>6575</v>
      </c>
      <c r="L58" s="38">
        <v>132</v>
      </c>
      <c r="M58" s="39" t="s">
        <v>61</v>
      </c>
    </row>
    <row r="59" spans="1:13" x14ac:dyDescent="0.3">
      <c r="A59" s="8" t="s">
        <v>148</v>
      </c>
      <c r="B59" s="76">
        <f>SUM(C59:E59)</f>
        <v>52905</v>
      </c>
      <c r="C59" s="36">
        <v>1945</v>
      </c>
      <c r="D59" s="37">
        <v>45837</v>
      </c>
      <c r="E59" s="36">
        <v>5123</v>
      </c>
      <c r="F59" s="79">
        <f>SUM(G59:I59)</f>
        <v>102804</v>
      </c>
      <c r="G59" s="36">
        <v>1628</v>
      </c>
      <c r="H59" s="37">
        <v>47907</v>
      </c>
      <c r="I59" s="36">
        <v>53269</v>
      </c>
      <c r="J59" s="81">
        <f t="shared" si="24"/>
        <v>11579</v>
      </c>
      <c r="K59" s="37">
        <v>10520</v>
      </c>
      <c r="L59" s="38">
        <v>1059</v>
      </c>
      <c r="M59" s="39" t="s">
        <v>62</v>
      </c>
    </row>
    <row r="60" spans="1:13" x14ac:dyDescent="0.3">
      <c r="A60" s="8" t="s">
        <v>149</v>
      </c>
      <c r="B60" s="76">
        <f>SUM(C60:E60)</f>
        <v>61713</v>
      </c>
      <c r="C60" s="36">
        <v>84</v>
      </c>
      <c r="D60" s="37">
        <v>61629</v>
      </c>
      <c r="E60" s="36" t="s">
        <v>180</v>
      </c>
      <c r="F60" s="79">
        <f>SUM(G60:I60)</f>
        <v>48883</v>
      </c>
      <c r="G60" s="36">
        <v>75</v>
      </c>
      <c r="H60" s="37">
        <v>48808</v>
      </c>
      <c r="I60" s="36" t="s">
        <v>180</v>
      </c>
      <c r="J60" s="81">
        <f t="shared" si="24"/>
        <v>19021</v>
      </c>
      <c r="K60" s="37">
        <v>16132</v>
      </c>
      <c r="L60" s="38">
        <v>2889</v>
      </c>
      <c r="M60" s="39" t="s">
        <v>63</v>
      </c>
    </row>
    <row r="61" spans="1:13" x14ac:dyDescent="0.3">
      <c r="A61" s="8" t="s">
        <v>150</v>
      </c>
      <c r="B61" s="76">
        <f>SUM(C61:E61)</f>
        <v>61277</v>
      </c>
      <c r="C61" s="36" t="s">
        <v>180</v>
      </c>
      <c r="D61" s="37">
        <v>61277</v>
      </c>
      <c r="E61" s="36" t="s">
        <v>180</v>
      </c>
      <c r="F61" s="79">
        <f>SUM(G61:I61)</f>
        <v>106562</v>
      </c>
      <c r="G61" s="36">
        <v>67</v>
      </c>
      <c r="H61" s="37">
        <v>106495</v>
      </c>
      <c r="I61" s="36" t="s">
        <v>180</v>
      </c>
      <c r="J61" s="81">
        <f t="shared" si="24"/>
        <v>18333</v>
      </c>
      <c r="K61" s="37">
        <v>16994</v>
      </c>
      <c r="L61" s="38">
        <v>1339</v>
      </c>
      <c r="M61" s="39" t="s">
        <v>64</v>
      </c>
    </row>
    <row r="62" spans="1:13" x14ac:dyDescent="0.3">
      <c r="A62" s="8" t="s">
        <v>151</v>
      </c>
      <c r="B62" s="76">
        <f>SUM(C62:E62)</f>
        <v>65987</v>
      </c>
      <c r="C62" s="36">
        <v>2241</v>
      </c>
      <c r="D62" s="37">
        <v>63746</v>
      </c>
      <c r="E62" s="36" t="s">
        <v>180</v>
      </c>
      <c r="F62" s="79">
        <f>SUM(G62:I62)</f>
        <v>35726</v>
      </c>
      <c r="G62" s="36">
        <v>2154</v>
      </c>
      <c r="H62" s="37">
        <v>33572</v>
      </c>
      <c r="I62" s="36" t="s">
        <v>180</v>
      </c>
      <c r="J62" s="81">
        <f t="shared" si="24"/>
        <v>559</v>
      </c>
      <c r="K62" s="37">
        <v>471</v>
      </c>
      <c r="L62" s="38">
        <v>88</v>
      </c>
      <c r="M62" s="39" t="s">
        <v>65</v>
      </c>
    </row>
    <row r="63" spans="1:13" ht="27.15" customHeight="1" x14ac:dyDescent="0.3">
      <c r="A63" s="23" t="s">
        <v>66</v>
      </c>
      <c r="B63" s="75">
        <f>SUM(B64:B71)</f>
        <v>72247</v>
      </c>
      <c r="C63" s="65">
        <f>SUM(C64:C71)</f>
        <v>210</v>
      </c>
      <c r="D63" s="65">
        <f t="shared" ref="D63:K63" si="25">SUM(D64:D71)</f>
        <v>70807</v>
      </c>
      <c r="E63" s="65">
        <f t="shared" si="25"/>
        <v>1230</v>
      </c>
      <c r="F63" s="65">
        <f t="shared" si="25"/>
        <v>26253</v>
      </c>
      <c r="G63" s="65">
        <f t="shared" si="25"/>
        <v>101</v>
      </c>
      <c r="H63" s="65">
        <f t="shared" si="25"/>
        <v>25052</v>
      </c>
      <c r="I63" s="65">
        <f t="shared" si="25"/>
        <v>1100</v>
      </c>
      <c r="J63" s="65">
        <f t="shared" si="25"/>
        <v>6081</v>
      </c>
      <c r="K63" s="68">
        <f t="shared" si="25"/>
        <v>4684</v>
      </c>
      <c r="L63" s="69">
        <f t="shared" ref="L63" si="26">SUM(L64:L71)</f>
        <v>1397</v>
      </c>
      <c r="M63" s="10" t="s">
        <v>67</v>
      </c>
    </row>
    <row r="64" spans="1:13" x14ac:dyDescent="0.3">
      <c r="A64" s="11" t="s">
        <v>113</v>
      </c>
      <c r="B64" s="76">
        <f>SUM(C64:E64)</f>
        <v>0</v>
      </c>
      <c r="C64" s="36" t="s">
        <v>180</v>
      </c>
      <c r="D64" s="36" t="s">
        <v>180</v>
      </c>
      <c r="E64" s="36" t="s">
        <v>180</v>
      </c>
      <c r="F64" s="79">
        <f t="shared" ref="F64:F71" si="27">SUM(G64:I64)</f>
        <v>0</v>
      </c>
      <c r="G64" s="36" t="s">
        <v>180</v>
      </c>
      <c r="H64" s="37" t="s">
        <v>180</v>
      </c>
      <c r="I64" s="36" t="s">
        <v>180</v>
      </c>
      <c r="J64" s="81">
        <f t="shared" ref="J64:J71" si="28">SUM(K64:L64)</f>
        <v>0</v>
      </c>
      <c r="K64" s="37" t="s">
        <v>180</v>
      </c>
      <c r="L64" s="38" t="s">
        <v>180</v>
      </c>
      <c r="M64" s="39" t="s">
        <v>68</v>
      </c>
    </row>
    <row r="65" spans="1:13" x14ac:dyDescent="0.3">
      <c r="A65" s="11" t="s">
        <v>114</v>
      </c>
      <c r="B65" s="76">
        <f>SUM(C65:E65)</f>
        <v>27</v>
      </c>
      <c r="C65" s="36" t="s">
        <v>180</v>
      </c>
      <c r="D65" s="37">
        <v>27</v>
      </c>
      <c r="E65" s="36" t="s">
        <v>180</v>
      </c>
      <c r="F65" s="79">
        <f t="shared" si="27"/>
        <v>480</v>
      </c>
      <c r="G65" s="36" t="s">
        <v>180</v>
      </c>
      <c r="H65" s="37">
        <v>480</v>
      </c>
      <c r="I65" s="36" t="s">
        <v>180</v>
      </c>
      <c r="J65" s="81">
        <f t="shared" si="28"/>
        <v>0</v>
      </c>
      <c r="K65" s="37" t="s">
        <v>180</v>
      </c>
      <c r="L65" s="38" t="s">
        <v>180</v>
      </c>
      <c r="M65" s="39" t="s">
        <v>69</v>
      </c>
    </row>
    <row r="66" spans="1:13" x14ac:dyDescent="0.3">
      <c r="A66" s="11" t="s">
        <v>115</v>
      </c>
      <c r="B66" s="76">
        <f t="shared" ref="B66:B71" si="29">SUM(C66:E66)</f>
        <v>0</v>
      </c>
      <c r="C66" s="40" t="s">
        <v>180</v>
      </c>
      <c r="D66" s="37" t="s">
        <v>180</v>
      </c>
      <c r="E66" s="40" t="s">
        <v>180</v>
      </c>
      <c r="F66" s="79">
        <f t="shared" si="27"/>
        <v>0</v>
      </c>
      <c r="G66" s="40" t="s">
        <v>180</v>
      </c>
      <c r="H66" s="37" t="s">
        <v>180</v>
      </c>
      <c r="I66" s="40" t="s">
        <v>180</v>
      </c>
      <c r="J66" s="81">
        <f t="shared" si="28"/>
        <v>0</v>
      </c>
      <c r="K66" s="37" t="s">
        <v>180</v>
      </c>
      <c r="L66" s="41" t="s">
        <v>180</v>
      </c>
      <c r="M66" s="39" t="s">
        <v>70</v>
      </c>
    </row>
    <row r="67" spans="1:13" x14ac:dyDescent="0.3">
      <c r="A67" s="11" t="s">
        <v>116</v>
      </c>
      <c r="B67" s="76">
        <f t="shared" si="29"/>
        <v>0</v>
      </c>
      <c r="C67" s="40" t="s">
        <v>180</v>
      </c>
      <c r="D67" s="40" t="s">
        <v>180</v>
      </c>
      <c r="E67" s="40" t="s">
        <v>180</v>
      </c>
      <c r="F67" s="79">
        <f t="shared" si="27"/>
        <v>0</v>
      </c>
      <c r="G67" s="40" t="s">
        <v>180</v>
      </c>
      <c r="H67" s="37" t="s">
        <v>180</v>
      </c>
      <c r="I67" s="40" t="s">
        <v>180</v>
      </c>
      <c r="J67" s="81">
        <f t="shared" si="28"/>
        <v>0</v>
      </c>
      <c r="K67" s="37" t="s">
        <v>180</v>
      </c>
      <c r="L67" s="41" t="s">
        <v>180</v>
      </c>
      <c r="M67" s="39" t="s">
        <v>71</v>
      </c>
    </row>
    <row r="68" spans="1:13" x14ac:dyDescent="0.3">
      <c r="A68" s="11" t="s">
        <v>117</v>
      </c>
      <c r="B68" s="76">
        <f t="shared" si="29"/>
        <v>35921</v>
      </c>
      <c r="C68" s="36">
        <v>188</v>
      </c>
      <c r="D68" s="37">
        <v>35733</v>
      </c>
      <c r="E68" s="36" t="s">
        <v>180</v>
      </c>
      <c r="F68" s="79">
        <f t="shared" si="27"/>
        <v>8722</v>
      </c>
      <c r="G68" s="36">
        <v>81</v>
      </c>
      <c r="H68" s="37">
        <v>8641</v>
      </c>
      <c r="I68" s="36" t="s">
        <v>180</v>
      </c>
      <c r="J68" s="81">
        <f t="shared" si="28"/>
        <v>2431</v>
      </c>
      <c r="K68" s="37">
        <v>1835</v>
      </c>
      <c r="L68" s="38">
        <v>596</v>
      </c>
      <c r="M68" s="39" t="s">
        <v>72</v>
      </c>
    </row>
    <row r="69" spans="1:13" x14ac:dyDescent="0.3">
      <c r="A69" s="11" t="s">
        <v>118</v>
      </c>
      <c r="B69" s="76">
        <f t="shared" si="29"/>
        <v>30500</v>
      </c>
      <c r="C69" s="36">
        <v>22</v>
      </c>
      <c r="D69" s="37">
        <v>29248</v>
      </c>
      <c r="E69" s="36">
        <v>1230</v>
      </c>
      <c r="F69" s="79">
        <f t="shared" si="27"/>
        <v>12208</v>
      </c>
      <c r="G69" s="36">
        <v>10</v>
      </c>
      <c r="H69" s="37">
        <v>11098</v>
      </c>
      <c r="I69" s="36">
        <v>1100</v>
      </c>
      <c r="J69" s="81">
        <f t="shared" si="28"/>
        <v>3650</v>
      </c>
      <c r="K69" s="37">
        <v>2849</v>
      </c>
      <c r="L69" s="38">
        <v>801</v>
      </c>
      <c r="M69" s="39" t="s">
        <v>73</v>
      </c>
    </row>
    <row r="70" spans="1:13" x14ac:dyDescent="0.3">
      <c r="A70" s="11" t="s">
        <v>119</v>
      </c>
      <c r="B70" s="76">
        <f t="shared" si="29"/>
        <v>0</v>
      </c>
      <c r="C70" s="36" t="s">
        <v>180</v>
      </c>
      <c r="D70" s="36" t="s">
        <v>180</v>
      </c>
      <c r="E70" s="36" t="s">
        <v>180</v>
      </c>
      <c r="F70" s="79">
        <f t="shared" si="27"/>
        <v>0</v>
      </c>
      <c r="G70" s="36" t="s">
        <v>180</v>
      </c>
      <c r="H70" s="37" t="s">
        <v>180</v>
      </c>
      <c r="I70" s="36" t="s">
        <v>180</v>
      </c>
      <c r="J70" s="81">
        <f t="shared" si="28"/>
        <v>0</v>
      </c>
      <c r="K70" s="37" t="s">
        <v>180</v>
      </c>
      <c r="L70" s="38" t="s">
        <v>180</v>
      </c>
      <c r="M70" s="39" t="s">
        <v>74</v>
      </c>
    </row>
    <row r="71" spans="1:13" x14ac:dyDescent="0.3">
      <c r="A71" s="11" t="s">
        <v>120</v>
      </c>
      <c r="B71" s="76">
        <f t="shared" si="29"/>
        <v>5799</v>
      </c>
      <c r="C71" s="36" t="s">
        <v>180</v>
      </c>
      <c r="D71" s="37">
        <v>5799</v>
      </c>
      <c r="E71" s="36" t="s">
        <v>180</v>
      </c>
      <c r="F71" s="79">
        <f t="shared" si="27"/>
        <v>4843</v>
      </c>
      <c r="G71" s="36">
        <v>10</v>
      </c>
      <c r="H71" s="37">
        <v>4833</v>
      </c>
      <c r="I71" s="36" t="s">
        <v>180</v>
      </c>
      <c r="J71" s="81">
        <f t="shared" si="28"/>
        <v>0</v>
      </c>
      <c r="K71" s="37" t="s">
        <v>180</v>
      </c>
      <c r="L71" s="38" t="s">
        <v>180</v>
      </c>
      <c r="M71" s="39" t="s">
        <v>75</v>
      </c>
    </row>
    <row r="72" spans="1:13" ht="23.85" customHeight="1" x14ac:dyDescent="0.3">
      <c r="A72" s="23" t="s">
        <v>76</v>
      </c>
      <c r="B72" s="75">
        <f>SUM(B73:B77)</f>
        <v>457987</v>
      </c>
      <c r="C72" s="65">
        <f>SUM(C73:C77)</f>
        <v>2240</v>
      </c>
      <c r="D72" s="65">
        <f t="shared" ref="D72:K72" si="30">SUM(D73:D77)</f>
        <v>451795</v>
      </c>
      <c r="E72" s="65">
        <f t="shared" si="30"/>
        <v>3952</v>
      </c>
      <c r="F72" s="65">
        <f t="shared" si="30"/>
        <v>86970</v>
      </c>
      <c r="G72" s="65">
        <f t="shared" si="30"/>
        <v>4349</v>
      </c>
      <c r="H72" s="65">
        <f t="shared" si="30"/>
        <v>72674</v>
      </c>
      <c r="I72" s="65">
        <f t="shared" si="30"/>
        <v>9947</v>
      </c>
      <c r="J72" s="65">
        <f t="shared" si="30"/>
        <v>2401</v>
      </c>
      <c r="K72" s="68">
        <f t="shared" si="30"/>
        <v>1784</v>
      </c>
      <c r="L72" s="69">
        <f t="shared" ref="L72" si="31">SUM(L73:L77)</f>
        <v>617</v>
      </c>
      <c r="M72" s="10" t="s">
        <v>77</v>
      </c>
    </row>
    <row r="73" spans="1:13" x14ac:dyDescent="0.3">
      <c r="A73" s="8" t="s">
        <v>152</v>
      </c>
      <c r="B73" s="76">
        <f>SUM(C73:E73)</f>
        <v>373566</v>
      </c>
      <c r="C73" s="36">
        <v>808</v>
      </c>
      <c r="D73" s="37">
        <v>372758</v>
      </c>
      <c r="E73" s="36" t="s">
        <v>180</v>
      </c>
      <c r="F73" s="79">
        <f t="shared" ref="F73:F77" si="32">SUM(G73:I73)</f>
        <v>27896</v>
      </c>
      <c r="G73" s="36">
        <v>1347</v>
      </c>
      <c r="H73" s="37">
        <v>26549</v>
      </c>
      <c r="I73" s="36" t="s">
        <v>180</v>
      </c>
      <c r="J73" s="81">
        <f t="shared" ref="J73:J77" si="33">SUM(K73:L73)</f>
        <v>1042</v>
      </c>
      <c r="K73" s="37">
        <v>824</v>
      </c>
      <c r="L73" s="38">
        <v>218</v>
      </c>
      <c r="M73" s="39" t="s">
        <v>78</v>
      </c>
    </row>
    <row r="74" spans="1:13" x14ac:dyDescent="0.3">
      <c r="A74" s="8" t="s">
        <v>153</v>
      </c>
      <c r="B74" s="76">
        <f>SUM(C74:E74)</f>
        <v>4915</v>
      </c>
      <c r="C74" s="36">
        <v>1325</v>
      </c>
      <c r="D74" s="37">
        <v>3590</v>
      </c>
      <c r="E74" s="36" t="s">
        <v>180</v>
      </c>
      <c r="F74" s="79">
        <f t="shared" si="32"/>
        <v>16010</v>
      </c>
      <c r="G74" s="36">
        <v>2795</v>
      </c>
      <c r="H74" s="37">
        <v>13215</v>
      </c>
      <c r="I74" s="36" t="s">
        <v>180</v>
      </c>
      <c r="J74" s="81">
        <f t="shared" si="33"/>
        <v>750</v>
      </c>
      <c r="K74" s="37">
        <v>510</v>
      </c>
      <c r="L74" s="38">
        <v>240</v>
      </c>
      <c r="M74" s="39" t="s">
        <v>79</v>
      </c>
    </row>
    <row r="75" spans="1:13" x14ac:dyDescent="0.3">
      <c r="A75" s="8" t="s">
        <v>154</v>
      </c>
      <c r="B75" s="76">
        <f>SUM(C75:E75)</f>
        <v>69984</v>
      </c>
      <c r="C75" s="36" t="s">
        <v>180</v>
      </c>
      <c r="D75" s="37">
        <v>69984</v>
      </c>
      <c r="E75" s="36" t="s">
        <v>180</v>
      </c>
      <c r="F75" s="79">
        <f t="shared" si="32"/>
        <v>9185</v>
      </c>
      <c r="G75" s="36" t="s">
        <v>180</v>
      </c>
      <c r="H75" s="37">
        <v>9185</v>
      </c>
      <c r="I75" s="36" t="s">
        <v>180</v>
      </c>
      <c r="J75" s="81">
        <f t="shared" si="33"/>
        <v>181</v>
      </c>
      <c r="K75" s="37">
        <v>140</v>
      </c>
      <c r="L75" s="38">
        <v>41</v>
      </c>
      <c r="M75" s="39" t="s">
        <v>80</v>
      </c>
    </row>
    <row r="76" spans="1:13" x14ac:dyDescent="0.3">
      <c r="A76" s="8" t="s">
        <v>155</v>
      </c>
      <c r="B76" s="76">
        <f>SUM(C76:E76)</f>
        <v>1263</v>
      </c>
      <c r="C76" s="36">
        <v>92</v>
      </c>
      <c r="D76" s="37">
        <v>1171</v>
      </c>
      <c r="E76" s="36" t="s">
        <v>180</v>
      </c>
      <c r="F76" s="79">
        <f t="shared" si="32"/>
        <v>5889</v>
      </c>
      <c r="G76" s="36">
        <v>187</v>
      </c>
      <c r="H76" s="37">
        <v>5702</v>
      </c>
      <c r="I76" s="36" t="s">
        <v>180</v>
      </c>
      <c r="J76" s="81">
        <f t="shared" si="33"/>
        <v>142</v>
      </c>
      <c r="K76" s="37">
        <v>96</v>
      </c>
      <c r="L76" s="38">
        <v>46</v>
      </c>
      <c r="M76" s="39" t="s">
        <v>81</v>
      </c>
    </row>
    <row r="77" spans="1:13" x14ac:dyDescent="0.3">
      <c r="A77" s="8" t="s">
        <v>156</v>
      </c>
      <c r="B77" s="76">
        <f>SUM(C77:E77)</f>
        <v>8259</v>
      </c>
      <c r="C77" s="36">
        <v>15</v>
      </c>
      <c r="D77" s="37">
        <v>4292</v>
      </c>
      <c r="E77" s="36">
        <v>3952</v>
      </c>
      <c r="F77" s="79">
        <f t="shared" si="32"/>
        <v>27990</v>
      </c>
      <c r="G77" s="36">
        <v>20</v>
      </c>
      <c r="H77" s="37">
        <v>18023</v>
      </c>
      <c r="I77" s="36">
        <v>9947</v>
      </c>
      <c r="J77" s="81">
        <f t="shared" si="33"/>
        <v>286</v>
      </c>
      <c r="K77" s="37">
        <v>214</v>
      </c>
      <c r="L77" s="38">
        <v>72</v>
      </c>
      <c r="M77" s="39" t="s">
        <v>82</v>
      </c>
    </row>
    <row r="78" spans="1:13" ht="27.6" customHeight="1" x14ac:dyDescent="0.3">
      <c r="A78" s="23" t="s">
        <v>83</v>
      </c>
      <c r="B78" s="75">
        <f>SUM(B79:B91)</f>
        <v>166760</v>
      </c>
      <c r="C78" s="65">
        <f>SUM(C79:C91)</f>
        <v>23636</v>
      </c>
      <c r="D78" s="65">
        <f t="shared" ref="D78:K78" si="34">SUM(D79:D91)</f>
        <v>143124</v>
      </c>
      <c r="E78" s="65">
        <f t="shared" si="34"/>
        <v>0</v>
      </c>
      <c r="F78" s="65">
        <f t="shared" si="34"/>
        <v>171953</v>
      </c>
      <c r="G78" s="65">
        <f t="shared" si="34"/>
        <v>24430</v>
      </c>
      <c r="H78" s="65">
        <f t="shared" si="34"/>
        <v>147523</v>
      </c>
      <c r="I78" s="65">
        <f t="shared" si="34"/>
        <v>0</v>
      </c>
      <c r="J78" s="65">
        <f t="shared" si="34"/>
        <v>4015</v>
      </c>
      <c r="K78" s="68">
        <f t="shared" si="34"/>
        <v>2897</v>
      </c>
      <c r="L78" s="69">
        <f t="shared" ref="L78" si="35">SUM(L79:L91)</f>
        <v>1118</v>
      </c>
      <c r="M78" s="10" t="s">
        <v>84</v>
      </c>
    </row>
    <row r="79" spans="1:13" x14ac:dyDescent="0.3">
      <c r="A79" s="8" t="s">
        <v>157</v>
      </c>
      <c r="B79" s="76">
        <f>SUM(C79:E79)</f>
        <v>1055</v>
      </c>
      <c r="C79" s="36">
        <v>796</v>
      </c>
      <c r="D79" s="37">
        <v>259</v>
      </c>
      <c r="E79" s="36" t="s">
        <v>180</v>
      </c>
      <c r="F79" s="79">
        <f>SUM(G79:H79)</f>
        <v>891</v>
      </c>
      <c r="G79" s="36">
        <v>891</v>
      </c>
      <c r="H79" s="37" t="s">
        <v>180</v>
      </c>
      <c r="I79" s="36" t="s">
        <v>180</v>
      </c>
      <c r="J79" s="81">
        <f t="shared" ref="J79:J91" si="36">SUM(K79:L79)</f>
        <v>33</v>
      </c>
      <c r="K79" s="37">
        <v>14</v>
      </c>
      <c r="L79" s="38">
        <v>19</v>
      </c>
      <c r="M79" s="39" t="s">
        <v>85</v>
      </c>
    </row>
    <row r="80" spans="1:13" x14ac:dyDescent="0.3">
      <c r="A80" s="8" t="s">
        <v>158</v>
      </c>
      <c r="B80" s="76">
        <f t="shared" ref="B80:B91" si="37">SUM(C80:E80)</f>
        <v>27057</v>
      </c>
      <c r="C80" s="36">
        <v>538</v>
      </c>
      <c r="D80" s="37">
        <v>26519</v>
      </c>
      <c r="E80" s="36" t="s">
        <v>180</v>
      </c>
      <c r="F80" s="79">
        <f>SUM(G80:H80)</f>
        <v>11749</v>
      </c>
      <c r="G80" s="36">
        <v>629</v>
      </c>
      <c r="H80" s="37">
        <v>11120</v>
      </c>
      <c r="I80" s="36" t="s">
        <v>180</v>
      </c>
      <c r="J80" s="81">
        <f t="shared" si="36"/>
        <v>342</v>
      </c>
      <c r="K80" s="37">
        <v>215</v>
      </c>
      <c r="L80" s="38">
        <v>127</v>
      </c>
      <c r="M80" s="39" t="s">
        <v>86</v>
      </c>
    </row>
    <row r="81" spans="1:13" x14ac:dyDescent="0.3">
      <c r="A81" s="8" t="s">
        <v>159</v>
      </c>
      <c r="B81" s="76">
        <f t="shared" si="37"/>
        <v>1392</v>
      </c>
      <c r="C81" s="36">
        <v>310</v>
      </c>
      <c r="D81" s="37">
        <v>1082</v>
      </c>
      <c r="E81" s="36" t="s">
        <v>180</v>
      </c>
      <c r="F81" s="79">
        <f>SUM(G81:H81)</f>
        <v>5278</v>
      </c>
      <c r="G81" s="36">
        <v>1284</v>
      </c>
      <c r="H81" s="37">
        <v>3994</v>
      </c>
      <c r="I81" s="36" t="s">
        <v>180</v>
      </c>
      <c r="J81" s="81">
        <f t="shared" si="36"/>
        <v>772</v>
      </c>
      <c r="K81" s="37">
        <v>685</v>
      </c>
      <c r="L81" s="38">
        <v>87</v>
      </c>
      <c r="M81" s="39" t="s">
        <v>87</v>
      </c>
    </row>
    <row r="82" spans="1:13" x14ac:dyDescent="0.3">
      <c r="A82" s="8" t="s">
        <v>160</v>
      </c>
      <c r="B82" s="76">
        <f t="shared" si="37"/>
        <v>9456</v>
      </c>
      <c r="C82" s="36">
        <v>2200</v>
      </c>
      <c r="D82" s="37">
        <v>7256</v>
      </c>
      <c r="E82" s="36" t="s">
        <v>180</v>
      </c>
      <c r="F82" s="79">
        <f>SUM(G82:I82)</f>
        <v>25631</v>
      </c>
      <c r="G82" s="36">
        <v>4900</v>
      </c>
      <c r="H82" s="37">
        <v>20731</v>
      </c>
      <c r="I82" s="36" t="s">
        <v>180</v>
      </c>
      <c r="J82" s="81">
        <f t="shared" si="36"/>
        <v>338</v>
      </c>
      <c r="K82" s="37">
        <v>315</v>
      </c>
      <c r="L82" s="38">
        <v>23</v>
      </c>
      <c r="M82" s="39" t="s">
        <v>88</v>
      </c>
    </row>
    <row r="83" spans="1:13" x14ac:dyDescent="0.3">
      <c r="A83" s="8" t="s">
        <v>161</v>
      </c>
      <c r="B83" s="76">
        <f t="shared" si="37"/>
        <v>9198</v>
      </c>
      <c r="C83" s="40" t="s">
        <v>180</v>
      </c>
      <c r="D83" s="37">
        <v>9198</v>
      </c>
      <c r="E83" s="40" t="s">
        <v>180</v>
      </c>
      <c r="F83" s="79">
        <f t="shared" ref="F83:F91" si="38">SUM(G83:H83)</f>
        <v>6299</v>
      </c>
      <c r="G83" s="40" t="s">
        <v>180</v>
      </c>
      <c r="H83" s="37">
        <v>6299</v>
      </c>
      <c r="I83" s="40" t="s">
        <v>180</v>
      </c>
      <c r="J83" s="81">
        <f t="shared" si="36"/>
        <v>0</v>
      </c>
      <c r="K83" s="37" t="s">
        <v>180</v>
      </c>
      <c r="L83" s="41" t="s">
        <v>180</v>
      </c>
      <c r="M83" s="39" t="s">
        <v>89</v>
      </c>
    </row>
    <row r="84" spans="1:13" x14ac:dyDescent="0.3">
      <c r="A84" s="8" t="s">
        <v>162</v>
      </c>
      <c r="B84" s="76">
        <f t="shared" si="37"/>
        <v>10661</v>
      </c>
      <c r="C84" s="36">
        <v>9279</v>
      </c>
      <c r="D84" s="37">
        <v>1382</v>
      </c>
      <c r="E84" s="36" t="s">
        <v>180</v>
      </c>
      <c r="F84" s="79">
        <f t="shared" si="38"/>
        <v>7577</v>
      </c>
      <c r="G84" s="36">
        <v>7577</v>
      </c>
      <c r="H84" s="37" t="s">
        <v>180</v>
      </c>
      <c r="I84" s="36" t="s">
        <v>180</v>
      </c>
      <c r="J84" s="81">
        <f t="shared" si="36"/>
        <v>278</v>
      </c>
      <c r="K84" s="37">
        <v>61</v>
      </c>
      <c r="L84" s="38">
        <v>217</v>
      </c>
      <c r="M84" s="39" t="s">
        <v>90</v>
      </c>
    </row>
    <row r="85" spans="1:13" x14ac:dyDescent="0.3">
      <c r="A85" s="8" t="s">
        <v>163</v>
      </c>
      <c r="B85" s="76">
        <f t="shared" si="37"/>
        <v>11890</v>
      </c>
      <c r="C85" s="36">
        <v>1290</v>
      </c>
      <c r="D85" s="37">
        <v>10600</v>
      </c>
      <c r="E85" s="36" t="s">
        <v>180</v>
      </c>
      <c r="F85" s="79">
        <f t="shared" si="38"/>
        <v>12392</v>
      </c>
      <c r="G85" s="36">
        <v>1480</v>
      </c>
      <c r="H85" s="37">
        <v>10912</v>
      </c>
      <c r="I85" s="36" t="s">
        <v>180</v>
      </c>
      <c r="J85" s="81">
        <f t="shared" si="36"/>
        <v>403</v>
      </c>
      <c r="K85" s="37">
        <v>300</v>
      </c>
      <c r="L85" s="38">
        <v>103</v>
      </c>
      <c r="M85" s="39" t="s">
        <v>91</v>
      </c>
    </row>
    <row r="86" spans="1:13" x14ac:dyDescent="0.3">
      <c r="A86" s="8" t="s">
        <v>164</v>
      </c>
      <c r="B86" s="76">
        <f t="shared" si="37"/>
        <v>5733</v>
      </c>
      <c r="C86" s="36">
        <v>543</v>
      </c>
      <c r="D86" s="37">
        <v>5190</v>
      </c>
      <c r="E86" s="36" t="s">
        <v>180</v>
      </c>
      <c r="F86" s="79">
        <f t="shared" si="38"/>
        <v>8969</v>
      </c>
      <c r="G86" s="36">
        <v>701</v>
      </c>
      <c r="H86" s="37">
        <v>8268</v>
      </c>
      <c r="I86" s="36" t="s">
        <v>180</v>
      </c>
      <c r="J86" s="81">
        <f t="shared" si="36"/>
        <v>157</v>
      </c>
      <c r="K86" s="37">
        <v>112</v>
      </c>
      <c r="L86" s="38">
        <v>45</v>
      </c>
      <c r="M86" s="39" t="s">
        <v>92</v>
      </c>
    </row>
    <row r="87" spans="1:13" x14ac:dyDescent="0.3">
      <c r="A87" s="8" t="s">
        <v>165</v>
      </c>
      <c r="B87" s="76">
        <f t="shared" si="37"/>
        <v>2211</v>
      </c>
      <c r="C87" s="36">
        <v>1544</v>
      </c>
      <c r="D87" s="37">
        <v>667</v>
      </c>
      <c r="E87" s="36" t="s">
        <v>180</v>
      </c>
      <c r="F87" s="79">
        <f t="shared" si="38"/>
        <v>723</v>
      </c>
      <c r="G87" s="36">
        <v>723</v>
      </c>
      <c r="H87" s="37" t="s">
        <v>180</v>
      </c>
      <c r="I87" s="36" t="s">
        <v>180</v>
      </c>
      <c r="J87" s="81">
        <f t="shared" si="36"/>
        <v>7</v>
      </c>
      <c r="K87" s="37">
        <v>3</v>
      </c>
      <c r="L87" s="38">
        <v>4</v>
      </c>
      <c r="M87" s="39" t="s">
        <v>93</v>
      </c>
    </row>
    <row r="88" spans="1:13" x14ac:dyDescent="0.3">
      <c r="A88" s="8" t="s">
        <v>166</v>
      </c>
      <c r="B88" s="76">
        <f t="shared" si="37"/>
        <v>59070</v>
      </c>
      <c r="C88" s="36">
        <v>850</v>
      </c>
      <c r="D88" s="37">
        <v>58220</v>
      </c>
      <c r="E88" s="36" t="s">
        <v>180</v>
      </c>
      <c r="F88" s="79">
        <f t="shared" si="38"/>
        <v>52514</v>
      </c>
      <c r="G88" s="36">
        <v>1425</v>
      </c>
      <c r="H88" s="37">
        <v>51089</v>
      </c>
      <c r="I88" s="36" t="s">
        <v>180</v>
      </c>
      <c r="J88" s="81">
        <f t="shared" si="36"/>
        <v>568</v>
      </c>
      <c r="K88" s="37">
        <v>383</v>
      </c>
      <c r="L88" s="38">
        <v>185</v>
      </c>
      <c r="M88" s="39" t="s">
        <v>94</v>
      </c>
    </row>
    <row r="89" spans="1:13" x14ac:dyDescent="0.3">
      <c r="A89" s="8" t="s">
        <v>167</v>
      </c>
      <c r="B89" s="76">
        <f t="shared" si="37"/>
        <v>2365</v>
      </c>
      <c r="C89" s="36">
        <v>296</v>
      </c>
      <c r="D89" s="37">
        <v>2069</v>
      </c>
      <c r="E89" s="36" t="s">
        <v>180</v>
      </c>
      <c r="F89" s="79">
        <f t="shared" si="38"/>
        <v>2521</v>
      </c>
      <c r="G89" s="36">
        <v>551</v>
      </c>
      <c r="H89" s="37">
        <v>1970</v>
      </c>
      <c r="I89" s="36" t="s">
        <v>180</v>
      </c>
      <c r="J89" s="81">
        <f t="shared" si="36"/>
        <v>347</v>
      </c>
      <c r="K89" s="37">
        <v>316</v>
      </c>
      <c r="L89" s="38">
        <v>31</v>
      </c>
      <c r="M89" s="39" t="s">
        <v>95</v>
      </c>
    </row>
    <row r="90" spans="1:13" x14ac:dyDescent="0.3">
      <c r="A90" s="8" t="s">
        <v>168</v>
      </c>
      <c r="B90" s="76">
        <f t="shared" si="37"/>
        <v>18857</v>
      </c>
      <c r="C90" s="36" t="s">
        <v>180</v>
      </c>
      <c r="D90" s="37">
        <v>18857</v>
      </c>
      <c r="E90" s="36" t="s">
        <v>180</v>
      </c>
      <c r="F90" s="79">
        <f t="shared" si="38"/>
        <v>33140</v>
      </c>
      <c r="G90" s="36" t="s">
        <v>180</v>
      </c>
      <c r="H90" s="37">
        <v>33140</v>
      </c>
      <c r="I90" s="36" t="s">
        <v>180</v>
      </c>
      <c r="J90" s="81">
        <f t="shared" si="36"/>
        <v>712</v>
      </c>
      <c r="K90" s="37">
        <v>463</v>
      </c>
      <c r="L90" s="38">
        <v>249</v>
      </c>
      <c r="M90" s="39" t="s">
        <v>96</v>
      </c>
    </row>
    <row r="91" spans="1:13" x14ac:dyDescent="0.3">
      <c r="A91" s="8" t="s">
        <v>169</v>
      </c>
      <c r="B91" s="76">
        <f t="shared" si="37"/>
        <v>7815</v>
      </c>
      <c r="C91" s="40">
        <v>5990</v>
      </c>
      <c r="D91" s="37">
        <v>1825</v>
      </c>
      <c r="E91" s="40" t="s">
        <v>180</v>
      </c>
      <c r="F91" s="79">
        <f t="shared" si="38"/>
        <v>4269</v>
      </c>
      <c r="G91" s="40">
        <v>4269</v>
      </c>
      <c r="H91" s="37" t="s">
        <v>180</v>
      </c>
      <c r="I91" s="40" t="s">
        <v>180</v>
      </c>
      <c r="J91" s="81">
        <f t="shared" si="36"/>
        <v>58</v>
      </c>
      <c r="K91" s="37">
        <v>30</v>
      </c>
      <c r="L91" s="41">
        <v>28</v>
      </c>
      <c r="M91" s="39" t="s">
        <v>97</v>
      </c>
    </row>
    <row r="92" spans="1:13" ht="27.15" customHeight="1" x14ac:dyDescent="0.3">
      <c r="A92" s="23" t="s">
        <v>98</v>
      </c>
      <c r="B92" s="75">
        <f>SUM(B93:B96)</f>
        <v>2703751</v>
      </c>
      <c r="C92" s="65">
        <f>SUM(C93:C96)</f>
        <v>21886</v>
      </c>
      <c r="D92" s="65">
        <f t="shared" ref="D92:K92" si="39">SUM(D93:D96)</f>
        <v>2602617</v>
      </c>
      <c r="E92" s="65">
        <f t="shared" si="39"/>
        <v>79248</v>
      </c>
      <c r="F92" s="65">
        <f t="shared" si="39"/>
        <v>753665</v>
      </c>
      <c r="G92" s="65">
        <f t="shared" si="39"/>
        <v>19767</v>
      </c>
      <c r="H92" s="65">
        <f t="shared" si="39"/>
        <v>695144</v>
      </c>
      <c r="I92" s="65">
        <f t="shared" si="39"/>
        <v>38754</v>
      </c>
      <c r="J92" s="65">
        <f t="shared" si="39"/>
        <v>39882</v>
      </c>
      <c r="K92" s="68">
        <f t="shared" si="39"/>
        <v>29122</v>
      </c>
      <c r="L92" s="69">
        <f t="shared" ref="L92" si="40">SUM(L93:L96)</f>
        <v>10760</v>
      </c>
      <c r="M92" s="10" t="s">
        <v>99</v>
      </c>
    </row>
    <row r="93" spans="1:13" x14ac:dyDescent="0.3">
      <c r="A93" s="8" t="s">
        <v>170</v>
      </c>
      <c r="B93" s="76">
        <f>SUM(C93:E93)</f>
        <v>757664</v>
      </c>
      <c r="C93" s="36">
        <v>11477</v>
      </c>
      <c r="D93" s="37">
        <v>746187</v>
      </c>
      <c r="E93" s="36" t="s">
        <v>180</v>
      </c>
      <c r="F93" s="79">
        <f>SUM(G93:I93)</f>
        <v>244366</v>
      </c>
      <c r="G93" s="36">
        <v>11019</v>
      </c>
      <c r="H93" s="37">
        <v>233347</v>
      </c>
      <c r="I93" s="36" t="s">
        <v>180</v>
      </c>
      <c r="J93" s="81">
        <f t="shared" ref="J93:J96" si="41">SUM(K93:L93)</f>
        <v>7875</v>
      </c>
      <c r="K93" s="37">
        <v>4089</v>
      </c>
      <c r="L93" s="38">
        <v>3786</v>
      </c>
      <c r="M93" s="39" t="s">
        <v>100</v>
      </c>
    </row>
    <row r="94" spans="1:13" x14ac:dyDescent="0.3">
      <c r="A94" s="8" t="s">
        <v>171</v>
      </c>
      <c r="B94" s="76">
        <f>SUM(C94:E94)</f>
        <v>202495</v>
      </c>
      <c r="C94" s="36">
        <v>2653</v>
      </c>
      <c r="D94" s="37">
        <v>180589</v>
      </c>
      <c r="E94" s="36">
        <v>19253</v>
      </c>
      <c r="F94" s="79">
        <f>SUM(G94:I94)</f>
        <v>74039</v>
      </c>
      <c r="G94" s="36">
        <v>2229</v>
      </c>
      <c r="H94" s="37">
        <v>62023</v>
      </c>
      <c r="I94" s="36">
        <v>9787</v>
      </c>
      <c r="J94" s="81">
        <f t="shared" si="41"/>
        <v>114</v>
      </c>
      <c r="K94" s="37">
        <v>81</v>
      </c>
      <c r="L94" s="38">
        <v>33</v>
      </c>
      <c r="M94" s="39" t="s">
        <v>101</v>
      </c>
    </row>
    <row r="95" spans="1:13" x14ac:dyDescent="0.3">
      <c r="A95" s="8" t="s">
        <v>172</v>
      </c>
      <c r="B95" s="76">
        <f>SUM(C95:E95)</f>
        <v>1044481</v>
      </c>
      <c r="C95" s="36">
        <v>6105</v>
      </c>
      <c r="D95" s="37">
        <v>978381</v>
      </c>
      <c r="E95" s="36">
        <v>59995</v>
      </c>
      <c r="F95" s="79">
        <f>SUM(G95:I95)</f>
        <v>234304</v>
      </c>
      <c r="G95" s="36">
        <v>4913</v>
      </c>
      <c r="H95" s="37">
        <v>200424</v>
      </c>
      <c r="I95" s="36">
        <v>28967</v>
      </c>
      <c r="J95" s="81">
        <f t="shared" si="41"/>
        <v>30177</v>
      </c>
      <c r="K95" s="37">
        <v>23779</v>
      </c>
      <c r="L95" s="38">
        <v>6398</v>
      </c>
      <c r="M95" s="39" t="s">
        <v>102</v>
      </c>
    </row>
    <row r="96" spans="1:13" ht="15" thickBot="1" x14ac:dyDescent="0.35">
      <c r="A96" s="12" t="s">
        <v>173</v>
      </c>
      <c r="B96" s="78">
        <f>SUM(C96:E96)</f>
        <v>699111</v>
      </c>
      <c r="C96" s="43">
        <v>1651</v>
      </c>
      <c r="D96" s="44">
        <v>697460</v>
      </c>
      <c r="E96" s="43" t="s">
        <v>180</v>
      </c>
      <c r="F96" s="80">
        <f>SUM(G96:I96)</f>
        <v>200956</v>
      </c>
      <c r="G96" s="43">
        <v>1606</v>
      </c>
      <c r="H96" s="44">
        <v>199350</v>
      </c>
      <c r="I96" s="43" t="s">
        <v>180</v>
      </c>
      <c r="J96" s="82">
        <f t="shared" si="41"/>
        <v>1716</v>
      </c>
      <c r="K96" s="44">
        <v>1173</v>
      </c>
      <c r="L96" s="45">
        <v>543</v>
      </c>
      <c r="M96" s="46" t="s">
        <v>103</v>
      </c>
    </row>
    <row r="97" spans="1:13" x14ac:dyDescent="0.3">
      <c r="A97" s="13"/>
      <c r="L97" s="4"/>
    </row>
    <row r="98" spans="1:13" x14ac:dyDescent="0.3">
      <c r="A98" s="14"/>
      <c r="L98" s="15"/>
      <c r="M98" s="14"/>
    </row>
    <row r="99" spans="1:13" ht="10.199999999999999" customHeight="1" x14ac:dyDescent="0.3">
      <c r="A99" s="16"/>
      <c r="B99" s="17"/>
      <c r="C99" s="17"/>
      <c r="D99" s="17"/>
      <c r="E99" s="17"/>
      <c r="M99" s="17"/>
    </row>
    <row r="100" spans="1:13" ht="10.199999999999999" customHeight="1" x14ac:dyDescent="0.3">
      <c r="A100" s="16"/>
      <c r="B100" s="17"/>
      <c r="C100" s="17"/>
      <c r="D100" s="17"/>
      <c r="E100" s="17"/>
      <c r="M100" s="17"/>
    </row>
    <row r="101" spans="1:13" ht="10.199999999999999" customHeight="1" x14ac:dyDescent="0.3">
      <c r="A101" s="24"/>
      <c r="B101" s="24"/>
      <c r="C101" s="24"/>
      <c r="D101" s="24"/>
      <c r="E101" s="24"/>
      <c r="M101" s="24"/>
    </row>
    <row r="102" spans="1:13" x14ac:dyDescent="0.3">
      <c r="A102" s="24"/>
      <c r="B102" s="24"/>
      <c r="C102" s="24"/>
      <c r="D102" s="24"/>
      <c r="E102" s="24"/>
      <c r="M102" s="24"/>
    </row>
    <row r="111" spans="1:13" x14ac:dyDescent="0.3">
      <c r="A111" s="18"/>
    </row>
    <row r="112" spans="1:13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  <c r="L112" s="4"/>
    </row>
    <row r="113" spans="1:12" x14ac:dyDescent="0.3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  <c r="L113" s="4"/>
    </row>
    <row r="114" spans="1:12" x14ac:dyDescent="0.3">
      <c r="A114" s="3"/>
      <c r="B114" s="3"/>
      <c r="C114" s="3"/>
      <c r="D114" s="3"/>
      <c r="E114" s="3"/>
      <c r="F114" s="3"/>
      <c r="G114" s="4"/>
      <c r="H114" s="4"/>
      <c r="I114" s="4"/>
      <c r="J114" s="4"/>
      <c r="K114" s="4"/>
      <c r="L114" s="4"/>
    </row>
    <row r="115" spans="1:12" x14ac:dyDescent="0.3">
      <c r="A115" s="18"/>
      <c r="F115" s="7"/>
      <c r="G115" s="7"/>
      <c r="H115" s="7"/>
      <c r="I115" s="7"/>
      <c r="J115" s="7"/>
      <c r="K115" s="7"/>
      <c r="L115" s="7"/>
    </row>
    <row r="116" spans="1:12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3">
      <c r="A119" s="25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x14ac:dyDescent="0.3">
      <c r="A120" s="20"/>
    </row>
    <row r="121" spans="1:12" x14ac:dyDescent="0.3">
      <c r="A121" s="21"/>
    </row>
    <row r="122" spans="1:12" x14ac:dyDescent="0.3">
      <c r="A122" s="2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">
      <c r="A123" s="2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">
      <c r="A124" s="2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">
      <c r="A125" s="21"/>
      <c r="F125" s="7"/>
      <c r="G125" s="7"/>
    </row>
    <row r="126" spans="1:12" x14ac:dyDescent="0.3">
      <c r="A126" s="21"/>
      <c r="F126" s="7"/>
      <c r="G126" s="7"/>
    </row>
    <row r="127" spans="1:12" x14ac:dyDescent="0.3">
      <c r="A127" s="21"/>
      <c r="F127" s="7"/>
      <c r="G127" s="7"/>
    </row>
    <row r="128" spans="1:12" x14ac:dyDescent="0.3">
      <c r="A128" s="21"/>
      <c r="F128" s="7"/>
      <c r="G128" s="7"/>
    </row>
    <row r="129" spans="1:7" x14ac:dyDescent="0.3">
      <c r="A129" s="21"/>
      <c r="F129" s="7"/>
      <c r="G129" s="7"/>
    </row>
    <row r="130" spans="1:7" x14ac:dyDescent="0.3">
      <c r="A130" s="21"/>
      <c r="F130" s="7"/>
      <c r="G130" s="7"/>
    </row>
    <row r="131" spans="1:7" x14ac:dyDescent="0.3">
      <c r="A131" s="26"/>
    </row>
    <row r="132" spans="1:7" x14ac:dyDescent="0.3">
      <c r="A132" s="26"/>
    </row>
    <row r="133" spans="1:7" x14ac:dyDescent="0.3">
      <c r="A133" s="21"/>
      <c r="F133" s="7"/>
      <c r="G133" s="7"/>
    </row>
    <row r="134" spans="1:7" x14ac:dyDescent="0.3">
      <c r="A134" s="21"/>
      <c r="F134" s="7"/>
      <c r="G134" s="7"/>
    </row>
    <row r="135" spans="1:7" x14ac:dyDescent="0.3">
      <c r="A135" s="21"/>
      <c r="F135" s="7"/>
      <c r="G135" s="7"/>
    </row>
    <row r="136" spans="1:7" x14ac:dyDescent="0.3">
      <c r="A136" s="21"/>
      <c r="F136" s="7"/>
      <c r="G136" s="7"/>
    </row>
    <row r="137" spans="1:7" x14ac:dyDescent="0.3">
      <c r="A137" s="21"/>
      <c r="F137" s="7"/>
      <c r="G137" s="7"/>
    </row>
    <row r="138" spans="1:7" x14ac:dyDescent="0.3">
      <c r="A138" s="21"/>
      <c r="F138" s="7"/>
      <c r="G138" s="7"/>
    </row>
    <row r="139" spans="1:7" x14ac:dyDescent="0.3">
      <c r="A139" s="21"/>
      <c r="F139" s="7"/>
      <c r="G139" s="7"/>
    </row>
    <row r="140" spans="1:7" x14ac:dyDescent="0.3">
      <c r="A140" s="21"/>
      <c r="F140" s="7"/>
      <c r="G140" s="7"/>
    </row>
    <row r="141" spans="1:7" x14ac:dyDescent="0.3">
      <c r="A141" s="21"/>
      <c r="F141" s="7"/>
      <c r="G141" s="7"/>
    </row>
    <row r="142" spans="1:7" x14ac:dyDescent="0.3">
      <c r="A142" s="21"/>
      <c r="F142" s="7"/>
      <c r="G142" s="7"/>
    </row>
    <row r="143" spans="1:7" x14ac:dyDescent="0.3">
      <c r="A143" s="21"/>
      <c r="F143" s="7"/>
      <c r="G143" s="7"/>
    </row>
    <row r="144" spans="1:7" x14ac:dyDescent="0.3">
      <c r="A144" s="27"/>
    </row>
    <row r="145" spans="1:7" x14ac:dyDescent="0.3">
      <c r="A145" s="27"/>
    </row>
    <row r="146" spans="1:7" x14ac:dyDescent="0.3">
      <c r="A146" s="21"/>
      <c r="F146" s="7"/>
      <c r="G146" s="7"/>
    </row>
    <row r="147" spans="1:7" x14ac:dyDescent="0.3">
      <c r="A147" s="21"/>
      <c r="F147" s="7"/>
      <c r="G147" s="7"/>
    </row>
    <row r="148" spans="1:7" x14ac:dyDescent="0.3">
      <c r="A148" s="21"/>
      <c r="F148" s="7"/>
      <c r="G148" s="7"/>
    </row>
    <row r="149" spans="1:7" x14ac:dyDescent="0.3">
      <c r="A149" s="21"/>
      <c r="F149" s="7"/>
      <c r="G149" s="7"/>
    </row>
    <row r="150" spans="1:7" x14ac:dyDescent="0.3">
      <c r="A150" s="27"/>
    </row>
    <row r="151" spans="1:7" x14ac:dyDescent="0.3">
      <c r="A151" s="27"/>
    </row>
    <row r="152" spans="1:7" x14ac:dyDescent="0.3">
      <c r="A152" s="21"/>
      <c r="F152" s="7"/>
      <c r="G152" s="7"/>
    </row>
    <row r="153" spans="1:7" x14ac:dyDescent="0.3">
      <c r="A153" s="21"/>
      <c r="F153" s="7"/>
      <c r="G153" s="7"/>
    </row>
    <row r="154" spans="1:7" x14ac:dyDescent="0.3">
      <c r="A154" s="21"/>
      <c r="F154" s="7"/>
      <c r="G154" s="7"/>
    </row>
    <row r="155" spans="1:7" x14ac:dyDescent="0.3">
      <c r="A155" s="21"/>
      <c r="F155" s="7"/>
      <c r="G155" s="7"/>
    </row>
    <row r="156" spans="1:7" x14ac:dyDescent="0.3">
      <c r="A156" s="21"/>
      <c r="F156" s="7"/>
      <c r="G156" s="7"/>
    </row>
    <row r="157" spans="1:7" x14ac:dyDescent="0.3">
      <c r="A157" s="27"/>
    </row>
    <row r="158" spans="1:7" x14ac:dyDescent="0.3">
      <c r="A158" s="27"/>
    </row>
    <row r="159" spans="1:7" x14ac:dyDescent="0.3">
      <c r="A159" s="21"/>
      <c r="F159" s="7"/>
      <c r="G159" s="7"/>
    </row>
    <row r="160" spans="1:7" x14ac:dyDescent="0.3">
      <c r="A160" s="21"/>
      <c r="F160" s="7"/>
      <c r="G160" s="7"/>
    </row>
    <row r="161" spans="1:7" x14ac:dyDescent="0.3">
      <c r="A161" s="21"/>
      <c r="F161" s="7"/>
      <c r="G161" s="7"/>
    </row>
    <row r="162" spans="1:7" x14ac:dyDescent="0.3">
      <c r="A162" s="21"/>
      <c r="F162" s="7"/>
      <c r="G162" s="7"/>
    </row>
    <row r="163" spans="1:7" x14ac:dyDescent="0.3">
      <c r="A163" s="21"/>
      <c r="F163" s="7"/>
      <c r="G163" s="7"/>
    </row>
    <row r="164" spans="1:7" x14ac:dyDescent="0.3">
      <c r="A164" s="27"/>
    </row>
    <row r="165" spans="1:7" x14ac:dyDescent="0.3">
      <c r="A165" s="27"/>
    </row>
    <row r="166" spans="1:7" x14ac:dyDescent="0.3">
      <c r="A166" s="21"/>
      <c r="F166" s="7"/>
      <c r="G166" s="7"/>
    </row>
    <row r="167" spans="1:7" x14ac:dyDescent="0.3">
      <c r="A167" s="21"/>
      <c r="F167" s="7"/>
      <c r="G167" s="7"/>
    </row>
    <row r="168" spans="1:7" x14ac:dyDescent="0.3">
      <c r="A168" s="21"/>
      <c r="F168" s="7"/>
      <c r="G168" s="7"/>
    </row>
    <row r="169" spans="1:7" x14ac:dyDescent="0.3">
      <c r="A169" s="21"/>
      <c r="F169" s="7"/>
      <c r="G169" s="7"/>
    </row>
    <row r="170" spans="1:7" x14ac:dyDescent="0.3">
      <c r="A170" s="21"/>
      <c r="F170" s="7"/>
      <c r="G170" s="7"/>
    </row>
    <row r="171" spans="1:7" x14ac:dyDescent="0.3">
      <c r="A171" s="27"/>
    </row>
    <row r="172" spans="1:7" x14ac:dyDescent="0.3">
      <c r="A172" s="27"/>
    </row>
    <row r="173" spans="1:7" x14ac:dyDescent="0.3">
      <c r="A173" s="21"/>
      <c r="F173" s="7"/>
      <c r="G173" s="7"/>
    </row>
    <row r="174" spans="1:7" x14ac:dyDescent="0.3">
      <c r="A174" s="21"/>
      <c r="F174" s="7"/>
      <c r="G174" s="7"/>
    </row>
    <row r="175" spans="1:7" x14ac:dyDescent="0.3">
      <c r="A175" s="21"/>
      <c r="F175" s="7"/>
      <c r="G175" s="7"/>
    </row>
    <row r="176" spans="1:7" x14ac:dyDescent="0.3">
      <c r="A176" s="27"/>
    </row>
    <row r="177" spans="1:7" x14ac:dyDescent="0.3">
      <c r="A177" s="27"/>
    </row>
    <row r="178" spans="1:7" x14ac:dyDescent="0.3">
      <c r="A178" s="21"/>
      <c r="F178" s="7"/>
      <c r="G178" s="7"/>
    </row>
    <row r="179" spans="1:7" x14ac:dyDescent="0.3">
      <c r="A179" s="21"/>
      <c r="F179" s="7"/>
      <c r="G179" s="7"/>
    </row>
    <row r="180" spans="1:7" x14ac:dyDescent="0.3">
      <c r="A180" s="21"/>
      <c r="F180" s="7"/>
      <c r="G180" s="7"/>
    </row>
    <row r="181" spans="1:7" x14ac:dyDescent="0.3">
      <c r="A181" s="21"/>
      <c r="F181" s="7"/>
      <c r="G181" s="7"/>
    </row>
    <row r="182" spans="1:7" x14ac:dyDescent="0.3">
      <c r="A182" s="21"/>
      <c r="F182" s="7"/>
      <c r="G182" s="7"/>
    </row>
    <row r="183" spans="1:7" x14ac:dyDescent="0.3">
      <c r="A183" s="27"/>
    </row>
    <row r="184" spans="1:7" x14ac:dyDescent="0.3">
      <c r="A184" s="27"/>
    </row>
    <row r="185" spans="1:7" x14ac:dyDescent="0.3">
      <c r="A185" s="21"/>
      <c r="F185" s="7"/>
      <c r="G185" s="7"/>
    </row>
    <row r="186" spans="1:7" x14ac:dyDescent="0.3">
      <c r="A186" s="21"/>
      <c r="F186" s="7"/>
      <c r="G186" s="7"/>
    </row>
    <row r="187" spans="1:7" x14ac:dyDescent="0.3">
      <c r="A187" s="21"/>
      <c r="F187" s="7"/>
      <c r="G187" s="7"/>
    </row>
    <row r="188" spans="1:7" x14ac:dyDescent="0.3">
      <c r="A188" s="21"/>
      <c r="F188" s="7"/>
      <c r="G188" s="7"/>
    </row>
    <row r="189" spans="1:7" x14ac:dyDescent="0.3">
      <c r="A189" s="21"/>
      <c r="F189" s="7"/>
      <c r="G189" s="7"/>
    </row>
    <row r="190" spans="1:7" x14ac:dyDescent="0.3">
      <c r="A190" s="21"/>
      <c r="F190" s="7"/>
      <c r="G190" s="7"/>
    </row>
    <row r="191" spans="1:7" x14ac:dyDescent="0.3">
      <c r="A191" s="21"/>
      <c r="F191" s="7"/>
      <c r="G191" s="7"/>
    </row>
    <row r="192" spans="1:7" x14ac:dyDescent="0.3">
      <c r="A192" s="21"/>
      <c r="F192" s="7"/>
      <c r="G192" s="7"/>
    </row>
    <row r="193" spans="1:7" x14ac:dyDescent="0.3">
      <c r="A193" s="27"/>
    </row>
    <row r="194" spans="1:7" x14ac:dyDescent="0.3">
      <c r="A194" s="27"/>
    </row>
    <row r="195" spans="1:7" x14ac:dyDescent="0.3">
      <c r="A195" s="21"/>
      <c r="F195" s="7"/>
      <c r="G195" s="7"/>
    </row>
    <row r="196" spans="1:7" x14ac:dyDescent="0.3">
      <c r="A196" s="21"/>
      <c r="F196" s="7"/>
      <c r="G196" s="7"/>
    </row>
    <row r="197" spans="1:7" x14ac:dyDescent="0.3">
      <c r="A197" s="21"/>
      <c r="F197" s="7"/>
      <c r="G197" s="7"/>
    </row>
    <row r="198" spans="1:7" x14ac:dyDescent="0.3">
      <c r="A198" s="21"/>
      <c r="F198" s="7"/>
      <c r="G198" s="7"/>
    </row>
    <row r="199" spans="1:7" x14ac:dyDescent="0.3">
      <c r="A199" s="21"/>
      <c r="F199" s="7"/>
      <c r="G199" s="7"/>
    </row>
    <row r="200" spans="1:7" x14ac:dyDescent="0.3">
      <c r="A200" s="27"/>
    </row>
    <row r="201" spans="1:7" x14ac:dyDescent="0.3">
      <c r="A201" s="27"/>
    </row>
    <row r="202" spans="1:7" x14ac:dyDescent="0.3">
      <c r="A202" s="21"/>
      <c r="F202" s="7"/>
      <c r="G202" s="7"/>
    </row>
    <row r="203" spans="1:7" x14ac:dyDescent="0.3">
      <c r="A203" s="21"/>
      <c r="F203" s="7"/>
      <c r="G203" s="7"/>
    </row>
    <row r="204" spans="1:7" x14ac:dyDescent="0.3">
      <c r="A204" s="21"/>
      <c r="F204" s="7"/>
      <c r="G204" s="7"/>
    </row>
    <row r="205" spans="1:7" x14ac:dyDescent="0.3">
      <c r="A205" s="21"/>
      <c r="F205" s="7"/>
      <c r="G205" s="7"/>
    </row>
    <row r="206" spans="1:7" x14ac:dyDescent="0.3">
      <c r="A206" s="21"/>
      <c r="F206" s="7"/>
      <c r="G206" s="7"/>
    </row>
    <row r="207" spans="1:7" x14ac:dyDescent="0.3">
      <c r="A207" s="21"/>
      <c r="F207" s="7"/>
      <c r="G207" s="7"/>
    </row>
    <row r="208" spans="1:7" x14ac:dyDescent="0.3">
      <c r="A208" s="21"/>
      <c r="F208" s="7"/>
      <c r="G208" s="7"/>
    </row>
    <row r="209" spans="1:7" x14ac:dyDescent="0.3">
      <c r="A209" s="21"/>
      <c r="F209" s="7"/>
      <c r="G209" s="7"/>
    </row>
    <row r="210" spans="1:7" x14ac:dyDescent="0.3">
      <c r="A210" s="21"/>
      <c r="F210" s="7"/>
      <c r="G210" s="7"/>
    </row>
    <row r="211" spans="1:7" x14ac:dyDescent="0.3">
      <c r="A211" s="21"/>
      <c r="F211" s="7"/>
      <c r="G211" s="7"/>
    </row>
    <row r="212" spans="1:7" x14ac:dyDescent="0.3">
      <c r="A212" s="21"/>
      <c r="F212" s="7"/>
      <c r="G212" s="7"/>
    </row>
    <row r="213" spans="1:7" x14ac:dyDescent="0.3">
      <c r="A213" s="21"/>
      <c r="F213" s="7"/>
      <c r="G213" s="7"/>
    </row>
    <row r="214" spans="1:7" x14ac:dyDescent="0.3">
      <c r="A214" s="21"/>
      <c r="F214" s="7"/>
      <c r="G214" s="7"/>
    </row>
    <row r="215" spans="1:7" x14ac:dyDescent="0.3">
      <c r="A215" s="27"/>
    </row>
    <row r="216" spans="1:7" x14ac:dyDescent="0.3">
      <c r="A216" s="27"/>
    </row>
    <row r="217" spans="1:7" x14ac:dyDescent="0.3">
      <c r="A217" s="21"/>
      <c r="F217" s="7"/>
      <c r="G217" s="7"/>
    </row>
    <row r="218" spans="1:7" x14ac:dyDescent="0.3">
      <c r="A218" s="21"/>
      <c r="F218" s="7"/>
      <c r="G218" s="7"/>
    </row>
    <row r="219" spans="1:7" x14ac:dyDescent="0.3">
      <c r="A219" s="21"/>
      <c r="F219" s="7"/>
      <c r="G219" s="7"/>
    </row>
    <row r="220" spans="1:7" x14ac:dyDescent="0.3">
      <c r="A220" s="21"/>
      <c r="F220" s="7"/>
      <c r="G220" s="7"/>
    </row>
    <row r="221" spans="1:7" x14ac:dyDescent="0.3">
      <c r="A221" s="21"/>
    </row>
    <row r="222" spans="1:7" x14ac:dyDescent="0.3">
      <c r="A222" s="21"/>
    </row>
  </sheetData>
  <mergeCells count="10">
    <mergeCell ref="A2:M2"/>
    <mergeCell ref="A3:M3"/>
    <mergeCell ref="B5:E5"/>
    <mergeCell ref="F5:I5"/>
    <mergeCell ref="B6:E6"/>
    <mergeCell ref="F6:I6"/>
    <mergeCell ref="J6:L6"/>
    <mergeCell ref="J5:L5"/>
    <mergeCell ref="A5:A8"/>
    <mergeCell ref="M5:M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2025-06-11T08:25:21Z</dcterms:modified>
</cp:coreProperties>
</file>