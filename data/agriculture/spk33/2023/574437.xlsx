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8_{01391E56-1EE8-498F-B5A0-3B0CB841042E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5" i="1" l="1"/>
  <c r="I90" i="1"/>
  <c r="I83" i="1"/>
  <c r="I73" i="1"/>
  <c r="I66" i="1"/>
  <c r="I61" i="1"/>
  <c r="I54" i="1"/>
  <c r="I10" i="1" s="1"/>
  <c r="I47" i="1"/>
  <c r="I40" i="1"/>
  <c r="I34" i="1"/>
  <c r="I29" i="1"/>
  <c r="I20" i="1"/>
  <c r="I12" i="1"/>
  <c r="H10" i="1"/>
  <c r="G12" i="1"/>
  <c r="G20" i="1"/>
  <c r="G29" i="1"/>
  <c r="G34" i="1"/>
  <c r="G40" i="1"/>
  <c r="G47" i="1"/>
  <c r="G54" i="1"/>
  <c r="G61" i="1"/>
  <c r="G66" i="1"/>
  <c r="G73" i="1"/>
  <c r="G83" i="1"/>
  <c r="G90" i="1"/>
  <c r="G105" i="1"/>
  <c r="B12" i="1"/>
  <c r="C105" i="1"/>
  <c r="D105" i="1"/>
  <c r="E105" i="1"/>
  <c r="F105" i="1"/>
  <c r="H105" i="1"/>
  <c r="B105" i="1"/>
  <c r="C90" i="1"/>
  <c r="D90" i="1"/>
  <c r="E90" i="1"/>
  <c r="F90" i="1"/>
  <c r="H90" i="1"/>
  <c r="B90" i="1"/>
  <c r="C83" i="1"/>
  <c r="D83" i="1"/>
  <c r="E83" i="1"/>
  <c r="F83" i="1"/>
  <c r="H83" i="1"/>
  <c r="B83" i="1"/>
  <c r="C73" i="1"/>
  <c r="D73" i="1"/>
  <c r="E73" i="1"/>
  <c r="F73" i="1"/>
  <c r="H73" i="1"/>
  <c r="B73" i="1"/>
  <c r="C66" i="1"/>
  <c r="D66" i="1"/>
  <c r="E66" i="1"/>
  <c r="F66" i="1"/>
  <c r="H66" i="1"/>
  <c r="B66" i="1"/>
  <c r="C61" i="1"/>
  <c r="D61" i="1"/>
  <c r="E61" i="1"/>
  <c r="F61" i="1"/>
  <c r="H61" i="1"/>
  <c r="B61" i="1"/>
  <c r="C54" i="1"/>
  <c r="D54" i="1"/>
  <c r="E54" i="1"/>
  <c r="F54" i="1"/>
  <c r="H54" i="1"/>
  <c r="B54" i="1"/>
  <c r="C47" i="1"/>
  <c r="D47" i="1"/>
  <c r="E47" i="1"/>
  <c r="F47" i="1"/>
  <c r="H47" i="1"/>
  <c r="B47" i="1"/>
  <c r="C40" i="1"/>
  <c r="D40" i="1"/>
  <c r="E40" i="1"/>
  <c r="F40" i="1"/>
  <c r="H40" i="1"/>
  <c r="B40" i="1"/>
  <c r="C34" i="1"/>
  <c r="D34" i="1"/>
  <c r="E34" i="1"/>
  <c r="F34" i="1"/>
  <c r="H34" i="1"/>
  <c r="B34" i="1"/>
  <c r="C29" i="1"/>
  <c r="D29" i="1"/>
  <c r="E29" i="1"/>
  <c r="F29" i="1"/>
  <c r="H29" i="1"/>
  <c r="B29" i="1"/>
  <c r="C20" i="1"/>
  <c r="D20" i="1"/>
  <c r="E20" i="1"/>
  <c r="F20" i="1"/>
  <c r="H20" i="1"/>
  <c r="B20" i="1"/>
  <c r="C12" i="1"/>
  <c r="D12" i="1"/>
  <c r="E12" i="1"/>
  <c r="F12" i="1"/>
  <c r="H12" i="1"/>
  <c r="G10" i="1" l="1"/>
  <c r="F10" i="1"/>
  <c r="D10" i="1"/>
  <c r="C10" i="1"/>
  <c r="B10" i="1"/>
  <c r="E10" i="1"/>
</calcChain>
</file>

<file path=xl/sharedStrings.xml><?xml version="1.0" encoding="utf-8"?>
<sst xmlns="http://schemas.openxmlformats.org/spreadsheetml/2006/main" count="400" uniqueCount="201">
  <si>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</si>
  <si>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</si>
  <si>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</si>
  <si>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</si>
  <si>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</si>
  <si>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</si>
  <si>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</si>
  <si>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</si>
  <si>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</si>
  <si>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</si>
  <si>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</si>
  <si>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</si>
  <si>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</si>
  <si>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</si>
  <si>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</si>
  <si>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</si>
  <si>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</si>
  <si>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</si>
  <si>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</si>
  <si>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</si>
  <si>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</si>
  <si>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</si>
  <si>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</si>
  <si>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</si>
  <si>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</si>
  <si>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</si>
  <si>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</si>
  <si>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</si>
  <si>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</si>
  <si>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</si>
  <si>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</si>
  <si>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</si>
  <si>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</si>
  <si>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</si>
  <si>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</si>
  <si>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</si>
  <si>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</si>
  <si>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</si>
  <si>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</si>
  <si>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</si>
  <si>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</si>
  <si>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</si>
  <si>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</si>
  <si>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</si>
  <si>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</si>
  <si>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</si>
  <si>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</si>
  <si>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</si>
  <si>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</si>
  <si>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</si>
  <si>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</si>
  <si>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</si>
  <si>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</si>
  <si>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</si>
  <si>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</si>
  <si>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</si>
  <si>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</si>
  <si>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</si>
  <si>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</si>
  <si>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</si>
  <si>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</si>
  <si>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</si>
  <si>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</si>
  <si>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</si>
  <si>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</si>
  <si>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</si>
  <si>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</si>
  <si>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</si>
  <si>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</si>
  <si>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</si>
  <si>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</si>
  <si>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</si>
  <si>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</si>
  <si>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</si>
  <si>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</si>
  <si>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</si>
  <si>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</si>
  <si>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</si>
  <si>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</si>
  <si>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</si>
  <si>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</si>
  <si>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</si>
  <si>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</si>
  <si>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</si>
  <si>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</si>
  <si>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</si>
  <si>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</si>
  <si>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</si>
  <si>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</si>
  <si>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</si>
  <si>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</si>
  <si>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</si>
  <si>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</si>
  <si>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</si>
  <si>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</si>
  <si>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</si>
  <si>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</si>
  <si>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</si>
  <si>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</si>
  <si>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</si>
  <si>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</si>
  <si>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</si>
  <si>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</si>
  <si>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</si>
  <si>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</si>
  <si>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</si>
  <si>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</si>
  <si>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</si>
  <si>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</si>
  <si>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</si>
  <si>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</si>
  <si>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</si>
  <si>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</si>
  <si>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</si>
  <si>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</si>
  <si>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</si>
  <si>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</si>
  <si>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</si>
  <si>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</si>
  <si>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</si>
  <si>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</si>
  <si>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</si>
  <si>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</si>
  <si>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</si>
  <si>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</si>
  <si>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</si>
  <si>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</si>
  <si>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</si>
  <si>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</si>
  <si>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</si>
  <si>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</si>
  <si>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</si>
  <si>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</si>
  <si>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</si>
  <si>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</si>
  <si>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</si>
  <si>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</si>
  <si>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</si>
  <si>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</si>
  <si>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</si>
  <si>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</si>
  <si>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</si>
  <si>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</si>
  <si>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</si>
  <si>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</si>
  <si>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</si>
  <si>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</si>
  <si>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</si>
  <si>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</si>
  <si>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</si>
  <si>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</si>
  <si>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</si>
  <si>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</si>
  <si>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</si>
  <si>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</si>
  <si>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</si>
  <si>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</si>
  <si>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</si>
  <si>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</si>
  <si>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</si>
  <si>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</si>
  <si>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</si>
  <si>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</si>
  <si>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</si>
  <si>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</si>
  <si>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</si>
  <si>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</si>
  <si>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</si>
  <si>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</si>
  <si>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</si>
  <si>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Number of heads</t>
  </si>
  <si>
    <t>Αριθμός κεφαλών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</si>
  <si>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</si>
  <si>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</si>
  <si>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</si>
  <si>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</si>
  <si>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</si>
  <si>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</si>
  <si>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</si>
  <si>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</si>
  <si>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—</t>
  </si>
  <si>
    <t>Horses</t>
  </si>
  <si>
    <t>Donkeys and Mules</t>
  </si>
  <si>
    <t>Lambs</t>
  </si>
  <si>
    <t>Piglets</t>
  </si>
  <si>
    <t>Μοσχάρια</t>
  </si>
  <si>
    <t>Βουβαλίδια</t>
  </si>
  <si>
    <t>Αρνιά</t>
  </si>
  <si>
    <t>Κατσίκια</t>
  </si>
  <si>
    <t>Χοιρίδια</t>
  </si>
  <si>
    <t>Colts</t>
  </si>
  <si>
    <t>Πουλάρια</t>
  </si>
  <si>
    <t>Goats</t>
  </si>
  <si>
    <t>Buffaloes less than 1 year old</t>
  </si>
  <si>
    <t>Calves less than 1 year old</t>
  </si>
  <si>
    <t>Κουνέλια</t>
  </si>
  <si>
    <t>Rabbits</t>
  </si>
  <si>
    <t>Όνοι και Ημίονοι</t>
  </si>
  <si>
    <t>Ίπποι</t>
  </si>
  <si>
    <t>Πίνακας 5. Ζώα που γεννήθηκαν κατά το έτος 2023 (αρνιά και κατσίκια από 1.10.2022 έως 30.9.2023), κατά Περιφέρεια και Περιφερειακή Ενότητα</t>
  </si>
  <si>
    <t>Table 5. Animals born in 2023 (lambs and goats within 1.10.2022 - 30.9.2023),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</si>
</sst>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 wrapText="1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49" fontId="1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>
      <alignment horizontal="left" wrapText="1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1" fillId="0" borderId="0" xfId="0" applyNumberFormat="1" applyFont="1" applyAlignment="1">
      <alignment horizontal="left" indent="2"/>
    </xf>
    <xf numFmtId="49" fontId="3" fillId="0" borderId="0" xfId="0" applyNumberFormat="1" applyFont="1"/>
    <xf numFmtId="3" fontId="7" fillId="0" borderId="4" xfId="0" applyNumberFormat="1" applyFont="1" applyBorder="1" applyAlignment="1">
      <alignment horizontal="right" vertical="top"/>
    </xf>
    <xf numFmtId="3" fontId="7" fillId="0" borderId="3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 inden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1" fillId="0" borderId="10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1" fillId="0" borderId="2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3" fontId="1" fillId="2" borderId="18" xfId="0" applyNumberFormat="1" applyFont="1" applyFill="1" applyBorder="1" applyAlignment="1">
      <alignment horizontal="right" vertical="center" wrapText="1"/>
    </xf>
    <xf numFmtId="3" fontId="1" fillId="2" borderId="17" xfId="0" applyNumberFormat="1" applyFont="1" applyFill="1" applyBorder="1" applyAlignment="1">
      <alignment horizontal="right" vertical="center" wrapText="1"/>
    </xf>
    <xf numFmtId="3" fontId="1" fillId="2" borderId="21" xfId="0" applyNumberFormat="1" applyFont="1" applyFill="1" applyBorder="1" applyAlignment="1">
      <alignment horizontal="right" vertical="center" wrapText="1"/>
    </xf>
    <xf numFmtId="3" fontId="1" fillId="2" borderId="10" xfId="0" applyNumberFormat="1" applyFont="1" applyFill="1" applyBorder="1" applyAlignment="1">
      <alignment horizontal="right" vertical="center" wrapText="1"/>
    </xf>
    <xf numFmtId="3" fontId="1" fillId="2" borderId="19" xfId="0" applyNumberFormat="1" applyFont="1" applyFill="1" applyBorder="1" applyAlignment="1">
      <alignment horizontal="right" vertical="center" wrapText="1"/>
    </xf>
    <xf numFmtId="3" fontId="1" fillId="2" borderId="9" xfId="0" applyNumberFormat="1" applyFont="1" applyFill="1" applyBorder="1" applyAlignment="1">
      <alignment horizontal="right" vertical="center" wrapText="1"/>
    </xf>
    <xf numFmtId="3" fontId="1" fillId="2" borderId="8" xfId="0" applyNumberFormat="1" applyFont="1" applyFill="1" applyBorder="1" applyAlignment="1">
      <alignment horizontal="right" vertical="center" wrapText="1"/>
    </xf>
    <xf numFmtId="3" fontId="1" fillId="2" borderId="4" xfId="0" applyNumberFormat="1" applyFont="1" applyFill="1" applyBorder="1" applyAlignment="1">
      <alignment horizontal="right" vertical="center" wrapText="1"/>
    </xf>
    <xf numFmtId="3" fontId="1" fillId="2" borderId="5" xfId="0" applyNumberFormat="1" applyFont="1" applyFill="1" applyBorder="1" applyAlignment="1">
      <alignment horizontal="right" vertical="center" wrapText="1"/>
    </xf>
    <xf numFmtId="3" fontId="4" fillId="2" borderId="3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5" xfId="0" applyNumberFormat="1" applyFont="1" applyFill="1" applyBorder="1" applyAlignment="1">
      <alignment horizontal="right" vertical="center"/>
    </xf>
    <xf numFmtId="3" fontId="4" fillId="2" borderId="9" xfId="0" applyNumberFormat="1" applyFont="1" applyFill="1" applyBorder="1" applyAlignment="1">
      <alignment horizontal="right" vertical="center"/>
    </xf>
    <xf numFmtId="3" fontId="4" fillId="2" borderId="8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3" fontId="1" fillId="2" borderId="23" xfId="0" applyNumberFormat="1" applyFont="1" applyFill="1" applyBorder="1" applyAlignment="1">
      <alignment horizontal="right" vertical="center"/>
    </xf>
    <xf numFmtId="3" fontId="1" fillId="2" borderId="5" xfId="0" applyNumberFormat="1" applyFont="1" applyFill="1" applyBorder="1" applyAlignment="1">
      <alignment horizontal="right" vertical="center"/>
    </xf>
    <xf numFmtId="3" fontId="4" fillId="2" borderId="23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1" fillId="2" borderId="4" xfId="0" applyNumberFormat="1" applyFont="1" applyFill="1" applyBorder="1" applyAlignment="1">
      <alignment horizontal="right" vertical="center"/>
    </xf>
    <xf numFmtId="3" fontId="1" fillId="2" borderId="23" xfId="0" applyNumberFormat="1" applyFont="1" applyFill="1" applyBorder="1" applyAlignment="1">
      <alignment horizontal="right" vertical="center"/>
    </xf>
    <xf numFmtId="3" fontId="1" fillId="2" borderId="5" xfId="0" applyNumberFormat="1" applyFont="1" applyFill="1" applyBorder="1" applyAlignment="1">
      <alignment horizontal="right" vertical="center"/>
    </xf>
    <xf numFmtId="3" fontId="1" fillId="2" borderId="9" xfId="0" applyNumberFormat="1" applyFont="1" applyFill="1" applyBorder="1" applyAlignment="1">
      <alignment horizontal="right" vertical="center"/>
    </xf>
    <xf numFmtId="3" fontId="1" fillId="2" borderId="8" xfId="0" applyNumberFormat="1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top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right" vertical="center" wrapText="1"/>
    </xf>
    <xf numFmtId="3" fontId="4" fillId="2" borderId="0" xfId="0" applyNumberFormat="1" applyFont="1" applyFill="1" applyBorder="1" applyAlignment="1">
      <alignment horizontal="right" vertical="center"/>
    </xf>
    <xf numFmtId="3" fontId="7" fillId="0" borderId="29" xfId="0" applyNumberFormat="1" applyFont="1" applyBorder="1" applyAlignment="1">
      <alignment horizontal="right" vertical="top"/>
    </xf>
    <xf numFmtId="3" fontId="1" fillId="2" borderId="0" xfId="0" applyNumberFormat="1" applyFont="1" applyFill="1" applyBorder="1" applyAlignment="1">
      <alignment horizontal="right" vertical="center"/>
    </xf>
    <xf numFmtId="3" fontId="7" fillId="0" borderId="31" xfId="0" applyNumberFormat="1" applyFont="1" applyBorder="1" applyAlignment="1">
      <alignment horizontal="right" vertical="top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6"/>
  <sheetViews>
    <sheetView showGridLines="0" tabSelected="1" zoomScaleNormal="100" workbookViewId="0">
      <selection activeCell="I14" sqref="I14"/>
    </sheetView>
  </sheetViews>
  <sheetFormatPr defaultRowHeight="14.4" x14ac:dyDescent="0.3"/>
  <cols>
    <col min="1" max="1" width="42.88671875" style="4" bestFit="1" customWidth="1"/>
    <col min="2" max="2" width="6.5546875" style="4" bestFit="1" customWidth="1"/>
    <col min="3" max="3" width="9.77734375" style="4" customWidth="1"/>
    <col min="4" max="4" width="9.5546875" style="4" bestFit="1" customWidth="1"/>
    <col min="5" max="5" width="10.6640625" style="4" bestFit="1" customWidth="1"/>
    <col min="6" max="9" width="9.109375" style="4" bestFit="1" customWidth="1"/>
    <col min="10" max="10" width="26.77734375" style="4" bestFit="1" customWidth="1"/>
    <col min="11" max="11" width="13.33203125" style="4" customWidth="1"/>
    <col min="12" max="12" width="10.109375" style="4" customWidth="1"/>
    <col min="13" max="16384" width="8.88671875" style="4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</row>
    <row r="2" spans="1:13" ht="18" x14ac:dyDescent="0.3">
      <c r="A2" s="52" t="s">
        <v>199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18" customHeight="1" x14ac:dyDescent="0.3">
      <c r="A3" s="52" t="s">
        <v>200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ht="15" customHeight="1" thickBot="1" x14ac:dyDescent="0.35">
      <c r="A4" s="69" t="s">
        <v>171</v>
      </c>
      <c r="B4" s="69"/>
      <c r="C4" s="5"/>
      <c r="D4" s="5"/>
      <c r="E4" s="5"/>
      <c r="F4" s="62"/>
      <c r="G4" s="62"/>
      <c r="H4" s="62"/>
      <c r="I4" s="33"/>
      <c r="J4" s="68" t="s">
        <v>170</v>
      </c>
      <c r="K4" s="68"/>
      <c r="L4" s="6"/>
    </row>
    <row r="5" spans="1:13" ht="14.4" customHeight="1" x14ac:dyDescent="0.3">
      <c r="A5" s="111" t="s">
        <v>0</v>
      </c>
      <c r="B5" s="60" t="s">
        <v>191</v>
      </c>
      <c r="C5" s="61"/>
      <c r="D5" s="55" t="s">
        <v>185</v>
      </c>
      <c r="E5" s="55" t="s">
        <v>186</v>
      </c>
      <c r="F5" s="55" t="s">
        <v>187</v>
      </c>
      <c r="G5" s="55" t="s">
        <v>188</v>
      </c>
      <c r="H5" s="55" t="s">
        <v>189</v>
      </c>
      <c r="I5" s="102" t="s">
        <v>195</v>
      </c>
      <c r="J5" s="63" t="s">
        <v>1</v>
      </c>
      <c r="K5" s="64"/>
    </row>
    <row r="6" spans="1:13" x14ac:dyDescent="0.3">
      <c r="A6" s="112"/>
      <c r="B6" s="99" t="s">
        <v>190</v>
      </c>
      <c r="C6" s="100"/>
      <c r="D6" s="56"/>
      <c r="E6" s="56"/>
      <c r="F6" s="56"/>
      <c r="G6" s="56"/>
      <c r="H6" s="56"/>
      <c r="I6" s="103"/>
      <c r="J6" s="65"/>
      <c r="K6" s="98"/>
    </row>
    <row r="7" spans="1:13" x14ac:dyDescent="0.3">
      <c r="A7" s="112"/>
      <c r="B7" s="58" t="s">
        <v>198</v>
      </c>
      <c r="C7" s="53" t="s">
        <v>197</v>
      </c>
      <c r="D7" s="56"/>
      <c r="E7" s="56"/>
      <c r="F7" s="56"/>
      <c r="G7" s="56"/>
      <c r="H7" s="56"/>
      <c r="I7" s="103"/>
      <c r="J7" s="65"/>
      <c r="K7" s="98"/>
    </row>
    <row r="8" spans="1:13" x14ac:dyDescent="0.3">
      <c r="A8" s="112"/>
      <c r="B8" s="59"/>
      <c r="C8" s="54"/>
      <c r="D8" s="57"/>
      <c r="E8" s="57"/>
      <c r="F8" s="57"/>
      <c r="G8" s="57"/>
      <c r="H8" s="57"/>
      <c r="I8" s="104"/>
      <c r="J8" s="65"/>
      <c r="K8" s="98"/>
    </row>
    <row r="9" spans="1:13" ht="43.2" x14ac:dyDescent="0.3">
      <c r="A9" s="113"/>
      <c r="B9" s="95" t="s">
        <v>181</v>
      </c>
      <c r="C9" s="96" t="s">
        <v>182</v>
      </c>
      <c r="D9" s="96" t="s">
        <v>194</v>
      </c>
      <c r="E9" s="32" t="s">
        <v>193</v>
      </c>
      <c r="F9" s="97" t="s">
        <v>183</v>
      </c>
      <c r="G9" s="96" t="s">
        <v>192</v>
      </c>
      <c r="H9" s="32" t="s">
        <v>184</v>
      </c>
      <c r="I9" s="105" t="s">
        <v>196</v>
      </c>
      <c r="J9" s="66"/>
      <c r="K9" s="67"/>
    </row>
    <row r="10" spans="1:13" x14ac:dyDescent="0.3">
      <c r="A10" s="47" t="s">
        <v>2</v>
      </c>
      <c r="B10" s="70">
        <f>SUM(B12,B20,B29,B34,B40,B47,B54,B61,B66,B73,B83,B90,B105)</f>
        <v>570</v>
      </c>
      <c r="C10" s="71">
        <f>SUM(C12,C20,C29,C34,C40,C47,C54,C61,C66,C73,C83,C90,C105)</f>
        <v>282</v>
      </c>
      <c r="D10" s="71">
        <f t="shared" ref="D10:H10" si="0">SUM(D12,D20,D29,D34,D40,D47,D54,D61,D66,D73,D83,D90,D105)</f>
        <v>191984</v>
      </c>
      <c r="E10" s="72">
        <f t="shared" si="0"/>
        <v>867</v>
      </c>
      <c r="F10" s="73">
        <f t="shared" si="0"/>
        <v>8174316</v>
      </c>
      <c r="G10" s="71">
        <f>SUM(G12,G20,G29,G34,G40,G47,G54,G61,G66,G73,G83,G90,G105)</f>
        <v>3247468</v>
      </c>
      <c r="H10" s="72">
        <f>SUM(H12,H20,H29,H34,H40,H47,H54,H61,H66,H73,H83,H90,H105)</f>
        <v>1443069</v>
      </c>
      <c r="I10" s="74">
        <f>SUM(I12,I20,I29,I34,I40,I47,I54,I61,I66,I73,I83,I90,I105)</f>
        <v>1132002</v>
      </c>
      <c r="J10" s="51" t="s">
        <v>3</v>
      </c>
      <c r="K10" s="51"/>
    </row>
    <row r="11" spans="1:13" x14ac:dyDescent="0.3">
      <c r="A11" s="48"/>
      <c r="B11" s="75"/>
      <c r="C11" s="76"/>
      <c r="D11" s="76"/>
      <c r="E11" s="77"/>
      <c r="F11" s="106"/>
      <c r="G11" s="76"/>
      <c r="H11" s="77"/>
      <c r="I11" s="78"/>
      <c r="J11" s="50"/>
      <c r="K11" s="50"/>
    </row>
    <row r="12" spans="1:13" x14ac:dyDescent="0.3">
      <c r="A12" s="39" t="s">
        <v>4</v>
      </c>
      <c r="B12" s="79">
        <f>SUM(B14:B19)</f>
        <v>47</v>
      </c>
      <c r="C12" s="80">
        <f t="shared" ref="C12:H12" si="1">SUM(C14:C19)</f>
        <v>26</v>
      </c>
      <c r="D12" s="107">
        <f t="shared" si="1"/>
        <v>26545</v>
      </c>
      <c r="E12" s="80">
        <f t="shared" si="1"/>
        <v>55</v>
      </c>
      <c r="F12" s="107">
        <f t="shared" si="1"/>
        <v>402313</v>
      </c>
      <c r="G12" s="80">
        <f>SUM(G14:G19)</f>
        <v>267881</v>
      </c>
      <c r="H12" s="80">
        <f t="shared" si="1"/>
        <v>88297</v>
      </c>
      <c r="I12" s="81">
        <f t="shared" ref="I12" si="2">SUM(I14:I19)</f>
        <v>27778</v>
      </c>
      <c r="J12" s="50" t="s">
        <v>5</v>
      </c>
      <c r="K12" s="50"/>
    </row>
    <row r="13" spans="1:13" x14ac:dyDescent="0.3">
      <c r="A13" s="39"/>
      <c r="B13" s="79"/>
      <c r="C13" s="80"/>
      <c r="D13" s="107"/>
      <c r="E13" s="80"/>
      <c r="F13" s="107"/>
      <c r="G13" s="80"/>
      <c r="H13" s="80"/>
      <c r="I13" s="81"/>
      <c r="J13" s="50"/>
      <c r="K13" s="50"/>
    </row>
    <row r="14" spans="1:13" x14ac:dyDescent="0.3">
      <c r="A14" s="7" t="s">
        <v>102</v>
      </c>
      <c r="B14" s="28">
        <v>4</v>
      </c>
      <c r="C14" s="101">
        <v>3</v>
      </c>
      <c r="D14" s="27">
        <v>7738</v>
      </c>
      <c r="E14" s="101">
        <v>55</v>
      </c>
      <c r="F14" s="27">
        <v>83583</v>
      </c>
      <c r="G14" s="101">
        <v>54553</v>
      </c>
      <c r="H14" s="27">
        <v>2534</v>
      </c>
      <c r="I14" s="108">
        <v>16960</v>
      </c>
      <c r="J14" s="8" t="s">
        <v>6</v>
      </c>
      <c r="K14" s="9"/>
    </row>
    <row r="15" spans="1:13" x14ac:dyDescent="0.3">
      <c r="A15" s="7" t="s">
        <v>103</v>
      </c>
      <c r="B15" s="28">
        <v>15</v>
      </c>
      <c r="C15" s="101">
        <v>5</v>
      </c>
      <c r="D15" s="27">
        <v>6497</v>
      </c>
      <c r="E15" s="101" t="s">
        <v>180</v>
      </c>
      <c r="F15" s="27">
        <v>87018</v>
      </c>
      <c r="G15" s="101">
        <v>45944</v>
      </c>
      <c r="H15" s="27">
        <v>67717</v>
      </c>
      <c r="I15" s="108" t="s">
        <v>180</v>
      </c>
      <c r="J15" s="8" t="s">
        <v>7</v>
      </c>
      <c r="K15" s="9"/>
    </row>
    <row r="16" spans="1:13" x14ac:dyDescent="0.3">
      <c r="A16" s="7" t="s">
        <v>104</v>
      </c>
      <c r="B16" s="28">
        <v>13</v>
      </c>
      <c r="C16" s="101">
        <v>6</v>
      </c>
      <c r="D16" s="27">
        <v>2964</v>
      </c>
      <c r="E16" s="101" t="s">
        <v>180</v>
      </c>
      <c r="F16" s="27">
        <v>59829</v>
      </c>
      <c r="G16" s="101">
        <v>53990</v>
      </c>
      <c r="H16" s="27">
        <v>8615</v>
      </c>
      <c r="I16" s="108">
        <v>10818</v>
      </c>
      <c r="J16" s="8" t="s">
        <v>8</v>
      </c>
      <c r="K16" s="9"/>
    </row>
    <row r="17" spans="1:11" x14ac:dyDescent="0.3">
      <c r="A17" s="7" t="s">
        <v>105</v>
      </c>
      <c r="B17" s="28" t="s">
        <v>180</v>
      </c>
      <c r="C17" s="101" t="s">
        <v>180</v>
      </c>
      <c r="D17" s="27" t="s">
        <v>180</v>
      </c>
      <c r="E17" s="101" t="s">
        <v>180</v>
      </c>
      <c r="F17" s="27">
        <v>17745</v>
      </c>
      <c r="G17" s="101">
        <v>13320</v>
      </c>
      <c r="H17" s="27" t="s">
        <v>180</v>
      </c>
      <c r="I17" s="108" t="s">
        <v>180</v>
      </c>
      <c r="J17" s="8" t="s">
        <v>9</v>
      </c>
      <c r="K17" s="9"/>
    </row>
    <row r="18" spans="1:11" x14ac:dyDescent="0.3">
      <c r="A18" s="7" t="s">
        <v>106</v>
      </c>
      <c r="B18" s="28">
        <v>4</v>
      </c>
      <c r="C18" s="101" t="s">
        <v>180</v>
      </c>
      <c r="D18" s="27">
        <v>2059</v>
      </c>
      <c r="E18" s="101" t="s">
        <v>180</v>
      </c>
      <c r="F18" s="27">
        <v>70988</v>
      </c>
      <c r="G18" s="101">
        <v>51024</v>
      </c>
      <c r="H18" s="27">
        <v>3823</v>
      </c>
      <c r="I18" s="108" t="s">
        <v>180</v>
      </c>
      <c r="J18" s="8" t="s">
        <v>10</v>
      </c>
      <c r="K18" s="9"/>
    </row>
    <row r="19" spans="1:11" x14ac:dyDescent="0.3">
      <c r="A19" s="7" t="s">
        <v>107</v>
      </c>
      <c r="B19" s="28">
        <v>11</v>
      </c>
      <c r="C19" s="101">
        <v>12</v>
      </c>
      <c r="D19" s="27">
        <v>7287</v>
      </c>
      <c r="E19" s="101" t="s">
        <v>180</v>
      </c>
      <c r="F19" s="27">
        <v>83150</v>
      </c>
      <c r="G19" s="101">
        <v>49050</v>
      </c>
      <c r="H19" s="27">
        <v>5608</v>
      </c>
      <c r="I19" s="108" t="s">
        <v>180</v>
      </c>
      <c r="J19" s="8" t="s">
        <v>11</v>
      </c>
      <c r="K19" s="9"/>
    </row>
    <row r="20" spans="1:11" x14ac:dyDescent="0.3">
      <c r="A20" s="39" t="s">
        <v>12</v>
      </c>
      <c r="B20" s="82">
        <f>SUM(B22:B28)</f>
        <v>217</v>
      </c>
      <c r="C20" s="83">
        <f t="shared" ref="C20:H20" si="3">SUM(C22:C28)</f>
        <v>93</v>
      </c>
      <c r="D20" s="83">
        <f t="shared" si="3"/>
        <v>55601</v>
      </c>
      <c r="E20" s="80">
        <f t="shared" si="3"/>
        <v>740</v>
      </c>
      <c r="F20" s="107">
        <f t="shared" si="3"/>
        <v>642399</v>
      </c>
      <c r="G20" s="83">
        <f>SUM(G22:G28)</f>
        <v>393802</v>
      </c>
      <c r="H20" s="80">
        <f t="shared" si="3"/>
        <v>227294</v>
      </c>
      <c r="I20" s="81">
        <f t="shared" ref="I20" si="4">SUM(I22:I28)</f>
        <v>123943</v>
      </c>
      <c r="J20" s="49" t="s">
        <v>13</v>
      </c>
      <c r="K20" s="49"/>
    </row>
    <row r="21" spans="1:11" x14ac:dyDescent="0.3">
      <c r="A21" s="39"/>
      <c r="B21" s="82"/>
      <c r="C21" s="83"/>
      <c r="D21" s="83"/>
      <c r="E21" s="80"/>
      <c r="F21" s="107"/>
      <c r="G21" s="83"/>
      <c r="H21" s="80"/>
      <c r="I21" s="81"/>
      <c r="J21" s="49"/>
      <c r="K21" s="49"/>
    </row>
    <row r="22" spans="1:11" x14ac:dyDescent="0.3">
      <c r="A22" s="7" t="s">
        <v>108</v>
      </c>
      <c r="B22" s="28">
        <v>9</v>
      </c>
      <c r="C22" s="101" t="s">
        <v>180</v>
      </c>
      <c r="D22" s="27">
        <v>26141</v>
      </c>
      <c r="E22" s="101" t="s">
        <v>180</v>
      </c>
      <c r="F22" s="27">
        <v>138136</v>
      </c>
      <c r="G22" s="101">
        <v>127527</v>
      </c>
      <c r="H22" s="27">
        <v>21349</v>
      </c>
      <c r="I22" s="108">
        <v>110</v>
      </c>
      <c r="J22" s="8" t="s">
        <v>14</v>
      </c>
      <c r="K22" s="9"/>
    </row>
    <row r="23" spans="1:11" x14ac:dyDescent="0.3">
      <c r="A23" s="7" t="s">
        <v>109</v>
      </c>
      <c r="B23" s="28" t="s">
        <v>180</v>
      </c>
      <c r="C23" s="101" t="s">
        <v>180</v>
      </c>
      <c r="D23" s="27">
        <v>1688</v>
      </c>
      <c r="E23" s="101" t="s">
        <v>180</v>
      </c>
      <c r="F23" s="27">
        <v>28523</v>
      </c>
      <c r="G23" s="101">
        <v>14120</v>
      </c>
      <c r="H23" s="27">
        <v>25147</v>
      </c>
      <c r="I23" s="108" t="s">
        <v>180</v>
      </c>
      <c r="J23" s="8" t="s">
        <v>15</v>
      </c>
      <c r="K23" s="9"/>
    </row>
    <row r="24" spans="1:11" x14ac:dyDescent="0.3">
      <c r="A24" s="7" t="s">
        <v>110</v>
      </c>
      <c r="B24" s="28" t="s">
        <v>180</v>
      </c>
      <c r="C24" s="101" t="s">
        <v>180</v>
      </c>
      <c r="D24" s="27">
        <v>7643</v>
      </c>
      <c r="E24" s="101" t="s">
        <v>180</v>
      </c>
      <c r="F24" s="27">
        <v>80829</v>
      </c>
      <c r="G24" s="101">
        <v>34714</v>
      </c>
      <c r="H24" s="27">
        <v>8309</v>
      </c>
      <c r="I24" s="108">
        <v>210</v>
      </c>
      <c r="J24" s="8" t="s">
        <v>16</v>
      </c>
      <c r="K24" s="9"/>
    </row>
    <row r="25" spans="1:11" x14ac:dyDescent="0.3">
      <c r="A25" s="7" t="s">
        <v>111</v>
      </c>
      <c r="B25" s="28" t="s">
        <v>180</v>
      </c>
      <c r="C25" s="101" t="s">
        <v>180</v>
      </c>
      <c r="D25" s="27">
        <v>6526</v>
      </c>
      <c r="E25" s="101" t="s">
        <v>180</v>
      </c>
      <c r="F25" s="27">
        <v>95105</v>
      </c>
      <c r="G25" s="101">
        <v>41452</v>
      </c>
      <c r="H25" s="27">
        <v>9490</v>
      </c>
      <c r="I25" s="108">
        <v>41355</v>
      </c>
      <c r="J25" s="8" t="s">
        <v>17</v>
      </c>
      <c r="K25" s="9"/>
    </row>
    <row r="26" spans="1:11" x14ac:dyDescent="0.3">
      <c r="A26" s="7" t="s">
        <v>112</v>
      </c>
      <c r="B26" s="28" t="s">
        <v>180</v>
      </c>
      <c r="C26" s="101" t="s">
        <v>180</v>
      </c>
      <c r="D26" s="27">
        <v>2372</v>
      </c>
      <c r="E26" s="101" t="s">
        <v>180</v>
      </c>
      <c r="F26" s="27">
        <v>98683</v>
      </c>
      <c r="G26" s="101">
        <v>40171</v>
      </c>
      <c r="H26" s="27">
        <v>95861</v>
      </c>
      <c r="I26" s="108">
        <v>2808</v>
      </c>
      <c r="J26" s="8" t="s">
        <v>18</v>
      </c>
      <c r="K26" s="9"/>
    </row>
    <row r="27" spans="1:11" x14ac:dyDescent="0.3">
      <c r="A27" s="7" t="s">
        <v>113</v>
      </c>
      <c r="B27" s="28">
        <v>204</v>
      </c>
      <c r="C27" s="101">
        <v>86</v>
      </c>
      <c r="D27" s="27">
        <v>10194</v>
      </c>
      <c r="E27" s="101">
        <v>740</v>
      </c>
      <c r="F27" s="27">
        <v>163291</v>
      </c>
      <c r="G27" s="101">
        <v>80276</v>
      </c>
      <c r="H27" s="27">
        <v>35832</v>
      </c>
      <c r="I27" s="108">
        <v>79460</v>
      </c>
      <c r="J27" s="8" t="s">
        <v>19</v>
      </c>
      <c r="K27" s="9"/>
    </row>
    <row r="28" spans="1:11" x14ac:dyDescent="0.3">
      <c r="A28" s="7" t="s">
        <v>114</v>
      </c>
      <c r="B28" s="28">
        <v>4</v>
      </c>
      <c r="C28" s="101">
        <v>7</v>
      </c>
      <c r="D28" s="27">
        <v>1037</v>
      </c>
      <c r="E28" s="101" t="s">
        <v>180</v>
      </c>
      <c r="F28" s="27">
        <v>37832</v>
      </c>
      <c r="G28" s="101">
        <v>55542</v>
      </c>
      <c r="H28" s="27">
        <v>31306</v>
      </c>
      <c r="I28" s="108" t="s">
        <v>180</v>
      </c>
      <c r="J28" s="8" t="s">
        <v>20</v>
      </c>
      <c r="K28" s="9"/>
    </row>
    <row r="29" spans="1:11" ht="27.6" customHeight="1" x14ac:dyDescent="0.3">
      <c r="A29" s="10" t="s">
        <v>168</v>
      </c>
      <c r="B29" s="84">
        <f>SUM(B30:B33)</f>
        <v>22</v>
      </c>
      <c r="C29" s="85">
        <f t="shared" ref="C29:I29" si="5">SUM(C30:C33)</f>
        <v>21</v>
      </c>
      <c r="D29" s="85">
        <f t="shared" si="5"/>
        <v>14324</v>
      </c>
      <c r="E29" s="85">
        <f t="shared" si="5"/>
        <v>0</v>
      </c>
      <c r="F29" s="86">
        <f t="shared" si="5"/>
        <v>311173</v>
      </c>
      <c r="G29" s="85">
        <f>SUM(G30:G33)</f>
        <v>108652</v>
      </c>
      <c r="H29" s="85">
        <f t="shared" si="5"/>
        <v>15275</v>
      </c>
      <c r="I29" s="87">
        <f t="shared" si="5"/>
        <v>5165</v>
      </c>
      <c r="J29" s="11" t="s">
        <v>169</v>
      </c>
      <c r="K29" s="9"/>
    </row>
    <row r="30" spans="1:11" x14ac:dyDescent="0.3">
      <c r="A30" s="7" t="s">
        <v>115</v>
      </c>
      <c r="B30" s="28">
        <v>4</v>
      </c>
      <c r="C30" s="101">
        <v>3</v>
      </c>
      <c r="D30" s="27">
        <v>7494</v>
      </c>
      <c r="E30" s="101" t="s">
        <v>180</v>
      </c>
      <c r="F30" s="27">
        <v>76523</v>
      </c>
      <c r="G30" s="101">
        <v>31086</v>
      </c>
      <c r="H30" s="27">
        <v>8534</v>
      </c>
      <c r="I30" s="108">
        <v>5065</v>
      </c>
      <c r="J30" s="8" t="s">
        <v>21</v>
      </c>
      <c r="K30" s="9"/>
    </row>
    <row r="31" spans="1:11" x14ac:dyDescent="0.3">
      <c r="A31" s="7" t="s">
        <v>116</v>
      </c>
      <c r="B31" s="28" t="s">
        <v>180</v>
      </c>
      <c r="C31" s="101" t="s">
        <v>180</v>
      </c>
      <c r="D31" s="27">
        <v>1988</v>
      </c>
      <c r="E31" s="101" t="s">
        <v>180</v>
      </c>
      <c r="F31" s="27">
        <v>76942</v>
      </c>
      <c r="G31" s="101">
        <v>37816</v>
      </c>
      <c r="H31" s="27">
        <v>2721</v>
      </c>
      <c r="I31" s="108" t="s">
        <v>180</v>
      </c>
      <c r="J31" s="8" t="s">
        <v>22</v>
      </c>
      <c r="K31" s="9"/>
    </row>
    <row r="32" spans="1:11" x14ac:dyDescent="0.3">
      <c r="A32" s="7" t="s">
        <v>117</v>
      </c>
      <c r="B32" s="28">
        <v>18</v>
      </c>
      <c r="C32" s="101">
        <v>18</v>
      </c>
      <c r="D32" s="27">
        <v>1080</v>
      </c>
      <c r="E32" s="101" t="s">
        <v>180</v>
      </c>
      <c r="F32" s="27">
        <v>60130</v>
      </c>
      <c r="G32" s="101">
        <v>12070</v>
      </c>
      <c r="H32" s="27">
        <v>2661</v>
      </c>
      <c r="I32" s="108">
        <v>100</v>
      </c>
      <c r="J32" s="8" t="s">
        <v>23</v>
      </c>
      <c r="K32" s="9"/>
    </row>
    <row r="33" spans="1:11" x14ac:dyDescent="0.3">
      <c r="A33" s="7" t="s">
        <v>118</v>
      </c>
      <c r="B33" s="28" t="s">
        <v>180</v>
      </c>
      <c r="C33" s="101" t="s">
        <v>180</v>
      </c>
      <c r="D33" s="27">
        <v>3762</v>
      </c>
      <c r="E33" s="101" t="s">
        <v>180</v>
      </c>
      <c r="F33" s="27">
        <v>97578</v>
      </c>
      <c r="G33" s="101">
        <v>27680</v>
      </c>
      <c r="H33" s="27">
        <v>1359</v>
      </c>
      <c r="I33" s="108" t="s">
        <v>180</v>
      </c>
      <c r="J33" s="8" t="s">
        <v>24</v>
      </c>
      <c r="K33" s="9"/>
    </row>
    <row r="34" spans="1:11" x14ac:dyDescent="0.3">
      <c r="A34" s="39" t="s">
        <v>25</v>
      </c>
      <c r="B34" s="82">
        <f>SUM(B36:B39)</f>
        <v>47</v>
      </c>
      <c r="C34" s="83">
        <f t="shared" ref="C34:H34" si="6">SUM(C36:C39)</f>
        <v>22</v>
      </c>
      <c r="D34" s="83">
        <f t="shared" si="6"/>
        <v>21491</v>
      </c>
      <c r="E34" s="80">
        <f t="shared" si="6"/>
        <v>0</v>
      </c>
      <c r="F34" s="107">
        <f t="shared" si="6"/>
        <v>462555</v>
      </c>
      <c r="G34" s="83">
        <f>SUM(G36:G39)</f>
        <v>114221</v>
      </c>
      <c r="H34" s="80">
        <f t="shared" si="6"/>
        <v>250961</v>
      </c>
      <c r="I34" s="81">
        <f t="shared" ref="I34" si="7">SUM(I36:I39)</f>
        <v>5354</v>
      </c>
      <c r="J34" s="46" t="s">
        <v>26</v>
      </c>
      <c r="K34" s="46"/>
    </row>
    <row r="35" spans="1:11" x14ac:dyDescent="0.3">
      <c r="A35" s="39"/>
      <c r="B35" s="82"/>
      <c r="C35" s="83"/>
      <c r="D35" s="83"/>
      <c r="E35" s="80"/>
      <c r="F35" s="107"/>
      <c r="G35" s="83"/>
      <c r="H35" s="80"/>
      <c r="I35" s="81"/>
      <c r="J35" s="46"/>
      <c r="K35" s="46"/>
    </row>
    <row r="36" spans="1:11" x14ac:dyDescent="0.3">
      <c r="A36" s="7" t="s">
        <v>119</v>
      </c>
      <c r="B36" s="28">
        <v>32</v>
      </c>
      <c r="C36" s="101">
        <v>21</v>
      </c>
      <c r="D36" s="27">
        <v>4367</v>
      </c>
      <c r="E36" s="101" t="s">
        <v>180</v>
      </c>
      <c r="F36" s="27">
        <v>134148</v>
      </c>
      <c r="G36" s="101">
        <v>29961</v>
      </c>
      <c r="H36" s="27">
        <v>29260</v>
      </c>
      <c r="I36" s="108">
        <v>4500</v>
      </c>
      <c r="J36" s="8" t="s">
        <v>27</v>
      </c>
      <c r="K36" s="9"/>
    </row>
    <row r="37" spans="1:11" x14ac:dyDescent="0.3">
      <c r="A37" s="7" t="s">
        <v>120</v>
      </c>
      <c r="B37" s="28">
        <v>7</v>
      </c>
      <c r="C37" s="101" t="s">
        <v>180</v>
      </c>
      <c r="D37" s="27">
        <v>2243</v>
      </c>
      <c r="E37" s="101" t="s">
        <v>180</v>
      </c>
      <c r="F37" s="27">
        <v>94940</v>
      </c>
      <c r="G37" s="101">
        <v>13036</v>
      </c>
      <c r="H37" s="27">
        <v>67722</v>
      </c>
      <c r="I37" s="108" t="s">
        <v>180</v>
      </c>
      <c r="J37" s="8" t="s">
        <v>28</v>
      </c>
      <c r="K37" s="9"/>
    </row>
    <row r="38" spans="1:11" x14ac:dyDescent="0.3">
      <c r="A38" s="7" t="s">
        <v>121</v>
      </c>
      <c r="B38" s="28">
        <v>4</v>
      </c>
      <c r="C38" s="101" t="s">
        <v>180</v>
      </c>
      <c r="D38" s="27">
        <v>12337</v>
      </c>
      <c r="E38" s="101" t="s">
        <v>180</v>
      </c>
      <c r="F38" s="27">
        <v>85015</v>
      </c>
      <c r="G38" s="101">
        <v>35662</v>
      </c>
      <c r="H38" s="27">
        <v>639</v>
      </c>
      <c r="I38" s="108">
        <v>314</v>
      </c>
      <c r="J38" s="8" t="s">
        <v>29</v>
      </c>
      <c r="K38" s="9"/>
    </row>
    <row r="39" spans="1:11" x14ac:dyDescent="0.3">
      <c r="A39" s="7" t="s">
        <v>122</v>
      </c>
      <c r="B39" s="28">
        <v>4</v>
      </c>
      <c r="C39" s="101">
        <v>1</v>
      </c>
      <c r="D39" s="27">
        <v>2544</v>
      </c>
      <c r="E39" s="101" t="s">
        <v>180</v>
      </c>
      <c r="F39" s="27">
        <v>148452</v>
      </c>
      <c r="G39" s="101">
        <v>35562</v>
      </c>
      <c r="H39" s="27">
        <v>153340</v>
      </c>
      <c r="I39" s="108">
        <v>540</v>
      </c>
      <c r="J39" s="8" t="s">
        <v>30</v>
      </c>
      <c r="K39" s="9"/>
    </row>
    <row r="40" spans="1:11" x14ac:dyDescent="0.3">
      <c r="A40" s="39" t="s">
        <v>31</v>
      </c>
      <c r="B40" s="79">
        <f>SUM(B42:B46)</f>
        <v>101</v>
      </c>
      <c r="C40" s="80">
        <f t="shared" ref="C40:H40" si="8">SUM(C42:C46)</f>
        <v>18</v>
      </c>
      <c r="D40" s="80">
        <f t="shared" si="8"/>
        <v>42900</v>
      </c>
      <c r="E40" s="80">
        <f t="shared" si="8"/>
        <v>72</v>
      </c>
      <c r="F40" s="88">
        <f t="shared" si="8"/>
        <v>1003016</v>
      </c>
      <c r="G40" s="80">
        <f>SUM(G42:G46)</f>
        <v>298196</v>
      </c>
      <c r="H40" s="80">
        <f t="shared" si="8"/>
        <v>286420</v>
      </c>
      <c r="I40" s="81">
        <f t="shared" ref="I40" si="9">SUM(I42:I46)</f>
        <v>8143</v>
      </c>
      <c r="J40" s="46" t="s">
        <v>32</v>
      </c>
      <c r="K40" s="46"/>
    </row>
    <row r="41" spans="1:11" x14ac:dyDescent="0.3">
      <c r="A41" s="39"/>
      <c r="B41" s="79"/>
      <c r="C41" s="80"/>
      <c r="D41" s="80"/>
      <c r="E41" s="80"/>
      <c r="F41" s="88"/>
      <c r="G41" s="80"/>
      <c r="H41" s="80"/>
      <c r="I41" s="81"/>
      <c r="J41" s="46"/>
      <c r="K41" s="46"/>
    </row>
    <row r="42" spans="1:11" x14ac:dyDescent="0.3">
      <c r="A42" s="7" t="s">
        <v>123</v>
      </c>
      <c r="B42" s="28">
        <v>23</v>
      </c>
      <c r="C42" s="101">
        <v>12</v>
      </c>
      <c r="D42" s="27">
        <v>12997</v>
      </c>
      <c r="E42" s="101" t="s">
        <v>180</v>
      </c>
      <c r="F42" s="27">
        <v>540321</v>
      </c>
      <c r="G42" s="101">
        <v>143717</v>
      </c>
      <c r="H42" s="27">
        <v>146400</v>
      </c>
      <c r="I42" s="108">
        <v>1800</v>
      </c>
      <c r="J42" s="8" t="s">
        <v>33</v>
      </c>
      <c r="K42" s="9"/>
    </row>
    <row r="43" spans="1:11" x14ac:dyDescent="0.3">
      <c r="A43" s="7" t="s">
        <v>124</v>
      </c>
      <c r="B43" s="28" t="s">
        <v>180</v>
      </c>
      <c r="C43" s="101" t="s">
        <v>180</v>
      </c>
      <c r="D43" s="27">
        <v>2547</v>
      </c>
      <c r="E43" s="101" t="s">
        <v>180</v>
      </c>
      <c r="F43" s="27">
        <v>125022</v>
      </c>
      <c r="G43" s="101">
        <v>17446</v>
      </c>
      <c r="H43" s="27">
        <v>15557</v>
      </c>
      <c r="I43" s="108">
        <v>843</v>
      </c>
      <c r="J43" s="8" t="s">
        <v>34</v>
      </c>
      <c r="K43" s="9"/>
    </row>
    <row r="44" spans="1:11" x14ac:dyDescent="0.3">
      <c r="A44" s="7" t="s">
        <v>125</v>
      </c>
      <c r="B44" s="28">
        <v>20</v>
      </c>
      <c r="C44" s="101">
        <v>2</v>
      </c>
      <c r="D44" s="27">
        <v>8693</v>
      </c>
      <c r="E44" s="101" t="s">
        <v>180</v>
      </c>
      <c r="F44" s="27">
        <v>126813</v>
      </c>
      <c r="G44" s="101">
        <v>47708</v>
      </c>
      <c r="H44" s="27">
        <v>18174</v>
      </c>
      <c r="I44" s="108">
        <v>280</v>
      </c>
      <c r="J44" s="8" t="s">
        <v>35</v>
      </c>
      <c r="K44" s="9"/>
    </row>
    <row r="45" spans="1:11" x14ac:dyDescent="0.3">
      <c r="A45" s="7" t="s">
        <v>126</v>
      </c>
      <c r="B45" s="28">
        <v>2</v>
      </c>
      <c r="C45" s="101" t="s">
        <v>180</v>
      </c>
      <c r="D45" s="27">
        <v>3</v>
      </c>
      <c r="E45" s="101" t="s">
        <v>180</v>
      </c>
      <c r="F45" s="27">
        <v>519</v>
      </c>
      <c r="G45" s="101">
        <v>7351</v>
      </c>
      <c r="H45" s="27" t="s">
        <v>180</v>
      </c>
      <c r="I45" s="108" t="s">
        <v>180</v>
      </c>
      <c r="J45" s="8" t="s">
        <v>36</v>
      </c>
      <c r="K45" s="9"/>
    </row>
    <row r="46" spans="1:11" x14ac:dyDescent="0.3">
      <c r="A46" s="7" t="s">
        <v>127</v>
      </c>
      <c r="B46" s="28">
        <v>56</v>
      </c>
      <c r="C46" s="101">
        <v>4</v>
      </c>
      <c r="D46" s="27">
        <v>18660</v>
      </c>
      <c r="E46" s="101">
        <v>72</v>
      </c>
      <c r="F46" s="27">
        <v>210341</v>
      </c>
      <c r="G46" s="101">
        <v>81974</v>
      </c>
      <c r="H46" s="27">
        <v>106289</v>
      </c>
      <c r="I46" s="108">
        <v>5220</v>
      </c>
      <c r="J46" s="8" t="s">
        <v>37</v>
      </c>
      <c r="K46" s="9"/>
    </row>
    <row r="47" spans="1:11" x14ac:dyDescent="0.3">
      <c r="A47" s="39" t="s">
        <v>38</v>
      </c>
      <c r="B47" s="79">
        <f>SUM(B49:B53)</f>
        <v>7</v>
      </c>
      <c r="C47" s="80">
        <f t="shared" ref="C47:H47" si="10">SUM(C49:C53)</f>
        <v>6</v>
      </c>
      <c r="D47" s="80">
        <f t="shared" si="10"/>
        <v>10410</v>
      </c>
      <c r="E47" s="80">
        <f t="shared" si="10"/>
        <v>0</v>
      </c>
      <c r="F47" s="88">
        <f t="shared" si="10"/>
        <v>466261</v>
      </c>
      <c r="G47" s="80">
        <f>SUM(G49:G53)</f>
        <v>260112</v>
      </c>
      <c r="H47" s="80">
        <f t="shared" si="10"/>
        <v>175862</v>
      </c>
      <c r="I47" s="81">
        <f t="shared" ref="I47" si="11">SUM(I49:I53)</f>
        <v>23835</v>
      </c>
      <c r="J47" s="46" t="s">
        <v>39</v>
      </c>
      <c r="K47" s="46"/>
    </row>
    <row r="48" spans="1:11" x14ac:dyDescent="0.3">
      <c r="A48" s="39"/>
      <c r="B48" s="79"/>
      <c r="C48" s="80"/>
      <c r="D48" s="80"/>
      <c r="E48" s="80"/>
      <c r="F48" s="88"/>
      <c r="G48" s="80"/>
      <c r="H48" s="80"/>
      <c r="I48" s="81"/>
      <c r="J48" s="46"/>
      <c r="K48" s="46"/>
    </row>
    <row r="49" spans="1:11" x14ac:dyDescent="0.3">
      <c r="A49" s="7" t="s">
        <v>128</v>
      </c>
      <c r="B49" s="28" t="s">
        <v>180</v>
      </c>
      <c r="C49" s="101" t="s">
        <v>180</v>
      </c>
      <c r="D49" s="27">
        <v>3197</v>
      </c>
      <c r="E49" s="101" t="s">
        <v>180</v>
      </c>
      <c r="F49" s="27">
        <v>141371</v>
      </c>
      <c r="G49" s="101">
        <v>52472</v>
      </c>
      <c r="H49" s="27">
        <v>7850</v>
      </c>
      <c r="I49" s="108">
        <v>14739</v>
      </c>
      <c r="J49" s="8" t="s">
        <v>40</v>
      </c>
      <c r="K49" s="9"/>
    </row>
    <row r="50" spans="1:11" x14ac:dyDescent="0.3">
      <c r="A50" s="7" t="s">
        <v>129</v>
      </c>
      <c r="B50" s="28" t="s">
        <v>180</v>
      </c>
      <c r="C50" s="101" t="s">
        <v>180</v>
      </c>
      <c r="D50" s="27">
        <v>2103</v>
      </c>
      <c r="E50" s="101" t="s">
        <v>180</v>
      </c>
      <c r="F50" s="27">
        <v>77676</v>
      </c>
      <c r="G50" s="101">
        <v>21694</v>
      </c>
      <c r="H50" s="27">
        <v>40698</v>
      </c>
      <c r="I50" s="108" t="s">
        <v>180</v>
      </c>
      <c r="J50" s="8" t="s">
        <v>41</v>
      </c>
      <c r="K50" s="9"/>
    </row>
    <row r="51" spans="1:11" x14ac:dyDescent="0.3">
      <c r="A51" s="7" t="s">
        <v>130</v>
      </c>
      <c r="B51" s="28">
        <v>5</v>
      </c>
      <c r="C51" s="101">
        <v>3</v>
      </c>
      <c r="D51" s="27">
        <v>194</v>
      </c>
      <c r="E51" s="101" t="s">
        <v>180</v>
      </c>
      <c r="F51" s="27">
        <v>170162</v>
      </c>
      <c r="G51" s="101">
        <v>125129</v>
      </c>
      <c r="H51" s="27">
        <v>126439</v>
      </c>
      <c r="I51" s="108">
        <v>2840</v>
      </c>
      <c r="J51" s="8" t="s">
        <v>42</v>
      </c>
      <c r="K51" s="9"/>
    </row>
    <row r="52" spans="1:11" x14ac:dyDescent="0.3">
      <c r="A52" s="7" t="s">
        <v>131</v>
      </c>
      <c r="B52" s="28" t="s">
        <v>180</v>
      </c>
      <c r="C52" s="101" t="s">
        <v>180</v>
      </c>
      <c r="D52" s="27">
        <v>1515</v>
      </c>
      <c r="E52" s="101" t="s">
        <v>180</v>
      </c>
      <c r="F52" s="27">
        <v>29177</v>
      </c>
      <c r="G52" s="101">
        <v>26469</v>
      </c>
      <c r="H52" s="27">
        <v>209</v>
      </c>
      <c r="I52" s="108">
        <v>5029</v>
      </c>
      <c r="J52" s="8" t="s">
        <v>43</v>
      </c>
      <c r="K52" s="9"/>
    </row>
    <row r="53" spans="1:11" x14ac:dyDescent="0.3">
      <c r="A53" s="7" t="s">
        <v>132</v>
      </c>
      <c r="B53" s="28">
        <v>2</v>
      </c>
      <c r="C53" s="101">
        <v>3</v>
      </c>
      <c r="D53" s="27">
        <v>3401</v>
      </c>
      <c r="E53" s="101" t="s">
        <v>180</v>
      </c>
      <c r="F53" s="27">
        <v>47875</v>
      </c>
      <c r="G53" s="101">
        <v>34348</v>
      </c>
      <c r="H53" s="27">
        <v>666</v>
      </c>
      <c r="I53" s="108">
        <v>1227</v>
      </c>
      <c r="J53" s="8" t="s">
        <v>44</v>
      </c>
      <c r="K53" s="9"/>
    </row>
    <row r="54" spans="1:11" x14ac:dyDescent="0.3">
      <c r="A54" s="39" t="s">
        <v>45</v>
      </c>
      <c r="B54" s="79">
        <f>SUM(B56:B60)</f>
        <v>9</v>
      </c>
      <c r="C54" s="80">
        <f t="shared" ref="C54:H54" si="12">SUM(C56:C60)</f>
        <v>11</v>
      </c>
      <c r="D54" s="80">
        <f t="shared" si="12"/>
        <v>566</v>
      </c>
      <c r="E54" s="80">
        <f t="shared" si="12"/>
        <v>0</v>
      </c>
      <c r="F54" s="88">
        <f t="shared" si="12"/>
        <v>96977</v>
      </c>
      <c r="G54" s="80">
        <f>SUM(G56:G60)</f>
        <v>77320</v>
      </c>
      <c r="H54" s="80">
        <f t="shared" si="12"/>
        <v>156</v>
      </c>
      <c r="I54" s="81">
        <f t="shared" ref="I54" si="13">SUM(I56:I60)</f>
        <v>11967</v>
      </c>
      <c r="J54" s="46" t="s">
        <v>46</v>
      </c>
      <c r="K54" s="46"/>
    </row>
    <row r="55" spans="1:11" x14ac:dyDescent="0.3">
      <c r="A55" s="39"/>
      <c r="B55" s="79"/>
      <c r="C55" s="80"/>
      <c r="D55" s="80"/>
      <c r="E55" s="80"/>
      <c r="F55" s="88"/>
      <c r="G55" s="80"/>
      <c r="H55" s="80"/>
      <c r="I55" s="81"/>
      <c r="J55" s="46"/>
      <c r="K55" s="46"/>
    </row>
    <row r="56" spans="1:11" x14ac:dyDescent="0.3">
      <c r="A56" s="7" t="s">
        <v>133</v>
      </c>
      <c r="B56" s="28">
        <v>4</v>
      </c>
      <c r="C56" s="101" t="s">
        <v>180</v>
      </c>
      <c r="D56" s="27">
        <v>25</v>
      </c>
      <c r="E56" s="101" t="s">
        <v>180</v>
      </c>
      <c r="F56" s="27">
        <v>2215</v>
      </c>
      <c r="G56" s="101">
        <v>1242</v>
      </c>
      <c r="H56" s="27">
        <v>46</v>
      </c>
      <c r="I56" s="108">
        <v>33</v>
      </c>
      <c r="J56" s="8" t="s">
        <v>47</v>
      </c>
      <c r="K56" s="9"/>
    </row>
    <row r="57" spans="1:11" x14ac:dyDescent="0.3">
      <c r="A57" s="7" t="s">
        <v>134</v>
      </c>
      <c r="B57" s="28" t="s">
        <v>180</v>
      </c>
      <c r="C57" s="101">
        <v>1</v>
      </c>
      <c r="D57" s="27">
        <v>46</v>
      </c>
      <c r="E57" s="101" t="s">
        <v>180</v>
      </c>
      <c r="F57" s="27">
        <v>5757</v>
      </c>
      <c r="G57" s="101">
        <v>5777</v>
      </c>
      <c r="H57" s="27">
        <v>24</v>
      </c>
      <c r="I57" s="108">
        <v>11789</v>
      </c>
      <c r="J57" s="8" t="s">
        <v>48</v>
      </c>
      <c r="K57" s="9"/>
    </row>
    <row r="58" spans="1:11" x14ac:dyDescent="0.3">
      <c r="A58" s="7" t="s">
        <v>135</v>
      </c>
      <c r="B58" s="28" t="s">
        <v>180</v>
      </c>
      <c r="C58" s="101" t="s">
        <v>180</v>
      </c>
      <c r="D58" s="27" t="s">
        <v>180</v>
      </c>
      <c r="E58" s="101" t="s">
        <v>180</v>
      </c>
      <c r="F58" s="27">
        <v>3723</v>
      </c>
      <c r="G58" s="101">
        <v>4730</v>
      </c>
      <c r="H58" s="27">
        <v>40</v>
      </c>
      <c r="I58" s="108" t="s">
        <v>180</v>
      </c>
      <c r="J58" s="8" t="s">
        <v>49</v>
      </c>
      <c r="K58" s="9"/>
    </row>
    <row r="59" spans="1:11" x14ac:dyDescent="0.3">
      <c r="A59" s="7" t="s">
        <v>136</v>
      </c>
      <c r="B59" s="28">
        <v>2</v>
      </c>
      <c r="C59" s="101" t="s">
        <v>180</v>
      </c>
      <c r="D59" s="27">
        <v>366</v>
      </c>
      <c r="E59" s="101" t="s">
        <v>180</v>
      </c>
      <c r="F59" s="27">
        <v>84310</v>
      </c>
      <c r="G59" s="101">
        <v>64745</v>
      </c>
      <c r="H59" s="27">
        <v>46</v>
      </c>
      <c r="I59" s="108" t="s">
        <v>180</v>
      </c>
      <c r="J59" s="8" t="s">
        <v>50</v>
      </c>
      <c r="K59" s="9"/>
    </row>
    <row r="60" spans="1:11" x14ac:dyDescent="0.3">
      <c r="A60" s="7" t="s">
        <v>137</v>
      </c>
      <c r="B60" s="28">
        <v>3</v>
      </c>
      <c r="C60" s="101">
        <v>10</v>
      </c>
      <c r="D60" s="27">
        <v>129</v>
      </c>
      <c r="E60" s="101" t="s">
        <v>180</v>
      </c>
      <c r="F60" s="27">
        <v>972</v>
      </c>
      <c r="G60" s="101">
        <v>826</v>
      </c>
      <c r="H60" s="27" t="s">
        <v>180</v>
      </c>
      <c r="I60" s="108">
        <v>145</v>
      </c>
      <c r="J60" s="8" t="s">
        <v>51</v>
      </c>
      <c r="K60" s="9"/>
    </row>
    <row r="61" spans="1:11" x14ac:dyDescent="0.3">
      <c r="A61" s="39" t="s">
        <v>52</v>
      </c>
      <c r="B61" s="79">
        <f>SUM(B63:B65)</f>
        <v>29</v>
      </c>
      <c r="C61" s="80">
        <f t="shared" ref="C61:H61" si="14">SUM(C63:C65)</f>
        <v>15</v>
      </c>
      <c r="D61" s="80">
        <f t="shared" si="14"/>
        <v>10778</v>
      </c>
      <c r="E61" s="80">
        <f t="shared" si="14"/>
        <v>0</v>
      </c>
      <c r="F61" s="88">
        <f t="shared" si="14"/>
        <v>1397448</v>
      </c>
      <c r="G61" s="80">
        <f>SUM(G63:G65)</f>
        <v>393819</v>
      </c>
      <c r="H61" s="80">
        <f t="shared" si="14"/>
        <v>169879</v>
      </c>
      <c r="I61" s="81">
        <f t="shared" ref="I61" si="15">SUM(I63:I65)</f>
        <v>97843</v>
      </c>
      <c r="J61" s="46" t="s">
        <v>53</v>
      </c>
      <c r="K61" s="46"/>
    </row>
    <row r="62" spans="1:11" x14ac:dyDescent="0.3">
      <c r="A62" s="39"/>
      <c r="B62" s="79"/>
      <c r="C62" s="80"/>
      <c r="D62" s="80"/>
      <c r="E62" s="80"/>
      <c r="F62" s="88"/>
      <c r="G62" s="80"/>
      <c r="H62" s="80"/>
      <c r="I62" s="81"/>
      <c r="J62" s="46"/>
      <c r="K62" s="46"/>
    </row>
    <row r="63" spans="1:11" x14ac:dyDescent="0.3">
      <c r="A63" s="7" t="s">
        <v>138</v>
      </c>
      <c r="B63" s="28">
        <v>5</v>
      </c>
      <c r="C63" s="101">
        <v>5</v>
      </c>
      <c r="D63" s="27">
        <v>553</v>
      </c>
      <c r="E63" s="101" t="s">
        <v>180</v>
      </c>
      <c r="F63" s="27">
        <v>378323</v>
      </c>
      <c r="G63" s="101">
        <v>91778</v>
      </c>
      <c r="H63" s="27">
        <v>553</v>
      </c>
      <c r="I63" s="108">
        <v>4276</v>
      </c>
      <c r="J63" s="8" t="s">
        <v>54</v>
      </c>
      <c r="K63" s="9"/>
    </row>
    <row r="64" spans="1:11" x14ac:dyDescent="0.3">
      <c r="A64" s="7" t="s">
        <v>139</v>
      </c>
      <c r="B64" s="28">
        <v>24</v>
      </c>
      <c r="C64" s="101">
        <v>10</v>
      </c>
      <c r="D64" s="27">
        <v>7798</v>
      </c>
      <c r="E64" s="101" t="s">
        <v>180</v>
      </c>
      <c r="F64" s="27">
        <v>643311</v>
      </c>
      <c r="G64" s="101">
        <v>218553</v>
      </c>
      <c r="H64" s="27">
        <v>162735</v>
      </c>
      <c r="I64" s="108">
        <v>73718</v>
      </c>
      <c r="J64" s="8" t="s">
        <v>55</v>
      </c>
      <c r="K64" s="9"/>
    </row>
    <row r="65" spans="1:11" x14ac:dyDescent="0.3">
      <c r="A65" s="7" t="s">
        <v>140</v>
      </c>
      <c r="B65" s="28" t="s">
        <v>180</v>
      </c>
      <c r="C65" s="101" t="s">
        <v>180</v>
      </c>
      <c r="D65" s="27">
        <v>2427</v>
      </c>
      <c r="E65" s="101" t="s">
        <v>180</v>
      </c>
      <c r="F65" s="27">
        <v>375814</v>
      </c>
      <c r="G65" s="101">
        <v>83488</v>
      </c>
      <c r="H65" s="27">
        <v>6591</v>
      </c>
      <c r="I65" s="108">
        <v>19849</v>
      </c>
      <c r="J65" s="8" t="s">
        <v>56</v>
      </c>
      <c r="K65" s="9"/>
    </row>
    <row r="66" spans="1:11" x14ac:dyDescent="0.3">
      <c r="A66" s="39" t="s">
        <v>57</v>
      </c>
      <c r="B66" s="82">
        <f>SUM(B68:B72)</f>
        <v>7</v>
      </c>
      <c r="C66" s="83">
        <f t="shared" ref="C66:H66" si="16">SUM(C68:C72)</f>
        <v>6</v>
      </c>
      <c r="D66" s="83">
        <f t="shared" si="16"/>
        <v>3728</v>
      </c>
      <c r="E66" s="80">
        <f t="shared" si="16"/>
        <v>0</v>
      </c>
      <c r="F66" s="107">
        <f t="shared" si="16"/>
        <v>337383</v>
      </c>
      <c r="G66" s="83">
        <f>SUM(G68:G72)</f>
        <v>346583</v>
      </c>
      <c r="H66" s="80">
        <f t="shared" si="16"/>
        <v>81373</v>
      </c>
      <c r="I66" s="81">
        <f t="shared" ref="I66" si="17">SUM(I68:I72)</f>
        <v>15994</v>
      </c>
      <c r="J66" s="46" t="s">
        <v>58</v>
      </c>
      <c r="K66" s="46"/>
    </row>
    <row r="67" spans="1:11" x14ac:dyDescent="0.3">
      <c r="A67" s="39"/>
      <c r="B67" s="82"/>
      <c r="C67" s="83"/>
      <c r="D67" s="83"/>
      <c r="E67" s="80"/>
      <c r="F67" s="107"/>
      <c r="G67" s="83"/>
      <c r="H67" s="80"/>
      <c r="I67" s="81"/>
      <c r="J67" s="46"/>
      <c r="K67" s="46"/>
    </row>
    <row r="68" spans="1:11" x14ac:dyDescent="0.3">
      <c r="A68" s="7" t="s">
        <v>141</v>
      </c>
      <c r="B68" s="28" t="s">
        <v>180</v>
      </c>
      <c r="C68" s="101" t="s">
        <v>180</v>
      </c>
      <c r="D68" s="27">
        <v>415</v>
      </c>
      <c r="E68" s="101" t="s">
        <v>180</v>
      </c>
      <c r="F68" s="27">
        <v>95389</v>
      </c>
      <c r="G68" s="101">
        <v>68647</v>
      </c>
      <c r="H68" s="27">
        <v>1036</v>
      </c>
      <c r="I68" s="108">
        <v>8050</v>
      </c>
      <c r="J68" s="8" t="s">
        <v>59</v>
      </c>
      <c r="K68" s="9"/>
    </row>
    <row r="69" spans="1:11" x14ac:dyDescent="0.3">
      <c r="A69" s="7" t="s">
        <v>142</v>
      </c>
      <c r="B69" s="28" t="s">
        <v>180</v>
      </c>
      <c r="C69" s="101" t="s">
        <v>180</v>
      </c>
      <c r="D69" s="27">
        <v>252</v>
      </c>
      <c r="E69" s="101" t="s">
        <v>180</v>
      </c>
      <c r="F69" s="27">
        <v>55466</v>
      </c>
      <c r="G69" s="101">
        <v>65425</v>
      </c>
      <c r="H69" s="27">
        <v>27872</v>
      </c>
      <c r="I69" s="108">
        <v>1985</v>
      </c>
      <c r="J69" s="8" t="s">
        <v>60</v>
      </c>
      <c r="K69" s="9"/>
    </row>
    <row r="70" spans="1:11" x14ac:dyDescent="0.3">
      <c r="A70" s="7" t="s">
        <v>143</v>
      </c>
      <c r="B70" s="28" t="s">
        <v>180</v>
      </c>
      <c r="C70" s="101" t="s">
        <v>180</v>
      </c>
      <c r="D70" s="27">
        <v>306</v>
      </c>
      <c r="E70" s="101" t="s">
        <v>180</v>
      </c>
      <c r="F70" s="27">
        <v>53412</v>
      </c>
      <c r="G70" s="101">
        <v>44039</v>
      </c>
      <c r="H70" s="27">
        <v>30988</v>
      </c>
      <c r="I70" s="108">
        <v>3580</v>
      </c>
      <c r="J70" s="8" t="s">
        <v>61</v>
      </c>
      <c r="K70" s="9"/>
    </row>
    <row r="71" spans="1:11" x14ac:dyDescent="0.3">
      <c r="A71" s="7" t="s">
        <v>144</v>
      </c>
      <c r="B71" s="28" t="s">
        <v>180</v>
      </c>
      <c r="C71" s="101" t="s">
        <v>180</v>
      </c>
      <c r="D71" s="27">
        <v>2279</v>
      </c>
      <c r="E71" s="101" t="s">
        <v>180</v>
      </c>
      <c r="F71" s="27">
        <v>70793</v>
      </c>
      <c r="G71" s="101">
        <v>131687</v>
      </c>
      <c r="H71" s="27">
        <v>21114</v>
      </c>
      <c r="I71" s="108">
        <v>280</v>
      </c>
      <c r="J71" s="8" t="s">
        <v>62</v>
      </c>
      <c r="K71" s="9"/>
    </row>
    <row r="72" spans="1:11" x14ac:dyDescent="0.3">
      <c r="A72" s="7" t="s">
        <v>145</v>
      </c>
      <c r="B72" s="28">
        <v>7</v>
      </c>
      <c r="C72" s="101">
        <v>6</v>
      </c>
      <c r="D72" s="27">
        <v>476</v>
      </c>
      <c r="E72" s="101" t="s">
        <v>180</v>
      </c>
      <c r="F72" s="27">
        <v>62323</v>
      </c>
      <c r="G72" s="101">
        <v>36785</v>
      </c>
      <c r="H72" s="27">
        <v>363</v>
      </c>
      <c r="I72" s="108">
        <v>2099</v>
      </c>
      <c r="J72" s="8" t="s">
        <v>63</v>
      </c>
      <c r="K72" s="9"/>
    </row>
    <row r="73" spans="1:11" x14ac:dyDescent="0.3">
      <c r="A73" s="39" t="s">
        <v>64</v>
      </c>
      <c r="B73" s="89">
        <f>SUM(B75:B82)</f>
        <v>1</v>
      </c>
      <c r="C73" s="90">
        <f t="shared" ref="C73:H73" si="18">SUM(C75:C82)</f>
        <v>0</v>
      </c>
      <c r="D73" s="90">
        <f t="shared" si="18"/>
        <v>126</v>
      </c>
      <c r="E73" s="90">
        <f t="shared" si="18"/>
        <v>0</v>
      </c>
      <c r="F73" s="91">
        <f t="shared" si="18"/>
        <v>47663</v>
      </c>
      <c r="G73" s="90">
        <f>SUM(G75:G82)</f>
        <v>18797</v>
      </c>
      <c r="H73" s="90">
        <f t="shared" si="18"/>
        <v>10613</v>
      </c>
      <c r="I73" s="92">
        <f t="shared" ref="I73" si="19">SUM(I75:I82)</f>
        <v>0</v>
      </c>
      <c r="J73" s="46" t="s">
        <v>65</v>
      </c>
      <c r="K73" s="46"/>
    </row>
    <row r="74" spans="1:11" x14ac:dyDescent="0.3">
      <c r="A74" s="39"/>
      <c r="B74" s="89"/>
      <c r="C74" s="90"/>
      <c r="D74" s="90"/>
      <c r="E74" s="90"/>
      <c r="F74" s="91"/>
      <c r="G74" s="90"/>
      <c r="H74" s="90"/>
      <c r="I74" s="92"/>
      <c r="J74" s="46"/>
      <c r="K74" s="46"/>
    </row>
    <row r="75" spans="1:11" x14ac:dyDescent="0.3">
      <c r="A75" s="12" t="s">
        <v>172</v>
      </c>
      <c r="B75" s="28" t="s">
        <v>180</v>
      </c>
      <c r="C75" s="101" t="s">
        <v>180</v>
      </c>
      <c r="D75" s="27" t="s">
        <v>180</v>
      </c>
      <c r="E75" s="101" t="s">
        <v>180</v>
      </c>
      <c r="F75" s="27" t="s">
        <v>180</v>
      </c>
      <c r="G75" s="101" t="s">
        <v>180</v>
      </c>
      <c r="H75" s="27" t="s">
        <v>180</v>
      </c>
      <c r="I75" s="108" t="s">
        <v>180</v>
      </c>
      <c r="J75" s="8" t="s">
        <v>66</v>
      </c>
      <c r="K75" s="9"/>
    </row>
    <row r="76" spans="1:11" x14ac:dyDescent="0.3">
      <c r="A76" s="12" t="s">
        <v>173</v>
      </c>
      <c r="B76" s="28" t="s">
        <v>180</v>
      </c>
      <c r="C76" s="101" t="s">
        <v>180</v>
      </c>
      <c r="D76" s="27" t="s">
        <v>180</v>
      </c>
      <c r="E76" s="101" t="s">
        <v>180</v>
      </c>
      <c r="F76" s="27">
        <v>15</v>
      </c>
      <c r="G76" s="101">
        <v>275</v>
      </c>
      <c r="H76" s="27" t="s">
        <v>180</v>
      </c>
      <c r="I76" s="108" t="s">
        <v>180</v>
      </c>
      <c r="J76" s="8" t="s">
        <v>67</v>
      </c>
      <c r="K76" s="9"/>
    </row>
    <row r="77" spans="1:11" x14ac:dyDescent="0.3">
      <c r="A77" s="12" t="s">
        <v>174</v>
      </c>
      <c r="B77" s="28" t="s">
        <v>180</v>
      </c>
      <c r="C77" s="101" t="s">
        <v>180</v>
      </c>
      <c r="D77" s="27" t="s">
        <v>180</v>
      </c>
      <c r="E77" s="101" t="s">
        <v>180</v>
      </c>
      <c r="F77" s="27" t="s">
        <v>180</v>
      </c>
      <c r="G77" s="101" t="s">
        <v>180</v>
      </c>
      <c r="H77" s="27" t="s">
        <v>180</v>
      </c>
      <c r="I77" s="108" t="s">
        <v>180</v>
      </c>
      <c r="J77" s="8" t="s">
        <v>68</v>
      </c>
      <c r="K77" s="9"/>
    </row>
    <row r="78" spans="1:11" x14ac:dyDescent="0.3">
      <c r="A78" s="12" t="s">
        <v>175</v>
      </c>
      <c r="B78" s="28" t="s">
        <v>180</v>
      </c>
      <c r="C78" s="101" t="s">
        <v>180</v>
      </c>
      <c r="D78" s="27" t="s">
        <v>180</v>
      </c>
      <c r="E78" s="101" t="s">
        <v>180</v>
      </c>
      <c r="F78" s="27" t="s">
        <v>180</v>
      </c>
      <c r="G78" s="101" t="s">
        <v>180</v>
      </c>
      <c r="H78" s="27" t="s">
        <v>180</v>
      </c>
      <c r="I78" s="108" t="s">
        <v>180</v>
      </c>
      <c r="J78" s="8" t="s">
        <v>69</v>
      </c>
      <c r="K78" s="9"/>
    </row>
    <row r="79" spans="1:11" x14ac:dyDescent="0.3">
      <c r="A79" s="12" t="s">
        <v>176</v>
      </c>
      <c r="B79" s="28" t="s">
        <v>180</v>
      </c>
      <c r="C79" s="101" t="s">
        <v>180</v>
      </c>
      <c r="D79" s="27">
        <v>16</v>
      </c>
      <c r="E79" s="101" t="s">
        <v>180</v>
      </c>
      <c r="F79" s="27">
        <v>17613</v>
      </c>
      <c r="G79" s="101">
        <v>3598</v>
      </c>
      <c r="H79" s="27">
        <v>3488</v>
      </c>
      <c r="I79" s="108" t="s">
        <v>180</v>
      </c>
      <c r="J79" s="8" t="s">
        <v>70</v>
      </c>
      <c r="K79" s="9"/>
    </row>
    <row r="80" spans="1:11" x14ac:dyDescent="0.3">
      <c r="A80" s="12" t="s">
        <v>177</v>
      </c>
      <c r="B80" s="28" t="s">
        <v>180</v>
      </c>
      <c r="C80" s="101" t="s">
        <v>180</v>
      </c>
      <c r="D80" s="27">
        <v>68</v>
      </c>
      <c r="E80" s="101" t="s">
        <v>180</v>
      </c>
      <c r="F80" s="27">
        <v>23381</v>
      </c>
      <c r="G80" s="101">
        <v>9269</v>
      </c>
      <c r="H80" s="27">
        <v>7125</v>
      </c>
      <c r="I80" s="108" t="s">
        <v>180</v>
      </c>
      <c r="J80" s="8" t="s">
        <v>71</v>
      </c>
      <c r="K80" s="9"/>
    </row>
    <row r="81" spans="1:11" x14ac:dyDescent="0.3">
      <c r="A81" s="12" t="s">
        <v>178</v>
      </c>
      <c r="B81" s="28" t="s">
        <v>180</v>
      </c>
      <c r="C81" s="101" t="s">
        <v>180</v>
      </c>
      <c r="D81" s="27" t="s">
        <v>180</v>
      </c>
      <c r="E81" s="101" t="s">
        <v>180</v>
      </c>
      <c r="F81" s="27" t="s">
        <v>180</v>
      </c>
      <c r="G81" s="101" t="s">
        <v>180</v>
      </c>
      <c r="H81" s="27" t="s">
        <v>180</v>
      </c>
      <c r="I81" s="108" t="s">
        <v>180</v>
      </c>
      <c r="J81" s="8" t="s">
        <v>72</v>
      </c>
      <c r="K81" s="9"/>
    </row>
    <row r="82" spans="1:11" x14ac:dyDescent="0.3">
      <c r="A82" s="12" t="s">
        <v>179</v>
      </c>
      <c r="B82" s="28">
        <v>1</v>
      </c>
      <c r="C82" s="101" t="s">
        <v>180</v>
      </c>
      <c r="D82" s="27">
        <v>42</v>
      </c>
      <c r="E82" s="101" t="s">
        <v>180</v>
      </c>
      <c r="F82" s="27">
        <v>6654</v>
      </c>
      <c r="G82" s="101">
        <v>5655</v>
      </c>
      <c r="H82" s="27" t="s">
        <v>180</v>
      </c>
      <c r="I82" s="108" t="s">
        <v>180</v>
      </c>
      <c r="J82" s="8" t="s">
        <v>73</v>
      </c>
      <c r="K82" s="9"/>
    </row>
    <row r="83" spans="1:11" x14ac:dyDescent="0.3">
      <c r="A83" s="39" t="s">
        <v>74</v>
      </c>
      <c r="B83" s="93">
        <f>SUM(B85:B89)</f>
        <v>32</v>
      </c>
      <c r="C83" s="94">
        <f t="shared" ref="C83:H83" si="20">SUM(C85:C89)</f>
        <v>31</v>
      </c>
      <c r="D83" s="94">
        <f t="shared" si="20"/>
        <v>1194</v>
      </c>
      <c r="E83" s="90">
        <f t="shared" si="20"/>
        <v>0</v>
      </c>
      <c r="F83" s="109">
        <f t="shared" si="20"/>
        <v>481872</v>
      </c>
      <c r="G83" s="94">
        <f>SUM(G85:G89)</f>
        <v>78423</v>
      </c>
      <c r="H83" s="90">
        <f t="shared" si="20"/>
        <v>4320</v>
      </c>
      <c r="I83" s="92">
        <f t="shared" ref="I83" si="21">SUM(I85:I89)</f>
        <v>24290</v>
      </c>
      <c r="J83" s="46" t="s">
        <v>75</v>
      </c>
      <c r="K83" s="46"/>
    </row>
    <row r="84" spans="1:11" x14ac:dyDescent="0.3">
      <c r="A84" s="39"/>
      <c r="B84" s="93"/>
      <c r="C84" s="94"/>
      <c r="D84" s="94"/>
      <c r="E84" s="90"/>
      <c r="F84" s="109"/>
      <c r="G84" s="94"/>
      <c r="H84" s="90"/>
      <c r="I84" s="92"/>
      <c r="J84" s="46"/>
      <c r="K84" s="46"/>
    </row>
    <row r="85" spans="1:11" x14ac:dyDescent="0.3">
      <c r="A85" s="7" t="s">
        <v>146</v>
      </c>
      <c r="B85" s="28">
        <v>22</v>
      </c>
      <c r="C85" s="101">
        <v>24</v>
      </c>
      <c r="D85" s="27">
        <v>543</v>
      </c>
      <c r="E85" s="101" t="s">
        <v>180</v>
      </c>
      <c r="F85" s="27">
        <v>399844</v>
      </c>
      <c r="G85" s="101">
        <v>28185</v>
      </c>
      <c r="H85" s="27">
        <v>1390</v>
      </c>
      <c r="I85" s="108">
        <v>1338</v>
      </c>
      <c r="J85" s="8" t="s">
        <v>76</v>
      </c>
      <c r="K85" s="9"/>
    </row>
    <row r="86" spans="1:11" x14ac:dyDescent="0.3">
      <c r="A86" s="7" t="s">
        <v>147</v>
      </c>
      <c r="B86" s="28">
        <v>4</v>
      </c>
      <c r="C86" s="101">
        <v>4</v>
      </c>
      <c r="D86" s="27">
        <v>19</v>
      </c>
      <c r="E86" s="101" t="s">
        <v>180</v>
      </c>
      <c r="F86" s="27">
        <v>5295</v>
      </c>
      <c r="G86" s="101">
        <v>16860</v>
      </c>
      <c r="H86" s="27">
        <v>1955</v>
      </c>
      <c r="I86" s="108">
        <v>20850</v>
      </c>
      <c r="J86" s="8" t="s">
        <v>77</v>
      </c>
      <c r="K86" s="9"/>
    </row>
    <row r="87" spans="1:11" x14ac:dyDescent="0.3">
      <c r="A87" s="7" t="s">
        <v>148</v>
      </c>
      <c r="B87" s="28">
        <v>2</v>
      </c>
      <c r="C87" s="101" t="s">
        <v>180</v>
      </c>
      <c r="D87" s="27">
        <v>125</v>
      </c>
      <c r="E87" s="101" t="s">
        <v>180</v>
      </c>
      <c r="F87" s="27">
        <v>71090</v>
      </c>
      <c r="G87" s="101">
        <v>9840</v>
      </c>
      <c r="H87" s="27">
        <v>174</v>
      </c>
      <c r="I87" s="108" t="s">
        <v>180</v>
      </c>
      <c r="J87" s="8" t="s">
        <v>78</v>
      </c>
      <c r="K87" s="9"/>
    </row>
    <row r="88" spans="1:11" x14ac:dyDescent="0.3">
      <c r="A88" s="7" t="s">
        <v>149</v>
      </c>
      <c r="B88" s="28">
        <v>3</v>
      </c>
      <c r="C88" s="101" t="s">
        <v>180</v>
      </c>
      <c r="D88" s="27">
        <v>4</v>
      </c>
      <c r="E88" s="101" t="s">
        <v>180</v>
      </c>
      <c r="F88" s="27">
        <v>934</v>
      </c>
      <c r="G88" s="101">
        <v>4153</v>
      </c>
      <c r="H88" s="27">
        <v>323</v>
      </c>
      <c r="I88" s="108">
        <v>452</v>
      </c>
      <c r="J88" s="8" t="s">
        <v>79</v>
      </c>
      <c r="K88" s="9"/>
    </row>
    <row r="89" spans="1:11" x14ac:dyDescent="0.3">
      <c r="A89" s="7" t="s">
        <v>150</v>
      </c>
      <c r="B89" s="28">
        <v>1</v>
      </c>
      <c r="C89" s="101">
        <v>3</v>
      </c>
      <c r="D89" s="27">
        <v>503</v>
      </c>
      <c r="E89" s="101" t="s">
        <v>180</v>
      </c>
      <c r="F89" s="27">
        <v>4709</v>
      </c>
      <c r="G89" s="101">
        <v>19385</v>
      </c>
      <c r="H89" s="27">
        <v>478</v>
      </c>
      <c r="I89" s="108">
        <v>1650</v>
      </c>
      <c r="J89" s="8" t="s">
        <v>80</v>
      </c>
      <c r="K89" s="9"/>
    </row>
    <row r="90" spans="1:11" x14ac:dyDescent="0.3">
      <c r="A90" s="39" t="s">
        <v>81</v>
      </c>
      <c r="B90" s="93">
        <f>SUM(B92:B104)</f>
        <v>13</v>
      </c>
      <c r="C90" s="94">
        <f t="shared" ref="C90:H90" si="22">SUM(C92:C104)</f>
        <v>33</v>
      </c>
      <c r="D90" s="94">
        <f t="shared" si="22"/>
        <v>4029</v>
      </c>
      <c r="E90" s="90">
        <f t="shared" si="22"/>
        <v>0</v>
      </c>
      <c r="F90" s="109">
        <f t="shared" si="22"/>
        <v>173094</v>
      </c>
      <c r="G90" s="94">
        <f>SUM(G92:G104)</f>
        <v>195405</v>
      </c>
      <c r="H90" s="90">
        <f t="shared" si="22"/>
        <v>10529</v>
      </c>
      <c r="I90" s="92">
        <f t="shared" ref="I90" si="23">SUM(I92:I104)</f>
        <v>34579</v>
      </c>
      <c r="J90" s="46" t="s">
        <v>82</v>
      </c>
      <c r="K90" s="46"/>
    </row>
    <row r="91" spans="1:11" x14ac:dyDescent="0.3">
      <c r="A91" s="39"/>
      <c r="B91" s="93"/>
      <c r="C91" s="94"/>
      <c r="D91" s="94"/>
      <c r="E91" s="90"/>
      <c r="F91" s="109"/>
      <c r="G91" s="94"/>
      <c r="H91" s="90"/>
      <c r="I91" s="92"/>
      <c r="J91" s="46"/>
      <c r="K91" s="46"/>
    </row>
    <row r="92" spans="1:11" x14ac:dyDescent="0.3">
      <c r="A92" s="7" t="s">
        <v>151</v>
      </c>
      <c r="B92" s="28" t="s">
        <v>180</v>
      </c>
      <c r="C92" s="101" t="s">
        <v>180</v>
      </c>
      <c r="D92" s="27">
        <v>81</v>
      </c>
      <c r="E92" s="101" t="s">
        <v>180</v>
      </c>
      <c r="F92" s="27">
        <v>1288</v>
      </c>
      <c r="G92" s="101">
        <v>1921</v>
      </c>
      <c r="H92" s="27">
        <v>110</v>
      </c>
      <c r="I92" s="108">
        <v>287</v>
      </c>
      <c r="J92" s="8" t="s">
        <v>83</v>
      </c>
      <c r="K92" s="9"/>
    </row>
    <row r="93" spans="1:11" x14ac:dyDescent="0.3">
      <c r="A93" s="7" t="s">
        <v>152</v>
      </c>
      <c r="B93" s="28" t="s">
        <v>180</v>
      </c>
      <c r="C93" s="101">
        <v>2</v>
      </c>
      <c r="D93" s="27">
        <v>307</v>
      </c>
      <c r="E93" s="101" t="s">
        <v>180</v>
      </c>
      <c r="F93" s="27">
        <v>26389</v>
      </c>
      <c r="G93" s="101">
        <v>12044</v>
      </c>
      <c r="H93" s="27">
        <v>1147</v>
      </c>
      <c r="I93" s="108">
        <v>1195</v>
      </c>
      <c r="J93" s="8" t="s">
        <v>84</v>
      </c>
      <c r="K93" s="9"/>
    </row>
    <row r="94" spans="1:11" x14ac:dyDescent="0.3">
      <c r="A94" s="7" t="s">
        <v>153</v>
      </c>
      <c r="B94" s="28" t="s">
        <v>180</v>
      </c>
      <c r="C94" s="101">
        <v>6</v>
      </c>
      <c r="D94" s="27">
        <v>57</v>
      </c>
      <c r="E94" s="101" t="s">
        <v>180</v>
      </c>
      <c r="F94" s="27">
        <v>821</v>
      </c>
      <c r="G94" s="101">
        <v>4962</v>
      </c>
      <c r="H94" s="27">
        <v>2216</v>
      </c>
      <c r="I94" s="108">
        <v>4620</v>
      </c>
      <c r="J94" s="8" t="s">
        <v>85</v>
      </c>
      <c r="K94" s="9"/>
    </row>
    <row r="95" spans="1:11" x14ac:dyDescent="0.3">
      <c r="A95" s="7" t="s">
        <v>154</v>
      </c>
      <c r="B95" s="28" t="s">
        <v>180</v>
      </c>
      <c r="C95" s="101" t="s">
        <v>180</v>
      </c>
      <c r="D95" s="27">
        <v>27</v>
      </c>
      <c r="E95" s="101" t="s">
        <v>180</v>
      </c>
      <c r="F95" s="27">
        <v>10900</v>
      </c>
      <c r="G95" s="101">
        <v>30100</v>
      </c>
      <c r="H95" s="27">
        <v>134</v>
      </c>
      <c r="I95" s="108">
        <v>10710</v>
      </c>
      <c r="J95" s="8" t="s">
        <v>86</v>
      </c>
      <c r="K95" s="9"/>
    </row>
    <row r="96" spans="1:11" x14ac:dyDescent="0.3">
      <c r="A96" s="7" t="s">
        <v>155</v>
      </c>
      <c r="B96" s="28" t="s">
        <v>180</v>
      </c>
      <c r="C96" s="101">
        <v>2</v>
      </c>
      <c r="D96" s="27" t="s">
        <v>180</v>
      </c>
      <c r="E96" s="101" t="s">
        <v>180</v>
      </c>
      <c r="F96" s="27">
        <v>7574</v>
      </c>
      <c r="G96" s="101">
        <v>5519</v>
      </c>
      <c r="H96" s="27" t="s">
        <v>180</v>
      </c>
      <c r="I96" s="108">
        <v>1685</v>
      </c>
      <c r="J96" s="8" t="s">
        <v>87</v>
      </c>
      <c r="K96" s="9"/>
    </row>
    <row r="97" spans="1:11" x14ac:dyDescent="0.3">
      <c r="A97" s="7" t="s">
        <v>156</v>
      </c>
      <c r="B97" s="28">
        <v>1</v>
      </c>
      <c r="C97" s="101">
        <v>4</v>
      </c>
      <c r="D97" s="27">
        <v>121</v>
      </c>
      <c r="E97" s="101" t="s">
        <v>180</v>
      </c>
      <c r="F97" s="27">
        <v>13045</v>
      </c>
      <c r="G97" s="101">
        <v>16029</v>
      </c>
      <c r="H97" s="27">
        <v>1292</v>
      </c>
      <c r="I97" s="108" t="s">
        <v>180</v>
      </c>
      <c r="J97" s="8" t="s">
        <v>88</v>
      </c>
      <c r="K97" s="9"/>
    </row>
    <row r="98" spans="1:11" x14ac:dyDescent="0.3">
      <c r="A98" s="7" t="s">
        <v>157</v>
      </c>
      <c r="B98" s="28" t="s">
        <v>180</v>
      </c>
      <c r="C98" s="101" t="s">
        <v>180</v>
      </c>
      <c r="D98" s="27">
        <v>210</v>
      </c>
      <c r="E98" s="101" t="s">
        <v>180</v>
      </c>
      <c r="F98" s="27">
        <v>8300</v>
      </c>
      <c r="G98" s="101">
        <v>7559</v>
      </c>
      <c r="H98" s="27">
        <v>1307</v>
      </c>
      <c r="I98" s="108">
        <v>1580</v>
      </c>
      <c r="J98" s="8" t="s">
        <v>89</v>
      </c>
      <c r="K98" s="9"/>
    </row>
    <row r="99" spans="1:11" x14ac:dyDescent="0.3">
      <c r="A99" s="7" t="s">
        <v>158</v>
      </c>
      <c r="B99" s="28">
        <v>2</v>
      </c>
      <c r="C99" s="101">
        <v>2</v>
      </c>
      <c r="D99" s="27">
        <v>25</v>
      </c>
      <c r="E99" s="101" t="s">
        <v>180</v>
      </c>
      <c r="F99" s="27">
        <v>5179</v>
      </c>
      <c r="G99" s="101">
        <v>7993</v>
      </c>
      <c r="H99" s="27">
        <v>544</v>
      </c>
      <c r="I99" s="108">
        <v>1475</v>
      </c>
      <c r="J99" s="8" t="s">
        <v>90</v>
      </c>
      <c r="K99" s="9"/>
    </row>
    <row r="100" spans="1:11" x14ac:dyDescent="0.3">
      <c r="A100" s="7" t="s">
        <v>159</v>
      </c>
      <c r="B100" s="28" t="s">
        <v>180</v>
      </c>
      <c r="C100" s="101" t="s">
        <v>180</v>
      </c>
      <c r="D100" s="27">
        <v>102</v>
      </c>
      <c r="E100" s="101" t="s">
        <v>180</v>
      </c>
      <c r="F100" s="27">
        <v>2601</v>
      </c>
      <c r="G100" s="101">
        <v>1506</v>
      </c>
      <c r="H100" s="27">
        <v>28</v>
      </c>
      <c r="I100" s="108" t="s">
        <v>180</v>
      </c>
      <c r="J100" s="8" t="s">
        <v>91</v>
      </c>
      <c r="K100" s="9"/>
    </row>
    <row r="101" spans="1:11" x14ac:dyDescent="0.3">
      <c r="A101" s="7" t="s">
        <v>160</v>
      </c>
      <c r="B101" s="28">
        <v>7</v>
      </c>
      <c r="C101" s="101">
        <v>11</v>
      </c>
      <c r="D101" s="27">
        <v>2820</v>
      </c>
      <c r="E101" s="101" t="s">
        <v>180</v>
      </c>
      <c r="F101" s="27">
        <v>67710</v>
      </c>
      <c r="G101" s="101">
        <v>66032</v>
      </c>
      <c r="H101" s="27">
        <v>899</v>
      </c>
      <c r="I101" s="108">
        <v>12770</v>
      </c>
      <c r="J101" s="8" t="s">
        <v>92</v>
      </c>
      <c r="K101" s="9"/>
    </row>
    <row r="102" spans="1:11" x14ac:dyDescent="0.3">
      <c r="A102" s="7" t="s">
        <v>161</v>
      </c>
      <c r="B102" s="28" t="s">
        <v>180</v>
      </c>
      <c r="C102" s="101">
        <v>2</v>
      </c>
      <c r="D102" s="27">
        <v>58</v>
      </c>
      <c r="E102" s="101" t="s">
        <v>180</v>
      </c>
      <c r="F102" s="27">
        <v>1746</v>
      </c>
      <c r="G102" s="101">
        <v>1832</v>
      </c>
      <c r="H102" s="27">
        <v>234</v>
      </c>
      <c r="I102" s="108">
        <v>50</v>
      </c>
      <c r="J102" s="8" t="s">
        <v>93</v>
      </c>
      <c r="K102" s="9"/>
    </row>
    <row r="103" spans="1:11" x14ac:dyDescent="0.3">
      <c r="A103" s="7" t="s">
        <v>162</v>
      </c>
      <c r="B103" s="28" t="s">
        <v>180</v>
      </c>
      <c r="C103" s="101" t="s">
        <v>180</v>
      </c>
      <c r="D103" s="27">
        <v>144</v>
      </c>
      <c r="E103" s="101" t="s">
        <v>180</v>
      </c>
      <c r="F103" s="27">
        <v>17575</v>
      </c>
      <c r="G103" s="101">
        <v>30537</v>
      </c>
      <c r="H103" s="27">
        <v>2474</v>
      </c>
      <c r="I103" s="108" t="s">
        <v>180</v>
      </c>
      <c r="J103" s="8" t="s">
        <v>94</v>
      </c>
      <c r="K103" s="9"/>
    </row>
    <row r="104" spans="1:11" x14ac:dyDescent="0.3">
      <c r="A104" s="7" t="s">
        <v>163</v>
      </c>
      <c r="B104" s="28">
        <v>3</v>
      </c>
      <c r="C104" s="101">
        <v>4</v>
      </c>
      <c r="D104" s="27">
        <v>77</v>
      </c>
      <c r="E104" s="101" t="s">
        <v>180</v>
      </c>
      <c r="F104" s="27">
        <v>9966</v>
      </c>
      <c r="G104" s="101">
        <v>9371</v>
      </c>
      <c r="H104" s="27">
        <v>144</v>
      </c>
      <c r="I104" s="108">
        <v>207</v>
      </c>
      <c r="J104" s="8" t="s">
        <v>95</v>
      </c>
      <c r="K104" s="9"/>
    </row>
    <row r="105" spans="1:11" x14ac:dyDescent="0.3">
      <c r="A105" s="39" t="s">
        <v>96</v>
      </c>
      <c r="B105" s="93">
        <f>SUM(B107:B110)</f>
        <v>38</v>
      </c>
      <c r="C105" s="94">
        <f t="shared" ref="C105:H105" si="24">SUM(C107:C110)</f>
        <v>0</v>
      </c>
      <c r="D105" s="94">
        <f t="shared" si="24"/>
        <v>292</v>
      </c>
      <c r="E105" s="90">
        <f t="shared" si="24"/>
        <v>0</v>
      </c>
      <c r="F105" s="109">
        <f t="shared" si="24"/>
        <v>2352162</v>
      </c>
      <c r="G105" s="94">
        <f>SUM(G107:G110)</f>
        <v>694257</v>
      </c>
      <c r="H105" s="90">
        <f t="shared" si="24"/>
        <v>122090</v>
      </c>
      <c r="I105" s="92">
        <f t="shared" ref="I105" si="25">SUM(I107:I110)</f>
        <v>753111</v>
      </c>
      <c r="J105" s="46" t="s">
        <v>97</v>
      </c>
      <c r="K105" s="46"/>
    </row>
    <row r="106" spans="1:11" x14ac:dyDescent="0.3">
      <c r="A106" s="39"/>
      <c r="B106" s="93"/>
      <c r="C106" s="94"/>
      <c r="D106" s="94"/>
      <c r="E106" s="90"/>
      <c r="F106" s="109"/>
      <c r="G106" s="94"/>
      <c r="H106" s="90"/>
      <c r="I106" s="92"/>
      <c r="J106" s="46"/>
      <c r="K106" s="46"/>
    </row>
    <row r="107" spans="1:11" x14ac:dyDescent="0.3">
      <c r="A107" s="7" t="s">
        <v>164</v>
      </c>
      <c r="B107" s="28">
        <v>28</v>
      </c>
      <c r="C107" s="101" t="s">
        <v>180</v>
      </c>
      <c r="D107" s="27">
        <v>97</v>
      </c>
      <c r="E107" s="101" t="s">
        <v>180</v>
      </c>
      <c r="F107" s="27">
        <v>674267</v>
      </c>
      <c r="G107" s="101">
        <v>207524</v>
      </c>
      <c r="H107" s="27">
        <v>29250</v>
      </c>
      <c r="I107" s="108">
        <v>277666</v>
      </c>
      <c r="J107" s="8" t="s">
        <v>98</v>
      </c>
      <c r="K107" s="9"/>
    </row>
    <row r="108" spans="1:11" x14ac:dyDescent="0.3">
      <c r="A108" s="7" t="s">
        <v>165</v>
      </c>
      <c r="B108" s="28">
        <v>1</v>
      </c>
      <c r="C108" s="101" t="s">
        <v>180</v>
      </c>
      <c r="D108" s="27">
        <v>2</v>
      </c>
      <c r="E108" s="101" t="s">
        <v>180</v>
      </c>
      <c r="F108" s="27">
        <v>79585</v>
      </c>
      <c r="G108" s="101">
        <v>32665</v>
      </c>
      <c r="H108" s="27">
        <v>75</v>
      </c>
      <c r="I108" s="108">
        <v>14395</v>
      </c>
      <c r="J108" s="8" t="s">
        <v>99</v>
      </c>
      <c r="K108" s="9"/>
    </row>
    <row r="109" spans="1:11" x14ac:dyDescent="0.3">
      <c r="A109" s="7" t="s">
        <v>166</v>
      </c>
      <c r="B109" s="28" t="s">
        <v>180</v>
      </c>
      <c r="C109" s="101" t="s">
        <v>180</v>
      </c>
      <c r="D109" s="27">
        <v>161</v>
      </c>
      <c r="E109" s="101" t="s">
        <v>180</v>
      </c>
      <c r="F109" s="27">
        <v>1093787</v>
      </c>
      <c r="G109" s="101">
        <v>313338</v>
      </c>
      <c r="H109" s="27">
        <v>82401</v>
      </c>
      <c r="I109" s="108">
        <v>213278</v>
      </c>
      <c r="J109" s="8" t="s">
        <v>100</v>
      </c>
      <c r="K109" s="9"/>
    </row>
    <row r="110" spans="1:11" ht="15" thickBot="1" x14ac:dyDescent="0.35">
      <c r="A110" s="13" t="s">
        <v>167</v>
      </c>
      <c r="B110" s="29">
        <v>9</v>
      </c>
      <c r="C110" s="30" t="s">
        <v>180</v>
      </c>
      <c r="D110" s="31">
        <v>32</v>
      </c>
      <c r="E110" s="30" t="s">
        <v>180</v>
      </c>
      <c r="F110" s="31">
        <v>504523</v>
      </c>
      <c r="G110" s="30">
        <v>140730</v>
      </c>
      <c r="H110" s="31">
        <v>10364</v>
      </c>
      <c r="I110" s="110">
        <v>247772</v>
      </c>
      <c r="J110" s="14" t="s">
        <v>101</v>
      </c>
      <c r="K110" s="15"/>
    </row>
    <row r="111" spans="1:11" x14ac:dyDescent="0.3">
      <c r="A111" s="16"/>
      <c r="H111" s="3"/>
      <c r="I111" s="3"/>
      <c r="K111" s="17"/>
    </row>
    <row r="112" spans="1:11" x14ac:dyDescent="0.3">
      <c r="A112" s="18"/>
      <c r="H112" s="19"/>
      <c r="I112" s="19"/>
      <c r="J112" s="18"/>
      <c r="K112" s="18"/>
    </row>
    <row r="113" spans="1:11" ht="10.199999999999999" customHeight="1" x14ac:dyDescent="0.3">
      <c r="A113" s="20"/>
      <c r="B113" s="21"/>
      <c r="C113" s="21"/>
      <c r="D113" s="21"/>
      <c r="J113" s="21"/>
      <c r="K113" s="21"/>
    </row>
    <row r="114" spans="1:11" ht="10.199999999999999" customHeight="1" x14ac:dyDescent="0.3">
      <c r="A114" s="20"/>
      <c r="B114" s="21"/>
      <c r="C114" s="21"/>
      <c r="D114" s="21"/>
      <c r="J114" s="21"/>
      <c r="K114" s="21"/>
    </row>
    <row r="115" spans="1:11" ht="10.199999999999999" customHeight="1" x14ac:dyDescent="0.3">
      <c r="A115" s="42"/>
      <c r="B115" s="42"/>
      <c r="C115" s="42"/>
      <c r="D115" s="42"/>
      <c r="J115" s="42"/>
      <c r="K115" s="42"/>
    </row>
    <row r="116" spans="1:11" x14ac:dyDescent="0.3">
      <c r="A116" s="42"/>
      <c r="B116" s="42"/>
      <c r="C116" s="42"/>
      <c r="D116" s="42"/>
      <c r="J116" s="42"/>
      <c r="K116" s="42"/>
    </row>
    <row r="125" spans="1:11" x14ac:dyDescent="0.3">
      <c r="A125" s="22"/>
    </row>
    <row r="126" spans="1:11" x14ac:dyDescent="0.3">
      <c r="A126" s="43"/>
      <c r="B126" s="43"/>
      <c r="C126" s="43"/>
      <c r="D126" s="43"/>
      <c r="E126" s="43"/>
      <c r="F126" s="44"/>
      <c r="G126" s="44"/>
      <c r="H126" s="44"/>
      <c r="I126" s="35"/>
    </row>
    <row r="127" spans="1:11" x14ac:dyDescent="0.3">
      <c r="A127" s="43"/>
      <c r="B127" s="43"/>
      <c r="C127" s="43"/>
      <c r="D127" s="43"/>
      <c r="E127" s="43"/>
      <c r="F127" s="44"/>
      <c r="G127" s="44"/>
      <c r="H127" s="44"/>
      <c r="I127" s="35"/>
    </row>
    <row r="128" spans="1:11" x14ac:dyDescent="0.3">
      <c r="A128" s="43"/>
      <c r="B128" s="43"/>
      <c r="C128" s="43"/>
      <c r="D128" s="43"/>
      <c r="E128" s="43"/>
      <c r="F128" s="44"/>
      <c r="G128" s="44"/>
      <c r="H128" s="44"/>
      <c r="I128" s="35"/>
    </row>
    <row r="129" spans="1:9" x14ac:dyDescent="0.3">
      <c r="A129" s="22"/>
      <c r="E129" s="40"/>
      <c r="F129" s="40"/>
      <c r="G129" s="40"/>
      <c r="H129" s="40"/>
      <c r="I129" s="34"/>
    </row>
    <row r="130" spans="1:9" x14ac:dyDescent="0.3">
      <c r="A130" s="41"/>
      <c r="B130" s="41"/>
      <c r="C130" s="41"/>
      <c r="D130" s="41"/>
      <c r="E130" s="41"/>
      <c r="F130" s="41"/>
      <c r="G130" s="41"/>
      <c r="H130" s="41"/>
      <c r="I130" s="23"/>
    </row>
    <row r="131" spans="1:9" x14ac:dyDescent="0.3">
      <c r="A131" s="41"/>
      <c r="B131" s="41"/>
      <c r="C131" s="41"/>
      <c r="D131" s="41"/>
      <c r="E131" s="41"/>
      <c r="F131" s="41"/>
      <c r="G131" s="41"/>
      <c r="H131" s="41"/>
      <c r="I131" s="23"/>
    </row>
    <row r="132" spans="1:9" x14ac:dyDescent="0.3">
      <c r="A132" s="41"/>
      <c r="B132" s="41"/>
      <c r="C132" s="41"/>
      <c r="D132" s="23"/>
      <c r="E132" s="41"/>
      <c r="F132" s="41"/>
      <c r="G132" s="41"/>
      <c r="H132" s="41"/>
      <c r="I132" s="23"/>
    </row>
    <row r="133" spans="1:9" x14ac:dyDescent="0.3">
      <c r="A133" s="41"/>
      <c r="B133" s="24"/>
      <c r="C133" s="24"/>
      <c r="D133" s="24"/>
      <c r="E133" s="24"/>
      <c r="F133" s="24"/>
      <c r="G133" s="24"/>
      <c r="H133" s="24"/>
      <c r="I133" s="24"/>
    </row>
    <row r="134" spans="1:9" x14ac:dyDescent="0.3">
      <c r="A134" s="25"/>
    </row>
    <row r="135" spans="1:9" x14ac:dyDescent="0.3">
      <c r="A135" s="26"/>
    </row>
    <row r="136" spans="1:9" x14ac:dyDescent="0.3">
      <c r="A136" s="38"/>
      <c r="B136" s="37"/>
      <c r="C136" s="37"/>
      <c r="D136" s="37"/>
      <c r="E136" s="37"/>
      <c r="F136" s="37"/>
      <c r="G136" s="37"/>
      <c r="H136" s="37"/>
      <c r="I136" s="36"/>
    </row>
    <row r="137" spans="1:9" x14ac:dyDescent="0.3">
      <c r="A137" s="38"/>
      <c r="B137" s="37"/>
      <c r="C137" s="37"/>
      <c r="D137" s="37"/>
      <c r="E137" s="37"/>
      <c r="F137" s="37"/>
      <c r="G137" s="37"/>
      <c r="H137" s="37"/>
      <c r="I137" s="36"/>
    </row>
    <row r="138" spans="1:9" x14ac:dyDescent="0.3">
      <c r="A138" s="38"/>
      <c r="B138" s="37"/>
      <c r="C138" s="37"/>
      <c r="D138" s="37"/>
      <c r="E138" s="37"/>
      <c r="F138" s="37"/>
      <c r="G138" s="37"/>
      <c r="H138" s="37"/>
      <c r="I138" s="36"/>
    </row>
    <row r="139" spans="1:9" x14ac:dyDescent="0.3">
      <c r="A139" s="26"/>
      <c r="E139" s="6"/>
      <c r="F139" s="6"/>
    </row>
    <row r="140" spans="1:9" x14ac:dyDescent="0.3">
      <c r="A140" s="26"/>
      <c r="E140" s="6"/>
      <c r="F140" s="6"/>
    </row>
    <row r="141" spans="1:9" x14ac:dyDescent="0.3">
      <c r="A141" s="26"/>
      <c r="E141" s="6"/>
      <c r="F141" s="6"/>
    </row>
    <row r="142" spans="1:9" x14ac:dyDescent="0.3">
      <c r="A142" s="26"/>
      <c r="E142" s="6"/>
      <c r="F142" s="6"/>
    </row>
    <row r="143" spans="1:9" x14ac:dyDescent="0.3">
      <c r="A143" s="26"/>
      <c r="E143" s="6"/>
      <c r="F143" s="6"/>
    </row>
    <row r="144" spans="1:9" x14ac:dyDescent="0.3">
      <c r="A144" s="26"/>
      <c r="E144" s="6"/>
      <c r="F144" s="6"/>
    </row>
    <row r="145" spans="1:6" x14ac:dyDescent="0.3">
      <c r="A145" s="38"/>
    </row>
    <row r="146" spans="1:6" x14ac:dyDescent="0.3">
      <c r="A146" s="38"/>
    </row>
    <row r="147" spans="1:6" x14ac:dyDescent="0.3">
      <c r="A147" s="26"/>
      <c r="E147" s="6"/>
      <c r="F147" s="6"/>
    </row>
    <row r="148" spans="1:6" x14ac:dyDescent="0.3">
      <c r="A148" s="26"/>
      <c r="E148" s="6"/>
      <c r="F148" s="6"/>
    </row>
    <row r="149" spans="1:6" x14ac:dyDescent="0.3">
      <c r="A149" s="26"/>
      <c r="E149" s="6"/>
      <c r="F149" s="6"/>
    </row>
    <row r="150" spans="1:6" x14ac:dyDescent="0.3">
      <c r="A150" s="26"/>
      <c r="E150" s="6"/>
      <c r="F150" s="6"/>
    </row>
    <row r="151" spans="1:6" x14ac:dyDescent="0.3">
      <c r="A151" s="26"/>
      <c r="E151" s="6"/>
      <c r="F151" s="6"/>
    </row>
    <row r="152" spans="1:6" x14ac:dyDescent="0.3">
      <c r="A152" s="26"/>
      <c r="E152" s="6"/>
      <c r="F152" s="6"/>
    </row>
    <row r="153" spans="1:6" x14ac:dyDescent="0.3">
      <c r="A153" s="26"/>
      <c r="E153" s="6"/>
      <c r="F153" s="6"/>
    </row>
    <row r="154" spans="1:6" x14ac:dyDescent="0.3">
      <c r="A154" s="26"/>
      <c r="E154" s="6"/>
      <c r="F154" s="6"/>
    </row>
    <row r="155" spans="1:6" x14ac:dyDescent="0.3">
      <c r="A155" s="26"/>
      <c r="E155" s="6"/>
      <c r="F155" s="6"/>
    </row>
    <row r="156" spans="1:6" x14ac:dyDescent="0.3">
      <c r="A156" s="26"/>
      <c r="E156" s="6"/>
      <c r="F156" s="6"/>
    </row>
    <row r="157" spans="1:6" x14ac:dyDescent="0.3">
      <c r="A157" s="26"/>
      <c r="E157" s="6"/>
      <c r="F157" s="6"/>
    </row>
    <row r="158" spans="1:6" x14ac:dyDescent="0.3">
      <c r="A158" s="45"/>
    </row>
    <row r="159" spans="1:6" x14ac:dyDescent="0.3">
      <c r="A159" s="45"/>
    </row>
    <row r="160" spans="1:6" x14ac:dyDescent="0.3">
      <c r="A160" s="26"/>
      <c r="E160" s="6"/>
      <c r="F160" s="6"/>
    </row>
    <row r="161" spans="1:6" x14ac:dyDescent="0.3">
      <c r="A161" s="26"/>
      <c r="E161" s="6"/>
      <c r="F161" s="6"/>
    </row>
    <row r="162" spans="1:6" x14ac:dyDescent="0.3">
      <c r="A162" s="26"/>
      <c r="E162" s="6"/>
      <c r="F162" s="6"/>
    </row>
    <row r="163" spans="1:6" x14ac:dyDescent="0.3">
      <c r="A163" s="26"/>
      <c r="E163" s="6"/>
      <c r="F163" s="6"/>
    </row>
    <row r="164" spans="1:6" x14ac:dyDescent="0.3">
      <c r="A164" s="45"/>
    </row>
    <row r="165" spans="1:6" x14ac:dyDescent="0.3">
      <c r="A165" s="45"/>
    </row>
    <row r="166" spans="1:6" x14ac:dyDescent="0.3">
      <c r="A166" s="26"/>
      <c r="E166" s="6"/>
      <c r="F166" s="6"/>
    </row>
    <row r="167" spans="1:6" x14ac:dyDescent="0.3">
      <c r="A167" s="26"/>
      <c r="E167" s="6"/>
      <c r="F167" s="6"/>
    </row>
    <row r="168" spans="1:6" x14ac:dyDescent="0.3">
      <c r="A168" s="26"/>
      <c r="E168" s="6"/>
      <c r="F168" s="6"/>
    </row>
    <row r="169" spans="1:6" x14ac:dyDescent="0.3">
      <c r="A169" s="26"/>
      <c r="E169" s="6"/>
      <c r="F169" s="6"/>
    </row>
    <row r="170" spans="1:6" x14ac:dyDescent="0.3">
      <c r="A170" s="26"/>
      <c r="E170" s="6"/>
      <c r="F170" s="6"/>
    </row>
    <row r="171" spans="1:6" x14ac:dyDescent="0.3">
      <c r="A171" s="45"/>
    </row>
    <row r="172" spans="1:6" x14ac:dyDescent="0.3">
      <c r="A172" s="45"/>
    </row>
    <row r="173" spans="1:6" x14ac:dyDescent="0.3">
      <c r="A173" s="26"/>
      <c r="E173" s="6"/>
      <c r="F173" s="6"/>
    </row>
    <row r="174" spans="1:6" x14ac:dyDescent="0.3">
      <c r="A174" s="26"/>
      <c r="E174" s="6"/>
      <c r="F174" s="6"/>
    </row>
    <row r="175" spans="1:6" x14ac:dyDescent="0.3">
      <c r="A175" s="26"/>
      <c r="E175" s="6"/>
      <c r="F175" s="6"/>
    </row>
    <row r="176" spans="1:6" x14ac:dyDescent="0.3">
      <c r="A176" s="26"/>
      <c r="E176" s="6"/>
      <c r="F176" s="6"/>
    </row>
    <row r="177" spans="1:6" x14ac:dyDescent="0.3">
      <c r="A177" s="26"/>
      <c r="E177" s="6"/>
      <c r="F177" s="6"/>
    </row>
    <row r="178" spans="1:6" x14ac:dyDescent="0.3">
      <c r="A178" s="45"/>
    </row>
    <row r="179" spans="1:6" x14ac:dyDescent="0.3">
      <c r="A179" s="45"/>
    </row>
    <row r="180" spans="1:6" x14ac:dyDescent="0.3">
      <c r="A180" s="26"/>
      <c r="E180" s="6"/>
      <c r="F180" s="6"/>
    </row>
    <row r="181" spans="1:6" x14ac:dyDescent="0.3">
      <c r="A181" s="26"/>
      <c r="E181" s="6"/>
      <c r="F181" s="6"/>
    </row>
    <row r="182" spans="1:6" x14ac:dyDescent="0.3">
      <c r="A182" s="26"/>
      <c r="E182" s="6"/>
      <c r="F182" s="6"/>
    </row>
    <row r="183" spans="1:6" x14ac:dyDescent="0.3">
      <c r="A183" s="26"/>
      <c r="E183" s="6"/>
      <c r="F183" s="6"/>
    </row>
    <row r="184" spans="1:6" x14ac:dyDescent="0.3">
      <c r="A184" s="26"/>
      <c r="E184" s="6"/>
      <c r="F184" s="6"/>
    </row>
    <row r="185" spans="1:6" x14ac:dyDescent="0.3">
      <c r="A185" s="45"/>
    </row>
    <row r="186" spans="1:6" x14ac:dyDescent="0.3">
      <c r="A186" s="45"/>
    </row>
    <row r="187" spans="1:6" x14ac:dyDescent="0.3">
      <c r="A187" s="26"/>
      <c r="E187" s="6"/>
      <c r="F187" s="6"/>
    </row>
    <row r="188" spans="1:6" x14ac:dyDescent="0.3">
      <c r="A188" s="26"/>
      <c r="E188" s="6"/>
      <c r="F188" s="6"/>
    </row>
    <row r="189" spans="1:6" x14ac:dyDescent="0.3">
      <c r="A189" s="26"/>
      <c r="E189" s="6"/>
      <c r="F189" s="6"/>
    </row>
    <row r="190" spans="1:6" x14ac:dyDescent="0.3">
      <c r="A190" s="45"/>
    </row>
    <row r="191" spans="1:6" x14ac:dyDescent="0.3">
      <c r="A191" s="45"/>
    </row>
    <row r="192" spans="1:6" x14ac:dyDescent="0.3">
      <c r="A192" s="26"/>
      <c r="E192" s="6"/>
      <c r="F192" s="6"/>
    </row>
    <row r="193" spans="1:6" x14ac:dyDescent="0.3">
      <c r="A193" s="26"/>
      <c r="E193" s="6"/>
      <c r="F193" s="6"/>
    </row>
    <row r="194" spans="1:6" x14ac:dyDescent="0.3">
      <c r="A194" s="26"/>
      <c r="E194" s="6"/>
      <c r="F194" s="6"/>
    </row>
    <row r="195" spans="1:6" x14ac:dyDescent="0.3">
      <c r="A195" s="26"/>
      <c r="E195" s="6"/>
      <c r="F195" s="6"/>
    </row>
    <row r="196" spans="1:6" x14ac:dyDescent="0.3">
      <c r="A196" s="26"/>
      <c r="E196" s="6"/>
      <c r="F196" s="6"/>
    </row>
    <row r="197" spans="1:6" x14ac:dyDescent="0.3">
      <c r="A197" s="45"/>
    </row>
    <row r="198" spans="1:6" x14ac:dyDescent="0.3">
      <c r="A198" s="45"/>
    </row>
    <row r="199" spans="1:6" x14ac:dyDescent="0.3">
      <c r="A199" s="26"/>
      <c r="E199" s="6"/>
      <c r="F199" s="6"/>
    </row>
    <row r="200" spans="1:6" x14ac:dyDescent="0.3">
      <c r="A200" s="26"/>
      <c r="E200" s="6"/>
      <c r="F200" s="6"/>
    </row>
    <row r="201" spans="1:6" x14ac:dyDescent="0.3">
      <c r="A201" s="26"/>
      <c r="E201" s="6"/>
      <c r="F201" s="6"/>
    </row>
    <row r="202" spans="1:6" x14ac:dyDescent="0.3">
      <c r="A202" s="26"/>
      <c r="E202" s="6"/>
      <c r="F202" s="6"/>
    </row>
    <row r="203" spans="1:6" x14ac:dyDescent="0.3">
      <c r="A203" s="26"/>
      <c r="E203" s="6"/>
      <c r="F203" s="6"/>
    </row>
    <row r="204" spans="1:6" x14ac:dyDescent="0.3">
      <c r="A204" s="26"/>
      <c r="E204" s="6"/>
      <c r="F204" s="6"/>
    </row>
    <row r="205" spans="1:6" x14ac:dyDescent="0.3">
      <c r="A205" s="26"/>
      <c r="E205" s="6"/>
      <c r="F205" s="6"/>
    </row>
    <row r="206" spans="1:6" x14ac:dyDescent="0.3">
      <c r="A206" s="26"/>
      <c r="E206" s="6"/>
      <c r="F206" s="6"/>
    </row>
    <row r="207" spans="1:6" x14ac:dyDescent="0.3">
      <c r="A207" s="45"/>
    </row>
    <row r="208" spans="1:6" x14ac:dyDescent="0.3">
      <c r="A208" s="45"/>
    </row>
    <row r="209" spans="1:6" x14ac:dyDescent="0.3">
      <c r="A209" s="26"/>
      <c r="E209" s="6"/>
      <c r="F209" s="6"/>
    </row>
    <row r="210" spans="1:6" x14ac:dyDescent="0.3">
      <c r="A210" s="26"/>
      <c r="E210" s="6"/>
      <c r="F210" s="6"/>
    </row>
    <row r="211" spans="1:6" x14ac:dyDescent="0.3">
      <c r="A211" s="26"/>
      <c r="E211" s="6"/>
      <c r="F211" s="6"/>
    </row>
    <row r="212" spans="1:6" x14ac:dyDescent="0.3">
      <c r="A212" s="26"/>
      <c r="E212" s="6"/>
      <c r="F212" s="6"/>
    </row>
    <row r="213" spans="1:6" x14ac:dyDescent="0.3">
      <c r="A213" s="26"/>
      <c r="E213" s="6"/>
      <c r="F213" s="6"/>
    </row>
    <row r="214" spans="1:6" x14ac:dyDescent="0.3">
      <c r="A214" s="45"/>
    </row>
    <row r="215" spans="1:6" x14ac:dyDescent="0.3">
      <c r="A215" s="45"/>
    </row>
    <row r="216" spans="1:6" x14ac:dyDescent="0.3">
      <c r="A216" s="26"/>
      <c r="E216" s="6"/>
      <c r="F216" s="6"/>
    </row>
    <row r="217" spans="1:6" x14ac:dyDescent="0.3">
      <c r="A217" s="26"/>
      <c r="E217" s="6"/>
      <c r="F217" s="6"/>
    </row>
    <row r="218" spans="1:6" x14ac:dyDescent="0.3">
      <c r="A218" s="26"/>
      <c r="E218" s="6"/>
      <c r="F218" s="6"/>
    </row>
    <row r="219" spans="1:6" x14ac:dyDescent="0.3">
      <c r="A219" s="26"/>
      <c r="E219" s="6"/>
      <c r="F219" s="6"/>
    </row>
    <row r="220" spans="1:6" x14ac:dyDescent="0.3">
      <c r="A220" s="26"/>
      <c r="E220" s="6"/>
      <c r="F220" s="6"/>
    </row>
    <row r="221" spans="1:6" x14ac:dyDescent="0.3">
      <c r="A221" s="26"/>
      <c r="E221" s="6"/>
      <c r="F221" s="6"/>
    </row>
    <row r="222" spans="1:6" x14ac:dyDescent="0.3">
      <c r="A222" s="26"/>
      <c r="E222" s="6"/>
      <c r="F222" s="6"/>
    </row>
    <row r="223" spans="1:6" x14ac:dyDescent="0.3">
      <c r="A223" s="26"/>
      <c r="E223" s="6"/>
      <c r="F223" s="6"/>
    </row>
    <row r="224" spans="1:6" x14ac:dyDescent="0.3">
      <c r="A224" s="26"/>
      <c r="E224" s="6"/>
      <c r="F224" s="6"/>
    </row>
    <row r="225" spans="1:6" x14ac:dyDescent="0.3">
      <c r="A225" s="26"/>
      <c r="E225" s="6"/>
      <c r="F225" s="6"/>
    </row>
    <row r="226" spans="1:6" x14ac:dyDescent="0.3">
      <c r="A226" s="26"/>
      <c r="E226" s="6"/>
      <c r="F226" s="6"/>
    </row>
    <row r="227" spans="1:6" x14ac:dyDescent="0.3">
      <c r="A227" s="26"/>
      <c r="E227" s="6"/>
      <c r="F227" s="6"/>
    </row>
    <row r="228" spans="1:6" x14ac:dyDescent="0.3">
      <c r="A228" s="26"/>
      <c r="E228" s="6"/>
      <c r="F228" s="6"/>
    </row>
    <row r="229" spans="1:6" x14ac:dyDescent="0.3">
      <c r="A229" s="45"/>
    </row>
    <row r="230" spans="1:6" x14ac:dyDescent="0.3">
      <c r="A230" s="45"/>
    </row>
    <row r="231" spans="1:6" x14ac:dyDescent="0.3">
      <c r="A231" s="26"/>
      <c r="E231" s="6"/>
      <c r="F231" s="6"/>
    </row>
    <row r="232" spans="1:6" x14ac:dyDescent="0.3">
      <c r="A232" s="26"/>
      <c r="E232" s="6"/>
      <c r="F232" s="6"/>
    </row>
    <row r="233" spans="1:6" x14ac:dyDescent="0.3">
      <c r="A233" s="26"/>
      <c r="E233" s="6"/>
      <c r="F233" s="6"/>
    </row>
    <row r="234" spans="1:6" x14ac:dyDescent="0.3">
      <c r="A234" s="26"/>
      <c r="E234" s="6"/>
      <c r="F234" s="6"/>
    </row>
    <row r="235" spans="1:6" x14ac:dyDescent="0.3">
      <c r="A235" s="26"/>
    </row>
    <row r="236" spans="1:6" x14ac:dyDescent="0.3">
      <c r="A236" s="26"/>
    </row>
  </sheetData>
  <mergeCells count="179">
    <mergeCell ref="I73:I74"/>
    <mergeCell ref="I83:I84"/>
    <mergeCell ref="I90:I91"/>
    <mergeCell ref="I105:I106"/>
    <mergeCell ref="A5:A9"/>
    <mergeCell ref="J5:K9"/>
    <mergeCell ref="I10:I11"/>
    <mergeCell ref="I12:I13"/>
    <mergeCell ref="I20:I21"/>
    <mergeCell ref="I34:I35"/>
    <mergeCell ref="I40:I41"/>
    <mergeCell ref="I47:I48"/>
    <mergeCell ref="I54:I55"/>
    <mergeCell ref="I61:I62"/>
    <mergeCell ref="I66:I67"/>
    <mergeCell ref="A2:M2"/>
    <mergeCell ref="A3:M3"/>
    <mergeCell ref="C7:C8"/>
    <mergeCell ref="G5:G8"/>
    <mergeCell ref="F5:F8"/>
    <mergeCell ref="E5:E8"/>
    <mergeCell ref="B7:B8"/>
    <mergeCell ref="B5:C5"/>
    <mergeCell ref="D5:D8"/>
    <mergeCell ref="F4:H4"/>
    <mergeCell ref="J4:K4"/>
    <mergeCell ref="H5:H8"/>
    <mergeCell ref="A4:B4"/>
    <mergeCell ref="B6:C6"/>
    <mergeCell ref="I5:I8"/>
    <mergeCell ref="A10:A11"/>
    <mergeCell ref="B10:B11"/>
    <mergeCell ref="C10:C11"/>
    <mergeCell ref="D10:D11"/>
    <mergeCell ref="G12:G13"/>
    <mergeCell ref="J20:K21"/>
    <mergeCell ref="H12:H13"/>
    <mergeCell ref="J12:K13"/>
    <mergeCell ref="H20:H21"/>
    <mergeCell ref="G20:G21"/>
    <mergeCell ref="D20:D21"/>
    <mergeCell ref="E20:E21"/>
    <mergeCell ref="F20:F21"/>
    <mergeCell ref="E12:E13"/>
    <mergeCell ref="F12:F13"/>
    <mergeCell ref="J10:K11"/>
    <mergeCell ref="E10:E11"/>
    <mergeCell ref="F10:F11"/>
    <mergeCell ref="G10:G11"/>
    <mergeCell ref="H10:H11"/>
    <mergeCell ref="A12:A13"/>
    <mergeCell ref="A20:A21"/>
    <mergeCell ref="B20:B21"/>
    <mergeCell ref="C20:C21"/>
    <mergeCell ref="A34:A35"/>
    <mergeCell ref="B34:B35"/>
    <mergeCell ref="C34:C35"/>
    <mergeCell ref="D34:D35"/>
    <mergeCell ref="J34:K35"/>
    <mergeCell ref="E34:E35"/>
    <mergeCell ref="F34:F35"/>
    <mergeCell ref="G34:G35"/>
    <mergeCell ref="H34:H35"/>
    <mergeCell ref="B12:B13"/>
    <mergeCell ref="C12:C13"/>
    <mergeCell ref="D12:D13"/>
    <mergeCell ref="J54:K55"/>
    <mergeCell ref="E54:E55"/>
    <mergeCell ref="F54:F55"/>
    <mergeCell ref="G54:G55"/>
    <mergeCell ref="H54:H55"/>
    <mergeCell ref="J40:K41"/>
    <mergeCell ref="J47:K48"/>
    <mergeCell ref="H47:H48"/>
    <mergeCell ref="H40:H41"/>
    <mergeCell ref="G47:G48"/>
    <mergeCell ref="G40:G41"/>
    <mergeCell ref="A47:A48"/>
    <mergeCell ref="B47:B48"/>
    <mergeCell ref="C47:C48"/>
    <mergeCell ref="D47:D48"/>
    <mergeCell ref="E47:E48"/>
    <mergeCell ref="F47:F48"/>
    <mergeCell ref="A40:A41"/>
    <mergeCell ref="B40:B41"/>
    <mergeCell ref="C40:C41"/>
    <mergeCell ref="D40:D41"/>
    <mergeCell ref="E40:E41"/>
    <mergeCell ref="F40:F41"/>
    <mergeCell ref="J73:K74"/>
    <mergeCell ref="H73:H74"/>
    <mergeCell ref="E73:E74"/>
    <mergeCell ref="F73:F74"/>
    <mergeCell ref="G73:G74"/>
    <mergeCell ref="J61:K62"/>
    <mergeCell ref="A66:A67"/>
    <mergeCell ref="B66:B67"/>
    <mergeCell ref="C66:C67"/>
    <mergeCell ref="D66:D67"/>
    <mergeCell ref="E66:E67"/>
    <mergeCell ref="F66:F67"/>
    <mergeCell ref="G66:G67"/>
    <mergeCell ref="A61:A62"/>
    <mergeCell ref="B61:B62"/>
    <mergeCell ref="C61:C62"/>
    <mergeCell ref="J66:K67"/>
    <mergeCell ref="H66:H67"/>
    <mergeCell ref="D61:D62"/>
    <mergeCell ref="E61:E62"/>
    <mergeCell ref="F61:F62"/>
    <mergeCell ref="G61:G62"/>
    <mergeCell ref="H61:H62"/>
    <mergeCell ref="A73:A74"/>
    <mergeCell ref="J116:K116"/>
    <mergeCell ref="E105:E106"/>
    <mergeCell ref="F105:F106"/>
    <mergeCell ref="G105:G106"/>
    <mergeCell ref="H105:H106"/>
    <mergeCell ref="A105:A106"/>
    <mergeCell ref="B105:B106"/>
    <mergeCell ref="C105:C106"/>
    <mergeCell ref="J105:K106"/>
    <mergeCell ref="A115:D115"/>
    <mergeCell ref="J115:K115"/>
    <mergeCell ref="J90:K91"/>
    <mergeCell ref="D105:D106"/>
    <mergeCell ref="H83:H84"/>
    <mergeCell ref="J83:K84"/>
    <mergeCell ref="A90:A91"/>
    <mergeCell ref="B90:B91"/>
    <mergeCell ref="C90:C91"/>
    <mergeCell ref="D90:D91"/>
    <mergeCell ref="E90:E91"/>
    <mergeCell ref="F90:F91"/>
    <mergeCell ref="A83:A84"/>
    <mergeCell ref="B83:B84"/>
    <mergeCell ref="C83:C84"/>
    <mergeCell ref="D83:D84"/>
    <mergeCell ref="G83:G84"/>
    <mergeCell ref="E83:E84"/>
    <mergeCell ref="F83:F84"/>
    <mergeCell ref="H90:H91"/>
    <mergeCell ref="A207:A208"/>
    <mergeCell ref="A214:A215"/>
    <mergeCell ref="A229:A230"/>
    <mergeCell ref="A185:A186"/>
    <mergeCell ref="A190:A191"/>
    <mergeCell ref="A197:A198"/>
    <mergeCell ref="A130:A133"/>
    <mergeCell ref="B130:D131"/>
    <mergeCell ref="E130:F132"/>
    <mergeCell ref="B132:C132"/>
    <mergeCell ref="A158:A159"/>
    <mergeCell ref="A164:A165"/>
    <mergeCell ref="A178:A179"/>
    <mergeCell ref="A171:A172"/>
    <mergeCell ref="B73:B74"/>
    <mergeCell ref="C73:C74"/>
    <mergeCell ref="D73:D74"/>
    <mergeCell ref="A54:A55"/>
    <mergeCell ref="B54:B55"/>
    <mergeCell ref="C54:C55"/>
    <mergeCell ref="D54:D55"/>
    <mergeCell ref="E129:H129"/>
    <mergeCell ref="G130:G132"/>
    <mergeCell ref="H130:H132"/>
    <mergeCell ref="A116:D116"/>
    <mergeCell ref="A126:E128"/>
    <mergeCell ref="F126:H128"/>
    <mergeCell ref="G90:G91"/>
    <mergeCell ref="H136:H138"/>
    <mergeCell ref="A145:A146"/>
    <mergeCell ref="A136:A138"/>
    <mergeCell ref="B136:B138"/>
    <mergeCell ref="C136:C138"/>
    <mergeCell ref="D136:D138"/>
    <mergeCell ref="E136:E138"/>
    <mergeCell ref="F136:F138"/>
    <mergeCell ref="G136:G138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2025-06-03T10:21:44Z</dcterms:modified>
</cp:coreProperties>
</file>