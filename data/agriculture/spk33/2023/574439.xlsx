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93695EF8-1B43-4F8F-8CBE-116C887F2D2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2" i="1" s="1"/>
  <c r="B10" i="1" s="1"/>
  <c r="C12" i="1"/>
  <c r="B16" i="1" l="1"/>
  <c r="B110" i="1" l="1"/>
  <c r="B109" i="1"/>
  <c r="B108" i="1"/>
  <c r="B107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85" i="1"/>
  <c r="B82" i="1"/>
  <c r="B81" i="1"/>
  <c r="B80" i="1"/>
  <c r="B79" i="1"/>
  <c r="B78" i="1"/>
  <c r="B77" i="1"/>
  <c r="B76" i="1"/>
  <c r="B75" i="1"/>
  <c r="B72" i="1"/>
  <c r="B71" i="1"/>
  <c r="B70" i="1"/>
  <c r="B69" i="1"/>
  <c r="B68" i="1"/>
  <c r="B65" i="1"/>
  <c r="B64" i="1"/>
  <c r="B63" i="1"/>
  <c r="B61" i="1" s="1"/>
  <c r="B60" i="1"/>
  <c r="B59" i="1"/>
  <c r="B58" i="1"/>
  <c r="B57" i="1"/>
  <c r="B56" i="1"/>
  <c r="B53" i="1"/>
  <c r="B52" i="1"/>
  <c r="B51" i="1"/>
  <c r="B50" i="1"/>
  <c r="B49" i="1"/>
  <c r="B47" i="1" s="1"/>
  <c r="B46" i="1"/>
  <c r="B45" i="1"/>
  <c r="B44" i="1"/>
  <c r="B43" i="1"/>
  <c r="B42" i="1"/>
  <c r="B39" i="1"/>
  <c r="B38" i="1"/>
  <c r="B37" i="1"/>
  <c r="B36" i="1"/>
  <c r="B33" i="1"/>
  <c r="B32" i="1"/>
  <c r="B31" i="1"/>
  <c r="B30" i="1"/>
  <c r="B29" i="1" s="1"/>
  <c r="B28" i="1"/>
  <c r="B27" i="1"/>
  <c r="B26" i="1"/>
  <c r="B25" i="1"/>
  <c r="B24" i="1"/>
  <c r="B23" i="1"/>
  <c r="B22" i="1"/>
  <c r="B19" i="1"/>
  <c r="B18" i="1"/>
  <c r="B17" i="1"/>
  <c r="B15" i="1"/>
  <c r="I15" i="1"/>
  <c r="B66" i="1" l="1"/>
  <c r="B20" i="1"/>
  <c r="B105" i="1"/>
  <c r="B90" i="1"/>
  <c r="B83" i="1"/>
  <c r="B73" i="1"/>
  <c r="B54" i="1"/>
  <c r="B40" i="1"/>
  <c r="B34" i="1"/>
  <c r="D12" i="1"/>
  <c r="D20" i="1"/>
  <c r="D29" i="1"/>
  <c r="D34" i="1"/>
  <c r="D40" i="1"/>
  <c r="D47" i="1"/>
  <c r="D54" i="1"/>
  <c r="D61" i="1"/>
  <c r="D66" i="1"/>
  <c r="D73" i="1"/>
  <c r="D83" i="1"/>
  <c r="D90" i="1"/>
  <c r="D105" i="1"/>
  <c r="D10" i="1" l="1"/>
  <c r="H105" i="1"/>
  <c r="H90" i="1"/>
  <c r="H83" i="1"/>
  <c r="H73" i="1"/>
  <c r="H66" i="1"/>
  <c r="H61" i="1"/>
  <c r="H54" i="1"/>
  <c r="H47" i="1"/>
  <c r="H40" i="1"/>
  <c r="H34" i="1"/>
  <c r="H29" i="1"/>
  <c r="H20" i="1"/>
  <c r="H12" i="1"/>
  <c r="H10" i="1" l="1"/>
  <c r="F105" i="1"/>
  <c r="G105" i="1"/>
  <c r="F90" i="1"/>
  <c r="G90" i="1"/>
  <c r="F83" i="1"/>
  <c r="G83" i="1"/>
  <c r="F73" i="1"/>
  <c r="G73" i="1"/>
  <c r="F66" i="1"/>
  <c r="G66" i="1"/>
  <c r="F61" i="1"/>
  <c r="G61" i="1"/>
  <c r="F54" i="1"/>
  <c r="G54" i="1"/>
  <c r="F47" i="1"/>
  <c r="G47" i="1"/>
  <c r="F40" i="1"/>
  <c r="G40" i="1"/>
  <c r="F34" i="1"/>
  <c r="G34" i="1"/>
  <c r="F29" i="1"/>
  <c r="G29" i="1"/>
  <c r="F20" i="1"/>
  <c r="G20" i="1"/>
  <c r="F12" i="1"/>
  <c r="G12" i="1"/>
  <c r="I75" i="1"/>
  <c r="I76" i="1"/>
  <c r="I77" i="1"/>
  <c r="I78" i="1"/>
  <c r="I79" i="1"/>
  <c r="I80" i="1"/>
  <c r="I81" i="1"/>
  <c r="I82" i="1"/>
  <c r="G10" i="1" l="1"/>
  <c r="F10" i="1"/>
  <c r="M16" i="1"/>
  <c r="I16" i="1"/>
  <c r="M14" i="1" l="1"/>
  <c r="I14" i="1"/>
  <c r="C66" i="1"/>
  <c r="E66" i="1"/>
  <c r="M110" i="1" l="1"/>
  <c r="M109" i="1"/>
  <c r="M108" i="1"/>
  <c r="M107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89" i="1"/>
  <c r="M88" i="1"/>
  <c r="M87" i="1"/>
  <c r="M86" i="1"/>
  <c r="M85" i="1"/>
  <c r="M82" i="1"/>
  <c r="M81" i="1"/>
  <c r="M80" i="1"/>
  <c r="M79" i="1"/>
  <c r="M78" i="1"/>
  <c r="M77" i="1"/>
  <c r="M76" i="1"/>
  <c r="M75" i="1"/>
  <c r="M72" i="1"/>
  <c r="M71" i="1"/>
  <c r="M70" i="1"/>
  <c r="M69" i="1"/>
  <c r="M68" i="1"/>
  <c r="M65" i="1"/>
  <c r="M64" i="1"/>
  <c r="M63" i="1"/>
  <c r="M60" i="1"/>
  <c r="M59" i="1"/>
  <c r="M58" i="1"/>
  <c r="M57" i="1"/>
  <c r="M56" i="1"/>
  <c r="M53" i="1"/>
  <c r="M52" i="1"/>
  <c r="M51" i="1"/>
  <c r="M50" i="1"/>
  <c r="M49" i="1"/>
  <c r="M46" i="1"/>
  <c r="M45" i="1"/>
  <c r="M44" i="1"/>
  <c r="M43" i="1"/>
  <c r="M42" i="1"/>
  <c r="M39" i="1"/>
  <c r="M38" i="1"/>
  <c r="M37" i="1"/>
  <c r="M36" i="1"/>
  <c r="M33" i="1"/>
  <c r="M32" i="1"/>
  <c r="M31" i="1"/>
  <c r="M30" i="1"/>
  <c r="M28" i="1"/>
  <c r="M27" i="1"/>
  <c r="M26" i="1"/>
  <c r="M25" i="1"/>
  <c r="M24" i="1"/>
  <c r="M23" i="1"/>
  <c r="M22" i="1"/>
  <c r="M19" i="1"/>
  <c r="M18" i="1"/>
  <c r="M17" i="1"/>
  <c r="M15" i="1"/>
  <c r="M12" i="1" l="1"/>
  <c r="M105" i="1"/>
  <c r="M90" i="1"/>
  <c r="M83" i="1"/>
  <c r="M73" i="1"/>
  <c r="M66" i="1"/>
  <c r="M61" i="1"/>
  <c r="M54" i="1"/>
  <c r="M47" i="1"/>
  <c r="M40" i="1"/>
  <c r="M34" i="1"/>
  <c r="M29" i="1"/>
  <c r="M20" i="1"/>
  <c r="C20" i="1"/>
  <c r="P105" i="1"/>
  <c r="O105" i="1"/>
  <c r="N105" i="1"/>
  <c r="L105" i="1"/>
  <c r="K105" i="1"/>
  <c r="J105" i="1"/>
  <c r="P90" i="1"/>
  <c r="O90" i="1"/>
  <c r="N90" i="1"/>
  <c r="L90" i="1"/>
  <c r="K90" i="1"/>
  <c r="J90" i="1"/>
  <c r="P83" i="1"/>
  <c r="O83" i="1"/>
  <c r="N83" i="1"/>
  <c r="L83" i="1"/>
  <c r="K83" i="1"/>
  <c r="J83" i="1"/>
  <c r="P73" i="1"/>
  <c r="O73" i="1"/>
  <c r="N73" i="1"/>
  <c r="L73" i="1"/>
  <c r="K73" i="1"/>
  <c r="J73" i="1"/>
  <c r="P66" i="1"/>
  <c r="O66" i="1"/>
  <c r="N66" i="1"/>
  <c r="L66" i="1"/>
  <c r="K66" i="1"/>
  <c r="J66" i="1"/>
  <c r="P61" i="1"/>
  <c r="O61" i="1"/>
  <c r="N61" i="1"/>
  <c r="L61" i="1"/>
  <c r="K61" i="1"/>
  <c r="J61" i="1"/>
  <c r="P54" i="1"/>
  <c r="O54" i="1"/>
  <c r="N54" i="1"/>
  <c r="L54" i="1"/>
  <c r="K54" i="1"/>
  <c r="J54" i="1"/>
  <c r="P47" i="1"/>
  <c r="O47" i="1"/>
  <c r="N47" i="1"/>
  <c r="L47" i="1"/>
  <c r="K47" i="1"/>
  <c r="J47" i="1"/>
  <c r="P40" i="1"/>
  <c r="O40" i="1"/>
  <c r="N40" i="1"/>
  <c r="L40" i="1"/>
  <c r="K40" i="1"/>
  <c r="J40" i="1"/>
  <c r="P34" i="1"/>
  <c r="O34" i="1"/>
  <c r="N34" i="1"/>
  <c r="L34" i="1"/>
  <c r="K34" i="1"/>
  <c r="J34" i="1"/>
  <c r="P29" i="1"/>
  <c r="O29" i="1"/>
  <c r="N29" i="1"/>
  <c r="K29" i="1"/>
  <c r="L29" i="1"/>
  <c r="J29" i="1"/>
  <c r="P20" i="1"/>
  <c r="O20" i="1"/>
  <c r="N20" i="1"/>
  <c r="K20" i="1"/>
  <c r="L20" i="1"/>
  <c r="J20" i="1"/>
  <c r="P12" i="1"/>
  <c r="O12" i="1"/>
  <c r="N12" i="1"/>
  <c r="K12" i="1"/>
  <c r="L12" i="1"/>
  <c r="J12" i="1"/>
  <c r="I110" i="1"/>
  <c r="I109" i="1"/>
  <c r="I108" i="1"/>
  <c r="I107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89" i="1"/>
  <c r="I88" i="1"/>
  <c r="I87" i="1"/>
  <c r="I86" i="1"/>
  <c r="I85" i="1"/>
  <c r="I72" i="1"/>
  <c r="I71" i="1"/>
  <c r="I70" i="1"/>
  <c r="I69" i="1"/>
  <c r="I68" i="1"/>
  <c r="I65" i="1"/>
  <c r="I64" i="1"/>
  <c r="I63" i="1"/>
  <c r="I60" i="1"/>
  <c r="I59" i="1"/>
  <c r="I58" i="1"/>
  <c r="I57" i="1"/>
  <c r="I56" i="1"/>
  <c r="I53" i="1"/>
  <c r="I52" i="1"/>
  <c r="I51" i="1"/>
  <c r="I50" i="1"/>
  <c r="I49" i="1"/>
  <c r="I46" i="1"/>
  <c r="I45" i="1"/>
  <c r="I44" i="1"/>
  <c r="I43" i="1"/>
  <c r="I42" i="1"/>
  <c r="I39" i="1"/>
  <c r="I38" i="1"/>
  <c r="I37" i="1"/>
  <c r="I36" i="1"/>
  <c r="I33" i="1"/>
  <c r="I32" i="1"/>
  <c r="I31" i="1"/>
  <c r="I30" i="1"/>
  <c r="I28" i="1"/>
  <c r="I27" i="1"/>
  <c r="I26" i="1"/>
  <c r="I25" i="1"/>
  <c r="I24" i="1"/>
  <c r="I23" i="1"/>
  <c r="I22" i="1"/>
  <c r="I19" i="1"/>
  <c r="I18" i="1"/>
  <c r="I17" i="1"/>
  <c r="E105" i="1"/>
  <c r="C105" i="1"/>
  <c r="E90" i="1"/>
  <c r="C90" i="1"/>
  <c r="E83" i="1"/>
  <c r="C83" i="1"/>
  <c r="E73" i="1"/>
  <c r="C73" i="1"/>
  <c r="E61" i="1"/>
  <c r="C61" i="1"/>
  <c r="E54" i="1"/>
  <c r="C54" i="1"/>
  <c r="E40" i="1"/>
  <c r="E34" i="1"/>
  <c r="E47" i="1"/>
  <c r="C47" i="1"/>
  <c r="C40" i="1"/>
  <c r="C34" i="1"/>
  <c r="E29" i="1"/>
  <c r="C29" i="1"/>
  <c r="E20" i="1"/>
  <c r="E12" i="1"/>
  <c r="J10" i="1" l="1"/>
  <c r="E10" i="1"/>
  <c r="C10" i="1"/>
  <c r="I29" i="1"/>
  <c r="I34" i="1"/>
  <c r="I40" i="1"/>
  <c r="I54" i="1"/>
  <c r="I66" i="1"/>
  <c r="I90" i="1"/>
  <c r="I12" i="1"/>
  <c r="I20" i="1"/>
  <c r="I47" i="1"/>
  <c r="I61" i="1"/>
  <c r="I73" i="1"/>
  <c r="I83" i="1"/>
  <c r="I105" i="1"/>
  <c r="M10" i="1"/>
  <c r="P10" i="1"/>
  <c r="K10" i="1"/>
  <c r="N10" i="1"/>
  <c r="O10" i="1"/>
  <c r="L10" i="1"/>
  <c r="I10" i="1" l="1"/>
</calcChain>
</file>

<file path=xl/sharedStrings.xml><?xml version="1.0" encoding="utf-8"?>
<sst xmlns="http://schemas.openxmlformats.org/spreadsheetml/2006/main" count="546" uniqueCount="214">
  <si>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</si>
  <si>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</si>
  <si>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</si>
  <si>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</si>
  <si>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</si>
  <si>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</si>
  <si>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</si>
  <si>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</si>
  <si>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</si>
  <si>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</si>
  <si>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</si>
  <si>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</si>
  <si>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</si>
  <si>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</si>
  <si>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</si>
  <si>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</si>
  <si>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</si>
  <si>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</si>
  <si>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</si>
  <si>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</si>
  <si>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</si>
  <si>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</si>
  <si>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</si>
  <si>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</si>
  <si>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</si>
  <si>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</si>
  <si>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</si>
  <si>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</si>
  <si>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</si>
  <si>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</si>
  <si>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</si>
  <si>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</si>
  <si>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</si>
  <si>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</si>
  <si>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</si>
  <si>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</si>
  <si>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</si>
  <si>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</si>
  <si>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</si>
  <si>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</si>
  <si>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</si>
  <si>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</si>
  <si>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</si>
  <si>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</si>
  <si>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</si>
  <si>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</si>
  <si>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</si>
  <si>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</si>
  <si>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</si>
  <si>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</si>
  <si>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</si>
  <si>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</si>
  <si>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</si>
  <si>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</si>
  <si>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</si>
  <si>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</si>
  <si>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</si>
  <si>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</si>
  <si>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</si>
  <si>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</si>
  <si>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</si>
  <si>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</si>
  <si>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</si>
  <si>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</si>
  <si>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</si>
  <si>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</si>
  <si>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</si>
  <si>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</si>
  <si>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</si>
  <si>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</si>
  <si>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</si>
  <si>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</si>
  <si>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</si>
  <si>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</si>
  <si>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</si>
  <si>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</si>
  <si>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</si>
  <si>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</si>
  <si>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</si>
  <si>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</si>
  <si>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</si>
  <si>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</si>
  <si>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</si>
  <si>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</si>
  <si>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</si>
  <si>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</si>
  <si>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</si>
  <si>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</si>
  <si>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</si>
  <si>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</si>
  <si>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</si>
  <si>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</si>
  <si>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</si>
  <si>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</si>
  <si>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</si>
  <si>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</si>
  <si>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</si>
  <si>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</si>
  <si>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</si>
  <si>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</si>
  <si>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</si>
  <si>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</si>
  <si>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</si>
  <si>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</si>
  <si>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</si>
  <si>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</si>
  <si>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</si>
  <si>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</si>
  <si>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</si>
  <si>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</si>
  <si>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</si>
  <si>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</si>
  <si>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</si>
  <si>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</si>
  <si>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</si>
  <si>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</si>
  <si>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</si>
  <si>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</si>
  <si>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</si>
  <si>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</si>
  <si>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</si>
  <si>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</si>
  <si>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</si>
  <si>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</si>
  <si>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</si>
  <si>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</si>
  <si>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</si>
  <si>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</si>
  <si>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</si>
  <si>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</si>
  <si>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</si>
  <si>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</si>
  <si>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</si>
  <si>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</si>
  <si>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</si>
  <si>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</si>
  <si>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</si>
  <si>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</si>
  <si>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</si>
  <si>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</si>
  <si>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</si>
  <si>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</si>
  <si>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</si>
  <si>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</si>
  <si>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</si>
  <si>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</si>
  <si>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</si>
  <si>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</si>
  <si>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</si>
  <si>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</si>
  <si>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</si>
  <si>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</si>
  <si>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</si>
  <si>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</si>
  <si>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</si>
  <si>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</si>
  <si>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</si>
  <si>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</si>
  <si>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</si>
  <si>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</si>
  <si>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</si>
  <si>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</si>
  <si>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</si>
  <si>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</si>
  <si>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</si>
  <si>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</si>
  <si>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</si>
  <si>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</si>
  <si>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</si>
  <si>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</si>
  <si>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</si>
  <si>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</si>
  <si>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</si>
  <si>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</si>
  <si>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</si>
  <si>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</si>
  <si>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</si>
  <si>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</si>
  <si>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</si>
  <si>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</si>
  <si>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</si>
  <si>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</si>
  <si>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Πίνακας 6α. Ζώα που γέννησαν όλο το έτος 2023, κατά Περιφέρεια και Περιφερειακή Ενότητα</t>
  </si>
  <si>
    <t>Table 6a. Breeding animals during 2023, by Region and Regional Unities</t>
  </si>
  <si>
    <t>Cows for milk production</t>
  </si>
  <si>
    <t>Αγελάδες γαλακτοπαραγωγής</t>
  </si>
  <si>
    <t>Αγελάδες για παραγωγή βοοειδών πάχυνσης, για σφαγή κλπ</t>
  </si>
  <si>
    <t>Other cows for the production of bovine for fattening, slaughter, etc</t>
  </si>
  <si>
    <t>Buffaloes</t>
  </si>
  <si>
    <t>Βουβάλια</t>
  </si>
  <si>
    <t xml:space="preserve">Χοιρομητέρες </t>
  </si>
  <si>
    <t>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</si>
  <si>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</t>
    </r>
  </si>
  <si>
    <t>Breeding hens(1)</t>
  </si>
  <si>
    <t>Όρνιθες ωοπαραγωγής</t>
  </si>
  <si>
    <t>Hens for egg production</t>
  </si>
  <si>
    <t>Total</t>
  </si>
  <si>
    <t>Σύνολο</t>
  </si>
  <si>
    <t>Domestic</t>
  </si>
  <si>
    <t>In flock</t>
  </si>
  <si>
    <t>Nomadic</t>
  </si>
  <si>
    <t>Νομαδικά</t>
  </si>
  <si>
    <t>Οικόσιτες</t>
  </si>
  <si>
    <t>Κοπαδιάρικα</t>
  </si>
  <si>
    <t>Οικόσιτα</t>
  </si>
  <si>
    <t>Κοπαδιάρικες</t>
  </si>
  <si>
    <t>Νομαδικές</t>
  </si>
  <si>
    <t>Bovine</t>
  </si>
  <si>
    <t>Βοοειδή</t>
  </si>
  <si>
    <t>Sheep</t>
  </si>
  <si>
    <t>Goats</t>
  </si>
  <si>
    <t>Πρόβατα</t>
  </si>
  <si>
    <t>Αίγες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</si>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</sst>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49" fontId="9" fillId="0" borderId="2" xfId="0" applyNumberFormat="1" applyFont="1" applyBorder="1" applyAlignment="1">
      <alignment vertical="center"/>
    </xf>
    <xf numFmtId="3" fontId="3" fillId="0" borderId="0" xfId="0" applyNumberFormat="1" applyFont="1"/>
    <xf numFmtId="3" fontId="4" fillId="0" borderId="1" xfId="0" applyNumberFormat="1" applyFont="1" applyBorder="1" applyAlignment="1">
      <alignment horizontal="left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indent="2"/>
    </xf>
    <xf numFmtId="3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0" fontId="3" fillId="0" borderId="34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3" fontId="2" fillId="0" borderId="18" xfId="0" applyNumberFormat="1" applyFont="1" applyBorder="1" applyAlignment="1">
      <alignment horizontal="right" vertical="top"/>
    </xf>
    <xf numFmtId="3" fontId="2" fillId="0" borderId="17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3" fillId="0" borderId="3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right" vertical="center" wrapText="1"/>
    </xf>
    <xf numFmtId="3" fontId="3" fillId="2" borderId="7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6" fillId="2" borderId="3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3" fontId="6" fillId="2" borderId="17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3" fillId="2" borderId="36" xfId="0" applyNumberFormat="1" applyFont="1" applyFill="1" applyBorder="1" applyAlignment="1">
      <alignment horizontal="right" vertical="center" wrapText="1"/>
    </xf>
    <xf numFmtId="3" fontId="3" fillId="2" borderId="21" xfId="0" applyNumberFormat="1" applyFont="1" applyFill="1" applyBorder="1" applyAlignment="1">
      <alignment horizontal="right" vertical="center" wrapText="1"/>
    </xf>
    <xf numFmtId="3" fontId="6" fillId="2" borderId="21" xfId="0" applyNumberFormat="1" applyFont="1" applyFill="1" applyBorder="1" applyAlignment="1">
      <alignment horizontal="right" vertical="center"/>
    </xf>
    <xf numFmtId="3" fontId="4" fillId="2" borderId="21" xfId="0" quotePrefix="1" applyNumberFormat="1" applyFont="1" applyFill="1" applyBorder="1" applyAlignment="1">
      <alignment horizontal="right"/>
    </xf>
    <xf numFmtId="3" fontId="3" fillId="2" borderId="21" xfId="0" applyNumberFormat="1" applyFont="1" applyFill="1" applyBorder="1" applyAlignment="1">
      <alignment horizontal="right" vertical="center"/>
    </xf>
    <xf numFmtId="3" fontId="3" fillId="2" borderId="21" xfId="0" applyNumberFormat="1" applyFont="1" applyFill="1" applyBorder="1" applyAlignment="1">
      <alignment horizontal="right" vertical="center"/>
    </xf>
    <xf numFmtId="3" fontId="4" fillId="2" borderId="24" xfId="0" quotePrefix="1" applyNumberFormat="1" applyFont="1" applyFill="1" applyBorder="1" applyAlignment="1">
      <alignment horizontal="right"/>
    </xf>
    <xf numFmtId="3" fontId="4" fillId="2" borderId="37" xfId="0" quotePrefix="1" applyNumberFormat="1" applyFont="1" applyFill="1" applyBorder="1" applyAlignment="1">
      <alignment horizontal="right"/>
    </xf>
    <xf numFmtId="3" fontId="4" fillId="2" borderId="3" xfId="0" quotePrefix="1" applyNumberFormat="1" applyFont="1" applyFill="1" applyBorder="1" applyAlignment="1">
      <alignment horizontal="right"/>
    </xf>
    <xf numFmtId="3" fontId="4" fillId="2" borderId="4" xfId="0" quotePrefix="1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6"/>
  <sheetViews>
    <sheetView showGridLines="0" tabSelected="1" zoomScaleNormal="100" workbookViewId="0">
      <selection activeCell="E16" sqref="E16"/>
    </sheetView>
  </sheetViews>
  <sheetFormatPr defaultRowHeight="14.4" x14ac:dyDescent="0.3"/>
  <cols>
    <col min="1" max="1" width="44.21875" style="5" customWidth="1"/>
    <col min="2" max="2" width="7.5546875" style="5" bestFit="1" customWidth="1"/>
    <col min="3" max="4" width="17.6640625" style="5" customWidth="1"/>
    <col min="5" max="5" width="9.109375" style="5" bestFit="1" customWidth="1"/>
    <col min="6" max="6" width="12.33203125" style="37" customWidth="1"/>
    <col min="7" max="7" width="15.21875" style="37" bestFit="1" customWidth="1"/>
    <col min="8" max="8" width="13" style="37" customWidth="1"/>
    <col min="9" max="9" width="9.109375" style="5" bestFit="1" customWidth="1"/>
    <col min="10" max="12" width="11.77734375" style="5" customWidth="1"/>
    <col min="13" max="13" width="9.109375" style="5" bestFit="1" customWidth="1"/>
    <col min="14" max="14" width="9" style="5" bestFit="1" customWidth="1"/>
    <col min="15" max="15" width="12.109375" style="5" bestFit="1" customWidth="1"/>
    <col min="16" max="16" width="9.77734375" style="5" bestFit="1" customWidth="1"/>
    <col min="17" max="17" width="9.6640625" style="5" customWidth="1"/>
    <col min="18" max="18" width="9.33203125" style="5" customWidth="1"/>
    <col min="19" max="19" width="16.77734375" style="5" customWidth="1"/>
    <col min="20" max="20" width="8.44140625" style="5" customWidth="1"/>
    <col min="21" max="16384" width="8.88671875" style="5"/>
  </cols>
  <sheetData>
    <row r="1" spans="1:20" x14ac:dyDescent="0.3">
      <c r="A1" s="2"/>
      <c r="B1" s="2"/>
      <c r="C1" s="2"/>
      <c r="D1" s="2"/>
      <c r="E1" s="2"/>
      <c r="F1" s="33"/>
      <c r="G1" s="33"/>
      <c r="H1" s="33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4"/>
    </row>
    <row r="2" spans="1:20" s="28" customFormat="1" ht="18" x14ac:dyDescent="0.35">
      <c r="C2" s="81" t="s">
        <v>182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29"/>
      <c r="Q2" s="29"/>
      <c r="R2" s="29"/>
      <c r="S2" s="29"/>
      <c r="T2" s="30"/>
    </row>
    <row r="3" spans="1:20" s="28" customFormat="1" ht="18" x14ac:dyDescent="0.35">
      <c r="A3" s="31"/>
      <c r="B3" s="31"/>
      <c r="C3" s="81" t="s">
        <v>183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31"/>
      <c r="Q3" s="31"/>
      <c r="R3" s="31"/>
      <c r="S3" s="31"/>
      <c r="T3" s="30"/>
    </row>
    <row r="4" spans="1:20" ht="15" thickBot="1" x14ac:dyDescent="0.35">
      <c r="A4" s="6" t="s">
        <v>0</v>
      </c>
      <c r="B4" s="6"/>
      <c r="C4" s="6"/>
      <c r="D4" s="6"/>
      <c r="E4" s="6"/>
      <c r="F4" s="34"/>
      <c r="G4" s="34"/>
      <c r="H4" s="34"/>
      <c r="I4" s="6"/>
      <c r="J4" s="6"/>
      <c r="K4" s="6"/>
      <c r="L4" s="6"/>
      <c r="M4" s="6"/>
      <c r="N4" s="78"/>
      <c r="O4" s="78"/>
      <c r="P4" s="78"/>
      <c r="Q4" s="7"/>
      <c r="R4" s="78" t="s">
        <v>1</v>
      </c>
      <c r="S4" s="78"/>
      <c r="T4" s="8"/>
    </row>
    <row r="5" spans="1:20" ht="14.4" customHeight="1" x14ac:dyDescent="0.3">
      <c r="A5" s="66" t="s">
        <v>2</v>
      </c>
      <c r="B5" s="108" t="s">
        <v>208</v>
      </c>
      <c r="C5" s="89"/>
      <c r="D5" s="89"/>
      <c r="E5" s="90"/>
      <c r="F5" s="75" t="s">
        <v>190</v>
      </c>
      <c r="G5" s="75" t="s">
        <v>192</v>
      </c>
      <c r="H5" s="75" t="s">
        <v>194</v>
      </c>
      <c r="I5" s="88" t="s">
        <v>211</v>
      </c>
      <c r="J5" s="89"/>
      <c r="K5" s="89"/>
      <c r="L5" s="90"/>
      <c r="M5" s="89" t="s">
        <v>212</v>
      </c>
      <c r="N5" s="89"/>
      <c r="O5" s="89"/>
      <c r="P5" s="91"/>
      <c r="Q5" s="69" t="s">
        <v>3</v>
      </c>
      <c r="R5" s="70"/>
      <c r="S5" s="70"/>
    </row>
    <row r="6" spans="1:20" x14ac:dyDescent="0.3">
      <c r="A6" s="67"/>
      <c r="B6" s="109" t="s">
        <v>207</v>
      </c>
      <c r="C6" s="110"/>
      <c r="D6" s="110"/>
      <c r="E6" s="111"/>
      <c r="F6" s="76"/>
      <c r="G6" s="76"/>
      <c r="H6" s="76"/>
      <c r="I6" s="112" t="s">
        <v>209</v>
      </c>
      <c r="J6" s="110"/>
      <c r="K6" s="110"/>
      <c r="L6" s="111"/>
      <c r="M6" s="112" t="s">
        <v>210</v>
      </c>
      <c r="N6" s="110"/>
      <c r="O6" s="110"/>
      <c r="P6" s="113"/>
      <c r="Q6" s="71"/>
      <c r="R6" s="72"/>
      <c r="S6" s="72"/>
    </row>
    <row r="7" spans="1:20" ht="37.200000000000003" customHeight="1" x14ac:dyDescent="0.3">
      <c r="A7" s="67"/>
      <c r="B7" s="71" t="s">
        <v>197</v>
      </c>
      <c r="C7" s="114" t="s">
        <v>185</v>
      </c>
      <c r="D7" s="114" t="s">
        <v>186</v>
      </c>
      <c r="E7" s="114" t="s">
        <v>189</v>
      </c>
      <c r="F7" s="76"/>
      <c r="G7" s="76"/>
      <c r="H7" s="76"/>
      <c r="I7" s="92" t="s">
        <v>197</v>
      </c>
      <c r="J7" s="84" t="s">
        <v>204</v>
      </c>
      <c r="K7" s="84" t="s">
        <v>203</v>
      </c>
      <c r="L7" s="84" t="s">
        <v>201</v>
      </c>
      <c r="M7" s="94" t="s">
        <v>197</v>
      </c>
      <c r="N7" s="84" t="s">
        <v>202</v>
      </c>
      <c r="O7" s="84" t="s">
        <v>205</v>
      </c>
      <c r="P7" s="86" t="s">
        <v>206</v>
      </c>
      <c r="Q7" s="71"/>
      <c r="R7" s="72"/>
      <c r="S7" s="72"/>
    </row>
    <row r="8" spans="1:20" ht="37.200000000000003" customHeight="1" x14ac:dyDescent="0.3">
      <c r="A8" s="67"/>
      <c r="B8" s="73"/>
      <c r="C8" s="85"/>
      <c r="D8" s="85"/>
      <c r="E8" s="85"/>
      <c r="F8" s="77"/>
      <c r="G8" s="77"/>
      <c r="H8" s="77"/>
      <c r="I8" s="93"/>
      <c r="J8" s="85"/>
      <c r="K8" s="85"/>
      <c r="L8" s="85"/>
      <c r="M8" s="95"/>
      <c r="N8" s="85"/>
      <c r="O8" s="85"/>
      <c r="P8" s="87"/>
      <c r="Q8" s="71"/>
      <c r="R8" s="72"/>
      <c r="S8" s="72"/>
    </row>
    <row r="9" spans="1:20" ht="72" x14ac:dyDescent="0.3">
      <c r="A9" s="68"/>
      <c r="B9" s="51" t="s">
        <v>196</v>
      </c>
      <c r="C9" s="43" t="s">
        <v>184</v>
      </c>
      <c r="D9" s="43" t="s">
        <v>187</v>
      </c>
      <c r="E9" s="43" t="s">
        <v>188</v>
      </c>
      <c r="F9" s="45" t="s">
        <v>191</v>
      </c>
      <c r="G9" s="45" t="s">
        <v>193</v>
      </c>
      <c r="H9" s="46" t="s">
        <v>195</v>
      </c>
      <c r="I9" s="48" t="s">
        <v>196</v>
      </c>
      <c r="J9" s="22" t="s">
        <v>198</v>
      </c>
      <c r="K9" s="43" t="s">
        <v>199</v>
      </c>
      <c r="L9" s="49" t="s">
        <v>200</v>
      </c>
      <c r="M9" s="44" t="s">
        <v>196</v>
      </c>
      <c r="N9" s="22" t="s">
        <v>198</v>
      </c>
      <c r="O9" s="43" t="s">
        <v>199</v>
      </c>
      <c r="P9" s="47" t="s">
        <v>200</v>
      </c>
      <c r="Q9" s="73"/>
      <c r="R9" s="74"/>
      <c r="S9" s="74"/>
    </row>
    <row r="10" spans="1:20" ht="12" customHeight="1" x14ac:dyDescent="0.3">
      <c r="A10" s="79" t="s">
        <v>4</v>
      </c>
      <c r="B10" s="135">
        <f>SUM(B12,B20,B29,B34,B40,B47,B54,B61,B66,B73,B83,B90,B105)</f>
        <v>287681</v>
      </c>
      <c r="C10" s="115">
        <f>SUM(C12,C20,C29,C34,C40,C47,C54,C61,C66,C73,C83,C90,C105)</f>
        <v>108985</v>
      </c>
      <c r="D10" s="115">
        <f>SUM(D12,D20,D29,D34,D40,D47,D54,D61,D66,D73,D83,D90,D105)</f>
        <v>177829</v>
      </c>
      <c r="E10" s="115">
        <f>SUM(E12,E20,E29,E34,E40,E47,E54,E61,E66,E73,E83,E90,E105)</f>
        <v>867</v>
      </c>
      <c r="F10" s="115">
        <f t="shared" ref="F10" si="0">SUM(F12,F20,F29,F34,F40,F47,F54,F61,F66,F73,F83,F90,F105)</f>
        <v>94224</v>
      </c>
      <c r="G10" s="115">
        <f>SUM(G12,G20,G29,G34,G40,G47,G54,G61,G66,G73,G83,G90,G105)</f>
        <v>1901731</v>
      </c>
      <c r="H10" s="116">
        <f>SUM(H12,H20,H29,H34,H40,H47,H54,H61,H66,H73,H83,H90,H105)</f>
        <v>8244282</v>
      </c>
      <c r="I10" s="115">
        <f>SUM(I12,I20,I29,I34,I40,I47,I54,I61,I66,I73,I83,I90,I105)</f>
        <v>6953094</v>
      </c>
      <c r="J10" s="123">
        <f>SUM(J12,J20,J29,J34,J40,J47,J54,J61,J66,J73,J83,J90,J105)</f>
        <v>128040</v>
      </c>
      <c r="K10" s="115">
        <f t="shared" ref="K10:P10" si="1">SUM(K12,K20,K29,K34,K40,K47,K54,K61,K66,K73,K83,K90,K105)</f>
        <v>6718022</v>
      </c>
      <c r="L10" s="123">
        <f t="shared" si="1"/>
        <v>107032</v>
      </c>
      <c r="M10" s="115">
        <f>SUM(M12,M20,M29,M34,M40,M47,M54,M61,M66,M73,M83,M90,M105)</f>
        <v>2615065</v>
      </c>
      <c r="N10" s="123">
        <f t="shared" si="1"/>
        <v>86164</v>
      </c>
      <c r="O10" s="115">
        <f t="shared" si="1"/>
        <v>2468256</v>
      </c>
      <c r="P10" s="124">
        <f t="shared" si="1"/>
        <v>60645</v>
      </c>
      <c r="Q10" s="82" t="s">
        <v>5</v>
      </c>
      <c r="R10" s="82"/>
      <c r="S10" s="82"/>
    </row>
    <row r="11" spans="1:20" x14ac:dyDescent="0.3">
      <c r="A11" s="80"/>
      <c r="B11" s="136"/>
      <c r="C11" s="117"/>
      <c r="D11" s="117"/>
      <c r="E11" s="118"/>
      <c r="F11" s="118"/>
      <c r="G11" s="117"/>
      <c r="H11" s="119"/>
      <c r="I11" s="117"/>
      <c r="J11" s="119"/>
      <c r="K11" s="117"/>
      <c r="L11" s="119"/>
      <c r="M11" s="117"/>
      <c r="N11" s="119"/>
      <c r="O11" s="117"/>
      <c r="P11" s="125"/>
      <c r="Q11" s="83"/>
      <c r="R11" s="83"/>
      <c r="S11" s="83"/>
    </row>
    <row r="12" spans="1:20" ht="1.8" customHeight="1" x14ac:dyDescent="0.3">
      <c r="A12" s="98" t="s">
        <v>6</v>
      </c>
      <c r="B12" s="137">
        <f>SUM(B14:B19)</f>
        <v>29387</v>
      </c>
      <c r="C12" s="120">
        <f>SUM(C14:C19)</f>
        <v>16774</v>
      </c>
      <c r="D12" s="120">
        <f>SUM(D14:D19)</f>
        <v>12558</v>
      </c>
      <c r="E12" s="121">
        <f t="shared" ref="E12:G12" si="2">SUM(E14:E19)</f>
        <v>55</v>
      </c>
      <c r="F12" s="121">
        <f>SUM(F14:F19)</f>
        <v>7063</v>
      </c>
      <c r="G12" s="120">
        <f t="shared" si="2"/>
        <v>8456</v>
      </c>
      <c r="H12" s="122">
        <f t="shared" ref="H12" si="3">SUM(H14:H19)</f>
        <v>373782</v>
      </c>
      <c r="I12" s="120">
        <f>SUM(I14:I19)</f>
        <v>357220</v>
      </c>
      <c r="J12" s="122">
        <f>SUM(J14:J19)</f>
        <v>4385</v>
      </c>
      <c r="K12" s="120">
        <f t="shared" ref="K12:L12" si="4">SUM(K14:K19)</f>
        <v>352835</v>
      </c>
      <c r="L12" s="122">
        <f t="shared" si="4"/>
        <v>0</v>
      </c>
      <c r="M12" s="120">
        <f>SUM(M14:M19)</f>
        <v>242498</v>
      </c>
      <c r="N12" s="122">
        <f t="shared" ref="N12:P12" si="5">SUM(N14:N19)</f>
        <v>1296</v>
      </c>
      <c r="O12" s="120">
        <f t="shared" si="5"/>
        <v>241202</v>
      </c>
      <c r="P12" s="126">
        <f t="shared" si="5"/>
        <v>0</v>
      </c>
      <c r="Q12" s="83" t="s">
        <v>7</v>
      </c>
      <c r="R12" s="83"/>
      <c r="S12" s="83"/>
    </row>
    <row r="13" spans="1:20" x14ac:dyDescent="0.3">
      <c r="A13" s="98"/>
      <c r="B13" s="137"/>
      <c r="C13" s="120"/>
      <c r="D13" s="120"/>
      <c r="E13" s="121"/>
      <c r="F13" s="121"/>
      <c r="G13" s="120"/>
      <c r="H13" s="122"/>
      <c r="I13" s="120"/>
      <c r="J13" s="122"/>
      <c r="K13" s="120"/>
      <c r="L13" s="122"/>
      <c r="M13" s="120"/>
      <c r="N13" s="122"/>
      <c r="O13" s="120"/>
      <c r="P13" s="126"/>
      <c r="Q13" s="83"/>
      <c r="R13" s="83"/>
      <c r="S13" s="83"/>
    </row>
    <row r="14" spans="1:20" x14ac:dyDescent="0.3">
      <c r="A14" s="9" t="s">
        <v>112</v>
      </c>
      <c r="B14" s="138">
        <f>SUM(C14:E14)</f>
        <v>7793</v>
      </c>
      <c r="C14" s="52">
        <v>2640</v>
      </c>
      <c r="D14" s="52">
        <v>5098</v>
      </c>
      <c r="E14" s="53">
        <v>55</v>
      </c>
      <c r="F14" s="52">
        <v>145</v>
      </c>
      <c r="G14" s="52">
        <v>67</v>
      </c>
      <c r="H14" s="54">
        <v>41466</v>
      </c>
      <c r="I14" s="143">
        <f>SUM(J14:L14)</f>
        <v>78179</v>
      </c>
      <c r="J14" s="55">
        <v>117</v>
      </c>
      <c r="K14" s="56">
        <v>78062</v>
      </c>
      <c r="L14" s="1" t="s">
        <v>213</v>
      </c>
      <c r="M14" s="145">
        <f>SUM(N14:P14)</f>
        <v>51390</v>
      </c>
      <c r="N14" s="56">
        <v>107</v>
      </c>
      <c r="O14" s="55">
        <v>51283</v>
      </c>
      <c r="P14" s="57" t="s">
        <v>213</v>
      </c>
      <c r="Q14" s="10" t="s">
        <v>8</v>
      </c>
      <c r="R14" s="11"/>
      <c r="S14" s="11"/>
    </row>
    <row r="15" spans="1:20" x14ac:dyDescent="0.3">
      <c r="A15" s="9" t="s">
        <v>113</v>
      </c>
      <c r="B15" s="138">
        <f>SUM(C15:E15)</f>
        <v>6497</v>
      </c>
      <c r="C15" s="52">
        <v>2284</v>
      </c>
      <c r="D15" s="52">
        <v>4213</v>
      </c>
      <c r="E15" s="53" t="s">
        <v>213</v>
      </c>
      <c r="F15" s="52">
        <v>4905</v>
      </c>
      <c r="G15" s="52" t="s">
        <v>213</v>
      </c>
      <c r="H15" s="54">
        <v>29761</v>
      </c>
      <c r="I15" s="143">
        <f>SUM(J15:L15)</f>
        <v>69533</v>
      </c>
      <c r="J15" s="55">
        <v>1827</v>
      </c>
      <c r="K15" s="56">
        <v>67706</v>
      </c>
      <c r="L15" s="1" t="s">
        <v>213</v>
      </c>
      <c r="M15" s="145">
        <f t="shared" ref="M15:M19" si="6">SUM(N15:P15)</f>
        <v>37386</v>
      </c>
      <c r="N15" s="56">
        <v>62</v>
      </c>
      <c r="O15" s="55">
        <v>37324</v>
      </c>
      <c r="P15" s="57" t="s">
        <v>213</v>
      </c>
      <c r="Q15" s="10" t="s">
        <v>9</v>
      </c>
      <c r="R15" s="11"/>
      <c r="S15" s="11"/>
    </row>
    <row r="16" spans="1:20" x14ac:dyDescent="0.3">
      <c r="A16" s="9" t="s">
        <v>114</v>
      </c>
      <c r="B16" s="138">
        <f>SUM(C16:E16)</f>
        <v>3262</v>
      </c>
      <c r="C16" s="52">
        <v>2063</v>
      </c>
      <c r="D16" s="52">
        <v>1199</v>
      </c>
      <c r="E16" s="54" t="s">
        <v>213</v>
      </c>
      <c r="F16" s="52">
        <v>802</v>
      </c>
      <c r="G16" s="52">
        <v>7770</v>
      </c>
      <c r="H16" s="54">
        <v>271510</v>
      </c>
      <c r="I16" s="143">
        <f>SUM(J16:L16)</f>
        <v>58521</v>
      </c>
      <c r="J16" s="55">
        <v>2441</v>
      </c>
      <c r="K16" s="56">
        <v>56080</v>
      </c>
      <c r="L16" s="1" t="s">
        <v>213</v>
      </c>
      <c r="M16" s="145">
        <f>SUM(N16:P16)</f>
        <v>50002</v>
      </c>
      <c r="N16" s="56">
        <v>1123</v>
      </c>
      <c r="O16" s="55">
        <v>48879</v>
      </c>
      <c r="P16" s="57" t="s">
        <v>213</v>
      </c>
      <c r="Q16" s="10" t="s">
        <v>10</v>
      </c>
      <c r="R16" s="11"/>
      <c r="S16" s="11"/>
    </row>
    <row r="17" spans="1:19" x14ac:dyDescent="0.3">
      <c r="A17" s="9" t="s">
        <v>115</v>
      </c>
      <c r="B17" s="138">
        <f t="shared" ref="B17:B19" si="7">SUM(C17:E17)</f>
        <v>0</v>
      </c>
      <c r="C17" s="52" t="s">
        <v>213</v>
      </c>
      <c r="D17" s="52" t="s">
        <v>213</v>
      </c>
      <c r="E17" s="53" t="s">
        <v>213</v>
      </c>
      <c r="F17" s="52" t="s">
        <v>213</v>
      </c>
      <c r="G17" s="52" t="s">
        <v>213</v>
      </c>
      <c r="H17" s="54">
        <v>100</v>
      </c>
      <c r="I17" s="143">
        <f t="shared" ref="I17:I19" si="8">SUM(J17:L17)</f>
        <v>17620</v>
      </c>
      <c r="J17" s="55" t="s">
        <v>213</v>
      </c>
      <c r="K17" s="56">
        <v>17620</v>
      </c>
      <c r="L17" s="1" t="s">
        <v>213</v>
      </c>
      <c r="M17" s="145">
        <f t="shared" si="6"/>
        <v>13320</v>
      </c>
      <c r="N17" s="56" t="s">
        <v>213</v>
      </c>
      <c r="O17" s="55">
        <v>13320</v>
      </c>
      <c r="P17" s="57" t="s">
        <v>213</v>
      </c>
      <c r="Q17" s="10" t="s">
        <v>11</v>
      </c>
      <c r="R17" s="11"/>
      <c r="S17" s="11"/>
    </row>
    <row r="18" spans="1:19" x14ac:dyDescent="0.3">
      <c r="A18" s="9" t="s">
        <v>116</v>
      </c>
      <c r="B18" s="138">
        <f t="shared" si="7"/>
        <v>2701</v>
      </c>
      <c r="C18" s="52">
        <v>1573</v>
      </c>
      <c r="D18" s="52">
        <v>1128</v>
      </c>
      <c r="E18" s="53" t="s">
        <v>213</v>
      </c>
      <c r="F18" s="52">
        <v>671</v>
      </c>
      <c r="G18" s="52">
        <v>619</v>
      </c>
      <c r="H18" s="54">
        <v>16065</v>
      </c>
      <c r="I18" s="143">
        <f t="shared" si="8"/>
        <v>55641</v>
      </c>
      <c r="J18" s="55" t="s">
        <v>213</v>
      </c>
      <c r="K18" s="56">
        <v>55641</v>
      </c>
      <c r="L18" s="1" t="s">
        <v>213</v>
      </c>
      <c r="M18" s="145">
        <f t="shared" si="6"/>
        <v>44112</v>
      </c>
      <c r="N18" s="56">
        <v>4</v>
      </c>
      <c r="O18" s="55">
        <v>44108</v>
      </c>
      <c r="P18" s="57" t="s">
        <v>213</v>
      </c>
      <c r="Q18" s="10" t="s">
        <v>12</v>
      </c>
      <c r="R18" s="11"/>
      <c r="S18" s="11"/>
    </row>
    <row r="19" spans="1:19" x14ac:dyDescent="0.3">
      <c r="A19" s="9" t="s">
        <v>117</v>
      </c>
      <c r="B19" s="138">
        <f t="shared" si="7"/>
        <v>9134</v>
      </c>
      <c r="C19" s="52">
        <v>8214</v>
      </c>
      <c r="D19" s="52">
        <v>920</v>
      </c>
      <c r="E19" s="53" t="s">
        <v>213</v>
      </c>
      <c r="F19" s="52">
        <v>540</v>
      </c>
      <c r="G19" s="52" t="s">
        <v>213</v>
      </c>
      <c r="H19" s="54">
        <v>14880</v>
      </c>
      <c r="I19" s="143">
        <f t="shared" si="8"/>
        <v>77726</v>
      </c>
      <c r="J19" s="1" t="s">
        <v>213</v>
      </c>
      <c r="K19" s="56">
        <v>77726</v>
      </c>
      <c r="L19" s="1" t="s">
        <v>213</v>
      </c>
      <c r="M19" s="145">
        <f t="shared" si="6"/>
        <v>46288</v>
      </c>
      <c r="N19" s="56" t="s">
        <v>213</v>
      </c>
      <c r="O19" s="55">
        <v>46288</v>
      </c>
      <c r="P19" s="57" t="s">
        <v>213</v>
      </c>
      <c r="Q19" s="10" t="s">
        <v>13</v>
      </c>
      <c r="R19" s="11"/>
      <c r="S19" s="11"/>
    </row>
    <row r="20" spans="1:19" x14ac:dyDescent="0.3">
      <c r="A20" s="98" t="s">
        <v>14</v>
      </c>
      <c r="B20" s="139">
        <f>SUM(B22:B28)</f>
        <v>70252</v>
      </c>
      <c r="C20" s="127">
        <f>SUM(C22:C28)</f>
        <v>48149</v>
      </c>
      <c r="D20" s="127">
        <f>SUM(D22:D28)</f>
        <v>21363</v>
      </c>
      <c r="E20" s="128">
        <f t="shared" ref="E20:G20" si="9">SUM(E22:E28)</f>
        <v>740</v>
      </c>
      <c r="F20" s="128">
        <f t="shared" si="9"/>
        <v>13917</v>
      </c>
      <c r="G20" s="127">
        <f t="shared" si="9"/>
        <v>82295</v>
      </c>
      <c r="H20" s="129">
        <f t="shared" ref="H20" si="10">SUM(H22:H28)</f>
        <v>1151916</v>
      </c>
      <c r="I20" s="127">
        <f>SUM(I22:I28)</f>
        <v>551667</v>
      </c>
      <c r="J20" s="129">
        <f>SUM(J22:J28)</f>
        <v>1046</v>
      </c>
      <c r="K20" s="127">
        <f t="shared" ref="K20:M20" si="11">SUM(K22:K28)</f>
        <v>550411</v>
      </c>
      <c r="L20" s="129">
        <f t="shared" si="11"/>
        <v>210</v>
      </c>
      <c r="M20" s="127">
        <f t="shared" si="11"/>
        <v>321536</v>
      </c>
      <c r="N20" s="129">
        <f t="shared" ref="N20:P20" si="12">SUM(N22:N28)</f>
        <v>1091</v>
      </c>
      <c r="O20" s="127">
        <f t="shared" si="12"/>
        <v>320404</v>
      </c>
      <c r="P20" s="130">
        <f t="shared" si="12"/>
        <v>41</v>
      </c>
      <c r="Q20" s="97" t="s">
        <v>15</v>
      </c>
      <c r="R20" s="97"/>
      <c r="S20" s="97"/>
    </row>
    <row r="21" spans="1:19" x14ac:dyDescent="0.3">
      <c r="A21" s="98"/>
      <c r="B21" s="139"/>
      <c r="C21" s="127"/>
      <c r="D21" s="127"/>
      <c r="E21" s="128"/>
      <c r="F21" s="128"/>
      <c r="G21" s="127"/>
      <c r="H21" s="129"/>
      <c r="I21" s="127"/>
      <c r="J21" s="129"/>
      <c r="K21" s="127"/>
      <c r="L21" s="129"/>
      <c r="M21" s="127"/>
      <c r="N21" s="129"/>
      <c r="O21" s="127"/>
      <c r="P21" s="130"/>
      <c r="Q21" s="97"/>
      <c r="R21" s="97"/>
      <c r="S21" s="97"/>
    </row>
    <row r="22" spans="1:19" x14ac:dyDescent="0.3">
      <c r="A22" s="9" t="s">
        <v>118</v>
      </c>
      <c r="B22" s="138">
        <f t="shared" ref="B22:B28" si="13">SUM(C22:E22)</f>
        <v>27812</v>
      </c>
      <c r="C22" s="52">
        <v>22603</v>
      </c>
      <c r="D22" s="52">
        <v>5209</v>
      </c>
      <c r="E22" s="54" t="s">
        <v>213</v>
      </c>
      <c r="F22" s="52">
        <v>1303</v>
      </c>
      <c r="G22" s="52">
        <v>78000</v>
      </c>
      <c r="H22" s="54">
        <v>665647</v>
      </c>
      <c r="I22" s="143">
        <f t="shared" ref="I22:I28" si="14">SUM(J22:L22)</f>
        <v>105891</v>
      </c>
      <c r="J22" s="55" t="s">
        <v>213</v>
      </c>
      <c r="K22" s="56">
        <v>105891</v>
      </c>
      <c r="L22" s="1" t="s">
        <v>213</v>
      </c>
      <c r="M22" s="145">
        <f t="shared" ref="M22:M28" si="15">SUM(N22:P22)</f>
        <v>84294</v>
      </c>
      <c r="N22" s="56" t="s">
        <v>213</v>
      </c>
      <c r="O22" s="55">
        <v>84294</v>
      </c>
      <c r="P22" s="57" t="s">
        <v>213</v>
      </c>
      <c r="Q22" s="10" t="s">
        <v>16</v>
      </c>
      <c r="R22" s="11"/>
      <c r="S22" s="11"/>
    </row>
    <row r="23" spans="1:19" x14ac:dyDescent="0.3">
      <c r="A23" s="9" t="s">
        <v>119</v>
      </c>
      <c r="B23" s="138">
        <f t="shared" si="13"/>
        <v>2108</v>
      </c>
      <c r="C23" s="52">
        <v>1315</v>
      </c>
      <c r="D23" s="52">
        <v>793</v>
      </c>
      <c r="E23" s="53" t="s">
        <v>213</v>
      </c>
      <c r="F23" s="52">
        <v>1588</v>
      </c>
      <c r="G23" s="52">
        <v>1850</v>
      </c>
      <c r="H23" s="54">
        <v>11670</v>
      </c>
      <c r="I23" s="143">
        <f t="shared" si="14"/>
        <v>24440</v>
      </c>
      <c r="J23" s="55">
        <v>135</v>
      </c>
      <c r="K23" s="56">
        <v>24305</v>
      </c>
      <c r="L23" s="55" t="s">
        <v>213</v>
      </c>
      <c r="M23" s="145">
        <f t="shared" si="15"/>
        <v>12215</v>
      </c>
      <c r="N23" s="56">
        <v>77</v>
      </c>
      <c r="O23" s="55">
        <v>12138</v>
      </c>
      <c r="P23" s="57" t="s">
        <v>213</v>
      </c>
      <c r="Q23" s="10" t="s">
        <v>17</v>
      </c>
      <c r="R23" s="11"/>
      <c r="S23" s="11"/>
    </row>
    <row r="24" spans="1:19" x14ac:dyDescent="0.3">
      <c r="A24" s="9" t="s">
        <v>120</v>
      </c>
      <c r="B24" s="138">
        <f t="shared" si="13"/>
        <v>8143</v>
      </c>
      <c r="C24" s="52">
        <v>7760</v>
      </c>
      <c r="D24" s="52">
        <v>383</v>
      </c>
      <c r="E24" s="53" t="s">
        <v>213</v>
      </c>
      <c r="F24" s="52">
        <v>707</v>
      </c>
      <c r="G24" s="52" t="s">
        <v>213</v>
      </c>
      <c r="H24" s="54">
        <v>161491</v>
      </c>
      <c r="I24" s="143">
        <f t="shared" si="14"/>
        <v>80829</v>
      </c>
      <c r="J24" s="1" t="s">
        <v>213</v>
      </c>
      <c r="K24" s="56">
        <v>80829</v>
      </c>
      <c r="L24" s="1" t="s">
        <v>213</v>
      </c>
      <c r="M24" s="145">
        <f t="shared" si="15"/>
        <v>33709</v>
      </c>
      <c r="N24" s="56" t="s">
        <v>213</v>
      </c>
      <c r="O24" s="55">
        <v>33709</v>
      </c>
      <c r="P24" s="57" t="s">
        <v>213</v>
      </c>
      <c r="Q24" s="10" t="s">
        <v>18</v>
      </c>
      <c r="R24" s="11"/>
      <c r="S24" s="11"/>
    </row>
    <row r="25" spans="1:19" x14ac:dyDescent="0.3">
      <c r="A25" s="9" t="s">
        <v>121</v>
      </c>
      <c r="B25" s="138">
        <f t="shared" si="13"/>
        <v>6526</v>
      </c>
      <c r="C25" s="52">
        <v>2405</v>
      </c>
      <c r="D25" s="52">
        <v>4121</v>
      </c>
      <c r="E25" s="53" t="s">
        <v>213</v>
      </c>
      <c r="F25" s="52">
        <v>1301</v>
      </c>
      <c r="G25" s="52">
        <v>800</v>
      </c>
      <c r="H25" s="54">
        <v>63445</v>
      </c>
      <c r="I25" s="143">
        <f t="shared" si="14"/>
        <v>73162</v>
      </c>
      <c r="J25" s="55">
        <v>232</v>
      </c>
      <c r="K25" s="56">
        <v>72930</v>
      </c>
      <c r="L25" s="1" t="s">
        <v>213</v>
      </c>
      <c r="M25" s="145">
        <f t="shared" si="15"/>
        <v>29638</v>
      </c>
      <c r="N25" s="56">
        <v>279</v>
      </c>
      <c r="O25" s="55">
        <v>29359</v>
      </c>
      <c r="P25" s="57" t="s">
        <v>213</v>
      </c>
      <c r="Q25" s="10" t="s">
        <v>19</v>
      </c>
      <c r="R25" s="11"/>
      <c r="S25" s="11"/>
    </row>
    <row r="26" spans="1:19" x14ac:dyDescent="0.3">
      <c r="A26" s="9" t="s">
        <v>122</v>
      </c>
      <c r="B26" s="138">
        <f t="shared" si="13"/>
        <v>2742</v>
      </c>
      <c r="C26" s="52">
        <v>2344</v>
      </c>
      <c r="D26" s="52">
        <v>398</v>
      </c>
      <c r="E26" s="53" t="s">
        <v>213</v>
      </c>
      <c r="F26" s="52">
        <v>5305</v>
      </c>
      <c r="G26" s="52">
        <v>511</v>
      </c>
      <c r="H26" s="54">
        <v>50998</v>
      </c>
      <c r="I26" s="143">
        <f t="shared" si="14"/>
        <v>82195</v>
      </c>
      <c r="J26" s="55">
        <v>89</v>
      </c>
      <c r="K26" s="56">
        <v>81896</v>
      </c>
      <c r="L26" s="55">
        <v>210</v>
      </c>
      <c r="M26" s="145">
        <f t="shared" si="15"/>
        <v>33873</v>
      </c>
      <c r="N26" s="56" t="s">
        <v>213</v>
      </c>
      <c r="O26" s="55">
        <v>33832</v>
      </c>
      <c r="P26" s="57">
        <v>41</v>
      </c>
      <c r="Q26" s="10" t="s">
        <v>20</v>
      </c>
      <c r="R26" s="11"/>
      <c r="S26" s="11"/>
    </row>
    <row r="27" spans="1:19" x14ac:dyDescent="0.3">
      <c r="A27" s="9" t="s">
        <v>123</v>
      </c>
      <c r="B27" s="138">
        <f t="shared" si="13"/>
        <v>21884</v>
      </c>
      <c r="C27" s="52">
        <v>11190</v>
      </c>
      <c r="D27" s="52">
        <v>9954</v>
      </c>
      <c r="E27" s="54">
        <v>740</v>
      </c>
      <c r="F27" s="52">
        <v>2303</v>
      </c>
      <c r="G27" s="52" t="s">
        <v>213</v>
      </c>
      <c r="H27" s="54">
        <v>106580</v>
      </c>
      <c r="I27" s="143">
        <f t="shared" si="14"/>
        <v>147477</v>
      </c>
      <c r="J27" s="55">
        <v>590</v>
      </c>
      <c r="K27" s="56">
        <v>146887</v>
      </c>
      <c r="L27" s="1" t="s">
        <v>213</v>
      </c>
      <c r="M27" s="145">
        <f t="shared" si="15"/>
        <v>72390</v>
      </c>
      <c r="N27" s="56">
        <v>735</v>
      </c>
      <c r="O27" s="55">
        <v>71655</v>
      </c>
      <c r="P27" s="57" t="s">
        <v>213</v>
      </c>
      <c r="Q27" s="10" t="s">
        <v>21</v>
      </c>
      <c r="R27" s="11"/>
      <c r="S27" s="11"/>
    </row>
    <row r="28" spans="1:19" x14ac:dyDescent="0.3">
      <c r="A28" s="9" t="s">
        <v>124</v>
      </c>
      <c r="B28" s="138">
        <f t="shared" si="13"/>
        <v>1037</v>
      </c>
      <c r="C28" s="52">
        <v>532</v>
      </c>
      <c r="D28" s="52">
        <v>505</v>
      </c>
      <c r="E28" s="53" t="s">
        <v>213</v>
      </c>
      <c r="F28" s="52">
        <v>1410</v>
      </c>
      <c r="G28" s="52">
        <v>1134</v>
      </c>
      <c r="H28" s="54">
        <v>92085</v>
      </c>
      <c r="I28" s="143">
        <f t="shared" si="14"/>
        <v>37673</v>
      </c>
      <c r="J28" s="55" t="s">
        <v>213</v>
      </c>
      <c r="K28" s="56">
        <v>37673</v>
      </c>
      <c r="L28" s="1" t="s">
        <v>213</v>
      </c>
      <c r="M28" s="145">
        <f t="shared" si="15"/>
        <v>55417</v>
      </c>
      <c r="N28" s="56" t="s">
        <v>213</v>
      </c>
      <c r="O28" s="55">
        <v>55417</v>
      </c>
      <c r="P28" s="57" t="s">
        <v>213</v>
      </c>
      <c r="Q28" s="10" t="s">
        <v>22</v>
      </c>
      <c r="R28" s="11"/>
      <c r="S28" s="11"/>
    </row>
    <row r="29" spans="1:19" ht="29.4" customHeight="1" x14ac:dyDescent="0.3">
      <c r="A29" s="12" t="s">
        <v>179</v>
      </c>
      <c r="B29" s="140">
        <f>SUM(B30:B33)</f>
        <v>15289</v>
      </c>
      <c r="C29" s="131">
        <f>SUM(C30:C33)</f>
        <v>6947</v>
      </c>
      <c r="D29" s="131">
        <f>SUM(D30:D33)</f>
        <v>8342</v>
      </c>
      <c r="E29" s="132">
        <f t="shared" ref="E29:H29" si="16">SUM(E30:E33)</f>
        <v>0</v>
      </c>
      <c r="F29" s="132">
        <f t="shared" si="16"/>
        <v>1252</v>
      </c>
      <c r="G29" s="131">
        <f t="shared" si="16"/>
        <v>0</v>
      </c>
      <c r="H29" s="133">
        <f t="shared" si="16"/>
        <v>152009</v>
      </c>
      <c r="I29" s="131">
        <f>SUM(I30:I33)</f>
        <v>267520</v>
      </c>
      <c r="J29" s="133">
        <f>SUM(J30:J33)</f>
        <v>380</v>
      </c>
      <c r="K29" s="131">
        <f t="shared" ref="K29:L29" si="17">SUM(K30:K33)</f>
        <v>267140</v>
      </c>
      <c r="L29" s="133">
        <f t="shared" si="17"/>
        <v>0</v>
      </c>
      <c r="M29" s="131">
        <f t="shared" ref="M29:N29" si="18">SUM(M30:M33)</f>
        <v>92608</v>
      </c>
      <c r="N29" s="133">
        <f t="shared" si="18"/>
        <v>847</v>
      </c>
      <c r="O29" s="131">
        <f t="shared" ref="O29" si="19">SUM(O30:O33)</f>
        <v>91761</v>
      </c>
      <c r="P29" s="134">
        <f t="shared" ref="P29" si="20">SUM(P30:P33)</f>
        <v>0</v>
      </c>
      <c r="Q29" s="13" t="s">
        <v>178</v>
      </c>
      <c r="R29" s="11"/>
      <c r="S29" s="11"/>
    </row>
    <row r="30" spans="1:19" x14ac:dyDescent="0.3">
      <c r="A30" s="9" t="s">
        <v>125</v>
      </c>
      <c r="B30" s="138">
        <f t="shared" ref="B30:B33" si="21">SUM(C30:E30)</f>
        <v>8459</v>
      </c>
      <c r="C30" s="56">
        <v>3336</v>
      </c>
      <c r="D30" s="56">
        <v>5123</v>
      </c>
      <c r="E30" s="1" t="s">
        <v>213</v>
      </c>
      <c r="F30" s="56">
        <v>652</v>
      </c>
      <c r="G30" s="56" t="s">
        <v>213</v>
      </c>
      <c r="H30" s="55">
        <v>75738</v>
      </c>
      <c r="I30" s="143">
        <f t="shared" ref="I30:I33" si="22">SUM(J30:L30)</f>
        <v>74556</v>
      </c>
      <c r="J30" s="55">
        <v>46</v>
      </c>
      <c r="K30" s="56">
        <v>74510</v>
      </c>
      <c r="L30" s="1" t="s">
        <v>213</v>
      </c>
      <c r="M30" s="145">
        <f t="shared" ref="M30:M33" si="23">SUM(N30:P30)</f>
        <v>30458</v>
      </c>
      <c r="N30" s="56">
        <v>48</v>
      </c>
      <c r="O30" s="55">
        <v>30410</v>
      </c>
      <c r="P30" s="57" t="s">
        <v>213</v>
      </c>
      <c r="Q30" s="10" t="s">
        <v>23</v>
      </c>
      <c r="R30" s="11"/>
      <c r="S30" s="11"/>
    </row>
    <row r="31" spans="1:19" x14ac:dyDescent="0.3">
      <c r="A31" s="9" t="s">
        <v>126</v>
      </c>
      <c r="B31" s="138">
        <f t="shared" si="21"/>
        <v>1988</v>
      </c>
      <c r="C31" s="56">
        <v>794</v>
      </c>
      <c r="D31" s="56">
        <v>1194</v>
      </c>
      <c r="E31" s="1" t="s">
        <v>213</v>
      </c>
      <c r="F31" s="56">
        <v>349</v>
      </c>
      <c r="G31" s="56" t="s">
        <v>213</v>
      </c>
      <c r="H31" s="55">
        <v>43060</v>
      </c>
      <c r="I31" s="143">
        <f t="shared" si="22"/>
        <v>64109</v>
      </c>
      <c r="J31" s="55">
        <v>24</v>
      </c>
      <c r="K31" s="56">
        <v>64085</v>
      </c>
      <c r="L31" s="1" t="s">
        <v>213</v>
      </c>
      <c r="M31" s="145">
        <f t="shared" si="23"/>
        <v>31509</v>
      </c>
      <c r="N31" s="56">
        <v>7</v>
      </c>
      <c r="O31" s="55">
        <v>31502</v>
      </c>
      <c r="P31" s="57" t="s">
        <v>213</v>
      </c>
      <c r="Q31" s="10" t="s">
        <v>24</v>
      </c>
      <c r="R31" s="11"/>
      <c r="S31" s="11"/>
    </row>
    <row r="32" spans="1:19" x14ac:dyDescent="0.3">
      <c r="A32" s="9" t="s">
        <v>127</v>
      </c>
      <c r="B32" s="138">
        <f t="shared" si="21"/>
        <v>1080</v>
      </c>
      <c r="C32" s="56">
        <v>300</v>
      </c>
      <c r="D32" s="56">
        <v>780</v>
      </c>
      <c r="E32" s="1" t="s">
        <v>213</v>
      </c>
      <c r="F32" s="56">
        <v>127</v>
      </c>
      <c r="G32" s="56" t="s">
        <v>213</v>
      </c>
      <c r="H32" s="55">
        <v>12245</v>
      </c>
      <c r="I32" s="143">
        <f t="shared" si="22"/>
        <v>49551</v>
      </c>
      <c r="J32" s="55">
        <v>133</v>
      </c>
      <c r="K32" s="56">
        <v>49418</v>
      </c>
      <c r="L32" s="1" t="s">
        <v>213</v>
      </c>
      <c r="M32" s="145">
        <f t="shared" si="23"/>
        <v>9021</v>
      </c>
      <c r="N32" s="56">
        <v>74</v>
      </c>
      <c r="O32" s="55">
        <v>8947</v>
      </c>
      <c r="P32" s="57" t="s">
        <v>213</v>
      </c>
      <c r="Q32" s="10" t="s">
        <v>25</v>
      </c>
      <c r="R32" s="11"/>
      <c r="S32" s="11"/>
    </row>
    <row r="33" spans="1:19" x14ac:dyDescent="0.3">
      <c r="A33" s="9" t="s">
        <v>128</v>
      </c>
      <c r="B33" s="138">
        <f t="shared" si="21"/>
        <v>3762</v>
      </c>
      <c r="C33" s="56">
        <v>2517</v>
      </c>
      <c r="D33" s="56">
        <v>1245</v>
      </c>
      <c r="E33" s="1" t="s">
        <v>213</v>
      </c>
      <c r="F33" s="56">
        <v>124</v>
      </c>
      <c r="G33" s="56" t="s">
        <v>213</v>
      </c>
      <c r="H33" s="55">
        <v>20966</v>
      </c>
      <c r="I33" s="143">
        <f t="shared" si="22"/>
        <v>79304</v>
      </c>
      <c r="J33" s="55">
        <v>177</v>
      </c>
      <c r="K33" s="56">
        <v>79127</v>
      </c>
      <c r="L33" s="1" t="s">
        <v>213</v>
      </c>
      <c r="M33" s="145">
        <f t="shared" si="23"/>
        <v>21620</v>
      </c>
      <c r="N33" s="56">
        <v>718</v>
      </c>
      <c r="O33" s="55">
        <v>20902</v>
      </c>
      <c r="P33" s="57" t="s">
        <v>213</v>
      </c>
      <c r="Q33" s="10" t="s">
        <v>26</v>
      </c>
      <c r="R33" s="11"/>
      <c r="S33" s="11"/>
    </row>
    <row r="34" spans="1:19" x14ac:dyDescent="0.3">
      <c r="A34" s="98" t="s">
        <v>27</v>
      </c>
      <c r="B34" s="139">
        <f>SUM(B36:B39)</f>
        <v>36387</v>
      </c>
      <c r="C34" s="127">
        <f>SUM(C36:C39)</f>
        <v>3759</v>
      </c>
      <c r="D34" s="127">
        <f>SUM(D36:D39)</f>
        <v>32628</v>
      </c>
      <c r="E34" s="128">
        <f t="shared" ref="E34:G34" si="24">SUM(E36:E39)</f>
        <v>0</v>
      </c>
      <c r="F34" s="128">
        <f t="shared" si="24"/>
        <v>15758</v>
      </c>
      <c r="G34" s="127">
        <f t="shared" si="24"/>
        <v>1279189</v>
      </c>
      <c r="H34" s="129">
        <f t="shared" ref="H34" si="25">SUM(H36:H39)</f>
        <v>616194</v>
      </c>
      <c r="I34" s="127">
        <f>SUM(I36:I39)</f>
        <v>378215</v>
      </c>
      <c r="J34" s="129">
        <f>SUM(J36:J39)</f>
        <v>323</v>
      </c>
      <c r="K34" s="127">
        <f t="shared" ref="K34:M34" si="26">SUM(K36:K39)</f>
        <v>372220</v>
      </c>
      <c r="L34" s="129">
        <f t="shared" si="26"/>
        <v>5672</v>
      </c>
      <c r="M34" s="127">
        <f t="shared" si="26"/>
        <v>93121</v>
      </c>
      <c r="N34" s="129">
        <f t="shared" ref="N34:P34" si="27">SUM(N36:N39)</f>
        <v>343</v>
      </c>
      <c r="O34" s="127">
        <f t="shared" si="27"/>
        <v>90300</v>
      </c>
      <c r="P34" s="130">
        <f t="shared" si="27"/>
        <v>2478</v>
      </c>
      <c r="Q34" s="96" t="s">
        <v>28</v>
      </c>
      <c r="R34" s="96"/>
      <c r="S34" s="96"/>
    </row>
    <row r="35" spans="1:19" x14ac:dyDescent="0.3">
      <c r="A35" s="98"/>
      <c r="B35" s="139"/>
      <c r="C35" s="127"/>
      <c r="D35" s="127"/>
      <c r="E35" s="128"/>
      <c r="F35" s="128"/>
      <c r="G35" s="127"/>
      <c r="H35" s="129"/>
      <c r="I35" s="127"/>
      <c r="J35" s="129"/>
      <c r="K35" s="127"/>
      <c r="L35" s="129"/>
      <c r="M35" s="127"/>
      <c r="N35" s="129"/>
      <c r="O35" s="127"/>
      <c r="P35" s="130"/>
      <c r="Q35" s="96"/>
      <c r="R35" s="96"/>
      <c r="S35" s="96"/>
    </row>
    <row r="36" spans="1:19" x14ac:dyDescent="0.3">
      <c r="A36" s="9" t="s">
        <v>129</v>
      </c>
      <c r="B36" s="138">
        <f t="shared" ref="B36:B39" si="28">SUM(C36:E36)</f>
        <v>12350</v>
      </c>
      <c r="C36" s="56">
        <v>974</v>
      </c>
      <c r="D36" s="56">
        <v>11376</v>
      </c>
      <c r="E36" s="1" t="s">
        <v>213</v>
      </c>
      <c r="F36" s="56">
        <v>1613</v>
      </c>
      <c r="G36" s="56">
        <v>1229139</v>
      </c>
      <c r="H36" s="55">
        <v>509319</v>
      </c>
      <c r="I36" s="143">
        <f t="shared" ref="I36:I39" si="29">SUM(J36:L36)</f>
        <v>119047</v>
      </c>
      <c r="J36" s="55">
        <v>206</v>
      </c>
      <c r="K36" s="56">
        <v>118841</v>
      </c>
      <c r="L36" s="55" t="s">
        <v>213</v>
      </c>
      <c r="M36" s="145">
        <f t="shared" ref="M36:M39" si="30">SUM(N36:P36)</f>
        <v>25686</v>
      </c>
      <c r="N36" s="56">
        <v>230</v>
      </c>
      <c r="O36" s="55">
        <v>25456</v>
      </c>
      <c r="P36" s="57" t="s">
        <v>213</v>
      </c>
      <c r="Q36" s="10" t="s">
        <v>29</v>
      </c>
      <c r="R36" s="11"/>
      <c r="S36" s="11"/>
    </row>
    <row r="37" spans="1:19" x14ac:dyDescent="0.3">
      <c r="A37" s="9" t="s">
        <v>130</v>
      </c>
      <c r="B37" s="138">
        <f t="shared" si="28"/>
        <v>2386</v>
      </c>
      <c r="C37" s="56">
        <v>789</v>
      </c>
      <c r="D37" s="56">
        <v>1597</v>
      </c>
      <c r="E37" s="1" t="s">
        <v>213</v>
      </c>
      <c r="F37" s="56">
        <v>4577</v>
      </c>
      <c r="G37" s="56">
        <v>50000</v>
      </c>
      <c r="H37" s="55">
        <v>79010</v>
      </c>
      <c r="I37" s="143">
        <f t="shared" si="29"/>
        <v>89922</v>
      </c>
      <c r="J37" s="1" t="s">
        <v>213</v>
      </c>
      <c r="K37" s="56">
        <v>89922</v>
      </c>
      <c r="L37" s="55" t="s">
        <v>213</v>
      </c>
      <c r="M37" s="145">
        <f t="shared" si="30"/>
        <v>11175</v>
      </c>
      <c r="N37" s="56" t="s">
        <v>213</v>
      </c>
      <c r="O37" s="55">
        <v>11175</v>
      </c>
      <c r="P37" s="57" t="s">
        <v>213</v>
      </c>
      <c r="Q37" s="10" t="s">
        <v>30</v>
      </c>
      <c r="R37" s="11"/>
      <c r="S37" s="11"/>
    </row>
    <row r="38" spans="1:19" x14ac:dyDescent="0.3">
      <c r="A38" s="9" t="s">
        <v>131</v>
      </c>
      <c r="B38" s="138">
        <f t="shared" si="28"/>
        <v>16777</v>
      </c>
      <c r="C38" s="56">
        <v>139</v>
      </c>
      <c r="D38" s="56">
        <v>16638</v>
      </c>
      <c r="E38" s="1" t="s">
        <v>213</v>
      </c>
      <c r="F38" s="56">
        <v>45</v>
      </c>
      <c r="G38" s="56" t="s">
        <v>213</v>
      </c>
      <c r="H38" s="55">
        <v>19550</v>
      </c>
      <c r="I38" s="143">
        <f t="shared" si="29"/>
        <v>76379</v>
      </c>
      <c r="J38" s="55">
        <v>117</v>
      </c>
      <c r="K38" s="56">
        <v>71620</v>
      </c>
      <c r="L38" s="55">
        <v>4642</v>
      </c>
      <c r="M38" s="145">
        <f t="shared" si="30"/>
        <v>32700</v>
      </c>
      <c r="N38" s="56">
        <v>101</v>
      </c>
      <c r="O38" s="55">
        <v>30121</v>
      </c>
      <c r="P38" s="57">
        <v>2478</v>
      </c>
      <c r="Q38" s="10" t="s">
        <v>31</v>
      </c>
      <c r="R38" s="11"/>
      <c r="S38" s="11"/>
    </row>
    <row r="39" spans="1:19" x14ac:dyDescent="0.3">
      <c r="A39" s="9" t="s">
        <v>132</v>
      </c>
      <c r="B39" s="138">
        <f t="shared" si="28"/>
        <v>4874</v>
      </c>
      <c r="C39" s="56">
        <v>1857</v>
      </c>
      <c r="D39" s="56">
        <v>3017</v>
      </c>
      <c r="E39" s="1" t="s">
        <v>213</v>
      </c>
      <c r="F39" s="56">
        <v>9523</v>
      </c>
      <c r="G39" s="56">
        <v>50</v>
      </c>
      <c r="H39" s="55">
        <v>8315</v>
      </c>
      <c r="I39" s="143">
        <f t="shared" si="29"/>
        <v>92867</v>
      </c>
      <c r="J39" s="55" t="s">
        <v>213</v>
      </c>
      <c r="K39" s="56">
        <v>91837</v>
      </c>
      <c r="L39" s="1">
        <v>1030</v>
      </c>
      <c r="M39" s="145">
        <f t="shared" si="30"/>
        <v>23560</v>
      </c>
      <c r="N39" s="56">
        <v>12</v>
      </c>
      <c r="O39" s="55">
        <v>23548</v>
      </c>
      <c r="P39" s="57" t="s">
        <v>213</v>
      </c>
      <c r="Q39" s="10" t="s">
        <v>32</v>
      </c>
      <c r="R39" s="11"/>
      <c r="S39" s="11"/>
    </row>
    <row r="40" spans="1:19" x14ac:dyDescent="0.3">
      <c r="A40" s="98" t="s">
        <v>33</v>
      </c>
      <c r="B40" s="139">
        <f>SUM(B42:B46)</f>
        <v>81189</v>
      </c>
      <c r="C40" s="127">
        <f>SUM(C42:C46)</f>
        <v>15849</v>
      </c>
      <c r="D40" s="127">
        <f>SUM(D42:D46)</f>
        <v>65268</v>
      </c>
      <c r="E40" s="128">
        <f t="shared" ref="E40:G40" si="31">SUM(E42:E46)</f>
        <v>72</v>
      </c>
      <c r="F40" s="128">
        <f t="shared" si="31"/>
        <v>17203</v>
      </c>
      <c r="G40" s="127">
        <f t="shared" si="31"/>
        <v>11981</v>
      </c>
      <c r="H40" s="129">
        <f t="shared" ref="H40" si="32">SUM(H42:H46)</f>
        <v>300467</v>
      </c>
      <c r="I40" s="127">
        <f>SUM(I42:I46)</f>
        <v>907782</v>
      </c>
      <c r="J40" s="129">
        <f>SUM(J42:J46)</f>
        <v>1146</v>
      </c>
      <c r="K40" s="127">
        <f t="shared" ref="K40:M40" si="33">SUM(K42:K46)</f>
        <v>893711</v>
      </c>
      <c r="L40" s="129">
        <f t="shared" si="33"/>
        <v>12925</v>
      </c>
      <c r="M40" s="127">
        <f t="shared" si="33"/>
        <v>257994</v>
      </c>
      <c r="N40" s="129">
        <f>SUM(N42:N46)</f>
        <v>801</v>
      </c>
      <c r="O40" s="127">
        <f t="shared" ref="O40:P40" si="34">SUM(O42:O46)</f>
        <v>252553</v>
      </c>
      <c r="P40" s="130">
        <f t="shared" si="34"/>
        <v>4640</v>
      </c>
      <c r="Q40" s="96" t="s">
        <v>34</v>
      </c>
      <c r="R40" s="96"/>
      <c r="S40" s="96"/>
    </row>
    <row r="41" spans="1:19" x14ac:dyDescent="0.3">
      <c r="A41" s="98"/>
      <c r="B41" s="139"/>
      <c r="C41" s="127"/>
      <c r="D41" s="127"/>
      <c r="E41" s="128"/>
      <c r="F41" s="128"/>
      <c r="G41" s="127"/>
      <c r="H41" s="129"/>
      <c r="I41" s="127"/>
      <c r="J41" s="129"/>
      <c r="K41" s="127"/>
      <c r="L41" s="129"/>
      <c r="M41" s="127"/>
      <c r="N41" s="129"/>
      <c r="O41" s="127"/>
      <c r="P41" s="130"/>
      <c r="Q41" s="96"/>
      <c r="R41" s="96"/>
      <c r="S41" s="96"/>
    </row>
    <row r="42" spans="1:19" x14ac:dyDescent="0.3">
      <c r="A42" s="9" t="s">
        <v>133</v>
      </c>
      <c r="B42" s="138">
        <f t="shared" ref="B42:B46" si="35">SUM(C42:E42)</f>
        <v>47296</v>
      </c>
      <c r="C42" s="56">
        <v>12174</v>
      </c>
      <c r="D42" s="56">
        <v>35122</v>
      </c>
      <c r="E42" s="1" t="s">
        <v>213</v>
      </c>
      <c r="F42" s="56">
        <v>8654</v>
      </c>
      <c r="G42" s="56">
        <v>6731</v>
      </c>
      <c r="H42" s="55">
        <v>91875</v>
      </c>
      <c r="I42" s="143">
        <f t="shared" ref="I42:I46" si="36">SUM(J42:L42)</f>
        <v>522270</v>
      </c>
      <c r="J42" s="55" t="s">
        <v>213</v>
      </c>
      <c r="K42" s="56">
        <v>522270</v>
      </c>
      <c r="L42" s="55" t="s">
        <v>213</v>
      </c>
      <c r="M42" s="145">
        <f>SUM(N42:P42)</f>
        <v>134440</v>
      </c>
      <c r="N42" s="56" t="s">
        <v>213</v>
      </c>
      <c r="O42" s="55">
        <v>134440</v>
      </c>
      <c r="P42" s="57" t="s">
        <v>213</v>
      </c>
      <c r="Q42" s="10" t="s">
        <v>35</v>
      </c>
      <c r="R42" s="11"/>
      <c r="S42" s="11"/>
    </row>
    <row r="43" spans="1:19" x14ac:dyDescent="0.3">
      <c r="A43" s="9" t="s">
        <v>134</v>
      </c>
      <c r="B43" s="138">
        <f t="shared" si="35"/>
        <v>5158</v>
      </c>
      <c r="C43" s="56">
        <v>1001</v>
      </c>
      <c r="D43" s="56">
        <v>4157</v>
      </c>
      <c r="E43" s="1" t="s">
        <v>213</v>
      </c>
      <c r="F43" s="56">
        <v>794</v>
      </c>
      <c r="G43" s="56" t="s">
        <v>213</v>
      </c>
      <c r="H43" s="55">
        <v>53810</v>
      </c>
      <c r="I43" s="143">
        <f t="shared" si="36"/>
        <v>107090</v>
      </c>
      <c r="J43" s="55">
        <v>47</v>
      </c>
      <c r="K43" s="56">
        <v>106303</v>
      </c>
      <c r="L43" s="55">
        <v>740</v>
      </c>
      <c r="M43" s="145">
        <f t="shared" ref="M43:M46" si="37">SUM(N43:P43)</f>
        <v>14501</v>
      </c>
      <c r="N43" s="56" t="s">
        <v>213</v>
      </c>
      <c r="O43" s="55">
        <v>14301</v>
      </c>
      <c r="P43" s="57">
        <v>200</v>
      </c>
      <c r="Q43" s="10" t="s">
        <v>36</v>
      </c>
      <c r="R43" s="11"/>
      <c r="S43" s="11"/>
    </row>
    <row r="44" spans="1:19" x14ac:dyDescent="0.3">
      <c r="A44" s="9" t="s">
        <v>135</v>
      </c>
      <c r="B44" s="138">
        <f t="shared" si="35"/>
        <v>9730</v>
      </c>
      <c r="C44" s="56">
        <v>937</v>
      </c>
      <c r="D44" s="56">
        <v>8793</v>
      </c>
      <c r="E44" s="1" t="s">
        <v>213</v>
      </c>
      <c r="F44" s="56">
        <v>1225</v>
      </c>
      <c r="G44" s="56" t="s">
        <v>213</v>
      </c>
      <c r="H44" s="55">
        <v>15139</v>
      </c>
      <c r="I44" s="143">
        <f t="shared" si="36"/>
        <v>102272</v>
      </c>
      <c r="J44" s="55">
        <v>4</v>
      </c>
      <c r="K44" s="56">
        <v>102268</v>
      </c>
      <c r="L44" s="1" t="s">
        <v>213</v>
      </c>
      <c r="M44" s="145">
        <f t="shared" si="37"/>
        <v>39900</v>
      </c>
      <c r="N44" s="56">
        <v>18</v>
      </c>
      <c r="O44" s="55">
        <v>39882</v>
      </c>
      <c r="P44" s="57" t="s">
        <v>213</v>
      </c>
      <c r="Q44" s="10" t="s">
        <v>37</v>
      </c>
      <c r="R44" s="11"/>
      <c r="S44" s="11"/>
    </row>
    <row r="45" spans="1:19" x14ac:dyDescent="0.3">
      <c r="A45" s="9" t="s">
        <v>136</v>
      </c>
      <c r="B45" s="138">
        <f t="shared" si="35"/>
        <v>3</v>
      </c>
      <c r="C45" s="58">
        <v>2</v>
      </c>
      <c r="D45" s="58">
        <v>1</v>
      </c>
      <c r="E45" s="1" t="s">
        <v>213</v>
      </c>
      <c r="F45" s="56" t="s">
        <v>213</v>
      </c>
      <c r="G45" s="56" t="s">
        <v>213</v>
      </c>
      <c r="H45" s="55">
        <v>280</v>
      </c>
      <c r="I45" s="143">
        <f t="shared" si="36"/>
        <v>425</v>
      </c>
      <c r="J45" s="55" t="s">
        <v>213</v>
      </c>
      <c r="K45" s="58">
        <v>425</v>
      </c>
      <c r="L45" s="1" t="s">
        <v>213</v>
      </c>
      <c r="M45" s="145">
        <f t="shared" si="37"/>
        <v>6123</v>
      </c>
      <c r="N45" s="58">
        <v>8</v>
      </c>
      <c r="O45" s="55">
        <v>6115</v>
      </c>
      <c r="P45" s="59" t="s">
        <v>213</v>
      </c>
      <c r="Q45" s="10" t="s">
        <v>38</v>
      </c>
      <c r="R45" s="11"/>
      <c r="S45" s="11"/>
    </row>
    <row r="46" spans="1:19" x14ac:dyDescent="0.3">
      <c r="A46" s="9" t="s">
        <v>137</v>
      </c>
      <c r="B46" s="138">
        <f t="shared" si="35"/>
        <v>19002</v>
      </c>
      <c r="C46" s="56">
        <v>1735</v>
      </c>
      <c r="D46" s="56">
        <v>17195</v>
      </c>
      <c r="E46" s="55">
        <v>72</v>
      </c>
      <c r="F46" s="56">
        <v>6530</v>
      </c>
      <c r="G46" s="56">
        <v>5250</v>
      </c>
      <c r="H46" s="55">
        <v>139363</v>
      </c>
      <c r="I46" s="143">
        <f t="shared" si="36"/>
        <v>175725</v>
      </c>
      <c r="J46" s="55">
        <v>1095</v>
      </c>
      <c r="K46" s="56">
        <v>162445</v>
      </c>
      <c r="L46" s="55">
        <v>12185</v>
      </c>
      <c r="M46" s="145">
        <f t="shared" si="37"/>
        <v>63030</v>
      </c>
      <c r="N46" s="56">
        <v>775</v>
      </c>
      <c r="O46" s="55">
        <v>57815</v>
      </c>
      <c r="P46" s="57">
        <v>4440</v>
      </c>
      <c r="Q46" s="10" t="s">
        <v>39</v>
      </c>
      <c r="R46" s="11"/>
      <c r="S46" s="11"/>
    </row>
    <row r="47" spans="1:19" x14ac:dyDescent="0.3">
      <c r="A47" s="98" t="s">
        <v>40</v>
      </c>
      <c r="B47" s="139">
        <f>SUM(B49:B53)</f>
        <v>13836</v>
      </c>
      <c r="C47" s="127">
        <f>SUM(C49:C53)</f>
        <v>5072</v>
      </c>
      <c r="D47" s="127">
        <f>SUM(D49:D53)</f>
        <v>8764</v>
      </c>
      <c r="E47" s="128">
        <f>SUM(E49:E53)</f>
        <v>0</v>
      </c>
      <c r="F47" s="128">
        <f t="shared" ref="F47:G47" si="38">SUM(F49:F53)</f>
        <v>10477</v>
      </c>
      <c r="G47" s="127">
        <f t="shared" si="38"/>
        <v>32200</v>
      </c>
      <c r="H47" s="129">
        <f t="shared" ref="H47" si="39">SUM(H49:H53)</f>
        <v>1872410</v>
      </c>
      <c r="I47" s="127">
        <f>SUM(I49:I53)</f>
        <v>396283</v>
      </c>
      <c r="J47" s="129">
        <f>SUM(J49:J53)</f>
        <v>6631</v>
      </c>
      <c r="K47" s="127">
        <f t="shared" ref="K47:M47" si="40">SUM(K49:K53)</f>
        <v>369230</v>
      </c>
      <c r="L47" s="129">
        <f t="shared" si="40"/>
        <v>20422</v>
      </c>
      <c r="M47" s="127">
        <f t="shared" si="40"/>
        <v>194218</v>
      </c>
      <c r="N47" s="129">
        <f t="shared" ref="N47:P47" si="41">SUM(N49:N53)</f>
        <v>4655</v>
      </c>
      <c r="O47" s="127">
        <f t="shared" si="41"/>
        <v>184464</v>
      </c>
      <c r="P47" s="130">
        <f t="shared" si="41"/>
        <v>5099</v>
      </c>
      <c r="Q47" s="96" t="s">
        <v>41</v>
      </c>
      <c r="R47" s="96"/>
      <c r="S47" s="96"/>
    </row>
    <row r="48" spans="1:19" x14ac:dyDescent="0.3">
      <c r="A48" s="98"/>
      <c r="B48" s="139"/>
      <c r="C48" s="127"/>
      <c r="D48" s="127"/>
      <c r="E48" s="128"/>
      <c r="F48" s="128"/>
      <c r="G48" s="127"/>
      <c r="H48" s="129"/>
      <c r="I48" s="127"/>
      <c r="J48" s="129"/>
      <c r="K48" s="127"/>
      <c r="L48" s="129"/>
      <c r="M48" s="127"/>
      <c r="N48" s="129"/>
      <c r="O48" s="127"/>
      <c r="P48" s="130"/>
      <c r="Q48" s="96"/>
      <c r="R48" s="96"/>
      <c r="S48" s="96"/>
    </row>
    <row r="49" spans="1:19" x14ac:dyDescent="0.3">
      <c r="A49" s="9" t="s">
        <v>138</v>
      </c>
      <c r="B49" s="138">
        <f t="shared" ref="B49:B53" si="42">SUM(C49:E49)</f>
        <v>5192</v>
      </c>
      <c r="C49" s="56">
        <v>2497</v>
      </c>
      <c r="D49" s="56">
        <v>2695</v>
      </c>
      <c r="E49" s="1" t="s">
        <v>213</v>
      </c>
      <c r="F49" s="56">
        <v>689</v>
      </c>
      <c r="G49" s="56" t="s">
        <v>213</v>
      </c>
      <c r="H49" s="55">
        <v>79702</v>
      </c>
      <c r="I49" s="143">
        <f t="shared" ref="I49:I53" si="43">SUM(J49:L49)</f>
        <v>130432</v>
      </c>
      <c r="J49" s="55">
        <v>4012</v>
      </c>
      <c r="K49" s="56">
        <v>107186</v>
      </c>
      <c r="L49" s="55">
        <v>19234</v>
      </c>
      <c r="M49" s="145">
        <f t="shared" ref="M49:M53" si="44">SUM(N49:P49)</f>
        <v>47141</v>
      </c>
      <c r="N49" s="56">
        <v>2394</v>
      </c>
      <c r="O49" s="55">
        <v>39648</v>
      </c>
      <c r="P49" s="57">
        <v>5099</v>
      </c>
      <c r="Q49" s="10" t="s">
        <v>42</v>
      </c>
      <c r="R49" s="11"/>
      <c r="S49" s="11"/>
    </row>
    <row r="50" spans="1:19" x14ac:dyDescent="0.3">
      <c r="A50" s="9" t="s">
        <v>139</v>
      </c>
      <c r="B50" s="138">
        <f t="shared" si="42"/>
        <v>3256</v>
      </c>
      <c r="C50" s="56">
        <v>2179</v>
      </c>
      <c r="D50" s="56">
        <v>1077</v>
      </c>
      <c r="E50" s="1" t="s">
        <v>213</v>
      </c>
      <c r="F50" s="56">
        <v>3424</v>
      </c>
      <c r="G50" s="56">
        <v>32000</v>
      </c>
      <c r="H50" s="55">
        <v>1241412</v>
      </c>
      <c r="I50" s="143">
        <f t="shared" si="43"/>
        <v>67763</v>
      </c>
      <c r="J50" s="55">
        <v>773</v>
      </c>
      <c r="K50" s="56">
        <v>65802</v>
      </c>
      <c r="L50" s="55">
        <v>1188</v>
      </c>
      <c r="M50" s="145">
        <f t="shared" si="44"/>
        <v>19323</v>
      </c>
      <c r="N50" s="56">
        <v>539</v>
      </c>
      <c r="O50" s="55">
        <v>18784</v>
      </c>
      <c r="P50" s="57" t="s">
        <v>213</v>
      </c>
      <c r="Q50" s="10" t="s">
        <v>43</v>
      </c>
      <c r="R50" s="11"/>
      <c r="S50" s="11"/>
    </row>
    <row r="51" spans="1:19" x14ac:dyDescent="0.3">
      <c r="A51" s="9" t="s">
        <v>140</v>
      </c>
      <c r="B51" s="138">
        <f t="shared" si="42"/>
        <v>372</v>
      </c>
      <c r="C51" s="56">
        <v>104</v>
      </c>
      <c r="D51" s="56">
        <v>268</v>
      </c>
      <c r="E51" s="1" t="s">
        <v>213</v>
      </c>
      <c r="F51" s="56">
        <v>6287</v>
      </c>
      <c r="G51" s="56">
        <v>200</v>
      </c>
      <c r="H51" s="55">
        <v>523445</v>
      </c>
      <c r="I51" s="143">
        <f t="shared" si="43"/>
        <v>132701</v>
      </c>
      <c r="J51" s="55">
        <v>388</v>
      </c>
      <c r="K51" s="56">
        <v>132313</v>
      </c>
      <c r="L51" s="55" t="s">
        <v>213</v>
      </c>
      <c r="M51" s="145">
        <f t="shared" si="44"/>
        <v>81721</v>
      </c>
      <c r="N51" s="56">
        <v>367</v>
      </c>
      <c r="O51" s="55">
        <v>81354</v>
      </c>
      <c r="P51" s="57" t="s">
        <v>213</v>
      </c>
      <c r="Q51" s="10" t="s">
        <v>44</v>
      </c>
      <c r="R51" s="11"/>
      <c r="S51" s="11"/>
    </row>
    <row r="52" spans="1:19" x14ac:dyDescent="0.3">
      <c r="A52" s="9" t="s">
        <v>141</v>
      </c>
      <c r="B52" s="138">
        <f t="shared" si="42"/>
        <v>1515</v>
      </c>
      <c r="C52" s="56">
        <v>9</v>
      </c>
      <c r="D52" s="56">
        <v>1506</v>
      </c>
      <c r="E52" s="1" t="s">
        <v>213</v>
      </c>
      <c r="F52" s="56">
        <v>26</v>
      </c>
      <c r="G52" s="56" t="s">
        <v>213</v>
      </c>
      <c r="H52" s="55">
        <v>10016</v>
      </c>
      <c r="I52" s="143">
        <f t="shared" si="43"/>
        <v>24067</v>
      </c>
      <c r="J52" s="55">
        <v>600</v>
      </c>
      <c r="K52" s="56">
        <v>23467</v>
      </c>
      <c r="L52" s="1" t="s">
        <v>213</v>
      </c>
      <c r="M52" s="145">
        <f t="shared" si="44"/>
        <v>15724</v>
      </c>
      <c r="N52" s="56">
        <v>747</v>
      </c>
      <c r="O52" s="55">
        <v>14977</v>
      </c>
      <c r="P52" s="57" t="s">
        <v>213</v>
      </c>
      <c r="Q52" s="10" t="s">
        <v>45</v>
      </c>
      <c r="R52" s="11"/>
      <c r="S52" s="11"/>
    </row>
    <row r="53" spans="1:19" x14ac:dyDescent="0.3">
      <c r="A53" s="9" t="s">
        <v>142</v>
      </c>
      <c r="B53" s="138">
        <f t="shared" si="42"/>
        <v>3501</v>
      </c>
      <c r="C53" s="56">
        <v>283</v>
      </c>
      <c r="D53" s="56">
        <v>3218</v>
      </c>
      <c r="E53" s="1" t="s">
        <v>213</v>
      </c>
      <c r="F53" s="56">
        <v>51</v>
      </c>
      <c r="G53" s="56" t="s">
        <v>213</v>
      </c>
      <c r="H53" s="55">
        <v>17835</v>
      </c>
      <c r="I53" s="143">
        <f t="shared" si="43"/>
        <v>41320</v>
      </c>
      <c r="J53" s="55">
        <v>858</v>
      </c>
      <c r="K53" s="56">
        <v>40462</v>
      </c>
      <c r="L53" s="55" t="s">
        <v>213</v>
      </c>
      <c r="M53" s="145">
        <f t="shared" si="44"/>
        <v>30309</v>
      </c>
      <c r="N53" s="56">
        <v>608</v>
      </c>
      <c r="O53" s="55">
        <v>29701</v>
      </c>
      <c r="P53" s="57" t="s">
        <v>213</v>
      </c>
      <c r="Q53" s="10" t="s">
        <v>46</v>
      </c>
      <c r="R53" s="11"/>
      <c r="S53" s="11"/>
    </row>
    <row r="54" spans="1:19" x14ac:dyDescent="0.3">
      <c r="A54" s="98" t="s">
        <v>47</v>
      </c>
      <c r="B54" s="139">
        <f>SUM(B56:B60)</f>
        <v>877</v>
      </c>
      <c r="C54" s="127">
        <f>SUM(C56:C60)</f>
        <v>142</v>
      </c>
      <c r="D54" s="127">
        <f>SUM(D56:D60)</f>
        <v>735</v>
      </c>
      <c r="E54" s="128">
        <f t="shared" ref="E54:G54" si="45">SUM(E56:E60)</f>
        <v>0</v>
      </c>
      <c r="F54" s="128">
        <f t="shared" si="45"/>
        <v>24</v>
      </c>
      <c r="G54" s="127">
        <f t="shared" si="45"/>
        <v>0</v>
      </c>
      <c r="H54" s="129">
        <f t="shared" ref="H54" si="46">SUM(H56:H60)</f>
        <v>43907</v>
      </c>
      <c r="I54" s="127">
        <f>SUM(I56:I60)</f>
        <v>90245</v>
      </c>
      <c r="J54" s="129">
        <f>SUM(J56:J60)</f>
        <v>2482</v>
      </c>
      <c r="K54" s="127">
        <f t="shared" ref="K54:M54" si="47">SUM(K56:K60)</f>
        <v>87763</v>
      </c>
      <c r="L54" s="129">
        <f t="shared" si="47"/>
        <v>0</v>
      </c>
      <c r="M54" s="127">
        <f t="shared" si="47"/>
        <v>74168</v>
      </c>
      <c r="N54" s="129">
        <f t="shared" ref="N54:P54" si="48">SUM(N56:N60)</f>
        <v>2155</v>
      </c>
      <c r="O54" s="127">
        <f t="shared" si="48"/>
        <v>72013</v>
      </c>
      <c r="P54" s="130">
        <f t="shared" si="48"/>
        <v>0</v>
      </c>
      <c r="Q54" s="96" t="s">
        <v>48</v>
      </c>
      <c r="R54" s="96"/>
      <c r="S54" s="96"/>
    </row>
    <row r="55" spans="1:19" x14ac:dyDescent="0.3">
      <c r="A55" s="98"/>
      <c r="B55" s="139"/>
      <c r="C55" s="127"/>
      <c r="D55" s="127"/>
      <c r="E55" s="128"/>
      <c r="F55" s="128"/>
      <c r="G55" s="127"/>
      <c r="H55" s="129"/>
      <c r="I55" s="127"/>
      <c r="J55" s="129"/>
      <c r="K55" s="127"/>
      <c r="L55" s="129"/>
      <c r="M55" s="127"/>
      <c r="N55" s="129"/>
      <c r="O55" s="127"/>
      <c r="P55" s="130"/>
      <c r="Q55" s="96"/>
      <c r="R55" s="96"/>
      <c r="S55" s="96"/>
    </row>
    <row r="56" spans="1:19" x14ac:dyDescent="0.3">
      <c r="A56" s="9" t="s">
        <v>143</v>
      </c>
      <c r="B56" s="138">
        <f t="shared" ref="B56:B60" si="49">SUM(C56:E56)</f>
        <v>85</v>
      </c>
      <c r="C56" s="56">
        <v>73</v>
      </c>
      <c r="D56" s="56">
        <v>12</v>
      </c>
      <c r="E56" s="1" t="s">
        <v>213</v>
      </c>
      <c r="F56" s="56">
        <v>7</v>
      </c>
      <c r="G56" s="56" t="s">
        <v>213</v>
      </c>
      <c r="H56" s="55">
        <v>8503</v>
      </c>
      <c r="I56" s="143">
        <f t="shared" ref="I56:I60" si="50">SUM(J56:L56)</f>
        <v>2092</v>
      </c>
      <c r="J56" s="55">
        <v>871</v>
      </c>
      <c r="K56" s="56">
        <v>1221</v>
      </c>
      <c r="L56" s="1" t="s">
        <v>213</v>
      </c>
      <c r="M56" s="145">
        <f t="shared" ref="M56:M60" si="51">SUM(N56:P56)</f>
        <v>1202</v>
      </c>
      <c r="N56" s="56">
        <v>276</v>
      </c>
      <c r="O56" s="55">
        <v>926</v>
      </c>
      <c r="P56" s="57" t="s">
        <v>213</v>
      </c>
      <c r="Q56" s="10" t="s">
        <v>49</v>
      </c>
      <c r="R56" s="11"/>
      <c r="S56" s="11"/>
    </row>
    <row r="57" spans="1:19" x14ac:dyDescent="0.3">
      <c r="A57" s="9" t="s">
        <v>144</v>
      </c>
      <c r="B57" s="138">
        <f t="shared" si="49"/>
        <v>244</v>
      </c>
      <c r="C57" s="56">
        <v>43</v>
      </c>
      <c r="D57" s="56">
        <v>201</v>
      </c>
      <c r="E57" s="1" t="s">
        <v>213</v>
      </c>
      <c r="F57" s="56">
        <v>3</v>
      </c>
      <c r="G57" s="56" t="s">
        <v>213</v>
      </c>
      <c r="H57" s="55">
        <v>25425</v>
      </c>
      <c r="I57" s="143">
        <f t="shared" si="50"/>
        <v>3821</v>
      </c>
      <c r="J57" s="55">
        <v>1508</v>
      </c>
      <c r="K57" s="56">
        <v>2313</v>
      </c>
      <c r="L57" s="1" t="s">
        <v>213</v>
      </c>
      <c r="M57" s="145">
        <f t="shared" si="51"/>
        <v>3845</v>
      </c>
      <c r="N57" s="56">
        <v>1811</v>
      </c>
      <c r="O57" s="55">
        <v>2034</v>
      </c>
      <c r="P57" s="57" t="s">
        <v>213</v>
      </c>
      <c r="Q57" s="10" t="s">
        <v>50</v>
      </c>
      <c r="R57" s="11"/>
      <c r="S57" s="11"/>
    </row>
    <row r="58" spans="1:19" x14ac:dyDescent="0.3">
      <c r="A58" s="9" t="s">
        <v>145</v>
      </c>
      <c r="B58" s="138">
        <f t="shared" si="49"/>
        <v>12</v>
      </c>
      <c r="C58" s="56">
        <v>3</v>
      </c>
      <c r="D58" s="56">
        <v>9</v>
      </c>
      <c r="E58" s="1" t="s">
        <v>213</v>
      </c>
      <c r="F58" s="56">
        <v>8</v>
      </c>
      <c r="G58" s="56" t="s">
        <v>213</v>
      </c>
      <c r="H58" s="55" t="s">
        <v>213</v>
      </c>
      <c r="I58" s="143">
        <f t="shared" si="50"/>
        <v>3650</v>
      </c>
      <c r="J58" s="55" t="s">
        <v>213</v>
      </c>
      <c r="K58" s="56">
        <v>3650</v>
      </c>
      <c r="L58" s="1" t="s">
        <v>213</v>
      </c>
      <c r="M58" s="145">
        <f t="shared" si="51"/>
        <v>4530</v>
      </c>
      <c r="N58" s="56" t="s">
        <v>213</v>
      </c>
      <c r="O58" s="55">
        <v>4530</v>
      </c>
      <c r="P58" s="57" t="s">
        <v>213</v>
      </c>
      <c r="Q58" s="10" t="s">
        <v>51</v>
      </c>
      <c r="R58" s="11"/>
      <c r="S58" s="11"/>
    </row>
    <row r="59" spans="1:19" x14ac:dyDescent="0.3">
      <c r="A59" s="9" t="s">
        <v>146</v>
      </c>
      <c r="B59" s="138">
        <f t="shared" si="49"/>
        <v>376</v>
      </c>
      <c r="C59" s="56">
        <v>23</v>
      </c>
      <c r="D59" s="56">
        <v>353</v>
      </c>
      <c r="E59" s="1" t="s">
        <v>213</v>
      </c>
      <c r="F59" s="56">
        <v>6</v>
      </c>
      <c r="G59" s="56" t="s">
        <v>213</v>
      </c>
      <c r="H59" s="55">
        <v>5245</v>
      </c>
      <c r="I59" s="143">
        <f t="shared" si="50"/>
        <v>79710</v>
      </c>
      <c r="J59" s="55" t="s">
        <v>213</v>
      </c>
      <c r="K59" s="56">
        <v>79710</v>
      </c>
      <c r="L59" s="1" t="s">
        <v>213</v>
      </c>
      <c r="M59" s="145">
        <f t="shared" si="51"/>
        <v>63765</v>
      </c>
      <c r="N59" s="56" t="s">
        <v>213</v>
      </c>
      <c r="O59" s="55">
        <v>63765</v>
      </c>
      <c r="P59" s="57" t="s">
        <v>213</v>
      </c>
      <c r="Q59" s="10" t="s">
        <v>52</v>
      </c>
      <c r="R59" s="11"/>
      <c r="S59" s="11"/>
    </row>
    <row r="60" spans="1:19" x14ac:dyDescent="0.3">
      <c r="A60" s="9" t="s">
        <v>147</v>
      </c>
      <c r="B60" s="138">
        <f t="shared" si="49"/>
        <v>160</v>
      </c>
      <c r="C60" s="56" t="s">
        <v>213</v>
      </c>
      <c r="D60" s="56">
        <v>160</v>
      </c>
      <c r="E60" s="1" t="s">
        <v>213</v>
      </c>
      <c r="F60" s="56" t="s">
        <v>213</v>
      </c>
      <c r="G60" s="56" t="s">
        <v>213</v>
      </c>
      <c r="H60" s="55">
        <v>4734</v>
      </c>
      <c r="I60" s="143">
        <f t="shared" si="50"/>
        <v>972</v>
      </c>
      <c r="J60" s="55">
        <v>103</v>
      </c>
      <c r="K60" s="56">
        <v>869</v>
      </c>
      <c r="L60" s="1" t="s">
        <v>213</v>
      </c>
      <c r="M60" s="145">
        <f t="shared" si="51"/>
        <v>826</v>
      </c>
      <c r="N60" s="56">
        <v>68</v>
      </c>
      <c r="O60" s="55">
        <v>758</v>
      </c>
      <c r="P60" s="57" t="s">
        <v>213</v>
      </c>
      <c r="Q60" s="10" t="s">
        <v>53</v>
      </c>
      <c r="R60" s="11"/>
      <c r="S60" s="11"/>
    </row>
    <row r="61" spans="1:19" x14ac:dyDescent="0.3">
      <c r="A61" s="98" t="s">
        <v>54</v>
      </c>
      <c r="B61" s="139">
        <f>SUM(B63:B65)</f>
        <v>25885</v>
      </c>
      <c r="C61" s="127">
        <f>SUM(C63:C65)</f>
        <v>3862</v>
      </c>
      <c r="D61" s="127">
        <f>SUM(D63:D65)</f>
        <v>22023</v>
      </c>
      <c r="E61" s="128">
        <f t="shared" ref="E61:G61" si="52">SUM(E63:E65)</f>
        <v>0</v>
      </c>
      <c r="F61" s="128">
        <f t="shared" si="52"/>
        <v>11762</v>
      </c>
      <c r="G61" s="127">
        <f t="shared" si="52"/>
        <v>78690</v>
      </c>
      <c r="H61" s="129">
        <f t="shared" ref="H61" si="53">SUM(H63:H65)</f>
        <v>285509</v>
      </c>
      <c r="I61" s="127">
        <f>SUM(I63:I65)</f>
        <v>1101703</v>
      </c>
      <c r="J61" s="129">
        <f>SUM(J63:J65)</f>
        <v>56926</v>
      </c>
      <c r="K61" s="127">
        <f t="shared" ref="K61:M61" si="54">SUM(K63:K65)</f>
        <v>1039137</v>
      </c>
      <c r="L61" s="129">
        <f t="shared" si="54"/>
        <v>5640</v>
      </c>
      <c r="M61" s="127">
        <f t="shared" si="54"/>
        <v>293111</v>
      </c>
      <c r="N61" s="129">
        <f t="shared" ref="N61:P61" si="55">SUM(N63:N65)</f>
        <v>27740</v>
      </c>
      <c r="O61" s="127">
        <f t="shared" si="55"/>
        <v>262176</v>
      </c>
      <c r="P61" s="130">
        <f t="shared" si="55"/>
        <v>3195</v>
      </c>
      <c r="Q61" s="96" t="s">
        <v>55</v>
      </c>
      <c r="R61" s="96"/>
      <c r="S61" s="96"/>
    </row>
    <row r="62" spans="1:19" x14ac:dyDescent="0.3">
      <c r="A62" s="98"/>
      <c r="B62" s="139"/>
      <c r="C62" s="127"/>
      <c r="D62" s="127"/>
      <c r="E62" s="128"/>
      <c r="F62" s="128"/>
      <c r="G62" s="127"/>
      <c r="H62" s="129"/>
      <c r="I62" s="127"/>
      <c r="J62" s="129"/>
      <c r="K62" s="127"/>
      <c r="L62" s="129"/>
      <c r="M62" s="127"/>
      <c r="N62" s="129"/>
      <c r="O62" s="127"/>
      <c r="P62" s="130"/>
      <c r="Q62" s="96"/>
      <c r="R62" s="96"/>
      <c r="S62" s="96"/>
    </row>
    <row r="63" spans="1:19" x14ac:dyDescent="0.3">
      <c r="A63" s="9" t="s">
        <v>148</v>
      </c>
      <c r="B63" s="138">
        <f t="shared" ref="B63:B65" si="56">SUM(C63:E63)</f>
        <v>2318</v>
      </c>
      <c r="C63" s="56">
        <v>987</v>
      </c>
      <c r="D63" s="56">
        <v>1331</v>
      </c>
      <c r="E63" s="1" t="s">
        <v>213</v>
      </c>
      <c r="F63" s="56">
        <v>70</v>
      </c>
      <c r="G63" s="56">
        <v>520</v>
      </c>
      <c r="H63" s="55">
        <v>60025</v>
      </c>
      <c r="I63" s="143">
        <f t="shared" ref="I63:I65" si="57">SUM(J63:L63)</f>
        <v>301562</v>
      </c>
      <c r="J63" s="55">
        <v>12159</v>
      </c>
      <c r="K63" s="56">
        <v>289403</v>
      </c>
      <c r="L63" s="55" t="s">
        <v>213</v>
      </c>
      <c r="M63" s="145">
        <f t="shared" ref="M63:M65" si="58">SUM(N63:P63)</f>
        <v>74808</v>
      </c>
      <c r="N63" s="56">
        <v>2664</v>
      </c>
      <c r="O63" s="55">
        <v>72144</v>
      </c>
      <c r="P63" s="57" t="s">
        <v>213</v>
      </c>
      <c r="Q63" s="10" t="s">
        <v>56</v>
      </c>
      <c r="R63" s="11"/>
      <c r="S63" s="11"/>
    </row>
    <row r="64" spans="1:19" x14ac:dyDescent="0.3">
      <c r="A64" s="9" t="s">
        <v>149</v>
      </c>
      <c r="B64" s="138">
        <f t="shared" si="56"/>
        <v>20923</v>
      </c>
      <c r="C64" s="58">
        <v>365</v>
      </c>
      <c r="D64" s="58">
        <v>20558</v>
      </c>
      <c r="E64" s="1" t="s">
        <v>213</v>
      </c>
      <c r="F64" s="56">
        <v>10897</v>
      </c>
      <c r="G64" s="56">
        <v>3570</v>
      </c>
      <c r="H64" s="55">
        <v>133825</v>
      </c>
      <c r="I64" s="143">
        <f t="shared" si="57"/>
        <v>546831</v>
      </c>
      <c r="J64" s="55">
        <v>40108</v>
      </c>
      <c r="K64" s="58">
        <v>501083</v>
      </c>
      <c r="L64" s="55">
        <v>5640</v>
      </c>
      <c r="M64" s="145">
        <f t="shared" si="58"/>
        <v>176585</v>
      </c>
      <c r="N64" s="58">
        <v>22313</v>
      </c>
      <c r="O64" s="55">
        <v>151077</v>
      </c>
      <c r="P64" s="59">
        <v>3195</v>
      </c>
      <c r="Q64" s="10" t="s">
        <v>57</v>
      </c>
      <c r="R64" s="11"/>
      <c r="S64" s="11"/>
    </row>
    <row r="65" spans="1:19" x14ac:dyDescent="0.3">
      <c r="A65" s="9" t="s">
        <v>150</v>
      </c>
      <c r="B65" s="138">
        <f t="shared" si="56"/>
        <v>2644</v>
      </c>
      <c r="C65" s="56">
        <v>2510</v>
      </c>
      <c r="D65" s="56">
        <v>134</v>
      </c>
      <c r="E65" s="1" t="s">
        <v>213</v>
      </c>
      <c r="F65" s="56">
        <v>795</v>
      </c>
      <c r="G65" s="56">
        <v>74600</v>
      </c>
      <c r="H65" s="55">
        <v>91659</v>
      </c>
      <c r="I65" s="143">
        <f t="shared" si="57"/>
        <v>253310</v>
      </c>
      <c r="J65" s="55">
        <v>4659</v>
      </c>
      <c r="K65" s="56">
        <v>248651</v>
      </c>
      <c r="L65" s="1" t="s">
        <v>213</v>
      </c>
      <c r="M65" s="145">
        <f t="shared" si="58"/>
        <v>41718</v>
      </c>
      <c r="N65" s="56">
        <v>2763</v>
      </c>
      <c r="O65" s="55">
        <v>38955</v>
      </c>
      <c r="P65" s="57" t="s">
        <v>213</v>
      </c>
      <c r="Q65" s="10" t="s">
        <v>58</v>
      </c>
      <c r="R65" s="11"/>
      <c r="S65" s="11"/>
    </row>
    <row r="66" spans="1:19" x14ac:dyDescent="0.3">
      <c r="A66" s="98" t="s">
        <v>59</v>
      </c>
      <c r="B66" s="139">
        <f>SUM(B68:B72)</f>
        <v>4514</v>
      </c>
      <c r="C66" s="127">
        <f>SUM(C68:C72)</f>
        <v>1326</v>
      </c>
      <c r="D66" s="127">
        <f>SUM(D68:D72)</f>
        <v>3188</v>
      </c>
      <c r="E66" s="128">
        <f t="shared" ref="E66:G66" si="59">SUM(E68:E72)</f>
        <v>0</v>
      </c>
      <c r="F66" s="128">
        <f t="shared" si="59"/>
        <v>4631</v>
      </c>
      <c r="G66" s="127">
        <f t="shared" si="59"/>
        <v>45473</v>
      </c>
      <c r="H66" s="129">
        <f t="shared" ref="H66" si="60">SUM(H68:H72)</f>
        <v>684504</v>
      </c>
      <c r="I66" s="127">
        <f>SUM(I68:I72)</f>
        <v>282765</v>
      </c>
      <c r="J66" s="129">
        <f>SUM(J68:J72)</f>
        <v>6576</v>
      </c>
      <c r="K66" s="127">
        <f t="shared" ref="K66:M66" si="61">SUM(K68:K72)</f>
        <v>271089</v>
      </c>
      <c r="L66" s="129">
        <f t="shared" si="61"/>
        <v>5100</v>
      </c>
      <c r="M66" s="127">
        <f t="shared" si="61"/>
        <v>271160</v>
      </c>
      <c r="N66" s="129">
        <f t="shared" ref="N66:P66" si="62">SUM(N68:N72)</f>
        <v>4567</v>
      </c>
      <c r="O66" s="127">
        <f t="shared" si="62"/>
        <v>254623</v>
      </c>
      <c r="P66" s="130">
        <f t="shared" si="62"/>
        <v>11970</v>
      </c>
      <c r="Q66" s="96" t="s">
        <v>60</v>
      </c>
      <c r="R66" s="96"/>
      <c r="S66" s="96"/>
    </row>
    <row r="67" spans="1:19" x14ac:dyDescent="0.3">
      <c r="A67" s="98"/>
      <c r="B67" s="139"/>
      <c r="C67" s="127"/>
      <c r="D67" s="127"/>
      <c r="E67" s="128"/>
      <c r="F67" s="128"/>
      <c r="G67" s="127"/>
      <c r="H67" s="129"/>
      <c r="I67" s="127"/>
      <c r="J67" s="129"/>
      <c r="K67" s="127"/>
      <c r="L67" s="129"/>
      <c r="M67" s="127"/>
      <c r="N67" s="129"/>
      <c r="O67" s="127"/>
      <c r="P67" s="130"/>
      <c r="Q67" s="96"/>
      <c r="R67" s="96"/>
      <c r="S67" s="96"/>
    </row>
    <row r="68" spans="1:19" x14ac:dyDescent="0.3">
      <c r="A68" s="9" t="s">
        <v>151</v>
      </c>
      <c r="B68" s="138">
        <f t="shared" ref="B68:B72" si="63">SUM(C68:E68)</f>
        <v>415</v>
      </c>
      <c r="C68" s="56">
        <v>164</v>
      </c>
      <c r="D68" s="56">
        <v>251</v>
      </c>
      <c r="E68" s="1" t="s">
        <v>213</v>
      </c>
      <c r="F68" s="56">
        <v>104</v>
      </c>
      <c r="G68" s="56">
        <v>595</v>
      </c>
      <c r="H68" s="55">
        <v>79173</v>
      </c>
      <c r="I68" s="143">
        <f t="shared" ref="I68:I72" si="64">SUM(J68:L68)</f>
        <v>80791</v>
      </c>
      <c r="J68" s="55">
        <v>2910</v>
      </c>
      <c r="K68" s="56">
        <v>77881</v>
      </c>
      <c r="L68" s="1" t="s">
        <v>213</v>
      </c>
      <c r="M68" s="145">
        <f t="shared" ref="M68:M72" si="65">SUM(N68:P68)</f>
        <v>60921</v>
      </c>
      <c r="N68" s="56">
        <v>1144</v>
      </c>
      <c r="O68" s="55">
        <v>59777</v>
      </c>
      <c r="P68" s="57" t="s">
        <v>213</v>
      </c>
      <c r="Q68" s="10" t="s">
        <v>61</v>
      </c>
      <c r="R68" s="11"/>
      <c r="S68" s="11"/>
    </row>
    <row r="69" spans="1:19" x14ac:dyDescent="0.3">
      <c r="A69" s="9" t="s">
        <v>152</v>
      </c>
      <c r="B69" s="138">
        <f t="shared" si="63"/>
        <v>431</v>
      </c>
      <c r="C69" s="56">
        <v>317</v>
      </c>
      <c r="D69" s="56">
        <v>114</v>
      </c>
      <c r="E69" s="1" t="s">
        <v>213</v>
      </c>
      <c r="F69" s="56">
        <v>668</v>
      </c>
      <c r="G69" s="56" t="s">
        <v>213</v>
      </c>
      <c r="H69" s="55">
        <v>60208</v>
      </c>
      <c r="I69" s="143">
        <f t="shared" si="64"/>
        <v>48114</v>
      </c>
      <c r="J69" s="55">
        <v>1802</v>
      </c>
      <c r="K69" s="56">
        <v>41212</v>
      </c>
      <c r="L69" s="55">
        <v>5100</v>
      </c>
      <c r="M69" s="145">
        <f t="shared" si="65"/>
        <v>56682</v>
      </c>
      <c r="N69" s="56">
        <v>1610</v>
      </c>
      <c r="O69" s="55">
        <v>43102</v>
      </c>
      <c r="P69" s="57">
        <v>11970</v>
      </c>
      <c r="Q69" s="10" t="s">
        <v>62</v>
      </c>
      <c r="R69" s="11"/>
      <c r="S69" s="11"/>
    </row>
    <row r="70" spans="1:19" x14ac:dyDescent="0.3">
      <c r="A70" s="9" t="s">
        <v>153</v>
      </c>
      <c r="B70" s="138">
        <f t="shared" si="63"/>
        <v>306</v>
      </c>
      <c r="C70" s="56">
        <v>235</v>
      </c>
      <c r="D70" s="56">
        <v>71</v>
      </c>
      <c r="E70" s="1" t="s">
        <v>213</v>
      </c>
      <c r="F70" s="56">
        <v>2521</v>
      </c>
      <c r="G70" s="56">
        <v>42308</v>
      </c>
      <c r="H70" s="55">
        <v>408317</v>
      </c>
      <c r="I70" s="143">
        <f t="shared" si="64"/>
        <v>53412</v>
      </c>
      <c r="J70" s="55">
        <v>81</v>
      </c>
      <c r="K70" s="56">
        <v>53331</v>
      </c>
      <c r="L70" s="55" t="s">
        <v>213</v>
      </c>
      <c r="M70" s="145">
        <f t="shared" si="65"/>
        <v>44032</v>
      </c>
      <c r="N70" s="56">
        <v>76</v>
      </c>
      <c r="O70" s="55">
        <v>43956</v>
      </c>
      <c r="P70" s="57" t="s">
        <v>213</v>
      </c>
      <c r="Q70" s="10" t="s">
        <v>63</v>
      </c>
      <c r="R70" s="11"/>
      <c r="S70" s="11"/>
    </row>
    <row r="71" spans="1:19" x14ac:dyDescent="0.3">
      <c r="A71" s="9" t="s">
        <v>154</v>
      </c>
      <c r="B71" s="138">
        <f t="shared" si="63"/>
        <v>2428</v>
      </c>
      <c r="C71" s="56">
        <v>486</v>
      </c>
      <c r="D71" s="56">
        <v>1942</v>
      </c>
      <c r="E71" s="1" t="s">
        <v>213</v>
      </c>
      <c r="F71" s="56">
        <v>1263</v>
      </c>
      <c r="G71" s="56">
        <v>2237</v>
      </c>
      <c r="H71" s="55">
        <v>92030</v>
      </c>
      <c r="I71" s="143">
        <f t="shared" si="64"/>
        <v>50805</v>
      </c>
      <c r="J71" s="55" t="s">
        <v>213</v>
      </c>
      <c r="K71" s="56">
        <v>50805</v>
      </c>
      <c r="L71" s="55" t="s">
        <v>213</v>
      </c>
      <c r="M71" s="145">
        <f t="shared" si="65"/>
        <v>82260</v>
      </c>
      <c r="N71" s="56">
        <v>30</v>
      </c>
      <c r="O71" s="55">
        <v>82230</v>
      </c>
      <c r="P71" s="57" t="s">
        <v>213</v>
      </c>
      <c r="Q71" s="10" t="s">
        <v>64</v>
      </c>
      <c r="R71" s="11"/>
      <c r="S71" s="11"/>
    </row>
    <row r="72" spans="1:19" x14ac:dyDescent="0.3">
      <c r="A72" s="9" t="s">
        <v>155</v>
      </c>
      <c r="B72" s="138">
        <f t="shared" si="63"/>
        <v>934</v>
      </c>
      <c r="C72" s="56">
        <v>124</v>
      </c>
      <c r="D72" s="56">
        <v>810</v>
      </c>
      <c r="E72" s="1" t="s">
        <v>213</v>
      </c>
      <c r="F72" s="56">
        <v>75</v>
      </c>
      <c r="G72" s="56">
        <v>333</v>
      </c>
      <c r="H72" s="55">
        <v>44776</v>
      </c>
      <c r="I72" s="143">
        <f t="shared" si="64"/>
        <v>49643</v>
      </c>
      <c r="J72" s="55">
        <v>1783</v>
      </c>
      <c r="K72" s="56">
        <v>47860</v>
      </c>
      <c r="L72" s="55" t="s">
        <v>213</v>
      </c>
      <c r="M72" s="145">
        <f t="shared" si="65"/>
        <v>27265</v>
      </c>
      <c r="N72" s="56">
        <v>1707</v>
      </c>
      <c r="O72" s="55">
        <v>25558</v>
      </c>
      <c r="P72" s="57" t="s">
        <v>213</v>
      </c>
      <c r="Q72" s="10" t="s">
        <v>65</v>
      </c>
      <c r="R72" s="11"/>
      <c r="S72" s="11"/>
    </row>
    <row r="73" spans="1:19" x14ac:dyDescent="0.3">
      <c r="A73" s="98" t="s">
        <v>66</v>
      </c>
      <c r="B73" s="139">
        <f>SUM(B75:B82)</f>
        <v>2012</v>
      </c>
      <c r="C73" s="127">
        <f>SUM(C75:C82)</f>
        <v>1927</v>
      </c>
      <c r="D73" s="127">
        <f>SUM(D75:D82)</f>
        <v>85</v>
      </c>
      <c r="E73" s="128">
        <f t="shared" ref="E73:G73" si="66">SUM(E75:E82)</f>
        <v>0</v>
      </c>
      <c r="F73" s="128">
        <f t="shared" si="66"/>
        <v>1300</v>
      </c>
      <c r="G73" s="127">
        <f t="shared" si="66"/>
        <v>346662</v>
      </c>
      <c r="H73" s="129">
        <f t="shared" ref="H73" si="67">SUM(H75:H82)</f>
        <v>2090997</v>
      </c>
      <c r="I73" s="127">
        <f>SUM(I75:I82)</f>
        <v>43332</v>
      </c>
      <c r="J73" s="129">
        <f>SUM(J75:J82)</f>
        <v>163</v>
      </c>
      <c r="K73" s="127">
        <f t="shared" ref="K73:M73" si="68">SUM(K75:K82)</f>
        <v>42869</v>
      </c>
      <c r="L73" s="129">
        <f t="shared" si="68"/>
        <v>300</v>
      </c>
      <c r="M73" s="127">
        <f t="shared" si="68"/>
        <v>16536</v>
      </c>
      <c r="N73" s="129">
        <f t="shared" ref="N73:P73" si="69">SUM(N75:N82)</f>
        <v>79</v>
      </c>
      <c r="O73" s="127">
        <f t="shared" si="69"/>
        <v>16257</v>
      </c>
      <c r="P73" s="130">
        <f t="shared" si="69"/>
        <v>200</v>
      </c>
      <c r="Q73" s="96" t="s">
        <v>67</v>
      </c>
      <c r="R73" s="96"/>
      <c r="S73" s="96"/>
    </row>
    <row r="74" spans="1:19" x14ac:dyDescent="0.3">
      <c r="A74" s="98"/>
      <c r="B74" s="139"/>
      <c r="C74" s="127"/>
      <c r="D74" s="127"/>
      <c r="E74" s="128"/>
      <c r="F74" s="128"/>
      <c r="G74" s="127"/>
      <c r="H74" s="129"/>
      <c r="I74" s="127"/>
      <c r="J74" s="129"/>
      <c r="K74" s="127"/>
      <c r="L74" s="129"/>
      <c r="M74" s="127"/>
      <c r="N74" s="129"/>
      <c r="O74" s="127"/>
      <c r="P74" s="130"/>
      <c r="Q74" s="96"/>
      <c r="R74" s="96"/>
      <c r="S74" s="96"/>
    </row>
    <row r="75" spans="1:19" x14ac:dyDescent="0.3">
      <c r="A75" s="14" t="s">
        <v>68</v>
      </c>
      <c r="B75" s="138">
        <f t="shared" ref="B75:B82" si="70">SUM(C75:E75)</f>
        <v>0</v>
      </c>
      <c r="C75" s="56" t="s">
        <v>213</v>
      </c>
      <c r="D75" s="56" t="s">
        <v>213</v>
      </c>
      <c r="E75" s="60" t="s">
        <v>213</v>
      </c>
      <c r="F75" s="56" t="s">
        <v>213</v>
      </c>
      <c r="G75" s="56" t="s">
        <v>213</v>
      </c>
      <c r="H75" s="61" t="s">
        <v>213</v>
      </c>
      <c r="I75" s="143">
        <f t="shared" ref="I75:I82" si="71">SUM(J75:L75)</f>
        <v>0</v>
      </c>
      <c r="J75" s="55" t="s">
        <v>213</v>
      </c>
      <c r="K75" s="56" t="s">
        <v>213</v>
      </c>
      <c r="L75" s="56" t="s">
        <v>213</v>
      </c>
      <c r="M75" s="145">
        <f t="shared" ref="M75:M82" si="72">SUM(N75:P75)</f>
        <v>0</v>
      </c>
      <c r="N75" s="56" t="s">
        <v>213</v>
      </c>
      <c r="O75" s="55" t="s">
        <v>213</v>
      </c>
      <c r="P75" s="57" t="s">
        <v>213</v>
      </c>
      <c r="Q75" s="10" t="s">
        <v>69</v>
      </c>
      <c r="R75" s="11"/>
      <c r="S75" s="11"/>
    </row>
    <row r="76" spans="1:19" x14ac:dyDescent="0.3">
      <c r="A76" s="14" t="s">
        <v>70</v>
      </c>
      <c r="B76" s="138">
        <f t="shared" si="70"/>
        <v>0</v>
      </c>
      <c r="C76" s="58" t="s">
        <v>213</v>
      </c>
      <c r="D76" s="58" t="s">
        <v>213</v>
      </c>
      <c r="E76" s="60" t="s">
        <v>213</v>
      </c>
      <c r="F76" s="56" t="s">
        <v>213</v>
      </c>
      <c r="G76" s="56" t="s">
        <v>213</v>
      </c>
      <c r="H76" s="61" t="s">
        <v>213</v>
      </c>
      <c r="I76" s="143">
        <f t="shared" si="71"/>
        <v>15</v>
      </c>
      <c r="J76" s="55" t="s">
        <v>213</v>
      </c>
      <c r="K76" s="58">
        <v>15</v>
      </c>
      <c r="L76" s="58" t="s">
        <v>213</v>
      </c>
      <c r="M76" s="145">
        <f t="shared" si="72"/>
        <v>275</v>
      </c>
      <c r="N76" s="58" t="s">
        <v>213</v>
      </c>
      <c r="O76" s="55">
        <v>275</v>
      </c>
      <c r="P76" s="59" t="s">
        <v>213</v>
      </c>
      <c r="Q76" s="10" t="s">
        <v>71</v>
      </c>
      <c r="R76" s="11"/>
      <c r="S76" s="11"/>
    </row>
    <row r="77" spans="1:19" x14ac:dyDescent="0.3">
      <c r="A77" s="14" t="s">
        <v>72</v>
      </c>
      <c r="B77" s="138">
        <f t="shared" si="70"/>
        <v>0</v>
      </c>
      <c r="C77" s="58" t="s">
        <v>213</v>
      </c>
      <c r="D77" s="58" t="s">
        <v>213</v>
      </c>
      <c r="E77" s="60" t="s">
        <v>213</v>
      </c>
      <c r="F77" s="56" t="s">
        <v>213</v>
      </c>
      <c r="G77" s="56" t="s">
        <v>213</v>
      </c>
      <c r="H77" s="61" t="s">
        <v>213</v>
      </c>
      <c r="I77" s="143">
        <f t="shared" si="71"/>
        <v>0</v>
      </c>
      <c r="J77" s="1" t="s">
        <v>213</v>
      </c>
      <c r="K77" s="58" t="s">
        <v>213</v>
      </c>
      <c r="L77" s="58" t="s">
        <v>213</v>
      </c>
      <c r="M77" s="145">
        <f t="shared" si="72"/>
        <v>0</v>
      </c>
      <c r="N77" s="58" t="s">
        <v>213</v>
      </c>
      <c r="O77" s="1" t="s">
        <v>213</v>
      </c>
      <c r="P77" s="59" t="s">
        <v>213</v>
      </c>
      <c r="Q77" s="10" t="s">
        <v>73</v>
      </c>
      <c r="R77" s="11"/>
      <c r="S77" s="11"/>
    </row>
    <row r="78" spans="1:19" x14ac:dyDescent="0.3">
      <c r="A78" s="14" t="s">
        <v>74</v>
      </c>
      <c r="B78" s="138">
        <f t="shared" si="70"/>
        <v>0</v>
      </c>
      <c r="C78" s="58" t="s">
        <v>213</v>
      </c>
      <c r="D78" s="58" t="s">
        <v>213</v>
      </c>
      <c r="E78" s="60" t="s">
        <v>213</v>
      </c>
      <c r="F78" s="56" t="s">
        <v>213</v>
      </c>
      <c r="G78" s="56" t="s">
        <v>213</v>
      </c>
      <c r="H78" s="61" t="s">
        <v>213</v>
      </c>
      <c r="I78" s="143">
        <f t="shared" si="71"/>
        <v>0</v>
      </c>
      <c r="J78" s="1" t="s">
        <v>213</v>
      </c>
      <c r="K78" s="58" t="s">
        <v>213</v>
      </c>
      <c r="L78" s="58" t="s">
        <v>213</v>
      </c>
      <c r="M78" s="145">
        <f t="shared" si="72"/>
        <v>0</v>
      </c>
      <c r="N78" s="58" t="s">
        <v>213</v>
      </c>
      <c r="O78" s="1" t="s">
        <v>213</v>
      </c>
      <c r="P78" s="59" t="s">
        <v>213</v>
      </c>
      <c r="Q78" s="10" t="s">
        <v>75</v>
      </c>
      <c r="R78" s="11"/>
      <c r="S78" s="11"/>
    </row>
    <row r="79" spans="1:19" x14ac:dyDescent="0.3">
      <c r="A79" s="14" t="s">
        <v>76</v>
      </c>
      <c r="B79" s="138">
        <f t="shared" si="70"/>
        <v>20</v>
      </c>
      <c r="C79" s="56">
        <v>18</v>
      </c>
      <c r="D79" s="56">
        <v>2</v>
      </c>
      <c r="E79" s="60" t="s">
        <v>213</v>
      </c>
      <c r="F79" s="56">
        <v>534</v>
      </c>
      <c r="G79" s="56">
        <v>38000</v>
      </c>
      <c r="H79" s="61">
        <v>704828</v>
      </c>
      <c r="I79" s="143">
        <f t="shared" si="71"/>
        <v>17161</v>
      </c>
      <c r="J79" s="55">
        <v>158</v>
      </c>
      <c r="K79" s="56">
        <v>17003</v>
      </c>
      <c r="L79" s="56" t="s">
        <v>213</v>
      </c>
      <c r="M79" s="145">
        <f t="shared" si="72"/>
        <v>3551</v>
      </c>
      <c r="N79" s="56">
        <v>66</v>
      </c>
      <c r="O79" s="55">
        <v>3485</v>
      </c>
      <c r="P79" s="57" t="s">
        <v>213</v>
      </c>
      <c r="Q79" s="10" t="s">
        <v>77</v>
      </c>
      <c r="R79" s="11"/>
      <c r="S79" s="11"/>
    </row>
    <row r="80" spans="1:19" x14ac:dyDescent="0.3">
      <c r="A80" s="14" t="s">
        <v>78</v>
      </c>
      <c r="B80" s="138">
        <f t="shared" si="70"/>
        <v>1582</v>
      </c>
      <c r="C80" s="56">
        <v>1500</v>
      </c>
      <c r="D80" s="56">
        <v>82</v>
      </c>
      <c r="E80" s="60" t="s">
        <v>213</v>
      </c>
      <c r="F80" s="56">
        <v>766</v>
      </c>
      <c r="G80" s="56">
        <v>308662</v>
      </c>
      <c r="H80" s="61">
        <v>1382229</v>
      </c>
      <c r="I80" s="143">
        <f t="shared" si="71"/>
        <v>20574</v>
      </c>
      <c r="J80" s="55">
        <v>5</v>
      </c>
      <c r="K80" s="56">
        <v>20269</v>
      </c>
      <c r="L80" s="58">
        <v>300</v>
      </c>
      <c r="M80" s="145">
        <f t="shared" si="72"/>
        <v>8238</v>
      </c>
      <c r="N80" s="56">
        <v>3</v>
      </c>
      <c r="O80" s="55">
        <v>8035</v>
      </c>
      <c r="P80" s="57">
        <v>200</v>
      </c>
      <c r="Q80" s="10" t="s">
        <v>79</v>
      </c>
      <c r="R80" s="11"/>
      <c r="S80" s="11"/>
    </row>
    <row r="81" spans="1:19" x14ac:dyDescent="0.3">
      <c r="A81" s="14" t="s">
        <v>80</v>
      </c>
      <c r="B81" s="138">
        <f t="shared" si="70"/>
        <v>0</v>
      </c>
      <c r="C81" s="56" t="s">
        <v>213</v>
      </c>
      <c r="D81" s="56" t="s">
        <v>213</v>
      </c>
      <c r="E81" s="60" t="s">
        <v>213</v>
      </c>
      <c r="F81" s="56" t="s">
        <v>213</v>
      </c>
      <c r="G81" s="56" t="s">
        <v>213</v>
      </c>
      <c r="H81" s="61" t="s">
        <v>213</v>
      </c>
      <c r="I81" s="143">
        <f t="shared" si="71"/>
        <v>0</v>
      </c>
      <c r="J81" s="55" t="s">
        <v>213</v>
      </c>
      <c r="K81" s="56" t="s">
        <v>213</v>
      </c>
      <c r="L81" s="58" t="s">
        <v>213</v>
      </c>
      <c r="M81" s="145">
        <f t="shared" si="72"/>
        <v>0</v>
      </c>
      <c r="N81" s="56" t="s">
        <v>213</v>
      </c>
      <c r="O81" s="55" t="s">
        <v>213</v>
      </c>
      <c r="P81" s="57" t="s">
        <v>213</v>
      </c>
      <c r="Q81" s="10" t="s">
        <v>81</v>
      </c>
      <c r="R81" s="11"/>
      <c r="S81" s="11"/>
    </row>
    <row r="82" spans="1:19" x14ac:dyDescent="0.3">
      <c r="A82" s="14" t="s">
        <v>82</v>
      </c>
      <c r="B82" s="138">
        <f t="shared" si="70"/>
        <v>410</v>
      </c>
      <c r="C82" s="56">
        <v>409</v>
      </c>
      <c r="D82" s="56">
        <v>1</v>
      </c>
      <c r="E82" s="60" t="s">
        <v>213</v>
      </c>
      <c r="F82" s="56" t="s">
        <v>213</v>
      </c>
      <c r="G82" s="56" t="s">
        <v>213</v>
      </c>
      <c r="H82" s="61">
        <v>3940</v>
      </c>
      <c r="I82" s="143">
        <f t="shared" si="71"/>
        <v>5582</v>
      </c>
      <c r="J82" s="55" t="s">
        <v>213</v>
      </c>
      <c r="K82" s="56">
        <v>5582</v>
      </c>
      <c r="L82" s="58" t="s">
        <v>213</v>
      </c>
      <c r="M82" s="145">
        <f t="shared" si="72"/>
        <v>4472</v>
      </c>
      <c r="N82" s="56">
        <v>10</v>
      </c>
      <c r="O82" s="55">
        <v>4462</v>
      </c>
      <c r="P82" s="57" t="s">
        <v>213</v>
      </c>
      <c r="Q82" s="10" t="s">
        <v>83</v>
      </c>
      <c r="R82" s="11"/>
      <c r="S82" s="11"/>
    </row>
    <row r="83" spans="1:19" x14ac:dyDescent="0.3">
      <c r="A83" s="98" t="s">
        <v>84</v>
      </c>
      <c r="B83" s="139">
        <f>SUM(B85:B89)</f>
        <v>1575</v>
      </c>
      <c r="C83" s="127">
        <f>SUM(C85:C89)</f>
        <v>600</v>
      </c>
      <c r="D83" s="127">
        <f>SUM(D85:D89)</f>
        <v>975</v>
      </c>
      <c r="E83" s="128">
        <f t="shared" ref="E83:G83" si="73">SUM(E85:E89)</f>
        <v>0</v>
      </c>
      <c r="F83" s="128">
        <f t="shared" si="73"/>
        <v>441</v>
      </c>
      <c r="G83" s="127">
        <f t="shared" si="73"/>
        <v>399</v>
      </c>
      <c r="H83" s="129">
        <f t="shared" ref="H83" si="74">SUM(H85:H89)</f>
        <v>61053</v>
      </c>
      <c r="I83" s="127">
        <f>SUM(I85:I89)</f>
        <v>452200</v>
      </c>
      <c r="J83" s="129">
        <f>SUM(J85:J89)</f>
        <v>2242</v>
      </c>
      <c r="K83" s="127">
        <f t="shared" ref="K83:M83" si="75">SUM(K85:K89)</f>
        <v>447758</v>
      </c>
      <c r="L83" s="129">
        <f t="shared" si="75"/>
        <v>2200</v>
      </c>
      <c r="M83" s="127">
        <f t="shared" si="75"/>
        <v>73726</v>
      </c>
      <c r="N83" s="129">
        <f t="shared" ref="N83:P83" si="76">SUM(N85:N89)</f>
        <v>4187</v>
      </c>
      <c r="O83" s="127">
        <f t="shared" si="76"/>
        <v>62569</v>
      </c>
      <c r="P83" s="130">
        <f t="shared" si="76"/>
        <v>6970</v>
      </c>
      <c r="Q83" s="96" t="s">
        <v>85</v>
      </c>
      <c r="R83" s="96"/>
      <c r="S83" s="96"/>
    </row>
    <row r="84" spans="1:19" x14ac:dyDescent="0.3">
      <c r="A84" s="98"/>
      <c r="B84" s="139"/>
      <c r="C84" s="127"/>
      <c r="D84" s="127"/>
      <c r="E84" s="128"/>
      <c r="F84" s="128"/>
      <c r="G84" s="127"/>
      <c r="H84" s="129"/>
      <c r="I84" s="127"/>
      <c r="J84" s="129"/>
      <c r="K84" s="127"/>
      <c r="L84" s="129"/>
      <c r="M84" s="127"/>
      <c r="N84" s="129"/>
      <c r="O84" s="127"/>
      <c r="P84" s="130"/>
      <c r="Q84" s="96"/>
      <c r="R84" s="96"/>
      <c r="S84" s="96"/>
    </row>
    <row r="85" spans="1:19" x14ac:dyDescent="0.3">
      <c r="A85" s="9" t="s">
        <v>156</v>
      </c>
      <c r="B85" s="138">
        <f t="shared" ref="B85:B89" si="77">SUM(C85:E85)</f>
        <v>618</v>
      </c>
      <c r="C85" s="56">
        <v>8</v>
      </c>
      <c r="D85" s="56">
        <v>610</v>
      </c>
      <c r="E85" s="1" t="s">
        <v>213</v>
      </c>
      <c r="F85" s="56">
        <v>144</v>
      </c>
      <c r="G85" s="56">
        <v>399</v>
      </c>
      <c r="H85" s="55">
        <v>24245</v>
      </c>
      <c r="I85" s="143">
        <f t="shared" ref="I85:I89" si="78">SUM(J85:L85)</f>
        <v>371654</v>
      </c>
      <c r="J85" s="55">
        <v>735</v>
      </c>
      <c r="K85" s="56">
        <v>370919</v>
      </c>
      <c r="L85" s="58" t="s">
        <v>213</v>
      </c>
      <c r="M85" s="145">
        <f t="shared" ref="M85:M89" si="79">SUM(N85:P85)</f>
        <v>24690</v>
      </c>
      <c r="N85" s="56">
        <v>1034</v>
      </c>
      <c r="O85" s="55">
        <v>23656</v>
      </c>
      <c r="P85" s="57" t="s">
        <v>213</v>
      </c>
      <c r="Q85" s="10" t="s">
        <v>86</v>
      </c>
      <c r="R85" s="11"/>
      <c r="S85" s="11"/>
    </row>
    <row r="86" spans="1:19" x14ac:dyDescent="0.3">
      <c r="A86" s="9" t="s">
        <v>157</v>
      </c>
      <c r="B86" s="138">
        <f t="shared" si="77"/>
        <v>67</v>
      </c>
      <c r="C86" s="56">
        <v>23</v>
      </c>
      <c r="D86" s="56">
        <v>44</v>
      </c>
      <c r="E86" s="1" t="s">
        <v>213</v>
      </c>
      <c r="F86" s="56">
        <v>210</v>
      </c>
      <c r="G86" s="56" t="s">
        <v>213</v>
      </c>
      <c r="H86" s="55">
        <v>11080</v>
      </c>
      <c r="I86" s="143">
        <f t="shared" si="78"/>
        <v>5165</v>
      </c>
      <c r="J86" s="55">
        <v>1420</v>
      </c>
      <c r="K86" s="56">
        <v>3745</v>
      </c>
      <c r="L86" s="58" t="s">
        <v>213</v>
      </c>
      <c r="M86" s="145">
        <f t="shared" si="79"/>
        <v>16800</v>
      </c>
      <c r="N86" s="56">
        <v>3000</v>
      </c>
      <c r="O86" s="55">
        <v>13800</v>
      </c>
      <c r="P86" s="57" t="s">
        <v>213</v>
      </c>
      <c r="Q86" s="10" t="s">
        <v>87</v>
      </c>
      <c r="R86" s="11"/>
      <c r="S86" s="11"/>
    </row>
    <row r="87" spans="1:19" x14ac:dyDescent="0.3">
      <c r="A87" s="9" t="s">
        <v>158</v>
      </c>
      <c r="B87" s="138">
        <f t="shared" si="77"/>
        <v>269</v>
      </c>
      <c r="C87" s="56">
        <v>4</v>
      </c>
      <c r="D87" s="56">
        <v>265</v>
      </c>
      <c r="E87" s="1" t="s">
        <v>213</v>
      </c>
      <c r="F87" s="56">
        <v>15</v>
      </c>
      <c r="G87" s="56" t="s">
        <v>213</v>
      </c>
      <c r="H87" s="55">
        <v>3375</v>
      </c>
      <c r="I87" s="143">
        <f t="shared" si="78"/>
        <v>70120</v>
      </c>
      <c r="J87" s="55" t="s">
        <v>213</v>
      </c>
      <c r="K87" s="56">
        <v>70120</v>
      </c>
      <c r="L87" s="58" t="s">
        <v>213</v>
      </c>
      <c r="M87" s="145">
        <f t="shared" si="79"/>
        <v>9840</v>
      </c>
      <c r="N87" s="56" t="s">
        <v>213</v>
      </c>
      <c r="O87" s="55">
        <v>9840</v>
      </c>
      <c r="P87" s="57" t="s">
        <v>213</v>
      </c>
      <c r="Q87" s="10" t="s">
        <v>88</v>
      </c>
      <c r="R87" s="11"/>
      <c r="S87" s="11"/>
    </row>
    <row r="88" spans="1:19" x14ac:dyDescent="0.3">
      <c r="A88" s="9" t="s">
        <v>159</v>
      </c>
      <c r="B88" s="138">
        <f t="shared" si="77"/>
        <v>38</v>
      </c>
      <c r="C88" s="56">
        <v>33</v>
      </c>
      <c r="D88" s="56">
        <v>5</v>
      </c>
      <c r="E88" s="1" t="s">
        <v>213</v>
      </c>
      <c r="F88" s="56">
        <v>26</v>
      </c>
      <c r="G88" s="56" t="s">
        <v>213</v>
      </c>
      <c r="H88" s="55">
        <v>3175</v>
      </c>
      <c r="I88" s="143">
        <f t="shared" si="78"/>
        <v>870</v>
      </c>
      <c r="J88" s="55">
        <v>77</v>
      </c>
      <c r="K88" s="56">
        <v>793</v>
      </c>
      <c r="L88" s="58" t="s">
        <v>213</v>
      </c>
      <c r="M88" s="145">
        <f t="shared" si="79"/>
        <v>3906</v>
      </c>
      <c r="N88" s="56">
        <v>143</v>
      </c>
      <c r="O88" s="55">
        <v>3763</v>
      </c>
      <c r="P88" s="57" t="s">
        <v>213</v>
      </c>
      <c r="Q88" s="10" t="s">
        <v>89</v>
      </c>
      <c r="R88" s="11"/>
      <c r="S88" s="11"/>
    </row>
    <row r="89" spans="1:19" x14ac:dyDescent="0.3">
      <c r="A89" s="9" t="s">
        <v>160</v>
      </c>
      <c r="B89" s="138">
        <f t="shared" si="77"/>
        <v>583</v>
      </c>
      <c r="C89" s="56">
        <v>532</v>
      </c>
      <c r="D89" s="56">
        <v>51</v>
      </c>
      <c r="E89" s="1" t="s">
        <v>213</v>
      </c>
      <c r="F89" s="56">
        <v>46</v>
      </c>
      <c r="G89" s="56" t="s">
        <v>213</v>
      </c>
      <c r="H89" s="55">
        <v>19178</v>
      </c>
      <c r="I89" s="143">
        <f t="shared" si="78"/>
        <v>4391</v>
      </c>
      <c r="J89" s="55">
        <v>10</v>
      </c>
      <c r="K89" s="56">
        <v>2181</v>
      </c>
      <c r="L89" s="56">
        <v>2200</v>
      </c>
      <c r="M89" s="145">
        <f t="shared" si="79"/>
        <v>18490</v>
      </c>
      <c r="N89" s="56">
        <v>10</v>
      </c>
      <c r="O89" s="55">
        <v>11510</v>
      </c>
      <c r="P89" s="57">
        <v>6970</v>
      </c>
      <c r="Q89" s="10" t="s">
        <v>90</v>
      </c>
      <c r="R89" s="11"/>
      <c r="S89" s="11"/>
    </row>
    <row r="90" spans="1:19" x14ac:dyDescent="0.3">
      <c r="A90" s="98" t="s">
        <v>91</v>
      </c>
      <c r="B90" s="139">
        <f>SUM(B92:B104)</f>
        <v>5919</v>
      </c>
      <c r="C90" s="127">
        <f>SUM(C92:C104)</f>
        <v>4227</v>
      </c>
      <c r="D90" s="127">
        <f>SUM(D92:D104)</f>
        <v>1692</v>
      </c>
      <c r="E90" s="128">
        <f t="shared" ref="E90:G90" si="80">SUM(E92:E104)</f>
        <v>0</v>
      </c>
      <c r="F90" s="128">
        <f t="shared" si="80"/>
        <v>1423</v>
      </c>
      <c r="G90" s="127">
        <f t="shared" si="80"/>
        <v>620</v>
      </c>
      <c r="H90" s="129">
        <f t="shared" ref="H90" si="81">SUM(H92:H104)</f>
        <v>271698</v>
      </c>
      <c r="I90" s="127">
        <f>SUM(I92:I104)</f>
        <v>141575</v>
      </c>
      <c r="J90" s="129">
        <f>SUM(J92:J104)</f>
        <v>21845</v>
      </c>
      <c r="K90" s="127">
        <f t="shared" ref="K90:M90" si="82">SUM(K92:K104)</f>
        <v>119730</v>
      </c>
      <c r="L90" s="129">
        <f t="shared" si="82"/>
        <v>0</v>
      </c>
      <c r="M90" s="127">
        <f t="shared" si="82"/>
        <v>149085</v>
      </c>
      <c r="N90" s="129">
        <f t="shared" ref="N90:P90" si="83">SUM(N92:N104)</f>
        <v>22834</v>
      </c>
      <c r="O90" s="127">
        <f t="shared" si="83"/>
        <v>126251</v>
      </c>
      <c r="P90" s="130">
        <f t="shared" si="83"/>
        <v>0</v>
      </c>
      <c r="Q90" s="96" t="s">
        <v>92</v>
      </c>
      <c r="R90" s="96"/>
      <c r="S90" s="96"/>
    </row>
    <row r="91" spans="1:19" x14ac:dyDescent="0.3">
      <c r="A91" s="98"/>
      <c r="B91" s="139"/>
      <c r="C91" s="127"/>
      <c r="D91" s="127"/>
      <c r="E91" s="128"/>
      <c r="F91" s="128"/>
      <c r="G91" s="127"/>
      <c r="H91" s="129"/>
      <c r="I91" s="127"/>
      <c r="J91" s="129"/>
      <c r="K91" s="127"/>
      <c r="L91" s="129"/>
      <c r="M91" s="127"/>
      <c r="N91" s="129"/>
      <c r="O91" s="127"/>
      <c r="P91" s="130"/>
      <c r="Q91" s="96"/>
      <c r="R91" s="96"/>
      <c r="S91" s="96"/>
    </row>
    <row r="92" spans="1:19" x14ac:dyDescent="0.3">
      <c r="A92" s="9" t="s">
        <v>161</v>
      </c>
      <c r="B92" s="138">
        <f t="shared" ref="B92:B104" si="84">SUM(C92:E92)</f>
        <v>168</v>
      </c>
      <c r="C92" s="56">
        <v>89</v>
      </c>
      <c r="D92" s="56">
        <v>79</v>
      </c>
      <c r="E92" s="1" t="s">
        <v>213</v>
      </c>
      <c r="F92" s="56">
        <v>16</v>
      </c>
      <c r="G92" s="56" t="s">
        <v>213</v>
      </c>
      <c r="H92" s="55">
        <v>2983</v>
      </c>
      <c r="I92" s="143">
        <f t="shared" ref="I92:I104" si="85">SUM(J92:L92)</f>
        <v>993</v>
      </c>
      <c r="J92" s="55">
        <v>762</v>
      </c>
      <c r="K92" s="56">
        <v>231</v>
      </c>
      <c r="L92" s="58" t="s">
        <v>213</v>
      </c>
      <c r="M92" s="145">
        <f t="shared" ref="M92:M104" si="86">SUM(N92:P92)</f>
        <v>820</v>
      </c>
      <c r="N92" s="56">
        <v>820</v>
      </c>
      <c r="O92" s="55" t="s">
        <v>213</v>
      </c>
      <c r="P92" s="57" t="s">
        <v>213</v>
      </c>
      <c r="Q92" s="10" t="s">
        <v>93</v>
      </c>
      <c r="R92" s="11"/>
      <c r="S92" s="11"/>
    </row>
    <row r="93" spans="1:19" x14ac:dyDescent="0.3">
      <c r="A93" s="9" t="s">
        <v>162</v>
      </c>
      <c r="B93" s="138">
        <f t="shared" si="84"/>
        <v>307</v>
      </c>
      <c r="C93" s="56">
        <v>284</v>
      </c>
      <c r="D93" s="56">
        <v>23</v>
      </c>
      <c r="E93" s="1" t="s">
        <v>213</v>
      </c>
      <c r="F93" s="56">
        <v>101</v>
      </c>
      <c r="G93" s="56" t="s">
        <v>213</v>
      </c>
      <c r="H93" s="55">
        <v>12435</v>
      </c>
      <c r="I93" s="143">
        <f t="shared" si="85"/>
        <v>18088</v>
      </c>
      <c r="J93" s="55">
        <v>371</v>
      </c>
      <c r="K93" s="56">
        <v>17717</v>
      </c>
      <c r="L93" s="58" t="s">
        <v>213</v>
      </c>
      <c r="M93" s="145">
        <f t="shared" si="86"/>
        <v>7897</v>
      </c>
      <c r="N93" s="56">
        <v>400</v>
      </c>
      <c r="O93" s="55">
        <v>7497</v>
      </c>
      <c r="P93" s="57" t="s">
        <v>213</v>
      </c>
      <c r="Q93" s="10" t="s">
        <v>94</v>
      </c>
      <c r="R93" s="11"/>
      <c r="S93" s="11"/>
    </row>
    <row r="94" spans="1:19" x14ac:dyDescent="0.3">
      <c r="A94" s="9" t="s">
        <v>163</v>
      </c>
      <c r="B94" s="138">
        <f t="shared" si="84"/>
        <v>124</v>
      </c>
      <c r="C94" s="56">
        <v>112</v>
      </c>
      <c r="D94" s="56">
        <v>12</v>
      </c>
      <c r="E94" s="1" t="s">
        <v>213</v>
      </c>
      <c r="F94" s="56">
        <v>221</v>
      </c>
      <c r="G94" s="56" t="s">
        <v>213</v>
      </c>
      <c r="H94" s="55">
        <v>9560</v>
      </c>
      <c r="I94" s="143">
        <f t="shared" si="85"/>
        <v>791</v>
      </c>
      <c r="J94" s="55">
        <v>256</v>
      </c>
      <c r="K94" s="56">
        <v>535</v>
      </c>
      <c r="L94" s="58" t="s">
        <v>213</v>
      </c>
      <c r="M94" s="145">
        <f t="shared" si="86"/>
        <v>4932</v>
      </c>
      <c r="N94" s="56">
        <v>1132</v>
      </c>
      <c r="O94" s="55">
        <v>3800</v>
      </c>
      <c r="P94" s="57" t="s">
        <v>213</v>
      </c>
      <c r="Q94" s="10" t="s">
        <v>95</v>
      </c>
      <c r="R94" s="11"/>
      <c r="S94" s="11"/>
    </row>
    <row r="95" spans="1:19" x14ac:dyDescent="0.3">
      <c r="A95" s="9" t="s">
        <v>164</v>
      </c>
      <c r="B95" s="138">
        <f t="shared" si="84"/>
        <v>306</v>
      </c>
      <c r="C95" s="56">
        <v>260</v>
      </c>
      <c r="D95" s="56">
        <v>46</v>
      </c>
      <c r="E95" s="1" t="s">
        <v>213</v>
      </c>
      <c r="F95" s="56">
        <v>16</v>
      </c>
      <c r="G95" s="56">
        <v>270</v>
      </c>
      <c r="H95" s="55">
        <v>26770</v>
      </c>
      <c r="I95" s="143">
        <f t="shared" si="85"/>
        <v>8045</v>
      </c>
      <c r="J95" s="55">
        <v>1975</v>
      </c>
      <c r="K95" s="56">
        <v>6070</v>
      </c>
      <c r="L95" s="58" t="s">
        <v>213</v>
      </c>
      <c r="M95" s="145">
        <f t="shared" si="86"/>
        <v>21880</v>
      </c>
      <c r="N95" s="56">
        <v>4160</v>
      </c>
      <c r="O95" s="55">
        <v>17720</v>
      </c>
      <c r="P95" s="57" t="s">
        <v>213</v>
      </c>
      <c r="Q95" s="10" t="s">
        <v>96</v>
      </c>
      <c r="R95" s="11"/>
      <c r="S95" s="11"/>
    </row>
    <row r="96" spans="1:19" x14ac:dyDescent="0.3">
      <c r="A96" s="9" t="s">
        <v>165</v>
      </c>
      <c r="B96" s="138">
        <f t="shared" si="84"/>
        <v>0</v>
      </c>
      <c r="C96" s="56" t="s">
        <v>213</v>
      </c>
      <c r="D96" s="56" t="s">
        <v>213</v>
      </c>
      <c r="E96" s="1" t="s">
        <v>213</v>
      </c>
      <c r="F96" s="56" t="s">
        <v>213</v>
      </c>
      <c r="G96" s="56" t="s">
        <v>213</v>
      </c>
      <c r="H96" s="55">
        <v>250</v>
      </c>
      <c r="I96" s="143">
        <f t="shared" si="85"/>
        <v>7068</v>
      </c>
      <c r="J96" s="1" t="s">
        <v>213</v>
      </c>
      <c r="K96" s="56">
        <v>7068</v>
      </c>
      <c r="L96" s="58" t="s">
        <v>213</v>
      </c>
      <c r="M96" s="145">
        <f t="shared" si="86"/>
        <v>5347</v>
      </c>
      <c r="N96" s="56" t="s">
        <v>213</v>
      </c>
      <c r="O96" s="55">
        <v>5347</v>
      </c>
      <c r="P96" s="57" t="s">
        <v>213</v>
      </c>
      <c r="Q96" s="10" t="s">
        <v>97</v>
      </c>
      <c r="R96" s="11"/>
      <c r="S96" s="11"/>
    </row>
    <row r="97" spans="1:19" x14ac:dyDescent="0.3">
      <c r="A97" s="9" t="s">
        <v>166</v>
      </c>
      <c r="B97" s="138">
        <f t="shared" si="84"/>
        <v>149</v>
      </c>
      <c r="C97" s="56">
        <v>25</v>
      </c>
      <c r="D97" s="56">
        <v>124</v>
      </c>
      <c r="E97" s="1" t="s">
        <v>213</v>
      </c>
      <c r="F97" s="56">
        <v>184</v>
      </c>
      <c r="G97" s="56" t="s">
        <v>213</v>
      </c>
      <c r="H97" s="55">
        <v>1029</v>
      </c>
      <c r="I97" s="143">
        <f t="shared" si="85"/>
        <v>10006</v>
      </c>
      <c r="J97" s="55">
        <v>8760</v>
      </c>
      <c r="K97" s="56">
        <v>1246</v>
      </c>
      <c r="L97" s="58" t="s">
        <v>213</v>
      </c>
      <c r="M97" s="145">
        <f t="shared" si="86"/>
        <v>7054</v>
      </c>
      <c r="N97" s="56">
        <v>7054</v>
      </c>
      <c r="O97" s="55" t="s">
        <v>213</v>
      </c>
      <c r="P97" s="57" t="s">
        <v>213</v>
      </c>
      <c r="Q97" s="10" t="s">
        <v>98</v>
      </c>
      <c r="R97" s="11"/>
      <c r="S97" s="11"/>
    </row>
    <row r="98" spans="1:19" x14ac:dyDescent="0.3">
      <c r="A98" s="9" t="s">
        <v>167</v>
      </c>
      <c r="B98" s="138">
        <f t="shared" si="84"/>
        <v>686</v>
      </c>
      <c r="C98" s="56">
        <v>71</v>
      </c>
      <c r="D98" s="56">
        <v>615</v>
      </c>
      <c r="E98" s="1" t="s">
        <v>213</v>
      </c>
      <c r="F98" s="56">
        <v>83</v>
      </c>
      <c r="G98" s="56" t="s">
        <v>213</v>
      </c>
      <c r="H98" s="55">
        <v>50</v>
      </c>
      <c r="I98" s="143">
        <f t="shared" si="85"/>
        <v>7880</v>
      </c>
      <c r="J98" s="55">
        <v>1050</v>
      </c>
      <c r="K98" s="56">
        <v>6830</v>
      </c>
      <c r="L98" s="58" t="s">
        <v>213</v>
      </c>
      <c r="M98" s="145">
        <f t="shared" si="86"/>
        <v>7186</v>
      </c>
      <c r="N98" s="56">
        <v>1100</v>
      </c>
      <c r="O98" s="55">
        <v>6086</v>
      </c>
      <c r="P98" s="57" t="s">
        <v>213</v>
      </c>
      <c r="Q98" s="10" t="s">
        <v>99</v>
      </c>
      <c r="R98" s="11"/>
      <c r="S98" s="11"/>
    </row>
    <row r="99" spans="1:19" x14ac:dyDescent="0.3">
      <c r="A99" s="9" t="s">
        <v>168</v>
      </c>
      <c r="B99" s="138">
        <f t="shared" si="84"/>
        <v>87</v>
      </c>
      <c r="C99" s="56">
        <v>73</v>
      </c>
      <c r="D99" s="56">
        <v>14</v>
      </c>
      <c r="E99" s="1" t="s">
        <v>213</v>
      </c>
      <c r="F99" s="56">
        <v>19</v>
      </c>
      <c r="G99" s="56" t="s">
        <v>213</v>
      </c>
      <c r="H99" s="55">
        <v>8560</v>
      </c>
      <c r="I99" s="143">
        <f t="shared" si="85"/>
        <v>4571</v>
      </c>
      <c r="J99" s="55">
        <v>491</v>
      </c>
      <c r="K99" s="56">
        <v>4080</v>
      </c>
      <c r="L99" s="58" t="s">
        <v>213</v>
      </c>
      <c r="M99" s="145">
        <f t="shared" si="86"/>
        <v>7513</v>
      </c>
      <c r="N99" s="56">
        <v>623</v>
      </c>
      <c r="O99" s="55">
        <v>6890</v>
      </c>
      <c r="P99" s="57" t="s">
        <v>213</v>
      </c>
      <c r="Q99" s="10" t="s">
        <v>100</v>
      </c>
      <c r="R99" s="11"/>
      <c r="S99" s="11"/>
    </row>
    <row r="100" spans="1:19" x14ac:dyDescent="0.3">
      <c r="A100" s="9" t="s">
        <v>169</v>
      </c>
      <c r="B100" s="138">
        <f t="shared" si="84"/>
        <v>222</v>
      </c>
      <c r="C100" s="56">
        <v>130</v>
      </c>
      <c r="D100" s="56">
        <v>92</v>
      </c>
      <c r="E100" s="1" t="s">
        <v>213</v>
      </c>
      <c r="F100" s="56">
        <v>4</v>
      </c>
      <c r="G100" s="56" t="s">
        <v>213</v>
      </c>
      <c r="H100" s="55">
        <v>423</v>
      </c>
      <c r="I100" s="143">
        <f t="shared" si="85"/>
        <v>2066</v>
      </c>
      <c r="J100" s="55">
        <v>1444</v>
      </c>
      <c r="K100" s="56">
        <v>622</v>
      </c>
      <c r="L100" s="58" t="s">
        <v>213</v>
      </c>
      <c r="M100" s="145">
        <f t="shared" si="86"/>
        <v>654</v>
      </c>
      <c r="N100" s="56">
        <v>654</v>
      </c>
      <c r="O100" s="55" t="s">
        <v>213</v>
      </c>
      <c r="P100" s="57" t="s">
        <v>213</v>
      </c>
      <c r="Q100" s="10" t="s">
        <v>101</v>
      </c>
      <c r="R100" s="11"/>
      <c r="S100" s="11"/>
    </row>
    <row r="101" spans="1:19" x14ac:dyDescent="0.3">
      <c r="A101" s="9" t="s">
        <v>170</v>
      </c>
      <c r="B101" s="138">
        <f t="shared" si="84"/>
        <v>3220</v>
      </c>
      <c r="C101" s="56">
        <v>2724</v>
      </c>
      <c r="D101" s="56">
        <v>496</v>
      </c>
      <c r="E101" s="1" t="s">
        <v>213</v>
      </c>
      <c r="F101" s="56">
        <v>163</v>
      </c>
      <c r="G101" s="56" t="s">
        <v>213</v>
      </c>
      <c r="H101" s="55">
        <v>22335</v>
      </c>
      <c r="I101" s="143">
        <f t="shared" si="85"/>
        <v>55910</v>
      </c>
      <c r="J101" s="55">
        <v>705</v>
      </c>
      <c r="K101" s="56">
        <v>55205</v>
      </c>
      <c r="L101" s="58" t="s">
        <v>213</v>
      </c>
      <c r="M101" s="145">
        <f t="shared" si="86"/>
        <v>50181</v>
      </c>
      <c r="N101" s="56">
        <v>2630</v>
      </c>
      <c r="O101" s="55">
        <v>47551</v>
      </c>
      <c r="P101" s="57" t="s">
        <v>213</v>
      </c>
      <c r="Q101" s="10" t="s">
        <v>102</v>
      </c>
      <c r="R101" s="11"/>
      <c r="S101" s="11"/>
    </row>
    <row r="102" spans="1:19" x14ac:dyDescent="0.3">
      <c r="A102" s="9" t="s">
        <v>171</v>
      </c>
      <c r="B102" s="138">
        <f t="shared" si="84"/>
        <v>128</v>
      </c>
      <c r="C102" s="56">
        <v>78</v>
      </c>
      <c r="D102" s="56">
        <v>50</v>
      </c>
      <c r="E102" s="1" t="s">
        <v>213</v>
      </c>
      <c r="F102" s="56">
        <v>26</v>
      </c>
      <c r="G102" s="56" t="s">
        <v>213</v>
      </c>
      <c r="H102" s="55">
        <v>1790</v>
      </c>
      <c r="I102" s="143">
        <f t="shared" si="85"/>
        <v>1704</v>
      </c>
      <c r="J102" s="55">
        <v>134</v>
      </c>
      <c r="K102" s="56">
        <v>1570</v>
      </c>
      <c r="L102" s="58" t="s">
        <v>213</v>
      </c>
      <c r="M102" s="145">
        <f t="shared" si="86"/>
        <v>1760</v>
      </c>
      <c r="N102" s="56">
        <v>258</v>
      </c>
      <c r="O102" s="55">
        <v>1502</v>
      </c>
      <c r="P102" s="57" t="s">
        <v>213</v>
      </c>
      <c r="Q102" s="10" t="s">
        <v>103</v>
      </c>
      <c r="R102" s="11"/>
      <c r="S102" s="11"/>
    </row>
    <row r="103" spans="1:19" x14ac:dyDescent="0.3">
      <c r="A103" s="9" t="s">
        <v>172</v>
      </c>
      <c r="B103" s="138">
        <f t="shared" si="84"/>
        <v>312</v>
      </c>
      <c r="C103" s="56">
        <v>279</v>
      </c>
      <c r="D103" s="56">
        <v>33</v>
      </c>
      <c r="E103" s="1" t="s">
        <v>213</v>
      </c>
      <c r="F103" s="56">
        <v>569</v>
      </c>
      <c r="G103" s="56">
        <v>350</v>
      </c>
      <c r="H103" s="55">
        <v>181565</v>
      </c>
      <c r="I103" s="143">
        <f t="shared" si="85"/>
        <v>16773</v>
      </c>
      <c r="J103" s="55" t="s">
        <v>213</v>
      </c>
      <c r="K103" s="56">
        <v>16773</v>
      </c>
      <c r="L103" s="58" t="s">
        <v>213</v>
      </c>
      <c r="M103" s="145">
        <f t="shared" si="86"/>
        <v>29858</v>
      </c>
      <c r="N103" s="56" t="s">
        <v>213</v>
      </c>
      <c r="O103" s="55">
        <v>29858</v>
      </c>
      <c r="P103" s="57" t="s">
        <v>213</v>
      </c>
      <c r="Q103" s="10" t="s">
        <v>104</v>
      </c>
      <c r="R103" s="11"/>
      <c r="S103" s="11"/>
    </row>
    <row r="104" spans="1:19" x14ac:dyDescent="0.3">
      <c r="A104" s="9" t="s">
        <v>173</v>
      </c>
      <c r="B104" s="138">
        <f t="shared" si="84"/>
        <v>210</v>
      </c>
      <c r="C104" s="56">
        <v>102</v>
      </c>
      <c r="D104" s="56">
        <v>108</v>
      </c>
      <c r="E104" s="1" t="s">
        <v>213</v>
      </c>
      <c r="F104" s="56">
        <v>21</v>
      </c>
      <c r="G104" s="56" t="s">
        <v>213</v>
      </c>
      <c r="H104" s="55">
        <v>3948</v>
      </c>
      <c r="I104" s="143">
        <f t="shared" si="85"/>
        <v>7680</v>
      </c>
      <c r="J104" s="1">
        <v>5897</v>
      </c>
      <c r="K104" s="56">
        <v>1783</v>
      </c>
      <c r="L104" s="58" t="s">
        <v>213</v>
      </c>
      <c r="M104" s="145">
        <f t="shared" si="86"/>
        <v>4003</v>
      </c>
      <c r="N104" s="56">
        <v>4003</v>
      </c>
      <c r="O104" s="55" t="s">
        <v>213</v>
      </c>
      <c r="P104" s="57" t="s">
        <v>213</v>
      </c>
      <c r="Q104" s="10" t="s">
        <v>105</v>
      </c>
      <c r="R104" s="11"/>
      <c r="S104" s="11"/>
    </row>
    <row r="105" spans="1:19" x14ac:dyDescent="0.3">
      <c r="A105" s="98" t="s">
        <v>106</v>
      </c>
      <c r="B105" s="139">
        <f>SUM(B107:B110)</f>
        <v>559</v>
      </c>
      <c r="C105" s="127">
        <f>SUM(C107:C110)</f>
        <v>351</v>
      </c>
      <c r="D105" s="127">
        <f>SUM(D107:D110)</f>
        <v>208</v>
      </c>
      <c r="E105" s="128">
        <f t="shared" ref="E105:G105" si="87">SUM(E107:E110)</f>
        <v>0</v>
      </c>
      <c r="F105" s="128">
        <f t="shared" si="87"/>
        <v>8973</v>
      </c>
      <c r="G105" s="127">
        <f t="shared" si="87"/>
        <v>15766</v>
      </c>
      <c r="H105" s="129">
        <f t="shared" ref="H105" si="88">SUM(H107:H110)</f>
        <v>339836</v>
      </c>
      <c r="I105" s="127">
        <f>SUM(I107:I110)</f>
        <v>1982587</v>
      </c>
      <c r="J105" s="129">
        <f>SUM(J107:J110)</f>
        <v>23895</v>
      </c>
      <c r="K105" s="127">
        <f t="shared" ref="K105:M105" si="89">SUM(K107:K110)</f>
        <v>1904129</v>
      </c>
      <c r="L105" s="129">
        <f t="shared" si="89"/>
        <v>54563</v>
      </c>
      <c r="M105" s="127">
        <f t="shared" si="89"/>
        <v>535304</v>
      </c>
      <c r="N105" s="129">
        <f t="shared" ref="N105:P105" si="90">SUM(N107:N110)</f>
        <v>15569</v>
      </c>
      <c r="O105" s="127">
        <f t="shared" si="90"/>
        <v>493683</v>
      </c>
      <c r="P105" s="130">
        <f t="shared" si="90"/>
        <v>26052</v>
      </c>
      <c r="Q105" s="96" t="s">
        <v>107</v>
      </c>
      <c r="R105" s="96"/>
      <c r="S105" s="96"/>
    </row>
    <row r="106" spans="1:19" x14ac:dyDescent="0.3">
      <c r="A106" s="98"/>
      <c r="B106" s="139"/>
      <c r="C106" s="127"/>
      <c r="D106" s="127"/>
      <c r="E106" s="128"/>
      <c r="F106" s="128"/>
      <c r="G106" s="127"/>
      <c r="H106" s="129"/>
      <c r="I106" s="127"/>
      <c r="J106" s="129"/>
      <c r="K106" s="127"/>
      <c r="L106" s="129"/>
      <c r="M106" s="127"/>
      <c r="N106" s="129"/>
      <c r="O106" s="127"/>
      <c r="P106" s="130"/>
      <c r="Q106" s="96"/>
      <c r="R106" s="96"/>
      <c r="S106" s="96"/>
    </row>
    <row r="107" spans="1:19" x14ac:dyDescent="0.3">
      <c r="A107" s="9" t="s">
        <v>174</v>
      </c>
      <c r="B107" s="138">
        <f t="shared" ref="B107:B110" si="91">SUM(C107:E107)</f>
        <v>157</v>
      </c>
      <c r="C107" s="56">
        <v>114</v>
      </c>
      <c r="D107" s="56">
        <v>43</v>
      </c>
      <c r="E107" s="55" t="s">
        <v>213</v>
      </c>
      <c r="F107" s="56">
        <v>3288</v>
      </c>
      <c r="G107" s="56">
        <v>15766</v>
      </c>
      <c r="H107" s="55">
        <v>150240</v>
      </c>
      <c r="I107" s="143">
        <f t="shared" ref="I107:I110" si="92">SUM(J107:L107)</f>
        <v>590116</v>
      </c>
      <c r="J107" s="55">
        <v>9193</v>
      </c>
      <c r="K107" s="56">
        <v>580923</v>
      </c>
      <c r="L107" s="56" t="s">
        <v>213</v>
      </c>
      <c r="M107" s="145">
        <f t="shared" ref="M107:M110" si="93">SUM(N107:P107)</f>
        <v>178458</v>
      </c>
      <c r="N107" s="56">
        <v>8567</v>
      </c>
      <c r="O107" s="55">
        <v>169891</v>
      </c>
      <c r="P107" s="57" t="s">
        <v>213</v>
      </c>
      <c r="Q107" s="10" t="s">
        <v>108</v>
      </c>
      <c r="R107" s="11"/>
      <c r="S107" s="11"/>
    </row>
    <row r="108" spans="1:19" x14ac:dyDescent="0.3">
      <c r="A108" s="9" t="s">
        <v>175</v>
      </c>
      <c r="B108" s="138">
        <f t="shared" si="91"/>
        <v>2</v>
      </c>
      <c r="C108" s="56">
        <v>2</v>
      </c>
      <c r="D108" s="56" t="s">
        <v>213</v>
      </c>
      <c r="E108" s="55" t="s">
        <v>213</v>
      </c>
      <c r="F108" s="56">
        <v>8</v>
      </c>
      <c r="G108" s="56" t="s">
        <v>213</v>
      </c>
      <c r="H108" s="55">
        <v>14147</v>
      </c>
      <c r="I108" s="143">
        <f t="shared" si="92"/>
        <v>72580</v>
      </c>
      <c r="J108" s="55">
        <v>8780</v>
      </c>
      <c r="K108" s="58">
        <v>54712</v>
      </c>
      <c r="L108" s="56">
        <v>9088</v>
      </c>
      <c r="M108" s="145">
        <f t="shared" si="93"/>
        <v>27668</v>
      </c>
      <c r="N108" s="58">
        <v>1285</v>
      </c>
      <c r="O108" s="55">
        <v>22406</v>
      </c>
      <c r="P108" s="59">
        <v>3977</v>
      </c>
      <c r="Q108" s="10" t="s">
        <v>109</v>
      </c>
      <c r="R108" s="11"/>
      <c r="S108" s="11"/>
    </row>
    <row r="109" spans="1:19" x14ac:dyDescent="0.3">
      <c r="A109" s="9" t="s">
        <v>176</v>
      </c>
      <c r="B109" s="141">
        <f t="shared" si="91"/>
        <v>300</v>
      </c>
      <c r="C109" s="56">
        <v>156</v>
      </c>
      <c r="D109" s="55">
        <v>144</v>
      </c>
      <c r="E109" s="56" t="s">
        <v>213</v>
      </c>
      <c r="F109" s="55">
        <v>5119</v>
      </c>
      <c r="G109" s="56" t="s">
        <v>213</v>
      </c>
      <c r="H109" s="55">
        <v>60476</v>
      </c>
      <c r="I109" s="143">
        <f t="shared" si="92"/>
        <v>816499</v>
      </c>
      <c r="J109" s="55">
        <v>4736</v>
      </c>
      <c r="K109" s="56">
        <v>766288</v>
      </c>
      <c r="L109" s="55">
        <v>45475</v>
      </c>
      <c r="M109" s="145">
        <f t="shared" si="93"/>
        <v>190655</v>
      </c>
      <c r="N109" s="55">
        <v>4275</v>
      </c>
      <c r="O109" s="56">
        <v>164305</v>
      </c>
      <c r="P109" s="62">
        <v>22075</v>
      </c>
      <c r="Q109" s="10" t="s">
        <v>110</v>
      </c>
      <c r="R109" s="11"/>
      <c r="S109" s="11"/>
    </row>
    <row r="110" spans="1:19" ht="15" thickBot="1" x14ac:dyDescent="0.35">
      <c r="A110" s="15" t="s">
        <v>177</v>
      </c>
      <c r="B110" s="142">
        <f t="shared" si="91"/>
        <v>100</v>
      </c>
      <c r="C110" s="63">
        <v>79</v>
      </c>
      <c r="D110" s="63">
        <v>21</v>
      </c>
      <c r="E110" s="64" t="s">
        <v>213</v>
      </c>
      <c r="F110" s="63">
        <v>558</v>
      </c>
      <c r="G110" s="63" t="s">
        <v>213</v>
      </c>
      <c r="H110" s="64">
        <v>114973</v>
      </c>
      <c r="I110" s="144">
        <f t="shared" si="92"/>
        <v>503392</v>
      </c>
      <c r="J110" s="64">
        <v>1186</v>
      </c>
      <c r="K110" s="63">
        <v>502206</v>
      </c>
      <c r="L110" s="63" t="s">
        <v>213</v>
      </c>
      <c r="M110" s="146">
        <f t="shared" si="93"/>
        <v>138523</v>
      </c>
      <c r="N110" s="63">
        <v>1442</v>
      </c>
      <c r="O110" s="64">
        <v>137081</v>
      </c>
      <c r="P110" s="65" t="s">
        <v>213</v>
      </c>
      <c r="Q110" s="16" t="s">
        <v>111</v>
      </c>
      <c r="R110" s="17"/>
      <c r="S110" s="17"/>
    </row>
    <row r="111" spans="1:19" ht="16.2" x14ac:dyDescent="0.3">
      <c r="A111" s="32" t="s">
        <v>180</v>
      </c>
      <c r="B111" s="50"/>
      <c r="C111" s="18"/>
      <c r="D111" s="18"/>
      <c r="E111" s="18"/>
      <c r="F111" s="35"/>
      <c r="G111" s="35"/>
      <c r="H111" s="35"/>
      <c r="N111" s="107" t="s">
        <v>181</v>
      </c>
      <c r="O111" s="107"/>
      <c r="P111" s="107"/>
      <c r="Q111" s="107"/>
      <c r="R111" s="107"/>
      <c r="S111" s="107"/>
    </row>
    <row r="112" spans="1:19" x14ac:dyDescent="0.3">
      <c r="A112" s="18"/>
      <c r="B112" s="18"/>
      <c r="C112" s="18"/>
      <c r="D112" s="18"/>
      <c r="E112" s="18"/>
      <c r="F112" s="35"/>
      <c r="G112" s="35"/>
      <c r="H112" s="35"/>
      <c r="Q112" s="18"/>
      <c r="R112" s="18"/>
      <c r="S112" s="18"/>
    </row>
    <row r="113" spans="1:19" x14ac:dyDescent="0.3">
      <c r="A113" s="19"/>
      <c r="B113" s="19"/>
      <c r="C113" s="19"/>
      <c r="D113" s="19"/>
      <c r="E113" s="19"/>
      <c r="F113" s="36"/>
      <c r="G113" s="36"/>
      <c r="H113" s="36"/>
      <c r="I113" s="20"/>
      <c r="J113" s="20"/>
      <c r="K113" s="20"/>
      <c r="L113" s="20"/>
      <c r="Q113" s="20"/>
      <c r="R113" s="20"/>
      <c r="S113" s="20"/>
    </row>
    <row r="114" spans="1:19" x14ac:dyDescent="0.3">
      <c r="A114" s="19"/>
      <c r="B114" s="19"/>
      <c r="C114" s="19"/>
      <c r="D114" s="19"/>
      <c r="E114" s="19"/>
      <c r="F114" s="36"/>
      <c r="G114" s="36"/>
      <c r="H114" s="36"/>
      <c r="I114" s="20"/>
      <c r="J114" s="20"/>
      <c r="K114" s="20"/>
      <c r="L114" s="20"/>
      <c r="Q114" s="20"/>
      <c r="R114" s="20"/>
      <c r="S114" s="20"/>
    </row>
    <row r="115" spans="1:19" x14ac:dyDescent="0.3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O115" s="1"/>
      <c r="Q115" s="99"/>
      <c r="R115" s="99"/>
      <c r="S115" s="99"/>
    </row>
    <row r="116" spans="1:19" x14ac:dyDescent="0.3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Q116" s="99"/>
      <c r="R116" s="99"/>
      <c r="S116" s="99"/>
    </row>
    <row r="125" spans="1:19" x14ac:dyDescent="0.3">
      <c r="A125" s="21"/>
      <c r="B125" s="21"/>
      <c r="C125" s="21"/>
      <c r="D125" s="21"/>
      <c r="E125" s="21"/>
      <c r="F125" s="38"/>
      <c r="G125" s="38"/>
      <c r="H125" s="38"/>
    </row>
    <row r="126" spans="1:19" x14ac:dyDescent="0.3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4"/>
      <c r="O126" s="104"/>
      <c r="P126" s="104"/>
    </row>
    <row r="127" spans="1:19" x14ac:dyDescent="0.3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4"/>
      <c r="O127" s="104"/>
      <c r="P127" s="104"/>
    </row>
    <row r="128" spans="1:19" x14ac:dyDescent="0.3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4"/>
      <c r="O128" s="104"/>
      <c r="P128" s="104"/>
    </row>
    <row r="129" spans="1:16" x14ac:dyDescent="0.3">
      <c r="A129" s="21"/>
      <c r="B129" s="21"/>
      <c r="C129" s="21"/>
      <c r="D129" s="21"/>
      <c r="E129" s="21"/>
      <c r="F129" s="38"/>
      <c r="G129" s="38"/>
      <c r="H129" s="38"/>
      <c r="M129" s="105"/>
      <c r="N129" s="105"/>
      <c r="O129" s="105"/>
      <c r="P129" s="105"/>
    </row>
    <row r="130" spans="1:16" x14ac:dyDescent="0.3">
      <c r="A130" s="102"/>
      <c r="B130" s="22"/>
      <c r="C130" s="22"/>
      <c r="D130" s="22"/>
      <c r="E130" s="22"/>
      <c r="F130" s="39"/>
      <c r="G130" s="39"/>
      <c r="H130" s="39"/>
      <c r="I130" s="102"/>
      <c r="J130" s="102"/>
      <c r="K130" s="102"/>
      <c r="L130" s="102"/>
      <c r="M130" s="102"/>
      <c r="N130" s="102"/>
      <c r="O130" s="102"/>
      <c r="P130" s="102"/>
    </row>
    <row r="131" spans="1:16" x14ac:dyDescent="0.3">
      <c r="A131" s="102"/>
      <c r="B131" s="22"/>
      <c r="C131" s="22"/>
      <c r="D131" s="22"/>
      <c r="E131" s="22"/>
      <c r="F131" s="39"/>
      <c r="G131" s="39"/>
      <c r="H131" s="39"/>
      <c r="I131" s="102"/>
      <c r="J131" s="102"/>
      <c r="K131" s="102"/>
      <c r="L131" s="102"/>
      <c r="M131" s="102"/>
      <c r="N131" s="102"/>
      <c r="O131" s="102"/>
      <c r="P131" s="102"/>
    </row>
    <row r="132" spans="1:16" x14ac:dyDescent="0.3">
      <c r="A132" s="102"/>
      <c r="B132" s="22"/>
      <c r="C132" s="22"/>
      <c r="D132" s="22"/>
      <c r="E132" s="22"/>
      <c r="F132" s="39"/>
      <c r="G132" s="39"/>
      <c r="H132" s="39"/>
      <c r="I132" s="102"/>
      <c r="J132" s="102"/>
      <c r="K132" s="102"/>
      <c r="L132" s="102"/>
      <c r="M132" s="102"/>
      <c r="N132" s="102"/>
      <c r="O132" s="102"/>
      <c r="P132" s="102"/>
    </row>
    <row r="133" spans="1:16" x14ac:dyDescent="0.3">
      <c r="A133" s="102"/>
      <c r="B133" s="22"/>
      <c r="C133" s="22"/>
      <c r="D133" s="22"/>
      <c r="E133" s="22"/>
      <c r="F133" s="39"/>
      <c r="G133" s="39"/>
      <c r="H133" s="39"/>
      <c r="I133" s="23"/>
      <c r="J133" s="23"/>
      <c r="K133" s="23"/>
      <c r="L133" s="23"/>
      <c r="M133" s="23"/>
      <c r="N133" s="23"/>
      <c r="O133" s="23"/>
      <c r="P133" s="23"/>
    </row>
    <row r="134" spans="1:16" x14ac:dyDescent="0.3">
      <c r="A134" s="24"/>
      <c r="B134" s="24"/>
      <c r="C134" s="24"/>
      <c r="D134" s="24"/>
      <c r="E134" s="24"/>
      <c r="F134" s="40"/>
      <c r="G134" s="40"/>
      <c r="H134" s="40"/>
    </row>
    <row r="135" spans="1:16" x14ac:dyDescent="0.3">
      <c r="A135" s="25"/>
      <c r="B135" s="25"/>
      <c r="C135" s="25"/>
      <c r="D135" s="25"/>
      <c r="E135" s="25"/>
    </row>
    <row r="136" spans="1:16" x14ac:dyDescent="0.3">
      <c r="A136" s="101"/>
      <c r="B136" s="26"/>
      <c r="C136" s="26"/>
      <c r="D136" s="26"/>
      <c r="E136" s="26"/>
      <c r="F136" s="41"/>
      <c r="G136" s="41"/>
      <c r="H136" s="41"/>
      <c r="I136" s="100"/>
      <c r="J136" s="100"/>
      <c r="K136" s="100"/>
      <c r="L136" s="100"/>
      <c r="M136" s="100"/>
      <c r="N136" s="100"/>
      <c r="O136" s="100"/>
      <c r="P136" s="100"/>
    </row>
    <row r="137" spans="1:16" x14ac:dyDescent="0.3">
      <c r="A137" s="101"/>
      <c r="B137" s="26"/>
      <c r="C137" s="26"/>
      <c r="D137" s="26"/>
      <c r="E137" s="26"/>
      <c r="F137" s="41"/>
      <c r="G137" s="41"/>
      <c r="H137" s="41"/>
      <c r="I137" s="100"/>
      <c r="J137" s="100"/>
      <c r="K137" s="100"/>
      <c r="L137" s="100"/>
      <c r="M137" s="100"/>
      <c r="N137" s="100"/>
      <c r="O137" s="100"/>
      <c r="P137" s="100"/>
    </row>
    <row r="138" spans="1:16" x14ac:dyDescent="0.3">
      <c r="A138" s="101"/>
      <c r="B138" s="26"/>
      <c r="C138" s="26"/>
      <c r="D138" s="26"/>
      <c r="E138" s="26"/>
      <c r="F138" s="41"/>
      <c r="G138" s="41"/>
      <c r="H138" s="41"/>
      <c r="I138" s="100"/>
      <c r="J138" s="100"/>
      <c r="K138" s="100"/>
      <c r="L138" s="100"/>
      <c r="M138" s="100"/>
      <c r="N138" s="100"/>
      <c r="O138" s="100"/>
      <c r="P138" s="100"/>
    </row>
    <row r="139" spans="1:16" x14ac:dyDescent="0.3">
      <c r="A139" s="25"/>
      <c r="B139" s="25"/>
      <c r="C139" s="25"/>
      <c r="D139" s="25"/>
      <c r="E139" s="25"/>
      <c r="M139" s="8"/>
      <c r="N139" s="8"/>
    </row>
    <row r="140" spans="1:16" x14ac:dyDescent="0.3">
      <c r="A140" s="25"/>
      <c r="B140" s="25"/>
      <c r="C140" s="25"/>
      <c r="D140" s="25"/>
      <c r="E140" s="25"/>
      <c r="M140" s="8"/>
      <c r="N140" s="8"/>
    </row>
    <row r="141" spans="1:16" x14ac:dyDescent="0.3">
      <c r="A141" s="25"/>
      <c r="B141" s="25"/>
      <c r="C141" s="25"/>
      <c r="D141" s="25"/>
      <c r="E141" s="25"/>
      <c r="M141" s="8"/>
      <c r="N141" s="8"/>
    </row>
    <row r="142" spans="1:16" x14ac:dyDescent="0.3">
      <c r="A142" s="25"/>
      <c r="B142" s="25"/>
      <c r="C142" s="25"/>
      <c r="D142" s="25"/>
      <c r="E142" s="25"/>
      <c r="M142" s="8"/>
      <c r="N142" s="8"/>
    </row>
    <row r="143" spans="1:16" x14ac:dyDescent="0.3">
      <c r="A143" s="25"/>
      <c r="B143" s="25"/>
      <c r="C143" s="25"/>
      <c r="D143" s="25"/>
      <c r="E143" s="25"/>
      <c r="M143" s="8"/>
      <c r="N143" s="8"/>
    </row>
    <row r="144" spans="1:16" x14ac:dyDescent="0.3">
      <c r="A144" s="25"/>
      <c r="B144" s="25"/>
      <c r="C144" s="25"/>
      <c r="D144" s="25"/>
      <c r="E144" s="25"/>
      <c r="M144" s="8"/>
      <c r="N144" s="8"/>
    </row>
    <row r="145" spans="1:14" x14ac:dyDescent="0.3">
      <c r="A145" s="101"/>
      <c r="B145" s="26"/>
      <c r="C145" s="26"/>
      <c r="D145" s="26"/>
      <c r="E145" s="26"/>
      <c r="F145" s="41"/>
      <c r="G145" s="41"/>
      <c r="H145" s="41"/>
    </row>
    <row r="146" spans="1:14" x14ac:dyDescent="0.3">
      <c r="A146" s="101"/>
      <c r="B146" s="26"/>
      <c r="C146" s="26"/>
      <c r="D146" s="26"/>
      <c r="E146" s="26"/>
      <c r="F146" s="41"/>
      <c r="G146" s="41"/>
      <c r="H146" s="41"/>
    </row>
    <row r="147" spans="1:14" x14ac:dyDescent="0.3">
      <c r="A147" s="25"/>
      <c r="B147" s="25"/>
      <c r="C147" s="25"/>
      <c r="D147" s="25"/>
      <c r="E147" s="25"/>
      <c r="M147" s="8"/>
      <c r="N147" s="8"/>
    </row>
    <row r="148" spans="1:14" x14ac:dyDescent="0.3">
      <c r="A148" s="25"/>
      <c r="B148" s="25"/>
      <c r="C148" s="25"/>
      <c r="D148" s="25"/>
      <c r="E148" s="25"/>
      <c r="M148" s="8"/>
      <c r="N148" s="8"/>
    </row>
    <row r="149" spans="1:14" x14ac:dyDescent="0.3">
      <c r="A149" s="25"/>
      <c r="B149" s="25"/>
      <c r="C149" s="25"/>
      <c r="D149" s="25"/>
      <c r="E149" s="25"/>
      <c r="M149" s="8"/>
      <c r="N149" s="8"/>
    </row>
    <row r="150" spans="1:14" x14ac:dyDescent="0.3">
      <c r="A150" s="25"/>
      <c r="B150" s="25"/>
      <c r="C150" s="25"/>
      <c r="D150" s="25"/>
      <c r="E150" s="25"/>
      <c r="M150" s="8"/>
      <c r="N150" s="8"/>
    </row>
    <row r="151" spans="1:14" x14ac:dyDescent="0.3">
      <c r="A151" s="25"/>
      <c r="B151" s="25"/>
      <c r="C151" s="25"/>
      <c r="D151" s="25"/>
      <c r="E151" s="25"/>
      <c r="M151" s="8"/>
      <c r="N151" s="8"/>
    </row>
    <row r="152" spans="1:14" x14ac:dyDescent="0.3">
      <c r="A152" s="25"/>
      <c r="B152" s="25"/>
      <c r="C152" s="25"/>
      <c r="D152" s="25"/>
      <c r="E152" s="25"/>
      <c r="M152" s="8"/>
      <c r="N152" s="8"/>
    </row>
    <row r="153" spans="1:14" x14ac:dyDescent="0.3">
      <c r="A153" s="25"/>
      <c r="B153" s="25"/>
      <c r="C153" s="25"/>
      <c r="D153" s="25"/>
      <c r="E153" s="25"/>
      <c r="M153" s="8"/>
      <c r="N153" s="8"/>
    </row>
    <row r="154" spans="1:14" x14ac:dyDescent="0.3">
      <c r="A154" s="25"/>
      <c r="B154" s="25"/>
      <c r="C154" s="25"/>
      <c r="D154" s="25"/>
      <c r="E154" s="25"/>
      <c r="M154" s="8"/>
      <c r="N154" s="8"/>
    </row>
    <row r="155" spans="1:14" x14ac:dyDescent="0.3">
      <c r="A155" s="25"/>
      <c r="B155" s="25"/>
      <c r="C155" s="25"/>
      <c r="D155" s="25"/>
      <c r="E155" s="25"/>
      <c r="M155" s="8"/>
      <c r="N155" s="8"/>
    </row>
    <row r="156" spans="1:14" x14ac:dyDescent="0.3">
      <c r="A156" s="25"/>
      <c r="B156" s="25"/>
      <c r="C156" s="25"/>
      <c r="D156" s="25"/>
      <c r="E156" s="25"/>
      <c r="M156" s="8"/>
      <c r="N156" s="8"/>
    </row>
    <row r="157" spans="1:14" x14ac:dyDescent="0.3">
      <c r="A157" s="25"/>
      <c r="B157" s="25"/>
      <c r="C157" s="25"/>
      <c r="D157" s="25"/>
      <c r="E157" s="25"/>
      <c r="M157" s="8"/>
      <c r="N157" s="8"/>
    </row>
    <row r="158" spans="1:14" x14ac:dyDescent="0.3">
      <c r="A158" s="106"/>
      <c r="B158" s="27"/>
      <c r="C158" s="27"/>
      <c r="D158" s="27"/>
      <c r="E158" s="27"/>
      <c r="F158" s="42"/>
      <c r="G158" s="42"/>
      <c r="H158" s="42"/>
    </row>
    <row r="159" spans="1:14" x14ac:dyDescent="0.3">
      <c r="A159" s="106"/>
      <c r="B159" s="27"/>
      <c r="C159" s="27"/>
      <c r="D159" s="27"/>
      <c r="E159" s="27"/>
      <c r="F159" s="42"/>
      <c r="G159" s="42"/>
      <c r="H159" s="42"/>
    </row>
    <row r="160" spans="1:14" x14ac:dyDescent="0.3">
      <c r="A160" s="25"/>
      <c r="B160" s="25"/>
      <c r="C160" s="25"/>
      <c r="D160" s="25"/>
      <c r="E160" s="25"/>
      <c r="M160" s="8"/>
      <c r="N160" s="8"/>
    </row>
    <row r="161" spans="1:14" x14ac:dyDescent="0.3">
      <c r="A161" s="25"/>
      <c r="B161" s="25"/>
      <c r="C161" s="25"/>
      <c r="D161" s="25"/>
      <c r="E161" s="25"/>
      <c r="M161" s="8"/>
      <c r="N161" s="8"/>
    </row>
    <row r="162" spans="1:14" x14ac:dyDescent="0.3">
      <c r="A162" s="25"/>
      <c r="B162" s="25"/>
      <c r="C162" s="25"/>
      <c r="D162" s="25"/>
      <c r="E162" s="25"/>
      <c r="M162" s="8"/>
      <c r="N162" s="8"/>
    </row>
    <row r="163" spans="1:14" x14ac:dyDescent="0.3">
      <c r="A163" s="25"/>
      <c r="B163" s="25"/>
      <c r="C163" s="25"/>
      <c r="D163" s="25"/>
      <c r="E163" s="25"/>
      <c r="M163" s="8"/>
      <c r="N163" s="8"/>
    </row>
    <row r="164" spans="1:14" x14ac:dyDescent="0.3">
      <c r="A164" s="106"/>
      <c r="B164" s="27"/>
      <c r="C164" s="27"/>
      <c r="D164" s="27"/>
      <c r="E164" s="27"/>
      <c r="F164" s="42"/>
      <c r="G164" s="42"/>
      <c r="H164" s="42"/>
    </row>
    <row r="165" spans="1:14" x14ac:dyDescent="0.3">
      <c r="A165" s="106"/>
      <c r="B165" s="27"/>
      <c r="C165" s="27"/>
      <c r="D165" s="27"/>
      <c r="E165" s="27"/>
      <c r="F165" s="42"/>
      <c r="G165" s="42"/>
      <c r="H165" s="42"/>
    </row>
    <row r="166" spans="1:14" x14ac:dyDescent="0.3">
      <c r="A166" s="25"/>
      <c r="B166" s="25"/>
      <c r="C166" s="25"/>
      <c r="D166" s="25"/>
      <c r="E166" s="25"/>
      <c r="M166" s="8"/>
      <c r="N166" s="8"/>
    </row>
    <row r="167" spans="1:14" x14ac:dyDescent="0.3">
      <c r="A167" s="25"/>
      <c r="B167" s="25"/>
      <c r="C167" s="25"/>
      <c r="D167" s="25"/>
      <c r="E167" s="25"/>
      <c r="M167" s="8"/>
      <c r="N167" s="8"/>
    </row>
    <row r="168" spans="1:14" x14ac:dyDescent="0.3">
      <c r="A168" s="25"/>
      <c r="B168" s="25"/>
      <c r="C168" s="25"/>
      <c r="D168" s="25"/>
      <c r="E168" s="25"/>
      <c r="M168" s="8"/>
      <c r="N168" s="8"/>
    </row>
    <row r="169" spans="1:14" x14ac:dyDescent="0.3">
      <c r="A169" s="25"/>
      <c r="B169" s="25"/>
      <c r="C169" s="25"/>
      <c r="D169" s="25"/>
      <c r="E169" s="25"/>
      <c r="M169" s="8"/>
      <c r="N169" s="8"/>
    </row>
    <row r="170" spans="1:14" x14ac:dyDescent="0.3">
      <c r="A170" s="25"/>
      <c r="B170" s="25"/>
      <c r="C170" s="25"/>
      <c r="D170" s="25"/>
      <c r="E170" s="25"/>
      <c r="M170" s="8"/>
      <c r="N170" s="8"/>
    </row>
    <row r="171" spans="1:14" x14ac:dyDescent="0.3">
      <c r="A171" s="106"/>
      <c r="B171" s="27"/>
      <c r="C171" s="27"/>
      <c r="D171" s="27"/>
      <c r="E171" s="27"/>
      <c r="F171" s="42"/>
      <c r="G171" s="42"/>
      <c r="H171" s="42"/>
    </row>
    <row r="172" spans="1:14" x14ac:dyDescent="0.3">
      <c r="A172" s="106"/>
      <c r="B172" s="27"/>
      <c r="C172" s="27"/>
      <c r="D172" s="27"/>
      <c r="E172" s="27"/>
      <c r="F172" s="42"/>
      <c r="G172" s="42"/>
      <c r="H172" s="42"/>
    </row>
    <row r="173" spans="1:14" x14ac:dyDescent="0.3">
      <c r="A173" s="25"/>
      <c r="B173" s="25"/>
      <c r="C173" s="25"/>
      <c r="D173" s="25"/>
      <c r="E173" s="25"/>
      <c r="M173" s="8"/>
      <c r="N173" s="8"/>
    </row>
    <row r="174" spans="1:14" x14ac:dyDescent="0.3">
      <c r="A174" s="25"/>
      <c r="B174" s="25"/>
      <c r="C174" s="25"/>
      <c r="D174" s="25"/>
      <c r="E174" s="25"/>
      <c r="M174" s="8"/>
      <c r="N174" s="8"/>
    </row>
    <row r="175" spans="1:14" x14ac:dyDescent="0.3">
      <c r="A175" s="25"/>
      <c r="B175" s="25"/>
      <c r="C175" s="25"/>
      <c r="D175" s="25"/>
      <c r="E175" s="25"/>
      <c r="M175" s="8"/>
      <c r="N175" s="8"/>
    </row>
    <row r="176" spans="1:14" x14ac:dyDescent="0.3">
      <c r="A176" s="25"/>
      <c r="B176" s="25"/>
      <c r="C176" s="25"/>
      <c r="D176" s="25"/>
      <c r="E176" s="25"/>
      <c r="M176" s="8"/>
      <c r="N176" s="8"/>
    </row>
    <row r="177" spans="1:14" x14ac:dyDescent="0.3">
      <c r="A177" s="25"/>
      <c r="B177" s="25"/>
      <c r="C177" s="25"/>
      <c r="D177" s="25"/>
      <c r="E177" s="25"/>
      <c r="M177" s="8"/>
      <c r="N177" s="8"/>
    </row>
    <row r="178" spans="1:14" x14ac:dyDescent="0.3">
      <c r="A178" s="106"/>
      <c r="B178" s="27"/>
      <c r="C178" s="27"/>
      <c r="D178" s="27"/>
      <c r="E178" s="27"/>
      <c r="F178" s="42"/>
      <c r="G178" s="42"/>
      <c r="H178" s="42"/>
    </row>
    <row r="179" spans="1:14" x14ac:dyDescent="0.3">
      <c r="A179" s="106"/>
      <c r="B179" s="27"/>
      <c r="C179" s="27"/>
      <c r="D179" s="27"/>
      <c r="E179" s="27"/>
      <c r="F179" s="42"/>
      <c r="G179" s="42"/>
      <c r="H179" s="42"/>
    </row>
    <row r="180" spans="1:14" x14ac:dyDescent="0.3">
      <c r="A180" s="25"/>
      <c r="B180" s="25"/>
      <c r="C180" s="25"/>
      <c r="D180" s="25"/>
      <c r="E180" s="25"/>
      <c r="M180" s="8"/>
      <c r="N180" s="8"/>
    </row>
    <row r="181" spans="1:14" x14ac:dyDescent="0.3">
      <c r="A181" s="25"/>
      <c r="B181" s="25"/>
      <c r="C181" s="25"/>
      <c r="D181" s="25"/>
      <c r="E181" s="25"/>
      <c r="M181" s="8"/>
      <c r="N181" s="8"/>
    </row>
    <row r="182" spans="1:14" x14ac:dyDescent="0.3">
      <c r="A182" s="25"/>
      <c r="B182" s="25"/>
      <c r="C182" s="25"/>
      <c r="D182" s="25"/>
      <c r="E182" s="25"/>
      <c r="M182" s="8"/>
      <c r="N182" s="8"/>
    </row>
    <row r="183" spans="1:14" x14ac:dyDescent="0.3">
      <c r="A183" s="25"/>
      <c r="B183" s="25"/>
      <c r="C183" s="25"/>
      <c r="D183" s="25"/>
      <c r="E183" s="25"/>
      <c r="M183" s="8"/>
      <c r="N183" s="8"/>
    </row>
    <row r="184" spans="1:14" x14ac:dyDescent="0.3">
      <c r="A184" s="25"/>
      <c r="B184" s="25"/>
      <c r="C184" s="25"/>
      <c r="D184" s="25"/>
      <c r="E184" s="25"/>
      <c r="M184" s="8"/>
      <c r="N184" s="8"/>
    </row>
    <row r="185" spans="1:14" x14ac:dyDescent="0.3">
      <c r="A185" s="106"/>
      <c r="B185" s="27"/>
      <c r="C185" s="27"/>
      <c r="D185" s="27"/>
      <c r="E185" s="27"/>
      <c r="F185" s="42"/>
      <c r="G185" s="42"/>
      <c r="H185" s="42"/>
    </row>
    <row r="186" spans="1:14" x14ac:dyDescent="0.3">
      <c r="A186" s="106"/>
      <c r="B186" s="27"/>
      <c r="C186" s="27"/>
      <c r="D186" s="27"/>
      <c r="E186" s="27"/>
      <c r="F186" s="42"/>
      <c r="G186" s="42"/>
      <c r="H186" s="42"/>
    </row>
    <row r="187" spans="1:14" x14ac:dyDescent="0.3">
      <c r="A187" s="25"/>
      <c r="B187" s="25"/>
      <c r="C187" s="25"/>
      <c r="D187" s="25"/>
      <c r="E187" s="25"/>
      <c r="M187" s="8"/>
      <c r="N187" s="8"/>
    </row>
    <row r="188" spans="1:14" x14ac:dyDescent="0.3">
      <c r="A188" s="25"/>
      <c r="B188" s="25"/>
      <c r="C188" s="25"/>
      <c r="D188" s="25"/>
      <c r="E188" s="25"/>
      <c r="M188" s="8"/>
      <c r="N188" s="8"/>
    </row>
    <row r="189" spans="1:14" x14ac:dyDescent="0.3">
      <c r="A189" s="25"/>
      <c r="B189" s="25"/>
      <c r="C189" s="25"/>
      <c r="D189" s="25"/>
      <c r="E189" s="25"/>
      <c r="M189" s="8"/>
      <c r="N189" s="8"/>
    </row>
    <row r="190" spans="1:14" x14ac:dyDescent="0.3">
      <c r="A190" s="106"/>
      <c r="B190" s="27"/>
      <c r="C190" s="27"/>
      <c r="D190" s="27"/>
      <c r="E190" s="27"/>
      <c r="F190" s="42"/>
      <c r="G190" s="42"/>
      <c r="H190" s="42"/>
    </row>
    <row r="191" spans="1:14" x14ac:dyDescent="0.3">
      <c r="A191" s="106"/>
      <c r="B191" s="27"/>
      <c r="C191" s="27"/>
      <c r="D191" s="27"/>
      <c r="E191" s="27"/>
      <c r="F191" s="42"/>
      <c r="G191" s="42"/>
      <c r="H191" s="42"/>
    </row>
    <row r="192" spans="1:14" x14ac:dyDescent="0.3">
      <c r="A192" s="25"/>
      <c r="B192" s="25"/>
      <c r="C192" s="25"/>
      <c r="D192" s="25"/>
      <c r="E192" s="25"/>
      <c r="M192" s="8"/>
      <c r="N192" s="8"/>
    </row>
    <row r="193" spans="1:14" x14ac:dyDescent="0.3">
      <c r="A193" s="25"/>
      <c r="B193" s="25"/>
      <c r="C193" s="25"/>
      <c r="D193" s="25"/>
      <c r="E193" s="25"/>
      <c r="M193" s="8"/>
      <c r="N193" s="8"/>
    </row>
    <row r="194" spans="1:14" x14ac:dyDescent="0.3">
      <c r="A194" s="25"/>
      <c r="B194" s="25"/>
      <c r="C194" s="25"/>
      <c r="D194" s="25"/>
      <c r="E194" s="25"/>
      <c r="M194" s="8"/>
      <c r="N194" s="8"/>
    </row>
    <row r="195" spans="1:14" x14ac:dyDescent="0.3">
      <c r="A195" s="25"/>
      <c r="B195" s="25"/>
      <c r="C195" s="25"/>
      <c r="D195" s="25"/>
      <c r="E195" s="25"/>
      <c r="M195" s="8"/>
      <c r="N195" s="8"/>
    </row>
    <row r="196" spans="1:14" x14ac:dyDescent="0.3">
      <c r="A196" s="25"/>
      <c r="B196" s="25"/>
      <c r="C196" s="25"/>
      <c r="D196" s="25"/>
      <c r="E196" s="25"/>
      <c r="M196" s="8"/>
      <c r="N196" s="8"/>
    </row>
    <row r="197" spans="1:14" x14ac:dyDescent="0.3">
      <c r="A197" s="106"/>
      <c r="B197" s="27"/>
      <c r="C197" s="27"/>
      <c r="D197" s="27"/>
      <c r="E197" s="27"/>
      <c r="F197" s="42"/>
      <c r="G197" s="42"/>
      <c r="H197" s="42"/>
    </row>
    <row r="198" spans="1:14" x14ac:dyDescent="0.3">
      <c r="A198" s="106"/>
      <c r="B198" s="27"/>
      <c r="C198" s="27"/>
      <c r="D198" s="27"/>
      <c r="E198" s="27"/>
      <c r="F198" s="42"/>
      <c r="G198" s="42"/>
      <c r="H198" s="42"/>
    </row>
    <row r="199" spans="1:14" x14ac:dyDescent="0.3">
      <c r="A199" s="25"/>
      <c r="B199" s="25"/>
      <c r="C199" s="25"/>
      <c r="D199" s="25"/>
      <c r="E199" s="25"/>
      <c r="M199" s="8"/>
      <c r="N199" s="8"/>
    </row>
    <row r="200" spans="1:14" x14ac:dyDescent="0.3">
      <c r="A200" s="25"/>
      <c r="B200" s="25"/>
      <c r="C200" s="25"/>
      <c r="D200" s="25"/>
      <c r="E200" s="25"/>
      <c r="M200" s="8"/>
      <c r="N200" s="8"/>
    </row>
    <row r="201" spans="1:14" x14ac:dyDescent="0.3">
      <c r="A201" s="25"/>
      <c r="B201" s="25"/>
      <c r="C201" s="25"/>
      <c r="D201" s="25"/>
      <c r="E201" s="25"/>
      <c r="M201" s="8"/>
      <c r="N201" s="8"/>
    </row>
    <row r="202" spans="1:14" x14ac:dyDescent="0.3">
      <c r="A202" s="25"/>
      <c r="B202" s="25"/>
      <c r="C202" s="25"/>
      <c r="D202" s="25"/>
      <c r="E202" s="25"/>
      <c r="M202" s="8"/>
      <c r="N202" s="8"/>
    </row>
    <row r="203" spans="1:14" x14ac:dyDescent="0.3">
      <c r="A203" s="25"/>
      <c r="B203" s="25"/>
      <c r="C203" s="25"/>
      <c r="D203" s="25"/>
      <c r="E203" s="25"/>
      <c r="M203" s="8"/>
      <c r="N203" s="8"/>
    </row>
    <row r="204" spans="1:14" x14ac:dyDescent="0.3">
      <c r="A204" s="25"/>
      <c r="B204" s="25"/>
      <c r="C204" s="25"/>
      <c r="D204" s="25"/>
      <c r="E204" s="25"/>
      <c r="M204" s="8"/>
      <c r="N204" s="8"/>
    </row>
    <row r="205" spans="1:14" x14ac:dyDescent="0.3">
      <c r="A205" s="25"/>
      <c r="B205" s="25"/>
      <c r="C205" s="25"/>
      <c r="D205" s="25"/>
      <c r="E205" s="25"/>
      <c r="M205" s="8"/>
      <c r="N205" s="8"/>
    </row>
    <row r="206" spans="1:14" x14ac:dyDescent="0.3">
      <c r="A206" s="25"/>
      <c r="B206" s="25"/>
      <c r="C206" s="25"/>
      <c r="D206" s="25"/>
      <c r="E206" s="25"/>
      <c r="M206" s="8"/>
      <c r="N206" s="8"/>
    </row>
    <row r="207" spans="1:14" x14ac:dyDescent="0.3">
      <c r="A207" s="106"/>
      <c r="B207" s="27"/>
      <c r="C207" s="27"/>
      <c r="D207" s="27"/>
      <c r="E207" s="27"/>
      <c r="F207" s="42"/>
      <c r="G207" s="42"/>
      <c r="H207" s="42"/>
    </row>
    <row r="208" spans="1:14" x14ac:dyDescent="0.3">
      <c r="A208" s="106"/>
      <c r="B208" s="27"/>
      <c r="C208" s="27"/>
      <c r="D208" s="27"/>
      <c r="E208" s="27"/>
      <c r="F208" s="42"/>
      <c r="G208" s="42"/>
      <c r="H208" s="42"/>
    </row>
    <row r="209" spans="1:14" x14ac:dyDescent="0.3">
      <c r="A209" s="25"/>
      <c r="B209" s="25"/>
      <c r="C209" s="25"/>
      <c r="D209" s="25"/>
      <c r="E209" s="25"/>
      <c r="M209" s="8"/>
      <c r="N209" s="8"/>
    </row>
    <row r="210" spans="1:14" x14ac:dyDescent="0.3">
      <c r="A210" s="25"/>
      <c r="B210" s="25"/>
      <c r="C210" s="25"/>
      <c r="D210" s="25"/>
      <c r="E210" s="25"/>
      <c r="M210" s="8"/>
      <c r="N210" s="8"/>
    </row>
    <row r="211" spans="1:14" x14ac:dyDescent="0.3">
      <c r="A211" s="25"/>
      <c r="B211" s="25"/>
      <c r="C211" s="25"/>
      <c r="D211" s="25"/>
      <c r="E211" s="25"/>
      <c r="M211" s="8"/>
      <c r="N211" s="8"/>
    </row>
    <row r="212" spans="1:14" x14ac:dyDescent="0.3">
      <c r="A212" s="25"/>
      <c r="B212" s="25"/>
      <c r="C212" s="25"/>
      <c r="D212" s="25"/>
      <c r="E212" s="25"/>
      <c r="M212" s="8"/>
      <c r="N212" s="8"/>
    </row>
    <row r="213" spans="1:14" x14ac:dyDescent="0.3">
      <c r="A213" s="25"/>
      <c r="B213" s="25"/>
      <c r="C213" s="25"/>
      <c r="D213" s="25"/>
      <c r="E213" s="25"/>
      <c r="M213" s="8"/>
      <c r="N213" s="8"/>
    </row>
    <row r="214" spans="1:14" x14ac:dyDescent="0.3">
      <c r="A214" s="106"/>
      <c r="B214" s="27"/>
      <c r="C214" s="27"/>
      <c r="D214" s="27"/>
      <c r="E214" s="27"/>
      <c r="F214" s="42"/>
      <c r="G214" s="42"/>
      <c r="H214" s="42"/>
    </row>
    <row r="215" spans="1:14" x14ac:dyDescent="0.3">
      <c r="A215" s="106"/>
      <c r="B215" s="27"/>
      <c r="C215" s="27"/>
      <c r="D215" s="27"/>
      <c r="E215" s="27"/>
      <c r="F215" s="42"/>
      <c r="G215" s="42"/>
      <c r="H215" s="42"/>
    </row>
    <row r="216" spans="1:14" x14ac:dyDescent="0.3">
      <c r="A216" s="25"/>
      <c r="B216" s="25"/>
      <c r="C216" s="25"/>
      <c r="D216" s="25"/>
      <c r="E216" s="25"/>
      <c r="M216" s="8"/>
      <c r="N216" s="8"/>
    </row>
    <row r="217" spans="1:14" x14ac:dyDescent="0.3">
      <c r="A217" s="25"/>
      <c r="B217" s="25"/>
      <c r="C217" s="25"/>
      <c r="D217" s="25"/>
      <c r="E217" s="25"/>
      <c r="M217" s="8"/>
      <c r="N217" s="8"/>
    </row>
    <row r="218" spans="1:14" x14ac:dyDescent="0.3">
      <c r="A218" s="25"/>
      <c r="B218" s="25"/>
      <c r="C218" s="25"/>
      <c r="D218" s="25"/>
      <c r="E218" s="25"/>
      <c r="M218" s="8"/>
      <c r="N218" s="8"/>
    </row>
    <row r="219" spans="1:14" x14ac:dyDescent="0.3">
      <c r="A219" s="25"/>
      <c r="B219" s="25"/>
      <c r="C219" s="25"/>
      <c r="D219" s="25"/>
      <c r="E219" s="25"/>
      <c r="M219" s="8"/>
      <c r="N219" s="8"/>
    </row>
    <row r="220" spans="1:14" x14ac:dyDescent="0.3">
      <c r="A220" s="25"/>
      <c r="B220" s="25"/>
      <c r="C220" s="25"/>
      <c r="D220" s="25"/>
      <c r="E220" s="25"/>
      <c r="M220" s="8"/>
      <c r="N220" s="8"/>
    </row>
    <row r="221" spans="1:14" x14ac:dyDescent="0.3">
      <c r="A221" s="25"/>
      <c r="B221" s="25"/>
      <c r="C221" s="25"/>
      <c r="D221" s="25"/>
      <c r="E221" s="25"/>
      <c r="M221" s="8"/>
      <c r="N221" s="8"/>
    </row>
    <row r="222" spans="1:14" x14ac:dyDescent="0.3">
      <c r="A222" s="25"/>
      <c r="B222" s="25"/>
      <c r="C222" s="25"/>
      <c r="D222" s="25"/>
      <c r="E222" s="25"/>
      <c r="M222" s="8"/>
      <c r="N222" s="8"/>
    </row>
    <row r="223" spans="1:14" x14ac:dyDescent="0.3">
      <c r="A223" s="25"/>
      <c r="B223" s="25"/>
      <c r="C223" s="25"/>
      <c r="D223" s="25"/>
      <c r="E223" s="25"/>
      <c r="M223" s="8"/>
      <c r="N223" s="8"/>
    </row>
    <row r="224" spans="1:14" x14ac:dyDescent="0.3">
      <c r="A224" s="25"/>
      <c r="B224" s="25"/>
      <c r="C224" s="25"/>
      <c r="D224" s="25"/>
      <c r="E224" s="25"/>
      <c r="M224" s="8"/>
      <c r="N224" s="8"/>
    </row>
    <row r="225" spans="1:14" x14ac:dyDescent="0.3">
      <c r="A225" s="25"/>
      <c r="B225" s="25"/>
      <c r="C225" s="25"/>
      <c r="D225" s="25"/>
      <c r="E225" s="25"/>
      <c r="M225" s="8"/>
      <c r="N225" s="8"/>
    </row>
    <row r="226" spans="1:14" x14ac:dyDescent="0.3">
      <c r="A226" s="25"/>
      <c r="B226" s="25"/>
      <c r="C226" s="25"/>
      <c r="D226" s="25"/>
      <c r="E226" s="25"/>
      <c r="M226" s="8"/>
      <c r="N226" s="8"/>
    </row>
    <row r="227" spans="1:14" x14ac:dyDescent="0.3">
      <c r="A227" s="25"/>
      <c r="B227" s="25"/>
      <c r="C227" s="25"/>
      <c r="D227" s="25"/>
      <c r="E227" s="25"/>
      <c r="M227" s="8"/>
      <c r="N227" s="8"/>
    </row>
    <row r="228" spans="1:14" x14ac:dyDescent="0.3">
      <c r="A228" s="25"/>
      <c r="B228" s="25"/>
      <c r="C228" s="25"/>
      <c r="D228" s="25"/>
      <c r="E228" s="25"/>
      <c r="M228" s="8"/>
      <c r="N228" s="8"/>
    </row>
    <row r="229" spans="1:14" x14ac:dyDescent="0.3">
      <c r="A229" s="106"/>
      <c r="B229" s="27"/>
      <c r="C229" s="27"/>
      <c r="D229" s="27"/>
      <c r="E229" s="27"/>
      <c r="F229" s="42"/>
      <c r="G229" s="42"/>
      <c r="H229" s="42"/>
    </row>
    <row r="230" spans="1:14" x14ac:dyDescent="0.3">
      <c r="A230" s="106"/>
      <c r="B230" s="27"/>
      <c r="C230" s="27"/>
      <c r="D230" s="27"/>
      <c r="E230" s="27"/>
      <c r="F230" s="42"/>
      <c r="G230" s="42"/>
      <c r="H230" s="42"/>
    </row>
    <row r="231" spans="1:14" x14ac:dyDescent="0.3">
      <c r="A231" s="25"/>
      <c r="B231" s="25"/>
      <c r="C231" s="25"/>
      <c r="D231" s="25"/>
      <c r="E231" s="25"/>
      <c r="M231" s="8"/>
      <c r="N231" s="8"/>
    </row>
    <row r="232" spans="1:14" x14ac:dyDescent="0.3">
      <c r="A232" s="25"/>
      <c r="B232" s="25"/>
      <c r="C232" s="25"/>
      <c r="D232" s="25"/>
      <c r="E232" s="25"/>
      <c r="M232" s="8"/>
      <c r="N232" s="8"/>
    </row>
    <row r="233" spans="1:14" x14ac:dyDescent="0.3">
      <c r="A233" s="25"/>
      <c r="B233" s="25"/>
      <c r="C233" s="25"/>
      <c r="D233" s="25"/>
      <c r="E233" s="25"/>
      <c r="M233" s="8"/>
      <c r="N233" s="8"/>
    </row>
    <row r="234" spans="1:14" x14ac:dyDescent="0.3">
      <c r="A234" s="25"/>
      <c r="B234" s="25"/>
      <c r="C234" s="25"/>
      <c r="D234" s="25"/>
      <c r="E234" s="25"/>
      <c r="M234" s="8"/>
      <c r="N234" s="8"/>
    </row>
    <row r="235" spans="1:14" x14ac:dyDescent="0.3">
      <c r="A235" s="25"/>
      <c r="B235" s="25"/>
      <c r="C235" s="25"/>
      <c r="D235" s="25"/>
      <c r="E235" s="25"/>
    </row>
    <row r="236" spans="1:14" x14ac:dyDescent="0.3">
      <c r="A236" s="25"/>
      <c r="B236" s="25"/>
      <c r="C236" s="25"/>
      <c r="D236" s="25"/>
      <c r="E236" s="25"/>
    </row>
  </sheetData>
  <mergeCells count="282">
    <mergeCell ref="B90:B91"/>
    <mergeCell ref="B105:B106"/>
    <mergeCell ref="M6:P6"/>
    <mergeCell ref="B10:B11"/>
    <mergeCell ref="B12:B13"/>
    <mergeCell ref="B20:B21"/>
    <mergeCell ref="B34:B35"/>
    <mergeCell ref="B40:B41"/>
    <mergeCell ref="B47:B48"/>
    <mergeCell ref="B54:B55"/>
    <mergeCell ref="B61:B62"/>
    <mergeCell ref="C7:C8"/>
    <mergeCell ref="D7:D8"/>
    <mergeCell ref="E7:E8"/>
    <mergeCell ref="B7:B8"/>
    <mergeCell ref="O83:O84"/>
    <mergeCell ref="P83:P84"/>
    <mergeCell ref="E90:E91"/>
    <mergeCell ref="F83:F84"/>
    <mergeCell ref="G83:G84"/>
    <mergeCell ref="F90:F91"/>
    <mergeCell ref="C73:C74"/>
    <mergeCell ref="C66:C67"/>
    <mergeCell ref="F73:F74"/>
    <mergeCell ref="G73:G74"/>
    <mergeCell ref="H66:H67"/>
    <mergeCell ref="H73:H74"/>
    <mergeCell ref="B66:B67"/>
    <mergeCell ref="B73:B74"/>
    <mergeCell ref="B83:B84"/>
    <mergeCell ref="I6:L6"/>
    <mergeCell ref="D73:D74"/>
    <mergeCell ref="D83:D84"/>
    <mergeCell ref="D90:D91"/>
    <mergeCell ref="D105:D106"/>
    <mergeCell ref="D10:D11"/>
    <mergeCell ref="D12:D13"/>
    <mergeCell ref="D20:D21"/>
    <mergeCell ref="D34:D35"/>
    <mergeCell ref="D40:D41"/>
    <mergeCell ref="D47:D48"/>
    <mergeCell ref="D54:D55"/>
    <mergeCell ref="D61:D62"/>
    <mergeCell ref="D66:D67"/>
    <mergeCell ref="K10:K11"/>
    <mergeCell ref="L10:L11"/>
    <mergeCell ref="N111:S111"/>
    <mergeCell ref="P20:P21"/>
    <mergeCell ref="C34:C35"/>
    <mergeCell ref="C10:C11"/>
    <mergeCell ref="I10:I11"/>
    <mergeCell ref="J10:J11"/>
    <mergeCell ref="E61:E62"/>
    <mergeCell ref="F61:F62"/>
    <mergeCell ref="G61:G62"/>
    <mergeCell ref="F66:F67"/>
    <mergeCell ref="G66:G67"/>
    <mergeCell ref="M105:M106"/>
    <mergeCell ref="N105:N106"/>
    <mergeCell ref="O105:O106"/>
    <mergeCell ref="Q105:S106"/>
    <mergeCell ref="P105:P106"/>
    <mergeCell ref="P90:P91"/>
    <mergeCell ref="Q90:S91"/>
    <mergeCell ref="C83:C84"/>
    <mergeCell ref="I83:I84"/>
    <mergeCell ref="J83:J84"/>
    <mergeCell ref="K83:K84"/>
    <mergeCell ref="L83:L84"/>
    <mergeCell ref="E83:E84"/>
    <mergeCell ref="A12:A13"/>
    <mergeCell ref="N40:N41"/>
    <mergeCell ref="O40:O41"/>
    <mergeCell ref="P40:P41"/>
    <mergeCell ref="E40:E41"/>
    <mergeCell ref="J40:J41"/>
    <mergeCell ref="K40:K41"/>
    <mergeCell ref="L40:L41"/>
    <mergeCell ref="M40:M41"/>
    <mergeCell ref="J12:J13"/>
    <mergeCell ref="O20:O21"/>
    <mergeCell ref="K12:K13"/>
    <mergeCell ref="L12:L13"/>
    <mergeCell ref="M12:M13"/>
    <mergeCell ref="I40:I41"/>
    <mergeCell ref="C40:C41"/>
    <mergeCell ref="F40:F41"/>
    <mergeCell ref="G40:G41"/>
    <mergeCell ref="H40:H41"/>
    <mergeCell ref="A207:A208"/>
    <mergeCell ref="C105:C106"/>
    <mergeCell ref="A214:A215"/>
    <mergeCell ref="A229:A230"/>
    <mergeCell ref="A185:A186"/>
    <mergeCell ref="A190:A191"/>
    <mergeCell ref="A197:A198"/>
    <mergeCell ref="A171:A172"/>
    <mergeCell ref="A178:A179"/>
    <mergeCell ref="A158:A159"/>
    <mergeCell ref="A164:A165"/>
    <mergeCell ref="A115:L115"/>
    <mergeCell ref="F105:F106"/>
    <mergeCell ref="G105:G106"/>
    <mergeCell ref="H105:H106"/>
    <mergeCell ref="L105:L106"/>
    <mergeCell ref="M130:N132"/>
    <mergeCell ref="O130:P132"/>
    <mergeCell ref="I132:J132"/>
    <mergeCell ref="K132:L132"/>
    <mergeCell ref="O66:O67"/>
    <mergeCell ref="P66:P67"/>
    <mergeCell ref="O47:O48"/>
    <mergeCell ref="P47:P48"/>
    <mergeCell ref="P54:P55"/>
    <mergeCell ref="A126:M128"/>
    <mergeCell ref="N126:P128"/>
    <mergeCell ref="M129:P129"/>
    <mergeCell ref="A130:A133"/>
    <mergeCell ref="I130:L131"/>
    <mergeCell ref="A83:A84"/>
    <mergeCell ref="J105:J106"/>
    <mergeCell ref="K105:K106"/>
    <mergeCell ref="P73:P74"/>
    <mergeCell ref="N90:N91"/>
    <mergeCell ref="M83:M84"/>
    <mergeCell ref="N83:N84"/>
    <mergeCell ref="K90:K91"/>
    <mergeCell ref="L90:L91"/>
    <mergeCell ref="M90:M91"/>
    <mergeCell ref="N136:N138"/>
    <mergeCell ref="O136:O138"/>
    <mergeCell ref="A145:A146"/>
    <mergeCell ref="M136:M138"/>
    <mergeCell ref="I136:I138"/>
    <mergeCell ref="J136:J138"/>
    <mergeCell ref="K136:K138"/>
    <mergeCell ref="L136:L138"/>
    <mergeCell ref="P136:P138"/>
    <mergeCell ref="A136:A138"/>
    <mergeCell ref="Q115:S115"/>
    <mergeCell ref="E105:E106"/>
    <mergeCell ref="A105:A106"/>
    <mergeCell ref="I105:I106"/>
    <mergeCell ref="A116:L116"/>
    <mergeCell ref="Q116:S116"/>
    <mergeCell ref="E34:E35"/>
    <mergeCell ref="E10:E11"/>
    <mergeCell ref="E66:E67"/>
    <mergeCell ref="E73:E74"/>
    <mergeCell ref="C12:C13"/>
    <mergeCell ref="E47:E48"/>
    <mergeCell ref="A73:A74"/>
    <mergeCell ref="A66:A67"/>
    <mergeCell ref="A61:A62"/>
    <mergeCell ref="C61:C62"/>
    <mergeCell ref="A34:A35"/>
    <mergeCell ref="C20:C21"/>
    <mergeCell ref="A20:A21"/>
    <mergeCell ref="A40:A41"/>
    <mergeCell ref="C90:C91"/>
    <mergeCell ref="Q83:S84"/>
    <mergeCell ref="A90:A91"/>
    <mergeCell ref="O90:O91"/>
    <mergeCell ref="G90:G91"/>
    <mergeCell ref="H83:H84"/>
    <mergeCell ref="H90:H91"/>
    <mergeCell ref="I90:I91"/>
    <mergeCell ref="J90:J91"/>
    <mergeCell ref="Q73:S74"/>
    <mergeCell ref="M73:M74"/>
    <mergeCell ref="N73:N74"/>
    <mergeCell ref="O73:O74"/>
    <mergeCell ref="I73:I74"/>
    <mergeCell ref="J73:J74"/>
    <mergeCell ref="K73:K74"/>
    <mergeCell ref="L73:L74"/>
    <mergeCell ref="Q61:S62"/>
    <mergeCell ref="I66:I67"/>
    <mergeCell ref="J66:J67"/>
    <mergeCell ref="K66:K67"/>
    <mergeCell ref="L66:L67"/>
    <mergeCell ref="M66:M67"/>
    <mergeCell ref="N66:N67"/>
    <mergeCell ref="I61:I62"/>
    <mergeCell ref="Q66:S67"/>
    <mergeCell ref="N61:N62"/>
    <mergeCell ref="O61:O62"/>
    <mergeCell ref="P61:P62"/>
    <mergeCell ref="J61:J62"/>
    <mergeCell ref="K61:K62"/>
    <mergeCell ref="L61:L62"/>
    <mergeCell ref="M61:M62"/>
    <mergeCell ref="Q47:S48"/>
    <mergeCell ref="A54:A55"/>
    <mergeCell ref="I54:I55"/>
    <mergeCell ref="J54:J55"/>
    <mergeCell ref="K54:K55"/>
    <mergeCell ref="L54:L55"/>
    <mergeCell ref="Q54:S55"/>
    <mergeCell ref="M54:M55"/>
    <mergeCell ref="N54:N55"/>
    <mergeCell ref="O54:O55"/>
    <mergeCell ref="C54:C55"/>
    <mergeCell ref="E54:E55"/>
    <mergeCell ref="A47:A48"/>
    <mergeCell ref="I47:I48"/>
    <mergeCell ref="J47:J48"/>
    <mergeCell ref="K47:K48"/>
    <mergeCell ref="L47:L48"/>
    <mergeCell ref="M47:M48"/>
    <mergeCell ref="N47:N48"/>
    <mergeCell ref="C47:C48"/>
    <mergeCell ref="F47:F48"/>
    <mergeCell ref="G47:G48"/>
    <mergeCell ref="F54:F55"/>
    <mergeCell ref="G54:G55"/>
    <mergeCell ref="E20:E21"/>
    <mergeCell ref="I12:I13"/>
    <mergeCell ref="Q20:S21"/>
    <mergeCell ref="I34:I35"/>
    <mergeCell ref="J34:J35"/>
    <mergeCell ref="K34:K35"/>
    <mergeCell ref="L34:L35"/>
    <mergeCell ref="Q34:S35"/>
    <mergeCell ref="M34:M35"/>
    <mergeCell ref="N34:N35"/>
    <mergeCell ref="O34:O35"/>
    <mergeCell ref="P34:P35"/>
    <mergeCell ref="Q12:S13"/>
    <mergeCell ref="N20:N21"/>
    <mergeCell ref="P12:P13"/>
    <mergeCell ref="N12:N13"/>
    <mergeCell ref="O12:O13"/>
    <mergeCell ref="E12:E13"/>
    <mergeCell ref="N4:P4"/>
    <mergeCell ref="A10:A11"/>
    <mergeCell ref="C2:O2"/>
    <mergeCell ref="C3:O3"/>
    <mergeCell ref="Q10:S11"/>
    <mergeCell ref="M10:M11"/>
    <mergeCell ref="N10:N11"/>
    <mergeCell ref="O10:O11"/>
    <mergeCell ref="P10:P11"/>
    <mergeCell ref="O7:O8"/>
    <mergeCell ref="P7:P8"/>
    <mergeCell ref="R4:S4"/>
    <mergeCell ref="I5:L5"/>
    <mergeCell ref="M5:P5"/>
    <mergeCell ref="I7:I8"/>
    <mergeCell ref="J7:J8"/>
    <mergeCell ref="K7:K8"/>
    <mergeCell ref="L7:L8"/>
    <mergeCell ref="M7:M8"/>
    <mergeCell ref="N7:N8"/>
    <mergeCell ref="F5:F8"/>
    <mergeCell ref="G5:G8"/>
    <mergeCell ref="B5:E5"/>
    <mergeCell ref="B6:E6"/>
    <mergeCell ref="H47:H48"/>
    <mergeCell ref="H54:H55"/>
    <mergeCell ref="H61:H62"/>
    <mergeCell ref="A5:A9"/>
    <mergeCell ref="Q5:S9"/>
    <mergeCell ref="F10:F11"/>
    <mergeCell ref="G10:G11"/>
    <mergeCell ref="F12:F13"/>
    <mergeCell ref="G12:G13"/>
    <mergeCell ref="F20:F21"/>
    <mergeCell ref="G20:G21"/>
    <mergeCell ref="F34:F35"/>
    <mergeCell ref="G34:G35"/>
    <mergeCell ref="H5:H8"/>
    <mergeCell ref="H10:H11"/>
    <mergeCell ref="H12:H13"/>
    <mergeCell ref="H20:H21"/>
    <mergeCell ref="H34:H35"/>
    <mergeCell ref="Q40:S41"/>
    <mergeCell ref="I20:I21"/>
    <mergeCell ref="J20:J21"/>
    <mergeCell ref="K20:K21"/>
    <mergeCell ref="L20:L21"/>
    <mergeCell ref="M20:M21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I17:I19 J12:L13 N12:P13 I22:I28 J20:L21 I30:I33 J29:L29 I36:I39 J34:L35 I42:I46 J40:L41 I49:I53 J47:L48 I56:I60 J54:L55 I63:I65 J61:L62 I68:I72 J66:L67 J73:L74 I85:I89 J83:L84 I92:I104 J90:L91 I107:I110 J105:L106 N20:P21 N29:P29 N34:P35 N40:P41 N47:P48 N54:P55 N61:P62 N66:P67 N73:P74 N83:P84 N90:P91 N105:P106" formula="1"/>
    <ignoredError sqref="E29 E40:E41 E54:E55 E83:E84 E105:E106 E90:E91 E73:E74 E61:E62 E47:E48 E34:E35 C34:C35 C47:C48 C61:C62 C73:C74 C90:C91 C105:C106 C83:C84 C54:C55 C40:C41 C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2025-06-11T08:24:07Z</dcterms:modified>
</cp:coreProperties>
</file>