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3. 2023 ΑΝΑΛΥΤΙΚΟΙ ΠΙΝΑΚΕΣ\"/>
    </mc:Choice>
  </mc:AlternateContent>
  <xr:revisionPtr revIDLastSave="0" documentId="13_ncr:1_{314BD072-263B-4630-960E-EF1EA27C7BE9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4" i="1" l="1"/>
  <c r="O89" i="1"/>
  <c r="O82" i="1"/>
  <c r="O72" i="1"/>
  <c r="O65" i="1"/>
  <c r="O60" i="1"/>
  <c r="O53" i="1"/>
  <c r="O46" i="1"/>
  <c r="O39" i="1"/>
  <c r="O33" i="1"/>
  <c r="O28" i="1"/>
  <c r="O19" i="1"/>
  <c r="O11" i="1"/>
  <c r="B11" i="1"/>
  <c r="O9" i="1" l="1"/>
  <c r="B19" i="1"/>
  <c r="C28" i="1"/>
  <c r="D28" i="1"/>
  <c r="E28" i="1"/>
  <c r="F28" i="1"/>
  <c r="G28" i="1"/>
  <c r="H28" i="1"/>
  <c r="I28" i="1"/>
  <c r="J28" i="1"/>
  <c r="K28" i="1"/>
  <c r="L28" i="1"/>
  <c r="M28" i="1"/>
  <c r="N28" i="1"/>
  <c r="P28" i="1"/>
  <c r="Q28" i="1"/>
  <c r="R28" i="1"/>
  <c r="S28" i="1"/>
  <c r="T28" i="1"/>
  <c r="U28" i="1"/>
  <c r="V28" i="1"/>
  <c r="W28" i="1"/>
  <c r="X28" i="1"/>
  <c r="Y28" i="1"/>
  <c r="Z28" i="1"/>
  <c r="AA28" i="1"/>
  <c r="B28" i="1"/>
  <c r="C19" i="1"/>
  <c r="D19" i="1"/>
  <c r="E19" i="1"/>
  <c r="F19" i="1"/>
  <c r="G19" i="1"/>
  <c r="H19" i="1"/>
  <c r="I19" i="1"/>
  <c r="J19" i="1"/>
  <c r="K19" i="1"/>
  <c r="L19" i="1"/>
  <c r="M19" i="1"/>
  <c r="N19" i="1"/>
  <c r="P19" i="1"/>
  <c r="Q19" i="1"/>
  <c r="R19" i="1"/>
  <c r="S19" i="1"/>
  <c r="T19" i="1"/>
  <c r="U19" i="1"/>
  <c r="V19" i="1"/>
  <c r="W19" i="1"/>
  <c r="X19" i="1"/>
  <c r="Y19" i="1"/>
  <c r="Z19" i="1"/>
  <c r="AA19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N104" i="1"/>
  <c r="AA89" i="1"/>
  <c r="Z89" i="1"/>
  <c r="Y89" i="1"/>
  <c r="X89" i="1"/>
  <c r="W89" i="1"/>
  <c r="V89" i="1"/>
  <c r="U89" i="1"/>
  <c r="T89" i="1"/>
  <c r="S89" i="1"/>
  <c r="R89" i="1"/>
  <c r="Q89" i="1"/>
  <c r="P89" i="1"/>
  <c r="N89" i="1"/>
  <c r="AA82" i="1"/>
  <c r="Z82" i="1"/>
  <c r="Y82" i="1"/>
  <c r="X82" i="1"/>
  <c r="W82" i="1"/>
  <c r="V82" i="1"/>
  <c r="U82" i="1"/>
  <c r="T82" i="1"/>
  <c r="S82" i="1"/>
  <c r="R82" i="1"/>
  <c r="Q82" i="1"/>
  <c r="P82" i="1"/>
  <c r="N82" i="1"/>
  <c r="AA72" i="1"/>
  <c r="Z72" i="1"/>
  <c r="Y72" i="1"/>
  <c r="X72" i="1"/>
  <c r="W72" i="1"/>
  <c r="V72" i="1"/>
  <c r="U72" i="1"/>
  <c r="T72" i="1"/>
  <c r="S72" i="1"/>
  <c r="R72" i="1"/>
  <c r="Q72" i="1"/>
  <c r="P72" i="1"/>
  <c r="N72" i="1"/>
  <c r="AA65" i="1"/>
  <c r="Z65" i="1"/>
  <c r="Y65" i="1"/>
  <c r="X65" i="1"/>
  <c r="W65" i="1"/>
  <c r="V65" i="1"/>
  <c r="U65" i="1"/>
  <c r="T65" i="1"/>
  <c r="S65" i="1"/>
  <c r="R65" i="1"/>
  <c r="Q65" i="1"/>
  <c r="P65" i="1"/>
  <c r="N65" i="1"/>
  <c r="AA60" i="1"/>
  <c r="Z60" i="1"/>
  <c r="Y60" i="1"/>
  <c r="X60" i="1"/>
  <c r="W60" i="1"/>
  <c r="V60" i="1"/>
  <c r="U60" i="1"/>
  <c r="T60" i="1"/>
  <c r="S60" i="1"/>
  <c r="R60" i="1"/>
  <c r="Q60" i="1"/>
  <c r="P60" i="1"/>
  <c r="N60" i="1"/>
  <c r="AA53" i="1"/>
  <c r="Z53" i="1"/>
  <c r="Y53" i="1"/>
  <c r="X53" i="1"/>
  <c r="W53" i="1"/>
  <c r="V53" i="1"/>
  <c r="U53" i="1"/>
  <c r="T53" i="1"/>
  <c r="S53" i="1"/>
  <c r="R53" i="1"/>
  <c r="Q53" i="1"/>
  <c r="P53" i="1"/>
  <c r="N53" i="1"/>
  <c r="AA46" i="1"/>
  <c r="Z46" i="1"/>
  <c r="Y46" i="1"/>
  <c r="X46" i="1"/>
  <c r="W46" i="1"/>
  <c r="V46" i="1"/>
  <c r="U46" i="1"/>
  <c r="T46" i="1"/>
  <c r="S46" i="1"/>
  <c r="R46" i="1"/>
  <c r="Q46" i="1"/>
  <c r="P46" i="1"/>
  <c r="N46" i="1"/>
  <c r="AA39" i="1"/>
  <c r="Z39" i="1"/>
  <c r="Y39" i="1"/>
  <c r="X39" i="1"/>
  <c r="W39" i="1"/>
  <c r="V39" i="1"/>
  <c r="U39" i="1"/>
  <c r="T39" i="1"/>
  <c r="S39" i="1"/>
  <c r="R39" i="1"/>
  <c r="Q39" i="1"/>
  <c r="P39" i="1"/>
  <c r="N39" i="1"/>
  <c r="AA33" i="1"/>
  <c r="Z33" i="1"/>
  <c r="Y33" i="1"/>
  <c r="X33" i="1"/>
  <c r="W33" i="1"/>
  <c r="V33" i="1"/>
  <c r="U33" i="1"/>
  <c r="T33" i="1"/>
  <c r="S33" i="1"/>
  <c r="R33" i="1"/>
  <c r="Q33" i="1"/>
  <c r="P33" i="1"/>
  <c r="N33" i="1"/>
  <c r="AA11" i="1"/>
  <c r="Z11" i="1"/>
  <c r="Y11" i="1"/>
  <c r="X11" i="1"/>
  <c r="W11" i="1"/>
  <c r="V11" i="1"/>
  <c r="U11" i="1"/>
  <c r="T11" i="1"/>
  <c r="S11" i="1"/>
  <c r="R11" i="1"/>
  <c r="Q11" i="1"/>
  <c r="P11" i="1"/>
  <c r="N11" i="1"/>
  <c r="G104" i="1"/>
  <c r="E104" i="1"/>
  <c r="F104" i="1"/>
  <c r="H104" i="1"/>
  <c r="I104" i="1"/>
  <c r="J104" i="1"/>
  <c r="K104" i="1"/>
  <c r="L104" i="1"/>
  <c r="M104" i="1"/>
  <c r="B104" i="1"/>
  <c r="C104" i="1"/>
  <c r="E89" i="1"/>
  <c r="F89" i="1"/>
  <c r="G89" i="1"/>
  <c r="H89" i="1"/>
  <c r="I89" i="1"/>
  <c r="J89" i="1"/>
  <c r="K89" i="1"/>
  <c r="L89" i="1"/>
  <c r="M89" i="1"/>
  <c r="B89" i="1"/>
  <c r="C89" i="1"/>
  <c r="F82" i="1"/>
  <c r="G82" i="1"/>
  <c r="H82" i="1"/>
  <c r="I82" i="1"/>
  <c r="J82" i="1"/>
  <c r="K82" i="1"/>
  <c r="L82" i="1"/>
  <c r="M82" i="1"/>
  <c r="B82" i="1"/>
  <c r="C82" i="1"/>
  <c r="D82" i="1"/>
  <c r="E82" i="1"/>
  <c r="H72" i="1"/>
  <c r="I72" i="1"/>
  <c r="J72" i="1"/>
  <c r="K72" i="1"/>
  <c r="L72" i="1"/>
  <c r="M72" i="1"/>
  <c r="B72" i="1"/>
  <c r="C72" i="1"/>
  <c r="D72" i="1"/>
  <c r="E72" i="1"/>
  <c r="F72" i="1"/>
  <c r="G72" i="1"/>
  <c r="E65" i="1"/>
  <c r="F65" i="1"/>
  <c r="G65" i="1"/>
  <c r="H65" i="1"/>
  <c r="I65" i="1"/>
  <c r="J65" i="1"/>
  <c r="K65" i="1"/>
  <c r="L65" i="1"/>
  <c r="M65" i="1"/>
  <c r="B65" i="1"/>
  <c r="C65" i="1"/>
  <c r="F60" i="1"/>
  <c r="G60" i="1"/>
  <c r="H60" i="1"/>
  <c r="I60" i="1"/>
  <c r="J60" i="1"/>
  <c r="K60" i="1"/>
  <c r="L60" i="1"/>
  <c r="M60" i="1"/>
  <c r="B60" i="1"/>
  <c r="C60" i="1"/>
  <c r="D60" i="1"/>
  <c r="F53" i="1"/>
  <c r="G53" i="1"/>
  <c r="H53" i="1"/>
  <c r="I53" i="1"/>
  <c r="J53" i="1"/>
  <c r="K53" i="1"/>
  <c r="L53" i="1"/>
  <c r="M53" i="1"/>
  <c r="B53" i="1"/>
  <c r="C53" i="1"/>
  <c r="D53" i="1"/>
  <c r="E53" i="1"/>
  <c r="F46" i="1"/>
  <c r="G46" i="1"/>
  <c r="H46" i="1"/>
  <c r="I46" i="1"/>
  <c r="J46" i="1"/>
  <c r="K46" i="1"/>
  <c r="L46" i="1"/>
  <c r="M46" i="1"/>
  <c r="B46" i="1"/>
  <c r="C46" i="1"/>
  <c r="D46" i="1"/>
  <c r="F11" i="1"/>
  <c r="G11" i="1"/>
  <c r="H11" i="1"/>
  <c r="I11" i="1"/>
  <c r="J11" i="1"/>
  <c r="K11" i="1"/>
  <c r="L11" i="1"/>
  <c r="M11" i="1"/>
  <c r="C11" i="1"/>
  <c r="D11" i="1"/>
  <c r="E11" i="1"/>
  <c r="D33" i="1"/>
  <c r="E33" i="1"/>
  <c r="F33" i="1"/>
  <c r="G33" i="1"/>
  <c r="H33" i="1"/>
  <c r="I33" i="1"/>
  <c r="J33" i="1"/>
  <c r="K33" i="1"/>
  <c r="L33" i="1"/>
  <c r="M33" i="1"/>
  <c r="B33" i="1"/>
  <c r="C33" i="1"/>
  <c r="D39" i="1"/>
  <c r="E39" i="1"/>
  <c r="F39" i="1"/>
  <c r="G39" i="1"/>
  <c r="H39" i="1"/>
  <c r="I39" i="1"/>
  <c r="J39" i="1"/>
  <c r="K39" i="1"/>
  <c r="L39" i="1"/>
  <c r="M39" i="1"/>
  <c r="C39" i="1"/>
  <c r="D104" i="1"/>
  <c r="D89" i="1"/>
  <c r="D65" i="1"/>
  <c r="E60" i="1"/>
  <c r="E46" i="1"/>
  <c r="B39" i="1"/>
  <c r="M9" i="1" l="1"/>
  <c r="I9" i="1"/>
  <c r="N9" i="1"/>
  <c r="Q9" i="1"/>
  <c r="S9" i="1"/>
  <c r="U9" i="1"/>
  <c r="W9" i="1"/>
  <c r="Y9" i="1"/>
  <c r="AA9" i="1"/>
  <c r="L9" i="1"/>
  <c r="J9" i="1"/>
  <c r="H9" i="1"/>
  <c r="F9" i="1"/>
  <c r="B9" i="1"/>
  <c r="E9" i="1"/>
  <c r="C9" i="1"/>
  <c r="D9" i="1"/>
  <c r="K9" i="1"/>
  <c r="G9" i="1"/>
  <c r="P9" i="1"/>
  <c r="R9" i="1"/>
  <c r="T9" i="1"/>
  <c r="V9" i="1"/>
  <c r="X9" i="1"/>
  <c r="Z9" i="1"/>
</calcChain>
</file>

<file path=xl/sharedStrings.xml><?xml version="1.0" encoding="utf-8"?>
<sst xmlns="http://schemas.openxmlformats.org/spreadsheetml/2006/main" count="830" uniqueCount="213">
  <si>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</si>
  <si>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</si>
  <si>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</si>
  <si>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</si>
  <si>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</si>
  <si>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</si>
  <si>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</si>
  <si>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</si>
  <si>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</si>
  <si>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</si>
  <si>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</si>
  <si>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</si>
  <si>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</si>
  <si>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</si>
  <si>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</si>
  <si>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</si>
  <si>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</si>
  <si>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</si>
  <si>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</si>
  <si>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</si>
  <si>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</si>
  <si>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</si>
  <si>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</si>
  <si>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</si>
  <si>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</si>
  <si>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</si>
  <si>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</si>
  <si>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</si>
  <si>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</si>
  <si>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</si>
  <si>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</si>
  <si>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</si>
  <si>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</si>
  <si>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</si>
  <si>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</si>
  <si>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</si>
  <si>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</si>
  <si>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</si>
  <si>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</si>
  <si>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</si>
  <si>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</si>
  <si>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</si>
  <si>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</si>
  <si>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</si>
  <si>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</si>
  <si>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</si>
  <si>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</si>
  <si>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</si>
  <si>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</si>
  <si>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</si>
  <si>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</si>
  <si>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</si>
  <si>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</si>
  <si>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</si>
  <si>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</si>
  <si>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</si>
  <si>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</si>
  <si>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</si>
  <si>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</si>
  <si>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</si>
  <si>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</si>
  <si>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</si>
  <si>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</si>
  <si>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</si>
  <si>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</si>
  <si>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</si>
  <si>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</si>
  <si>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</si>
  <si>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</si>
  <si>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</si>
  <si>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</si>
  <si>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</si>
  <si>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</si>
  <si>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</si>
  <si>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</si>
  <si>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</si>
  <si>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</si>
  <si>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</si>
  <si>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</si>
  <si>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</si>
  <si>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</si>
  <si>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</si>
  <si>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</si>
  <si>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</si>
  <si>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</si>
  <si>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</si>
  <si>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</si>
  <si>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</si>
  <si>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</si>
  <si>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</si>
  <si>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</si>
  <si>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</si>
  <si>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</si>
  <si>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</si>
  <si>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</si>
  <si>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</si>
  <si>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</si>
  <si>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</si>
  <si>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</si>
  <si>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</si>
  <si>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</si>
  <si>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</si>
  <si>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</si>
  <si>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</si>
  <si>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</si>
  <si>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</si>
  <si>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</si>
  <si>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</si>
  <si>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</si>
  <si>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</si>
  <si>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</si>
  <si>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</si>
  <si>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</si>
  <si>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</si>
  <si>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</si>
  <si>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</si>
  <si>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</si>
  <si>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</si>
  <si>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</si>
  <si>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</si>
  <si>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</si>
  <si>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</si>
  <si>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</si>
  <si>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</si>
  <si>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</si>
  <si>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</si>
  <si>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</si>
  <si>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</si>
  <si>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</si>
  <si>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</si>
  <si>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</si>
  <si>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</si>
  <si>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</si>
  <si>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</si>
  <si>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</si>
  <si>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</si>
  <si>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</si>
  <si>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</si>
  <si>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</si>
  <si>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</si>
  <si>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</si>
  <si>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</si>
  <si>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</si>
  <si>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</si>
  <si>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</si>
  <si>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</si>
  <si>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</si>
  <si>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</si>
  <si>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</si>
  <si>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</si>
  <si>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</si>
  <si>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</si>
  <si>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</si>
  <si>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</si>
  <si>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</si>
  <si>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</si>
  <si>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</si>
  <si>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</si>
  <si>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</si>
  <si>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</si>
  <si>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</si>
  <si>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</si>
  <si>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</si>
  <si>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</si>
  <si>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</si>
  <si>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</si>
  <si>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</si>
  <si>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</si>
  <si>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</si>
  <si>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</si>
  <si>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</si>
  <si>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</si>
  <si>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</si>
  <si>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</si>
  <si>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</si>
  <si>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</si>
  <si>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Region of Western Macedonia</t>
  </si>
  <si>
    <t>Περιφέρεια Δυτικής Μακεδονίας</t>
  </si>
  <si>
    <t>Βάρος σε τόννους</t>
  </si>
  <si>
    <t>Weight in tons</t>
  </si>
  <si>
    <t xml:space="preserve">Αριθμός Κεφαλών </t>
  </si>
  <si>
    <t>Heads</t>
  </si>
  <si>
    <t xml:space="preserve">Βάρος </t>
  </si>
  <si>
    <t>Weight</t>
  </si>
  <si>
    <t>Μοσχάρια κάτω του έτους</t>
  </si>
  <si>
    <t>Μοσχάρια 1 -2 ετών</t>
  </si>
  <si>
    <t>Heifers and oxen</t>
  </si>
  <si>
    <t>Δαμάλια και βόδια</t>
  </si>
  <si>
    <t>Buffaloes
less than 2 year old</t>
  </si>
  <si>
    <t>Βουβαλίδια 
μέχρι 2 ετών</t>
  </si>
  <si>
    <t>Lambs</t>
  </si>
  <si>
    <t>Ζυγούρια και πρόβατα</t>
  </si>
  <si>
    <t xml:space="preserve">Κατσίκια </t>
  </si>
  <si>
    <t>Βιτούλια και αίγες</t>
  </si>
  <si>
    <t>Piglets</t>
  </si>
  <si>
    <t>Χοιρίδια</t>
  </si>
  <si>
    <t>Pigs</t>
  </si>
  <si>
    <t>Χοίροι</t>
  </si>
  <si>
    <t>Poultry</t>
  </si>
  <si>
    <t>Πουλερικά</t>
  </si>
  <si>
    <t>Rabbits</t>
  </si>
  <si>
    <t>Κουνέλια</t>
  </si>
  <si>
    <t>Βουβάλια και βουβαλοδαμάλια</t>
  </si>
  <si>
    <t>Αρνιά</t>
  </si>
  <si>
    <t>Πίνακας 7β. Παραγωγή κρέατος κατά είδος σφάγιου, περιφέρεια και περιφερειακή ενότητα, 2023</t>
  </si>
  <si>
    <t>Table 7b. Meat production, by kind of animal, Region and Regional Unities, 2023</t>
  </si>
  <si>
    <t>Calves 
less than 1 year</t>
  </si>
  <si>
    <t>Goats 
less than 1 year</t>
  </si>
  <si>
    <t>Goats 
1 year and over</t>
  </si>
  <si>
    <t>Sheep 
1 year and over</t>
  </si>
  <si>
    <t>Calves 1 - 2 years</t>
  </si>
  <si>
    <t>Buffaloes 
2 years and over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</si>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</sst>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i/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3" fillId="0" borderId="0" xfId="0" applyNumberFormat="1" applyFont="1" applyAlignment="1">
      <alignment horizontal="left" wrapText="1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/>
    </xf>
    <xf numFmtId="49" fontId="4" fillId="0" borderId="0" xfId="0" applyNumberFormat="1" applyFont="1" applyAlignment="1" applyProtection="1">
      <alignment horizontal="left" vertical="center" wrapText="1" indent="1"/>
      <protection locked="0"/>
    </xf>
    <xf numFmtId="49" fontId="3" fillId="0" borderId="1" xfId="0" applyNumberFormat="1" applyFont="1" applyBorder="1" applyAlignment="1">
      <alignment horizontal="left" wrapText="1" indent="1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3" fontId="8" fillId="0" borderId="2" xfId="0" applyNumberFormat="1" applyFont="1" applyBorder="1" applyAlignment="1">
      <alignment horizontal="right" vertical="top" wrapText="1"/>
    </xf>
    <xf numFmtId="3" fontId="8" fillId="0" borderId="0" xfId="0" applyNumberFormat="1" applyFont="1" applyAlignment="1">
      <alignment horizontal="right" vertical="top" wrapText="1"/>
    </xf>
    <xf numFmtId="0" fontId="8" fillId="0" borderId="2" xfId="0" applyFont="1" applyBorder="1" applyAlignment="1">
      <alignment horizontal="right" vertical="top" wrapText="1"/>
    </xf>
    <xf numFmtId="3" fontId="8" fillId="0" borderId="17" xfId="0" applyNumberFormat="1" applyFont="1" applyBorder="1" applyAlignment="1">
      <alignment horizontal="right" vertical="top" wrapText="1"/>
    </xf>
    <xf numFmtId="3" fontId="8" fillId="0" borderId="21" xfId="0" applyNumberFormat="1" applyFont="1" applyBorder="1" applyAlignment="1">
      <alignment horizontal="right" vertical="top" wrapText="1"/>
    </xf>
    <xf numFmtId="0" fontId="8" fillId="0" borderId="17" xfId="0" applyFont="1" applyBorder="1" applyAlignment="1">
      <alignment horizontal="right" vertical="top" wrapText="1"/>
    </xf>
    <xf numFmtId="3" fontId="8" fillId="0" borderId="19" xfId="0" applyNumberFormat="1" applyFont="1" applyBorder="1" applyAlignment="1">
      <alignment horizontal="right" vertical="top" wrapText="1"/>
    </xf>
    <xf numFmtId="3" fontId="8" fillId="0" borderId="1" xfId="0" applyNumberFormat="1" applyFont="1" applyBorder="1" applyAlignment="1">
      <alignment horizontal="right" vertical="top" wrapText="1"/>
    </xf>
    <xf numFmtId="3" fontId="8" fillId="0" borderId="4" xfId="0" applyNumberFormat="1" applyFont="1" applyBorder="1" applyAlignment="1">
      <alignment horizontal="right" vertical="top" wrapText="1"/>
    </xf>
    <xf numFmtId="3" fontId="8" fillId="0" borderId="22" xfId="0" applyNumberFormat="1" applyFont="1" applyBorder="1" applyAlignment="1">
      <alignment horizontal="right" vertical="top" wrapText="1"/>
    </xf>
    <xf numFmtId="3" fontId="0" fillId="0" borderId="0" xfId="0" applyNumberFormat="1"/>
    <xf numFmtId="0" fontId="3" fillId="0" borderId="1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3" fontId="2" fillId="2" borderId="17" xfId="0" applyNumberFormat="1" applyFont="1" applyFill="1" applyBorder="1" applyAlignment="1">
      <alignment horizontal="right" vertical="center" wrapText="1"/>
    </xf>
    <xf numFmtId="3" fontId="2" fillId="2" borderId="2" xfId="0" applyNumberFormat="1" applyFont="1" applyFill="1" applyBorder="1" applyAlignment="1">
      <alignment horizontal="right" vertical="center" wrapText="1"/>
    </xf>
    <xf numFmtId="3" fontId="2" fillId="2" borderId="18" xfId="0" applyNumberFormat="1" applyFont="1" applyFill="1" applyBorder="1" applyAlignment="1">
      <alignment horizontal="right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right" vertical="center"/>
    </xf>
    <xf numFmtId="3" fontId="2" fillId="2" borderId="17" xfId="0" applyNumberFormat="1" applyFont="1" applyFill="1" applyBorder="1" applyAlignment="1">
      <alignment horizontal="right" vertical="center"/>
    </xf>
    <xf numFmtId="3" fontId="2" fillId="2" borderId="3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3" fontId="2" fillId="2" borderId="8" xfId="0" applyNumberFormat="1" applyFont="1" applyFill="1" applyBorder="1" applyAlignment="1">
      <alignment horizontal="right" vertical="center"/>
    </xf>
    <xf numFmtId="3" fontId="2" fillId="2" borderId="16" xfId="0" applyNumberFormat="1" applyFont="1" applyFill="1" applyBorder="1" applyAlignment="1">
      <alignment horizontal="right" vertical="center"/>
    </xf>
    <xf numFmtId="3" fontId="2" fillId="2" borderId="18" xfId="0" applyNumberFormat="1" applyFont="1" applyFill="1" applyBorder="1" applyAlignment="1">
      <alignment horizontal="right" vertical="center"/>
    </xf>
    <xf numFmtId="0" fontId="3" fillId="0" borderId="10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3" fontId="2" fillId="2" borderId="14" xfId="0" applyNumberFormat="1" applyFont="1" applyFill="1" applyBorder="1" applyAlignment="1">
      <alignment horizontal="right" vertical="center"/>
    </xf>
    <xf numFmtId="3" fontId="2" fillId="2" borderId="20" xfId="0" applyNumberFormat="1" applyFont="1" applyFill="1" applyBorder="1" applyAlignment="1">
      <alignment horizontal="right" vertical="center"/>
    </xf>
    <xf numFmtId="0" fontId="3" fillId="0" borderId="13" xfId="0" applyFont="1" applyBorder="1" applyAlignment="1">
      <alignment horizontal="center" vertical="center" wrapText="1"/>
    </xf>
    <xf numFmtId="3" fontId="2" fillId="2" borderId="18" xfId="0" applyNumberFormat="1" applyFont="1" applyFill="1" applyBorder="1" applyAlignment="1">
      <alignment vertical="center"/>
    </xf>
    <xf numFmtId="3" fontId="2" fillId="2" borderId="3" xfId="0" applyNumberFormat="1" applyFont="1" applyFill="1" applyBorder="1" applyAlignment="1">
      <alignment vertical="center"/>
    </xf>
    <xf numFmtId="3" fontId="2" fillId="2" borderId="2" xfId="0" applyNumberFormat="1" applyFont="1" applyFill="1" applyBorder="1" applyAlignment="1">
      <alignment vertical="center"/>
    </xf>
    <xf numFmtId="0" fontId="7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left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9"/>
  <sheetViews>
    <sheetView showGridLines="0" tabSelected="1" zoomScaleNormal="100" workbookViewId="0">
      <selection activeCell="P18" sqref="P18"/>
    </sheetView>
  </sheetViews>
  <sheetFormatPr defaultRowHeight="14.4" x14ac:dyDescent="0.3"/>
  <cols>
    <col min="1" max="1" width="43.109375" bestFit="1" customWidth="1"/>
    <col min="2" max="2" width="9.109375" customWidth="1"/>
    <col min="3" max="3" width="6.77734375" bestFit="1" customWidth="1"/>
    <col min="4" max="4" width="8.5546875" bestFit="1" customWidth="1"/>
    <col min="5" max="5" width="6.77734375" bestFit="1" customWidth="1"/>
    <col min="6" max="6" width="8.33203125" customWidth="1"/>
    <col min="7" max="7" width="7.5546875" customWidth="1"/>
    <col min="8" max="8" width="8.5546875" bestFit="1" customWidth="1"/>
    <col min="9" max="9" width="6.77734375" bestFit="1" customWidth="1"/>
    <col min="10" max="10" width="8.5546875" bestFit="1" customWidth="1"/>
    <col min="11" max="11" width="6.77734375" bestFit="1" customWidth="1"/>
    <col min="12" max="12" width="9.109375" bestFit="1" customWidth="1"/>
    <col min="13" max="13" width="6.77734375" bestFit="1" customWidth="1"/>
    <col min="14" max="14" width="8.5546875" bestFit="1" customWidth="1"/>
    <col min="15" max="15" width="6.77734375" bestFit="1" customWidth="1"/>
    <col min="16" max="16" width="9.109375" bestFit="1" customWidth="1"/>
    <col min="17" max="17" width="6.77734375" bestFit="1" customWidth="1"/>
    <col min="18" max="18" width="8.5546875" bestFit="1" customWidth="1"/>
    <col min="19" max="19" width="6.77734375" bestFit="1" customWidth="1"/>
    <col min="20" max="20" width="8.5546875" bestFit="1" customWidth="1"/>
    <col min="21" max="21" width="6.77734375" bestFit="1" customWidth="1"/>
    <col min="22" max="22" width="9.109375" bestFit="1" customWidth="1"/>
    <col min="23" max="23" width="6.77734375" bestFit="1" customWidth="1"/>
    <col min="24" max="24" width="11.109375" bestFit="1" customWidth="1"/>
    <col min="25" max="25" width="7.5546875" bestFit="1" customWidth="1"/>
    <col min="26" max="26" width="9.109375" bestFit="1" customWidth="1"/>
    <col min="27" max="27" width="6.77734375" bestFit="1" customWidth="1"/>
    <col min="28" max="28" width="22.33203125" bestFit="1" customWidth="1"/>
    <col min="29" max="29" width="10.88671875" customWidth="1"/>
    <col min="30" max="30" width="5.109375" bestFit="1" customWidth="1"/>
  </cols>
  <sheetData>
    <row r="1" spans="1:30" ht="19.95" customHeight="1" x14ac:dyDescent="0.3"/>
    <row r="2" spans="1:30" ht="18" x14ac:dyDescent="0.3">
      <c r="A2" s="27"/>
      <c r="B2" s="63" t="s">
        <v>204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</row>
    <row r="3" spans="1:30" ht="18.149999999999999" x14ac:dyDescent="0.3">
      <c r="B3" s="63" t="s">
        <v>205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</row>
    <row r="4" spans="1:30" ht="15" thickBot="1" x14ac:dyDescent="0.35">
      <c r="A4" s="16" t="s">
        <v>178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C4" s="62" t="s">
        <v>179</v>
      </c>
      <c r="AD4" s="62"/>
    </row>
    <row r="5" spans="1:30" ht="31.2" customHeight="1" x14ac:dyDescent="0.3">
      <c r="A5" s="53" t="s">
        <v>0</v>
      </c>
      <c r="B5" s="52" t="s">
        <v>184</v>
      </c>
      <c r="C5" s="36"/>
      <c r="D5" s="35" t="s">
        <v>185</v>
      </c>
      <c r="E5" s="36"/>
      <c r="F5" s="35" t="s">
        <v>187</v>
      </c>
      <c r="G5" s="36"/>
      <c r="H5" s="35" t="s">
        <v>189</v>
      </c>
      <c r="I5" s="36"/>
      <c r="J5" s="35" t="s">
        <v>202</v>
      </c>
      <c r="K5" s="36"/>
      <c r="L5" s="35" t="s">
        <v>203</v>
      </c>
      <c r="M5" s="36"/>
      <c r="N5" s="35" t="s">
        <v>191</v>
      </c>
      <c r="O5" s="36"/>
      <c r="P5" s="35" t="s">
        <v>192</v>
      </c>
      <c r="Q5" s="36"/>
      <c r="R5" s="35" t="s">
        <v>193</v>
      </c>
      <c r="S5" s="36"/>
      <c r="T5" s="35" t="s">
        <v>195</v>
      </c>
      <c r="U5" s="36"/>
      <c r="V5" s="35" t="s">
        <v>197</v>
      </c>
      <c r="W5" s="36"/>
      <c r="X5" s="35" t="s">
        <v>199</v>
      </c>
      <c r="Y5" s="36"/>
      <c r="Z5" s="35" t="s">
        <v>201</v>
      </c>
      <c r="AA5" s="58"/>
      <c r="AB5" s="65" t="s">
        <v>1</v>
      </c>
      <c r="AC5" s="64"/>
      <c r="AD5" s="64"/>
    </row>
    <row r="6" spans="1:30" ht="45" customHeight="1" x14ac:dyDescent="0.3">
      <c r="A6" s="54"/>
      <c r="B6" s="40" t="s">
        <v>206</v>
      </c>
      <c r="C6" s="38"/>
      <c r="D6" s="37" t="s">
        <v>210</v>
      </c>
      <c r="E6" s="38"/>
      <c r="F6" s="37" t="s">
        <v>186</v>
      </c>
      <c r="G6" s="38"/>
      <c r="H6" s="37" t="s">
        <v>188</v>
      </c>
      <c r="I6" s="38"/>
      <c r="J6" s="37" t="s">
        <v>211</v>
      </c>
      <c r="K6" s="38"/>
      <c r="L6" s="37" t="s">
        <v>190</v>
      </c>
      <c r="M6" s="38"/>
      <c r="N6" s="41" t="s">
        <v>209</v>
      </c>
      <c r="O6" s="42"/>
      <c r="P6" s="37" t="s">
        <v>207</v>
      </c>
      <c r="Q6" s="38"/>
      <c r="R6" s="37" t="s">
        <v>208</v>
      </c>
      <c r="S6" s="38"/>
      <c r="T6" s="37" t="s">
        <v>194</v>
      </c>
      <c r="U6" s="38"/>
      <c r="V6" s="37" t="s">
        <v>196</v>
      </c>
      <c r="W6" s="38"/>
      <c r="X6" s="37" t="s">
        <v>198</v>
      </c>
      <c r="Y6" s="38"/>
      <c r="Z6" s="37" t="s">
        <v>200</v>
      </c>
      <c r="AA6" s="39"/>
      <c r="AB6" s="66"/>
      <c r="AC6" s="67"/>
      <c r="AD6" s="67"/>
    </row>
    <row r="7" spans="1:30" s="6" customFormat="1" ht="43.2" x14ac:dyDescent="0.3">
      <c r="A7" s="54"/>
      <c r="B7" s="2" t="s">
        <v>180</v>
      </c>
      <c r="C7" s="3" t="s">
        <v>182</v>
      </c>
      <c r="D7" s="3" t="s">
        <v>180</v>
      </c>
      <c r="E7" s="3" t="s">
        <v>182</v>
      </c>
      <c r="F7" s="3" t="s">
        <v>180</v>
      </c>
      <c r="G7" s="3" t="s">
        <v>182</v>
      </c>
      <c r="H7" s="3" t="s">
        <v>180</v>
      </c>
      <c r="I7" s="3" t="s">
        <v>182</v>
      </c>
      <c r="J7" s="3" t="s">
        <v>180</v>
      </c>
      <c r="K7" s="3" t="s">
        <v>182</v>
      </c>
      <c r="L7" s="3" t="s">
        <v>180</v>
      </c>
      <c r="M7" s="3" t="s">
        <v>182</v>
      </c>
      <c r="N7" s="4" t="s">
        <v>180</v>
      </c>
      <c r="O7" s="3" t="s">
        <v>182</v>
      </c>
      <c r="P7" s="3" t="s">
        <v>180</v>
      </c>
      <c r="Q7" s="3" t="s">
        <v>182</v>
      </c>
      <c r="R7" s="3" t="s">
        <v>180</v>
      </c>
      <c r="S7" s="3" t="s">
        <v>182</v>
      </c>
      <c r="T7" s="3" t="s">
        <v>180</v>
      </c>
      <c r="U7" s="3" t="s">
        <v>182</v>
      </c>
      <c r="V7" s="3" t="s">
        <v>180</v>
      </c>
      <c r="W7" s="3" t="s">
        <v>182</v>
      </c>
      <c r="X7" s="3" t="s">
        <v>180</v>
      </c>
      <c r="Y7" s="3" t="s">
        <v>182</v>
      </c>
      <c r="Z7" s="3" t="s">
        <v>180</v>
      </c>
      <c r="AA7" s="5" t="s">
        <v>182</v>
      </c>
      <c r="AB7" s="66"/>
      <c r="AC7" s="67"/>
      <c r="AD7" s="67"/>
    </row>
    <row r="8" spans="1:30" s="6" customFormat="1" ht="15" thickBot="1" x14ac:dyDescent="0.35">
      <c r="A8" s="69"/>
      <c r="B8" s="28" t="s">
        <v>181</v>
      </c>
      <c r="C8" s="29" t="s">
        <v>183</v>
      </c>
      <c r="D8" s="29" t="s">
        <v>181</v>
      </c>
      <c r="E8" s="29" t="s">
        <v>183</v>
      </c>
      <c r="F8" s="29" t="s">
        <v>181</v>
      </c>
      <c r="G8" s="29" t="s">
        <v>183</v>
      </c>
      <c r="H8" s="29" t="s">
        <v>181</v>
      </c>
      <c r="I8" s="29" t="s">
        <v>183</v>
      </c>
      <c r="J8" s="29" t="s">
        <v>181</v>
      </c>
      <c r="K8" s="29" t="s">
        <v>183</v>
      </c>
      <c r="L8" s="29" t="s">
        <v>181</v>
      </c>
      <c r="M8" s="29" t="s">
        <v>183</v>
      </c>
      <c r="N8" s="30" t="s">
        <v>181</v>
      </c>
      <c r="O8" s="29" t="s">
        <v>183</v>
      </c>
      <c r="P8" s="29" t="s">
        <v>181</v>
      </c>
      <c r="Q8" s="29" t="s">
        <v>183</v>
      </c>
      <c r="R8" s="29" t="s">
        <v>181</v>
      </c>
      <c r="S8" s="29" t="s">
        <v>183</v>
      </c>
      <c r="T8" s="29" t="s">
        <v>181</v>
      </c>
      <c r="U8" s="29" t="s">
        <v>183</v>
      </c>
      <c r="V8" s="29" t="s">
        <v>181</v>
      </c>
      <c r="W8" s="29" t="s">
        <v>183</v>
      </c>
      <c r="X8" s="29" t="s">
        <v>181</v>
      </c>
      <c r="Y8" s="29" t="s">
        <v>183</v>
      </c>
      <c r="Z8" s="29" t="s">
        <v>181</v>
      </c>
      <c r="AA8" s="31" t="s">
        <v>183</v>
      </c>
      <c r="AB8" s="71"/>
      <c r="AC8" s="72"/>
      <c r="AD8" s="72"/>
    </row>
    <row r="9" spans="1:30" x14ac:dyDescent="0.3">
      <c r="A9" s="68" t="s">
        <v>2</v>
      </c>
      <c r="B9" s="56">
        <f>SUM(B11,B19,B28,B33,B39,B46,B53,B60,B65,B72,B82,B89,B104)</f>
        <v>39461</v>
      </c>
      <c r="C9" s="49">
        <f>SUM(C11,C19,C28,C33,C39,C46,C53,C60,C65,C72,C82,C89,C104)</f>
        <v>6449.9019999999991</v>
      </c>
      <c r="D9" s="49">
        <f>SUM(D11,D19,D28,D33,D39,D46,D53,D60,D65,D72,D82,D89,D104)</f>
        <v>82692</v>
      </c>
      <c r="E9" s="49">
        <f>SUM(E11,E19,E28,E33,E39,E46,E53,E60,E65,E72,E82,E89,E104)</f>
        <v>22788.203999999998</v>
      </c>
      <c r="F9" s="49">
        <f t="shared" ref="F9:AA9" si="0">SUM(F11,F19,F28,F33,F39,F46,F53,F60,F65,F72,F82,F89,F104)</f>
        <v>37838</v>
      </c>
      <c r="G9" s="49">
        <f t="shared" si="0"/>
        <v>11036.633000000003</v>
      </c>
      <c r="H9" s="49">
        <f t="shared" si="0"/>
        <v>414</v>
      </c>
      <c r="I9" s="49">
        <f>SUM(I11,I19,I28,I33,I39,I46,I53,I60,I65,I72,I82,I89,I104)</f>
        <v>183.13699999999997</v>
      </c>
      <c r="J9" s="49">
        <f t="shared" si="0"/>
        <v>573</v>
      </c>
      <c r="K9" s="49">
        <f t="shared" si="0"/>
        <v>224.779</v>
      </c>
      <c r="L9" s="49">
        <f t="shared" si="0"/>
        <v>3471723</v>
      </c>
      <c r="M9" s="49">
        <f>SUM(M11,M19,M28,M33,M39,M46,M53,M60,M65,M72,M82,M89,M104)</f>
        <v>33532.780999999995</v>
      </c>
      <c r="N9" s="49">
        <f t="shared" si="0"/>
        <v>568089</v>
      </c>
      <c r="O9" s="49">
        <f>SUM(O11,O19,O28,O33,O39,O46,O53,O60,O65,O72,O82,O89,O104)</f>
        <v>11765.483999999999</v>
      </c>
      <c r="P9" s="49">
        <f t="shared" si="0"/>
        <v>1223972</v>
      </c>
      <c r="Q9" s="49">
        <f t="shared" si="0"/>
        <v>11378.231</v>
      </c>
      <c r="R9" s="49">
        <f t="shared" si="0"/>
        <v>196251</v>
      </c>
      <c r="S9" s="49">
        <f t="shared" si="0"/>
        <v>3842.7629999999999</v>
      </c>
      <c r="T9" s="49">
        <f t="shared" si="0"/>
        <v>117514</v>
      </c>
      <c r="U9" s="49">
        <f t="shared" si="0"/>
        <v>2179.8810000000003</v>
      </c>
      <c r="V9" s="49">
        <f t="shared" si="0"/>
        <v>856653</v>
      </c>
      <c r="W9" s="49">
        <f t="shared" si="0"/>
        <v>56504.934999999998</v>
      </c>
      <c r="X9" s="49">
        <f t="shared" si="0"/>
        <v>143213362</v>
      </c>
      <c r="Y9" s="49">
        <f t="shared" si="0"/>
        <v>258420.05600000001</v>
      </c>
      <c r="Z9" s="49">
        <f t="shared" si="0"/>
        <v>998304</v>
      </c>
      <c r="AA9" s="50">
        <f t="shared" si="0"/>
        <v>1742.174</v>
      </c>
      <c r="AB9" s="70" t="s">
        <v>3</v>
      </c>
      <c r="AC9" s="70"/>
      <c r="AD9" s="70"/>
    </row>
    <row r="10" spans="1:30" x14ac:dyDescent="0.3">
      <c r="A10" s="44"/>
      <c r="B10" s="57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51"/>
      <c r="AB10" s="55"/>
      <c r="AC10" s="55"/>
      <c r="AD10" s="55"/>
    </row>
    <row r="11" spans="1:30" x14ac:dyDescent="0.3">
      <c r="A11" s="44" t="s">
        <v>4</v>
      </c>
      <c r="B11" s="46">
        <f>SUM(B13:B18)</f>
        <v>9770</v>
      </c>
      <c r="C11" s="45">
        <f t="shared" ref="C11:E11" si="1">SUM(C13:C18)</f>
        <v>1712.402</v>
      </c>
      <c r="D11" s="45">
        <f t="shared" si="1"/>
        <v>11473</v>
      </c>
      <c r="E11" s="45">
        <f t="shared" si="1"/>
        <v>3408.7649999999999</v>
      </c>
      <c r="F11" s="45">
        <f t="shared" ref="F11:H11" si="2">SUM(F13:F18)</f>
        <v>1771</v>
      </c>
      <c r="G11" s="45">
        <f t="shared" si="2"/>
        <v>542.1</v>
      </c>
      <c r="H11" s="45">
        <f t="shared" si="2"/>
        <v>0</v>
      </c>
      <c r="I11" s="47">
        <f t="shared" ref="I11:AA11" si="3">SUM(I13:I18)</f>
        <v>0</v>
      </c>
      <c r="J11" s="45">
        <f t="shared" si="3"/>
        <v>0</v>
      </c>
      <c r="K11" s="47">
        <f t="shared" si="3"/>
        <v>0</v>
      </c>
      <c r="L11" s="45">
        <f t="shared" si="3"/>
        <v>85287</v>
      </c>
      <c r="M11" s="45">
        <f t="shared" si="3"/>
        <v>787.4380000000001</v>
      </c>
      <c r="N11" s="45">
        <f t="shared" si="3"/>
        <v>13262</v>
      </c>
      <c r="O11" s="45">
        <f>SUM(O13:O18)</f>
        <v>279.447</v>
      </c>
      <c r="P11" s="47">
        <f t="shared" si="3"/>
        <v>65161</v>
      </c>
      <c r="Q11" s="45">
        <f t="shared" si="3"/>
        <v>603.47900000000004</v>
      </c>
      <c r="R11" s="45">
        <f t="shared" si="3"/>
        <v>7204</v>
      </c>
      <c r="S11" s="47">
        <f t="shared" si="3"/>
        <v>133.87700000000001</v>
      </c>
      <c r="T11" s="45">
        <f t="shared" si="3"/>
        <v>22550</v>
      </c>
      <c r="U11" s="47">
        <f t="shared" si="3"/>
        <v>428.24699999999996</v>
      </c>
      <c r="V11" s="45">
        <f t="shared" si="3"/>
        <v>34877</v>
      </c>
      <c r="W11" s="47">
        <f t="shared" si="3"/>
        <v>2393.8760000000002</v>
      </c>
      <c r="X11" s="45">
        <f t="shared" si="3"/>
        <v>173565</v>
      </c>
      <c r="Y11" s="47">
        <f t="shared" si="3"/>
        <v>277.57400000000001</v>
      </c>
      <c r="Z11" s="45">
        <f t="shared" si="3"/>
        <v>15453</v>
      </c>
      <c r="AA11" s="51">
        <f t="shared" si="3"/>
        <v>22.622999999999998</v>
      </c>
      <c r="AB11" s="55" t="s">
        <v>5</v>
      </c>
      <c r="AC11" s="55"/>
      <c r="AD11" s="55"/>
    </row>
    <row r="12" spans="1:30" x14ac:dyDescent="0.3">
      <c r="A12" s="44"/>
      <c r="B12" s="46"/>
      <c r="C12" s="45"/>
      <c r="D12" s="45"/>
      <c r="E12" s="45"/>
      <c r="F12" s="45"/>
      <c r="G12" s="45"/>
      <c r="H12" s="45"/>
      <c r="I12" s="47"/>
      <c r="J12" s="45"/>
      <c r="K12" s="47"/>
      <c r="L12" s="45"/>
      <c r="M12" s="45"/>
      <c r="N12" s="45"/>
      <c r="O12" s="45"/>
      <c r="P12" s="47"/>
      <c r="Q12" s="45"/>
      <c r="R12" s="45"/>
      <c r="S12" s="47"/>
      <c r="T12" s="45"/>
      <c r="U12" s="47"/>
      <c r="V12" s="45"/>
      <c r="W12" s="47"/>
      <c r="X12" s="45"/>
      <c r="Y12" s="47"/>
      <c r="Z12" s="45"/>
      <c r="AA12" s="51"/>
      <c r="AB12" s="55"/>
      <c r="AC12" s="55"/>
      <c r="AD12" s="55"/>
    </row>
    <row r="13" spans="1:30" x14ac:dyDescent="0.3">
      <c r="A13" s="7" t="s">
        <v>6</v>
      </c>
      <c r="B13" s="20">
        <v>1442</v>
      </c>
      <c r="C13" s="18">
        <v>265.94600000000003</v>
      </c>
      <c r="D13" s="17">
        <v>1151</v>
      </c>
      <c r="E13" s="18">
        <v>264.72500000000002</v>
      </c>
      <c r="F13" s="17">
        <v>410</v>
      </c>
      <c r="G13" s="18">
        <v>114.8</v>
      </c>
      <c r="H13" s="17" t="s">
        <v>212</v>
      </c>
      <c r="I13" s="18" t="s">
        <v>212</v>
      </c>
      <c r="J13" s="17" t="s">
        <v>212</v>
      </c>
      <c r="K13" s="18" t="s">
        <v>212</v>
      </c>
      <c r="L13" s="17">
        <v>13046</v>
      </c>
      <c r="M13" s="18">
        <v>117.312</v>
      </c>
      <c r="N13" s="17">
        <v>3646</v>
      </c>
      <c r="O13" s="18">
        <v>65.338999999999999</v>
      </c>
      <c r="P13" s="17">
        <v>10138</v>
      </c>
      <c r="Q13" s="18">
        <v>83.155000000000001</v>
      </c>
      <c r="R13" s="17">
        <v>2762</v>
      </c>
      <c r="S13" s="18">
        <v>46.603000000000002</v>
      </c>
      <c r="T13" s="17">
        <v>158</v>
      </c>
      <c r="U13" s="18">
        <v>2.9009999999999998</v>
      </c>
      <c r="V13" s="17">
        <v>167</v>
      </c>
      <c r="W13" s="18">
        <v>4.7069999999999999</v>
      </c>
      <c r="X13" s="17">
        <v>44563</v>
      </c>
      <c r="Y13" s="18">
        <v>54.418999999999997</v>
      </c>
      <c r="Z13" s="17">
        <v>5352</v>
      </c>
      <c r="AA13" s="21">
        <v>7.407</v>
      </c>
      <c r="AB13" s="8" t="s">
        <v>7</v>
      </c>
      <c r="AC13" s="9"/>
      <c r="AD13" s="9"/>
    </row>
    <row r="14" spans="1:30" x14ac:dyDescent="0.3">
      <c r="A14" s="7" t="s">
        <v>8</v>
      </c>
      <c r="B14" s="20">
        <v>2586</v>
      </c>
      <c r="C14" s="18">
        <v>264.09500000000003</v>
      </c>
      <c r="D14" s="17">
        <v>1358</v>
      </c>
      <c r="E14" s="18">
        <v>379.46</v>
      </c>
      <c r="F14" s="17">
        <v>896</v>
      </c>
      <c r="G14" s="18">
        <v>266.3</v>
      </c>
      <c r="H14" s="17" t="s">
        <v>212</v>
      </c>
      <c r="I14" s="18" t="s">
        <v>212</v>
      </c>
      <c r="J14" s="17" t="s">
        <v>212</v>
      </c>
      <c r="K14" s="18" t="s">
        <v>212</v>
      </c>
      <c r="L14" s="17">
        <v>26766</v>
      </c>
      <c r="M14" s="18">
        <v>257.40699999999998</v>
      </c>
      <c r="N14" s="17">
        <v>2361</v>
      </c>
      <c r="O14" s="18">
        <v>69.667000000000002</v>
      </c>
      <c r="P14" s="17">
        <v>23213</v>
      </c>
      <c r="Q14" s="18">
        <v>225.03700000000001</v>
      </c>
      <c r="R14" s="17">
        <v>1084</v>
      </c>
      <c r="S14" s="18">
        <v>20.224</v>
      </c>
      <c r="T14" s="17">
        <v>904</v>
      </c>
      <c r="U14" s="18">
        <v>17.899999999999999</v>
      </c>
      <c r="V14" s="17">
        <v>24257</v>
      </c>
      <c r="W14" s="18">
        <v>1805.6</v>
      </c>
      <c r="X14" s="17">
        <v>16186</v>
      </c>
      <c r="Y14" s="18">
        <v>25.492000000000001</v>
      </c>
      <c r="Z14" s="17" t="s">
        <v>212</v>
      </c>
      <c r="AA14" s="21" t="s">
        <v>212</v>
      </c>
      <c r="AB14" s="8" t="s">
        <v>9</v>
      </c>
      <c r="AC14" s="9"/>
      <c r="AD14" s="9"/>
    </row>
    <row r="15" spans="1:30" x14ac:dyDescent="0.3">
      <c r="A15" s="7" t="s">
        <v>10</v>
      </c>
      <c r="B15" s="20">
        <v>2311</v>
      </c>
      <c r="C15" s="18">
        <v>495.28</v>
      </c>
      <c r="D15" s="17">
        <v>4856</v>
      </c>
      <c r="E15" s="18">
        <v>1432.46</v>
      </c>
      <c r="F15" s="17">
        <v>400</v>
      </c>
      <c r="G15" s="18">
        <v>134</v>
      </c>
      <c r="H15" s="17" t="s">
        <v>212</v>
      </c>
      <c r="I15" s="18" t="s">
        <v>212</v>
      </c>
      <c r="J15" s="17" t="s">
        <v>212</v>
      </c>
      <c r="K15" s="18" t="s">
        <v>212</v>
      </c>
      <c r="L15" s="17">
        <v>4946</v>
      </c>
      <c r="M15" s="18">
        <v>46.898000000000003</v>
      </c>
      <c r="N15" s="17">
        <v>1357</v>
      </c>
      <c r="O15" s="18">
        <v>26.863</v>
      </c>
      <c r="P15" s="17">
        <v>3822</v>
      </c>
      <c r="Q15" s="18">
        <v>37.89</v>
      </c>
      <c r="R15" s="17">
        <v>776</v>
      </c>
      <c r="S15" s="18">
        <v>14.605</v>
      </c>
      <c r="T15" s="17">
        <v>7934</v>
      </c>
      <c r="U15" s="18">
        <v>158.31399999999999</v>
      </c>
      <c r="V15" s="17">
        <v>8109</v>
      </c>
      <c r="W15" s="18">
        <v>461.904</v>
      </c>
      <c r="X15" s="17">
        <v>92105</v>
      </c>
      <c r="Y15" s="18">
        <v>165.76499999999999</v>
      </c>
      <c r="Z15" s="17">
        <v>10101</v>
      </c>
      <c r="AA15" s="21">
        <v>15.215999999999999</v>
      </c>
      <c r="AB15" s="8" t="s">
        <v>11</v>
      </c>
      <c r="AC15" s="9"/>
      <c r="AD15" s="9"/>
    </row>
    <row r="16" spans="1:30" x14ac:dyDescent="0.3">
      <c r="A16" s="7" t="s">
        <v>12</v>
      </c>
      <c r="B16" s="20" t="s">
        <v>212</v>
      </c>
      <c r="C16" s="18" t="s">
        <v>212</v>
      </c>
      <c r="D16" s="17" t="s">
        <v>212</v>
      </c>
      <c r="E16" s="18" t="s">
        <v>212</v>
      </c>
      <c r="F16" s="17" t="s">
        <v>212</v>
      </c>
      <c r="G16" s="18" t="s">
        <v>212</v>
      </c>
      <c r="H16" s="17" t="s">
        <v>212</v>
      </c>
      <c r="I16" s="18" t="s">
        <v>212</v>
      </c>
      <c r="J16" s="17" t="s">
        <v>212</v>
      </c>
      <c r="K16" s="18" t="s">
        <v>212</v>
      </c>
      <c r="L16" s="17">
        <v>166</v>
      </c>
      <c r="M16" s="18">
        <v>1.66</v>
      </c>
      <c r="N16" s="17">
        <v>54</v>
      </c>
      <c r="O16" s="18">
        <v>0.97199999999999998</v>
      </c>
      <c r="P16" s="17">
        <v>158</v>
      </c>
      <c r="Q16" s="18">
        <v>1.4219999999999999</v>
      </c>
      <c r="R16" s="17">
        <v>52</v>
      </c>
      <c r="S16" s="18">
        <v>0.93</v>
      </c>
      <c r="T16" s="17" t="s">
        <v>212</v>
      </c>
      <c r="U16" s="18" t="s">
        <v>212</v>
      </c>
      <c r="V16" s="17" t="s">
        <v>212</v>
      </c>
      <c r="W16" s="18" t="s">
        <v>212</v>
      </c>
      <c r="X16" s="17">
        <v>50</v>
      </c>
      <c r="Y16" s="18">
        <v>0.1</v>
      </c>
      <c r="Z16" s="17" t="s">
        <v>212</v>
      </c>
      <c r="AA16" s="21" t="s">
        <v>212</v>
      </c>
      <c r="AB16" s="8" t="s">
        <v>13</v>
      </c>
      <c r="AC16" s="9"/>
      <c r="AD16" s="9"/>
    </row>
    <row r="17" spans="1:30" x14ac:dyDescent="0.3">
      <c r="A17" s="7" t="s">
        <v>14</v>
      </c>
      <c r="B17" s="20">
        <v>164</v>
      </c>
      <c r="C17" s="18">
        <v>23.207999999999998</v>
      </c>
      <c r="D17" s="17">
        <v>130</v>
      </c>
      <c r="E17" s="18">
        <v>29.6</v>
      </c>
      <c r="F17" s="17">
        <v>65</v>
      </c>
      <c r="G17" s="18">
        <v>27</v>
      </c>
      <c r="H17" s="17" t="s">
        <v>212</v>
      </c>
      <c r="I17" s="18" t="s">
        <v>212</v>
      </c>
      <c r="J17" s="17" t="s">
        <v>212</v>
      </c>
      <c r="K17" s="18" t="s">
        <v>212</v>
      </c>
      <c r="L17" s="17">
        <v>11369</v>
      </c>
      <c r="M17" s="18">
        <v>102.48</v>
      </c>
      <c r="N17" s="17">
        <v>1171</v>
      </c>
      <c r="O17" s="18">
        <v>21.19</v>
      </c>
      <c r="P17" s="17">
        <v>9548</v>
      </c>
      <c r="Q17" s="18">
        <v>85.558999999999997</v>
      </c>
      <c r="R17" s="17">
        <v>1082</v>
      </c>
      <c r="S17" s="18">
        <v>19.402999999999999</v>
      </c>
      <c r="T17" s="17">
        <v>2585</v>
      </c>
      <c r="U17" s="18">
        <v>51.69</v>
      </c>
      <c r="V17" s="17">
        <v>2100</v>
      </c>
      <c r="W17" s="18">
        <v>105</v>
      </c>
      <c r="X17" s="17">
        <v>10649</v>
      </c>
      <c r="Y17" s="18">
        <v>18.262</v>
      </c>
      <c r="Z17" s="17" t="s">
        <v>212</v>
      </c>
      <c r="AA17" s="21" t="s">
        <v>212</v>
      </c>
      <c r="AB17" s="8" t="s">
        <v>15</v>
      </c>
      <c r="AC17" s="9"/>
      <c r="AD17" s="9"/>
    </row>
    <row r="18" spans="1:30" x14ac:dyDescent="0.3">
      <c r="A18" s="7" t="s">
        <v>16</v>
      </c>
      <c r="B18" s="20">
        <v>3267</v>
      </c>
      <c r="C18" s="18">
        <v>663.87300000000005</v>
      </c>
      <c r="D18" s="17">
        <v>3978</v>
      </c>
      <c r="E18" s="18">
        <v>1302.52</v>
      </c>
      <c r="F18" s="17" t="s">
        <v>212</v>
      </c>
      <c r="G18" s="18" t="s">
        <v>212</v>
      </c>
      <c r="H18" s="17" t="s">
        <v>212</v>
      </c>
      <c r="I18" s="18" t="s">
        <v>212</v>
      </c>
      <c r="J18" s="17" t="s">
        <v>212</v>
      </c>
      <c r="K18" s="18" t="s">
        <v>212</v>
      </c>
      <c r="L18" s="17">
        <v>28994</v>
      </c>
      <c r="M18" s="18">
        <v>261.68099999999998</v>
      </c>
      <c r="N18" s="17">
        <v>4673</v>
      </c>
      <c r="O18" s="18">
        <v>95.415999999999997</v>
      </c>
      <c r="P18" s="17">
        <v>18282</v>
      </c>
      <c r="Q18" s="18">
        <v>170.416</v>
      </c>
      <c r="R18" s="17">
        <v>1448</v>
      </c>
      <c r="S18" s="18">
        <v>32.112000000000002</v>
      </c>
      <c r="T18" s="17">
        <v>10969</v>
      </c>
      <c r="U18" s="18">
        <v>197.44200000000001</v>
      </c>
      <c r="V18" s="17">
        <v>244</v>
      </c>
      <c r="W18" s="18">
        <v>16.664999999999999</v>
      </c>
      <c r="X18" s="17">
        <v>10012</v>
      </c>
      <c r="Y18" s="18">
        <v>13.536</v>
      </c>
      <c r="Z18" s="17" t="s">
        <v>212</v>
      </c>
      <c r="AA18" s="21" t="s">
        <v>212</v>
      </c>
      <c r="AB18" s="8" t="s">
        <v>17</v>
      </c>
      <c r="AC18" s="9"/>
      <c r="AD18" s="9"/>
    </row>
    <row r="19" spans="1:30" x14ac:dyDescent="0.3">
      <c r="A19" s="44" t="s">
        <v>18</v>
      </c>
      <c r="B19" s="46">
        <f>SUM(B21:B27)</f>
        <v>10930</v>
      </c>
      <c r="C19" s="45">
        <f t="shared" ref="C19:AA19" si="4">SUM(C21:C27)</f>
        <v>2112.4029999999998</v>
      </c>
      <c r="D19" s="45">
        <f t="shared" si="4"/>
        <v>27344</v>
      </c>
      <c r="E19" s="45">
        <f t="shared" si="4"/>
        <v>7738.2890000000007</v>
      </c>
      <c r="F19" s="45">
        <f t="shared" si="4"/>
        <v>13752</v>
      </c>
      <c r="G19" s="45">
        <f t="shared" si="4"/>
        <v>3520.8500000000004</v>
      </c>
      <c r="H19" s="45">
        <f t="shared" si="4"/>
        <v>89</v>
      </c>
      <c r="I19" s="45">
        <f t="shared" si="4"/>
        <v>33.644999999999996</v>
      </c>
      <c r="J19" s="45">
        <f t="shared" si="4"/>
        <v>550</v>
      </c>
      <c r="K19" s="45">
        <f t="shared" si="4"/>
        <v>219.584</v>
      </c>
      <c r="L19" s="45">
        <f t="shared" si="4"/>
        <v>257172</v>
      </c>
      <c r="M19" s="45">
        <f t="shared" si="4"/>
        <v>2460.1150000000002</v>
      </c>
      <c r="N19" s="45">
        <f t="shared" si="4"/>
        <v>51052</v>
      </c>
      <c r="O19" s="45">
        <f>SUM(O21:O27)</f>
        <v>1146.0690000000002</v>
      </c>
      <c r="P19" s="45">
        <f t="shared" si="4"/>
        <v>141772</v>
      </c>
      <c r="Q19" s="45">
        <f t="shared" si="4"/>
        <v>1198.2349999999999</v>
      </c>
      <c r="R19" s="45">
        <f t="shared" si="4"/>
        <v>19651</v>
      </c>
      <c r="S19" s="45">
        <f t="shared" si="4"/>
        <v>388.5</v>
      </c>
      <c r="T19" s="45">
        <f t="shared" si="4"/>
        <v>10207</v>
      </c>
      <c r="U19" s="45">
        <f t="shared" si="4"/>
        <v>179.67700000000002</v>
      </c>
      <c r="V19" s="45">
        <f t="shared" si="4"/>
        <v>185544</v>
      </c>
      <c r="W19" s="45">
        <f t="shared" si="4"/>
        <v>11747.721000000001</v>
      </c>
      <c r="X19" s="45">
        <f t="shared" si="4"/>
        <v>27873476</v>
      </c>
      <c r="Y19" s="45">
        <f t="shared" si="4"/>
        <v>50355.330999999998</v>
      </c>
      <c r="Z19" s="45">
        <f t="shared" si="4"/>
        <v>62695</v>
      </c>
      <c r="AA19" s="51">
        <f t="shared" si="4"/>
        <v>128.68799999999999</v>
      </c>
      <c r="AB19" s="48" t="s">
        <v>19</v>
      </c>
      <c r="AC19" s="48"/>
      <c r="AD19" s="48"/>
    </row>
    <row r="20" spans="1:30" x14ac:dyDescent="0.3">
      <c r="A20" s="44"/>
      <c r="B20" s="46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51"/>
      <c r="AB20" s="48"/>
      <c r="AC20" s="48"/>
      <c r="AD20" s="48"/>
    </row>
    <row r="21" spans="1:30" x14ac:dyDescent="0.3">
      <c r="A21" s="7" t="s">
        <v>20</v>
      </c>
      <c r="B21" s="20">
        <v>277</v>
      </c>
      <c r="C21" s="18">
        <v>52.328000000000003</v>
      </c>
      <c r="D21" s="17">
        <v>6002</v>
      </c>
      <c r="E21" s="18">
        <v>1756.223</v>
      </c>
      <c r="F21" s="17">
        <v>5099</v>
      </c>
      <c r="G21" s="18">
        <v>1366.9739999999999</v>
      </c>
      <c r="H21" s="17">
        <v>3</v>
      </c>
      <c r="I21" s="18">
        <v>0.38500000000000001</v>
      </c>
      <c r="J21" s="17">
        <v>3</v>
      </c>
      <c r="K21" s="18">
        <v>0.78400000000000003</v>
      </c>
      <c r="L21" s="17">
        <v>69746</v>
      </c>
      <c r="M21" s="18">
        <v>657.94600000000003</v>
      </c>
      <c r="N21" s="17">
        <v>11259</v>
      </c>
      <c r="O21" s="18">
        <v>291.851</v>
      </c>
      <c r="P21" s="17">
        <v>53810</v>
      </c>
      <c r="Q21" s="18">
        <v>402.86799999999999</v>
      </c>
      <c r="R21" s="17">
        <v>5827</v>
      </c>
      <c r="S21" s="18">
        <v>110.974</v>
      </c>
      <c r="T21" s="17">
        <v>264</v>
      </c>
      <c r="U21" s="18">
        <v>5.2270000000000003</v>
      </c>
      <c r="V21" s="17">
        <v>36495</v>
      </c>
      <c r="W21" s="18">
        <v>2389.8850000000002</v>
      </c>
      <c r="X21" s="17">
        <v>1952</v>
      </c>
      <c r="Y21" s="18">
        <v>4.8079999999999998</v>
      </c>
      <c r="Z21" s="17">
        <v>20</v>
      </c>
      <c r="AA21" s="21">
        <v>3.5000000000000003E-2</v>
      </c>
      <c r="AB21" s="8" t="s">
        <v>21</v>
      </c>
      <c r="AC21" s="9"/>
      <c r="AD21" s="9"/>
    </row>
    <row r="22" spans="1:30" x14ac:dyDescent="0.3">
      <c r="A22" s="7" t="s">
        <v>22</v>
      </c>
      <c r="B22" s="20">
        <v>1505</v>
      </c>
      <c r="C22" s="18">
        <v>203.22499999999999</v>
      </c>
      <c r="D22" s="17">
        <v>12950</v>
      </c>
      <c r="E22" s="18">
        <v>3885</v>
      </c>
      <c r="F22" s="17">
        <v>2006</v>
      </c>
      <c r="G22" s="18">
        <v>434.1</v>
      </c>
      <c r="H22" s="17" t="s">
        <v>212</v>
      </c>
      <c r="I22" s="18" t="s">
        <v>212</v>
      </c>
      <c r="J22" s="17" t="s">
        <v>212</v>
      </c>
      <c r="K22" s="18" t="s">
        <v>212</v>
      </c>
      <c r="L22" s="17">
        <v>41483</v>
      </c>
      <c r="M22" s="18">
        <v>414.315</v>
      </c>
      <c r="N22" s="17">
        <v>10536</v>
      </c>
      <c r="O22" s="18">
        <v>211.21</v>
      </c>
      <c r="P22" s="17">
        <v>9592</v>
      </c>
      <c r="Q22" s="18">
        <v>95.44</v>
      </c>
      <c r="R22" s="17">
        <v>2304</v>
      </c>
      <c r="S22" s="18">
        <v>46.667999999999999</v>
      </c>
      <c r="T22" s="17">
        <v>8757</v>
      </c>
      <c r="U22" s="18">
        <v>153.25200000000001</v>
      </c>
      <c r="V22" s="17">
        <v>49902</v>
      </c>
      <c r="W22" s="18">
        <v>2944.23</v>
      </c>
      <c r="X22" s="17">
        <v>3234</v>
      </c>
      <c r="Y22" s="18">
        <v>5.3040000000000003</v>
      </c>
      <c r="Z22" s="17" t="s">
        <v>212</v>
      </c>
      <c r="AA22" s="21" t="s">
        <v>212</v>
      </c>
      <c r="AB22" s="8" t="s">
        <v>23</v>
      </c>
      <c r="AC22" s="9"/>
      <c r="AD22" s="9"/>
    </row>
    <row r="23" spans="1:30" x14ac:dyDescent="0.3">
      <c r="A23" s="7" t="s">
        <v>24</v>
      </c>
      <c r="B23" s="20">
        <v>783</v>
      </c>
      <c r="C23" s="18">
        <v>146.90700000000001</v>
      </c>
      <c r="D23" s="17">
        <v>2591</v>
      </c>
      <c r="E23" s="18">
        <v>653.84100000000001</v>
      </c>
      <c r="F23" s="17">
        <v>3065</v>
      </c>
      <c r="G23" s="18">
        <v>743.62800000000004</v>
      </c>
      <c r="H23" s="17" t="s">
        <v>212</v>
      </c>
      <c r="I23" s="18" t="s">
        <v>212</v>
      </c>
      <c r="J23" s="17" t="s">
        <v>212</v>
      </c>
      <c r="K23" s="18" t="s">
        <v>212</v>
      </c>
      <c r="L23" s="17">
        <v>45434</v>
      </c>
      <c r="M23" s="18">
        <v>433.24700000000001</v>
      </c>
      <c r="N23" s="17">
        <v>8639</v>
      </c>
      <c r="O23" s="18">
        <v>206.02</v>
      </c>
      <c r="P23" s="17">
        <v>27248</v>
      </c>
      <c r="Q23" s="18">
        <v>236.04</v>
      </c>
      <c r="R23" s="17">
        <v>3063</v>
      </c>
      <c r="S23" s="18">
        <v>62.704000000000001</v>
      </c>
      <c r="T23" s="17">
        <v>240</v>
      </c>
      <c r="U23" s="18">
        <v>4.6779999999999999</v>
      </c>
      <c r="V23" s="17">
        <v>10980</v>
      </c>
      <c r="W23" s="18">
        <v>757.54499999999996</v>
      </c>
      <c r="X23" s="17">
        <v>4278</v>
      </c>
      <c r="Y23" s="18">
        <v>6.782</v>
      </c>
      <c r="Z23" s="17">
        <v>190</v>
      </c>
      <c r="AA23" s="21">
        <v>0.314</v>
      </c>
      <c r="AB23" s="8" t="s">
        <v>25</v>
      </c>
      <c r="AC23" s="9"/>
      <c r="AD23" s="9"/>
    </row>
    <row r="24" spans="1:30" x14ac:dyDescent="0.3">
      <c r="A24" s="7" t="s">
        <v>26</v>
      </c>
      <c r="B24" s="20">
        <v>282</v>
      </c>
      <c r="C24" s="18">
        <v>55.343000000000004</v>
      </c>
      <c r="D24" s="17">
        <v>2231</v>
      </c>
      <c r="E24" s="18">
        <v>642.42600000000004</v>
      </c>
      <c r="F24" s="17">
        <v>804</v>
      </c>
      <c r="G24" s="18">
        <v>216.94800000000001</v>
      </c>
      <c r="H24" s="17" t="s">
        <v>212</v>
      </c>
      <c r="I24" s="18" t="s">
        <v>212</v>
      </c>
      <c r="J24" s="17" t="s">
        <v>212</v>
      </c>
      <c r="K24" s="18" t="s">
        <v>212</v>
      </c>
      <c r="L24" s="17">
        <v>31910</v>
      </c>
      <c r="M24" s="18">
        <v>313.375</v>
      </c>
      <c r="N24" s="17">
        <v>4703</v>
      </c>
      <c r="O24" s="18">
        <v>123.54</v>
      </c>
      <c r="P24" s="17">
        <v>11130</v>
      </c>
      <c r="Q24" s="18">
        <v>110.831</v>
      </c>
      <c r="R24" s="17">
        <v>539</v>
      </c>
      <c r="S24" s="18">
        <v>10.191000000000001</v>
      </c>
      <c r="T24" s="17">
        <v>479</v>
      </c>
      <c r="U24" s="18">
        <v>8.4169999999999998</v>
      </c>
      <c r="V24" s="17">
        <v>21171</v>
      </c>
      <c r="W24" s="18">
        <v>1478.38</v>
      </c>
      <c r="X24" s="17">
        <v>49867</v>
      </c>
      <c r="Y24" s="18">
        <v>84.521000000000001</v>
      </c>
      <c r="Z24" s="17">
        <v>39837</v>
      </c>
      <c r="AA24" s="21">
        <v>79.522999999999996</v>
      </c>
      <c r="AB24" s="8" t="s">
        <v>27</v>
      </c>
      <c r="AC24" s="9"/>
      <c r="AD24" s="9"/>
    </row>
    <row r="25" spans="1:30" x14ac:dyDescent="0.3">
      <c r="A25" s="7" t="s">
        <v>28</v>
      </c>
      <c r="B25" s="22">
        <v>356</v>
      </c>
      <c r="C25" s="18">
        <v>41.564999999999998</v>
      </c>
      <c r="D25" s="19">
        <v>1271</v>
      </c>
      <c r="E25" s="18">
        <v>254.2</v>
      </c>
      <c r="F25" s="19" t="s">
        <v>212</v>
      </c>
      <c r="G25" s="18" t="s">
        <v>212</v>
      </c>
      <c r="H25" s="19" t="s">
        <v>212</v>
      </c>
      <c r="I25" s="18" t="s">
        <v>212</v>
      </c>
      <c r="J25" s="19" t="s">
        <v>212</v>
      </c>
      <c r="K25" s="18" t="s">
        <v>212</v>
      </c>
      <c r="L25" s="19">
        <v>8961</v>
      </c>
      <c r="M25" s="18">
        <v>75.061999999999998</v>
      </c>
      <c r="N25" s="19">
        <v>1593</v>
      </c>
      <c r="O25" s="18">
        <v>26.619</v>
      </c>
      <c r="P25" s="19">
        <v>8742</v>
      </c>
      <c r="Q25" s="18">
        <v>75.929000000000002</v>
      </c>
      <c r="R25" s="19">
        <v>1919</v>
      </c>
      <c r="S25" s="18">
        <v>35.578000000000003</v>
      </c>
      <c r="T25" s="19">
        <v>285</v>
      </c>
      <c r="U25" s="18">
        <v>4.8620000000000001</v>
      </c>
      <c r="V25" s="19">
        <v>40327</v>
      </c>
      <c r="W25" s="18">
        <v>2520.096</v>
      </c>
      <c r="X25" s="19">
        <v>27559639</v>
      </c>
      <c r="Y25" s="18">
        <v>49749.277999999998</v>
      </c>
      <c r="Z25" s="19">
        <v>2640</v>
      </c>
      <c r="AA25" s="21">
        <v>4.8010000000000002</v>
      </c>
      <c r="AB25" s="8" t="s">
        <v>29</v>
      </c>
      <c r="AC25" s="9"/>
      <c r="AD25" s="9"/>
    </row>
    <row r="26" spans="1:30" x14ac:dyDescent="0.3">
      <c r="A26" s="7" t="s">
        <v>30</v>
      </c>
      <c r="B26" s="20">
        <v>7526</v>
      </c>
      <c r="C26" s="18">
        <v>1566.335</v>
      </c>
      <c r="D26" s="17">
        <v>1888</v>
      </c>
      <c r="E26" s="18">
        <v>421.30500000000001</v>
      </c>
      <c r="F26" s="17">
        <v>2552</v>
      </c>
      <c r="G26" s="18">
        <v>656.4</v>
      </c>
      <c r="H26" s="17">
        <v>86</v>
      </c>
      <c r="I26" s="18">
        <v>33.26</v>
      </c>
      <c r="J26" s="17">
        <v>547</v>
      </c>
      <c r="K26" s="18">
        <v>218.8</v>
      </c>
      <c r="L26" s="17">
        <v>39883</v>
      </c>
      <c r="M26" s="18">
        <v>387.57100000000003</v>
      </c>
      <c r="N26" s="17">
        <v>9007</v>
      </c>
      <c r="O26" s="18">
        <v>182.083</v>
      </c>
      <c r="P26" s="17">
        <v>11035</v>
      </c>
      <c r="Q26" s="18">
        <v>97.058999999999997</v>
      </c>
      <c r="R26" s="17">
        <v>1878</v>
      </c>
      <c r="S26" s="18">
        <v>33.997999999999998</v>
      </c>
      <c r="T26" s="17">
        <v>50</v>
      </c>
      <c r="U26" s="18">
        <v>0.86499999999999999</v>
      </c>
      <c r="V26" s="17">
        <v>16880</v>
      </c>
      <c r="W26" s="18">
        <v>1068.385</v>
      </c>
      <c r="X26" s="17">
        <v>12316</v>
      </c>
      <c r="Y26" s="18">
        <v>25.381</v>
      </c>
      <c r="Z26" s="17">
        <v>20008</v>
      </c>
      <c r="AA26" s="21">
        <v>44.015000000000001</v>
      </c>
      <c r="AB26" s="8" t="s">
        <v>31</v>
      </c>
      <c r="AC26" s="9"/>
      <c r="AD26" s="9"/>
    </row>
    <row r="27" spans="1:30" x14ac:dyDescent="0.3">
      <c r="A27" s="7" t="s">
        <v>32</v>
      </c>
      <c r="B27" s="20">
        <v>201</v>
      </c>
      <c r="C27" s="18">
        <v>46.7</v>
      </c>
      <c r="D27" s="17">
        <v>411</v>
      </c>
      <c r="E27" s="18">
        <v>125.294</v>
      </c>
      <c r="F27" s="17">
        <v>226</v>
      </c>
      <c r="G27" s="18">
        <v>102.8</v>
      </c>
      <c r="H27" s="17" t="s">
        <v>212</v>
      </c>
      <c r="I27" s="18" t="s">
        <v>212</v>
      </c>
      <c r="J27" s="17" t="s">
        <v>212</v>
      </c>
      <c r="K27" s="18" t="s">
        <v>212</v>
      </c>
      <c r="L27" s="17">
        <v>19755</v>
      </c>
      <c r="M27" s="18">
        <v>178.59899999999999</v>
      </c>
      <c r="N27" s="17">
        <v>5315</v>
      </c>
      <c r="O27" s="18">
        <v>104.746</v>
      </c>
      <c r="P27" s="17">
        <v>20215</v>
      </c>
      <c r="Q27" s="18">
        <v>180.06800000000001</v>
      </c>
      <c r="R27" s="17">
        <v>4121</v>
      </c>
      <c r="S27" s="18">
        <v>88.387</v>
      </c>
      <c r="T27" s="17">
        <v>132</v>
      </c>
      <c r="U27" s="18">
        <v>2.3759999999999999</v>
      </c>
      <c r="V27" s="17">
        <v>9789</v>
      </c>
      <c r="W27" s="18">
        <v>589.20000000000005</v>
      </c>
      <c r="X27" s="17">
        <v>242190</v>
      </c>
      <c r="Y27" s="18">
        <v>479.25700000000001</v>
      </c>
      <c r="Z27" s="17" t="s">
        <v>212</v>
      </c>
      <c r="AA27" s="21" t="s">
        <v>212</v>
      </c>
      <c r="AB27" s="8" t="s">
        <v>33</v>
      </c>
      <c r="AC27" s="9"/>
      <c r="AD27" s="9"/>
    </row>
    <row r="28" spans="1:30" ht="24" customHeight="1" x14ac:dyDescent="0.3">
      <c r="A28" s="10" t="s">
        <v>177</v>
      </c>
      <c r="B28" s="32">
        <f>SUM(B29:B32)</f>
        <v>395</v>
      </c>
      <c r="C28" s="33">
        <f t="shared" ref="C28:AA28" si="5">SUM(C29:C32)</f>
        <v>65.051999999999992</v>
      </c>
      <c r="D28" s="33">
        <f t="shared" si="5"/>
        <v>3015</v>
      </c>
      <c r="E28" s="33">
        <f t="shared" si="5"/>
        <v>783.6930000000001</v>
      </c>
      <c r="F28" s="33">
        <f t="shared" si="5"/>
        <v>867</v>
      </c>
      <c r="G28" s="33">
        <f t="shared" si="5"/>
        <v>259.26799999999997</v>
      </c>
      <c r="H28" s="33">
        <f t="shared" si="5"/>
        <v>0</v>
      </c>
      <c r="I28" s="33">
        <f t="shared" si="5"/>
        <v>0</v>
      </c>
      <c r="J28" s="33">
        <f t="shared" si="5"/>
        <v>0</v>
      </c>
      <c r="K28" s="33">
        <f t="shared" si="5"/>
        <v>0</v>
      </c>
      <c r="L28" s="33">
        <f t="shared" si="5"/>
        <v>113249</v>
      </c>
      <c r="M28" s="33">
        <f t="shared" si="5"/>
        <v>1018.024</v>
      </c>
      <c r="N28" s="33">
        <f t="shared" si="5"/>
        <v>29637</v>
      </c>
      <c r="O28" s="33">
        <f>SUM(O29:O32)</f>
        <v>611.06400000000008</v>
      </c>
      <c r="P28" s="33">
        <f t="shared" si="5"/>
        <v>45536</v>
      </c>
      <c r="Q28" s="33">
        <f t="shared" si="5"/>
        <v>393.096</v>
      </c>
      <c r="R28" s="33">
        <f t="shared" si="5"/>
        <v>11173</v>
      </c>
      <c r="S28" s="33">
        <f t="shared" si="5"/>
        <v>188.35899999999998</v>
      </c>
      <c r="T28" s="33">
        <f t="shared" si="5"/>
        <v>704</v>
      </c>
      <c r="U28" s="33">
        <f t="shared" si="5"/>
        <v>12.3</v>
      </c>
      <c r="V28" s="33">
        <f t="shared" si="5"/>
        <v>37495</v>
      </c>
      <c r="W28" s="33">
        <f t="shared" si="5"/>
        <v>2353.9239999999995</v>
      </c>
      <c r="X28" s="33">
        <f t="shared" si="5"/>
        <v>62244</v>
      </c>
      <c r="Y28" s="33">
        <f t="shared" si="5"/>
        <v>105.92099999999999</v>
      </c>
      <c r="Z28" s="33">
        <f t="shared" si="5"/>
        <v>3896</v>
      </c>
      <c r="AA28" s="34">
        <f t="shared" si="5"/>
        <v>7.84</v>
      </c>
      <c r="AB28" s="11" t="s">
        <v>176</v>
      </c>
      <c r="AC28" s="9"/>
      <c r="AD28" s="9"/>
    </row>
    <row r="29" spans="1:30" x14ac:dyDescent="0.3">
      <c r="A29" s="7" t="s">
        <v>34</v>
      </c>
      <c r="B29" s="20">
        <v>216</v>
      </c>
      <c r="C29" s="18">
        <v>40.656999999999996</v>
      </c>
      <c r="D29" s="17">
        <v>2071</v>
      </c>
      <c r="E29" s="18">
        <v>566.36300000000006</v>
      </c>
      <c r="F29" s="17">
        <v>622</v>
      </c>
      <c r="G29" s="18">
        <v>169.46799999999999</v>
      </c>
      <c r="H29" s="17" t="s">
        <v>212</v>
      </c>
      <c r="I29" s="18" t="s">
        <v>212</v>
      </c>
      <c r="J29" s="17" t="s">
        <v>212</v>
      </c>
      <c r="K29" s="18" t="s">
        <v>212</v>
      </c>
      <c r="L29" s="17">
        <v>80828</v>
      </c>
      <c r="M29" s="18">
        <v>729.53</v>
      </c>
      <c r="N29" s="17">
        <v>22522</v>
      </c>
      <c r="O29" s="18">
        <v>446.35199999999998</v>
      </c>
      <c r="P29" s="17">
        <v>34739</v>
      </c>
      <c r="Q29" s="18">
        <v>312.80700000000002</v>
      </c>
      <c r="R29" s="17">
        <v>10150</v>
      </c>
      <c r="S29" s="18">
        <v>167.12</v>
      </c>
      <c r="T29" s="17">
        <v>347</v>
      </c>
      <c r="U29" s="18">
        <v>5.8760000000000003</v>
      </c>
      <c r="V29" s="17">
        <v>32818</v>
      </c>
      <c r="W29" s="18">
        <v>2092.2579999999998</v>
      </c>
      <c r="X29" s="17">
        <v>25053</v>
      </c>
      <c r="Y29" s="18">
        <v>39.052999999999997</v>
      </c>
      <c r="Z29" s="17">
        <v>3696</v>
      </c>
      <c r="AA29" s="21">
        <v>7.24</v>
      </c>
      <c r="AB29" s="8" t="s">
        <v>35</v>
      </c>
      <c r="AC29" s="9"/>
      <c r="AD29" s="9"/>
    </row>
    <row r="30" spans="1:30" x14ac:dyDescent="0.3">
      <c r="A30" s="7" t="s">
        <v>36</v>
      </c>
      <c r="B30" s="20">
        <v>50</v>
      </c>
      <c r="C30" s="18">
        <v>7.5149999999999997</v>
      </c>
      <c r="D30" s="17">
        <v>322</v>
      </c>
      <c r="E30" s="18">
        <v>80.489999999999995</v>
      </c>
      <c r="F30" s="17">
        <v>80</v>
      </c>
      <c r="G30" s="18">
        <v>32.049999999999997</v>
      </c>
      <c r="H30" s="17" t="s">
        <v>212</v>
      </c>
      <c r="I30" s="18" t="s">
        <v>212</v>
      </c>
      <c r="J30" s="17" t="s">
        <v>212</v>
      </c>
      <c r="K30" s="18" t="s">
        <v>212</v>
      </c>
      <c r="L30" s="17">
        <v>18253</v>
      </c>
      <c r="M30" s="18">
        <v>146.68299999999999</v>
      </c>
      <c r="N30" s="17">
        <v>4365</v>
      </c>
      <c r="O30" s="18">
        <v>96.088999999999999</v>
      </c>
      <c r="P30" s="17">
        <v>5876</v>
      </c>
      <c r="Q30" s="18">
        <v>41.819000000000003</v>
      </c>
      <c r="R30" s="17">
        <v>664</v>
      </c>
      <c r="S30" s="18">
        <v>14.022</v>
      </c>
      <c r="T30" s="17">
        <v>356</v>
      </c>
      <c r="U30" s="18">
        <v>6.4080000000000004</v>
      </c>
      <c r="V30" s="17">
        <v>589</v>
      </c>
      <c r="W30" s="18">
        <v>35.43</v>
      </c>
      <c r="X30" s="17">
        <v>12110</v>
      </c>
      <c r="Y30" s="18">
        <v>23.748999999999999</v>
      </c>
      <c r="Z30" s="17" t="s">
        <v>212</v>
      </c>
      <c r="AA30" s="21" t="s">
        <v>212</v>
      </c>
      <c r="AB30" s="8" t="s">
        <v>37</v>
      </c>
      <c r="AC30" s="9"/>
      <c r="AD30" s="9"/>
    </row>
    <row r="31" spans="1:30" x14ac:dyDescent="0.3">
      <c r="A31" s="7" t="s">
        <v>38</v>
      </c>
      <c r="B31" s="20">
        <v>112</v>
      </c>
      <c r="C31" s="18">
        <v>13.67</v>
      </c>
      <c r="D31" s="17">
        <v>622</v>
      </c>
      <c r="E31" s="18">
        <v>136.84</v>
      </c>
      <c r="F31" s="17">
        <v>165</v>
      </c>
      <c r="G31" s="18">
        <v>57.75</v>
      </c>
      <c r="H31" s="17" t="s">
        <v>212</v>
      </c>
      <c r="I31" s="18" t="s">
        <v>212</v>
      </c>
      <c r="J31" s="17" t="s">
        <v>212</v>
      </c>
      <c r="K31" s="18" t="s">
        <v>212</v>
      </c>
      <c r="L31" s="17">
        <v>12775</v>
      </c>
      <c r="M31" s="18">
        <v>127.89700000000001</v>
      </c>
      <c r="N31" s="17">
        <v>2504</v>
      </c>
      <c r="O31" s="18">
        <v>64.277000000000001</v>
      </c>
      <c r="P31" s="17">
        <v>3958</v>
      </c>
      <c r="Q31" s="18">
        <v>28.9</v>
      </c>
      <c r="R31" s="17">
        <v>249</v>
      </c>
      <c r="S31" s="18">
        <v>5.2610000000000001</v>
      </c>
      <c r="T31" s="17">
        <v>1</v>
      </c>
      <c r="U31" s="18">
        <v>1.6E-2</v>
      </c>
      <c r="V31" s="17">
        <v>3961</v>
      </c>
      <c r="W31" s="18">
        <v>217.946</v>
      </c>
      <c r="X31" s="17">
        <v>4489</v>
      </c>
      <c r="Y31" s="18">
        <v>8.0719999999999992</v>
      </c>
      <c r="Z31" s="17">
        <v>200</v>
      </c>
      <c r="AA31" s="21">
        <v>0.6</v>
      </c>
      <c r="AB31" s="8" t="s">
        <v>39</v>
      </c>
      <c r="AC31" s="9"/>
      <c r="AD31" s="9"/>
    </row>
    <row r="32" spans="1:30" x14ac:dyDescent="0.3">
      <c r="A32" s="7" t="s">
        <v>40</v>
      </c>
      <c r="B32" s="20">
        <v>17</v>
      </c>
      <c r="C32" s="18">
        <v>3.21</v>
      </c>
      <c r="D32" s="17" t="s">
        <v>212</v>
      </c>
      <c r="E32" s="18" t="s">
        <v>212</v>
      </c>
      <c r="F32" s="17" t="s">
        <v>212</v>
      </c>
      <c r="G32" s="18" t="s">
        <v>212</v>
      </c>
      <c r="H32" s="17" t="s">
        <v>212</v>
      </c>
      <c r="I32" s="18" t="s">
        <v>212</v>
      </c>
      <c r="J32" s="17" t="s">
        <v>212</v>
      </c>
      <c r="K32" s="18" t="s">
        <v>212</v>
      </c>
      <c r="L32" s="17">
        <v>1393</v>
      </c>
      <c r="M32" s="18">
        <v>13.914</v>
      </c>
      <c r="N32" s="17">
        <v>246</v>
      </c>
      <c r="O32" s="18">
        <v>4.3460000000000001</v>
      </c>
      <c r="P32" s="17">
        <v>963</v>
      </c>
      <c r="Q32" s="18">
        <v>9.57</v>
      </c>
      <c r="R32" s="17">
        <v>110</v>
      </c>
      <c r="S32" s="18">
        <v>1.956</v>
      </c>
      <c r="T32" s="17" t="s">
        <v>212</v>
      </c>
      <c r="U32" s="18" t="s">
        <v>212</v>
      </c>
      <c r="V32" s="17">
        <v>127</v>
      </c>
      <c r="W32" s="18">
        <v>8.2899999999999991</v>
      </c>
      <c r="X32" s="17">
        <v>20592</v>
      </c>
      <c r="Y32" s="18">
        <v>35.046999999999997</v>
      </c>
      <c r="Z32" s="17" t="s">
        <v>212</v>
      </c>
      <c r="AA32" s="21" t="s">
        <v>212</v>
      </c>
      <c r="AB32" s="8" t="s">
        <v>41</v>
      </c>
      <c r="AC32" s="9"/>
      <c r="AD32" s="9"/>
    </row>
    <row r="33" spans="1:30" x14ac:dyDescent="0.3">
      <c r="A33" s="44" t="s">
        <v>42</v>
      </c>
      <c r="B33" s="46">
        <f>SUM(B35:B38)</f>
        <v>770</v>
      </c>
      <c r="C33" s="45">
        <f>SUM(C35:C38)</f>
        <v>105.645</v>
      </c>
      <c r="D33" s="45">
        <f t="shared" ref="D33:AA33" si="6">SUM(D35:D38)</f>
        <v>1229</v>
      </c>
      <c r="E33" s="45">
        <f t="shared" si="6"/>
        <v>250.91</v>
      </c>
      <c r="F33" s="45">
        <f t="shared" si="6"/>
        <v>1845</v>
      </c>
      <c r="G33" s="45">
        <f t="shared" si="6"/>
        <v>264.66000000000003</v>
      </c>
      <c r="H33" s="45">
        <f t="shared" si="6"/>
        <v>0</v>
      </c>
      <c r="I33" s="47">
        <f t="shared" si="6"/>
        <v>0</v>
      </c>
      <c r="J33" s="45">
        <f t="shared" si="6"/>
        <v>0</v>
      </c>
      <c r="K33" s="47">
        <f t="shared" si="6"/>
        <v>0</v>
      </c>
      <c r="L33" s="45">
        <f t="shared" si="6"/>
        <v>102395</v>
      </c>
      <c r="M33" s="45">
        <f t="shared" si="6"/>
        <v>1017.1809999999999</v>
      </c>
      <c r="N33" s="45">
        <f t="shared" si="6"/>
        <v>19842</v>
      </c>
      <c r="O33" s="45">
        <f>SUM(O35:O38)</f>
        <v>443.60699999999997</v>
      </c>
      <c r="P33" s="47">
        <f t="shared" si="6"/>
        <v>16379</v>
      </c>
      <c r="Q33" s="45">
        <f t="shared" si="6"/>
        <v>146.566</v>
      </c>
      <c r="R33" s="45">
        <f t="shared" si="6"/>
        <v>1475</v>
      </c>
      <c r="S33" s="47">
        <f t="shared" si="6"/>
        <v>31.200999999999997</v>
      </c>
      <c r="T33" s="45">
        <f t="shared" si="6"/>
        <v>1249</v>
      </c>
      <c r="U33" s="47">
        <f t="shared" si="6"/>
        <v>24.423999999999999</v>
      </c>
      <c r="V33" s="45">
        <f t="shared" si="6"/>
        <v>69220</v>
      </c>
      <c r="W33" s="47">
        <f t="shared" si="6"/>
        <v>4854.4650000000001</v>
      </c>
      <c r="X33" s="45">
        <f t="shared" si="6"/>
        <v>70970928</v>
      </c>
      <c r="Y33" s="47">
        <f t="shared" si="6"/>
        <v>120170.38800000001</v>
      </c>
      <c r="Z33" s="45">
        <f t="shared" si="6"/>
        <v>60769</v>
      </c>
      <c r="AA33" s="51">
        <f t="shared" si="6"/>
        <v>139.381</v>
      </c>
      <c r="AB33" s="43" t="s">
        <v>43</v>
      </c>
      <c r="AC33" s="43"/>
      <c r="AD33" s="43"/>
    </row>
    <row r="34" spans="1:30" x14ac:dyDescent="0.3">
      <c r="A34" s="44"/>
      <c r="B34" s="46"/>
      <c r="C34" s="45"/>
      <c r="D34" s="45"/>
      <c r="E34" s="45"/>
      <c r="F34" s="45"/>
      <c r="G34" s="45"/>
      <c r="H34" s="45"/>
      <c r="I34" s="47"/>
      <c r="J34" s="45"/>
      <c r="K34" s="47"/>
      <c r="L34" s="45"/>
      <c r="M34" s="45"/>
      <c r="N34" s="45"/>
      <c r="O34" s="45"/>
      <c r="P34" s="47"/>
      <c r="Q34" s="45"/>
      <c r="R34" s="45"/>
      <c r="S34" s="47"/>
      <c r="T34" s="45"/>
      <c r="U34" s="47"/>
      <c r="V34" s="45"/>
      <c r="W34" s="47"/>
      <c r="X34" s="45"/>
      <c r="Y34" s="47"/>
      <c r="Z34" s="45"/>
      <c r="AA34" s="51"/>
      <c r="AB34" s="43"/>
      <c r="AC34" s="43"/>
      <c r="AD34" s="43"/>
    </row>
    <row r="35" spans="1:30" x14ac:dyDescent="0.3">
      <c r="A35" s="7" t="s">
        <v>44</v>
      </c>
      <c r="B35" s="20">
        <v>4</v>
      </c>
      <c r="C35" s="18">
        <v>0.48499999999999999</v>
      </c>
      <c r="D35" s="17" t="s">
        <v>212</v>
      </c>
      <c r="E35" s="18" t="s">
        <v>212</v>
      </c>
      <c r="F35" s="17" t="s">
        <v>212</v>
      </c>
      <c r="G35" s="18" t="s">
        <v>212</v>
      </c>
      <c r="H35" s="17" t="s">
        <v>212</v>
      </c>
      <c r="I35" s="18" t="s">
        <v>212</v>
      </c>
      <c r="J35" s="17" t="s">
        <v>212</v>
      </c>
      <c r="K35" s="18" t="s">
        <v>212</v>
      </c>
      <c r="L35" s="17" t="s">
        <v>212</v>
      </c>
      <c r="M35" s="18" t="s">
        <v>212</v>
      </c>
      <c r="N35" s="17" t="s">
        <v>212</v>
      </c>
      <c r="O35" s="18" t="s">
        <v>212</v>
      </c>
      <c r="P35" s="17" t="s">
        <v>212</v>
      </c>
      <c r="Q35" s="18" t="s">
        <v>212</v>
      </c>
      <c r="R35" s="17" t="s">
        <v>212</v>
      </c>
      <c r="S35" s="18" t="s">
        <v>212</v>
      </c>
      <c r="T35" s="17">
        <v>150</v>
      </c>
      <c r="U35" s="18">
        <v>2.7</v>
      </c>
      <c r="V35" s="17">
        <v>1917</v>
      </c>
      <c r="W35" s="18">
        <v>57.5</v>
      </c>
      <c r="X35" s="17">
        <v>68563667</v>
      </c>
      <c r="Y35" s="18">
        <v>116559.565</v>
      </c>
      <c r="Z35" s="17">
        <v>60022</v>
      </c>
      <c r="AA35" s="21">
        <v>138.048</v>
      </c>
      <c r="AB35" s="8" t="s">
        <v>45</v>
      </c>
      <c r="AC35" s="9"/>
      <c r="AD35" s="9"/>
    </row>
    <row r="36" spans="1:30" x14ac:dyDescent="0.3">
      <c r="A36" s="7" t="s">
        <v>46</v>
      </c>
      <c r="B36" s="20">
        <v>37</v>
      </c>
      <c r="C36" s="18">
        <v>6.79</v>
      </c>
      <c r="D36" s="17">
        <v>6</v>
      </c>
      <c r="E36" s="18">
        <v>1.81</v>
      </c>
      <c r="F36" s="17" t="s">
        <v>212</v>
      </c>
      <c r="G36" s="18" t="s">
        <v>212</v>
      </c>
      <c r="H36" s="17" t="s">
        <v>212</v>
      </c>
      <c r="I36" s="18" t="s">
        <v>212</v>
      </c>
      <c r="J36" s="17" t="s">
        <v>212</v>
      </c>
      <c r="K36" s="18" t="s">
        <v>212</v>
      </c>
      <c r="L36" s="17">
        <v>177</v>
      </c>
      <c r="M36" s="18">
        <v>1.875</v>
      </c>
      <c r="N36" s="17">
        <v>53</v>
      </c>
      <c r="O36" s="18">
        <v>1.2629999999999999</v>
      </c>
      <c r="P36" s="17">
        <v>120</v>
      </c>
      <c r="Q36" s="18">
        <v>1.3360000000000001</v>
      </c>
      <c r="R36" s="17">
        <v>20</v>
      </c>
      <c r="S36" s="18">
        <v>0.46700000000000003</v>
      </c>
      <c r="T36" s="17">
        <v>2</v>
      </c>
      <c r="U36" s="18">
        <v>3.9E-2</v>
      </c>
      <c r="V36" s="17">
        <v>19</v>
      </c>
      <c r="W36" s="18">
        <v>0.88</v>
      </c>
      <c r="X36" s="17">
        <v>30159</v>
      </c>
      <c r="Y36" s="18">
        <v>42.32</v>
      </c>
      <c r="Z36" s="17" t="s">
        <v>212</v>
      </c>
      <c r="AA36" s="21" t="s">
        <v>212</v>
      </c>
      <c r="AB36" s="8" t="s">
        <v>47</v>
      </c>
      <c r="AC36" s="9"/>
      <c r="AD36" s="9"/>
    </row>
    <row r="37" spans="1:30" x14ac:dyDescent="0.3">
      <c r="A37" s="7" t="s">
        <v>48</v>
      </c>
      <c r="B37" s="20">
        <v>556</v>
      </c>
      <c r="C37" s="18">
        <v>66.989999999999995</v>
      </c>
      <c r="D37" s="17">
        <v>773</v>
      </c>
      <c r="E37" s="18">
        <v>154.6</v>
      </c>
      <c r="F37" s="17">
        <v>22</v>
      </c>
      <c r="G37" s="18">
        <v>5.0599999999999996</v>
      </c>
      <c r="H37" s="17" t="s">
        <v>212</v>
      </c>
      <c r="I37" s="18" t="s">
        <v>212</v>
      </c>
      <c r="J37" s="17" t="s">
        <v>212</v>
      </c>
      <c r="K37" s="18" t="s">
        <v>212</v>
      </c>
      <c r="L37" s="17">
        <v>80669</v>
      </c>
      <c r="M37" s="18">
        <v>806.68499999999995</v>
      </c>
      <c r="N37" s="17">
        <v>8013</v>
      </c>
      <c r="O37" s="18">
        <v>184.529</v>
      </c>
      <c r="P37" s="17">
        <v>12661</v>
      </c>
      <c r="Q37" s="18">
        <v>105.95699999999999</v>
      </c>
      <c r="R37" s="17">
        <v>1161</v>
      </c>
      <c r="S37" s="18">
        <v>23.248999999999999</v>
      </c>
      <c r="T37" s="17">
        <v>167</v>
      </c>
      <c r="U37" s="18">
        <v>3.085</v>
      </c>
      <c r="V37" s="17">
        <v>64</v>
      </c>
      <c r="W37" s="18">
        <v>3.4849999999999999</v>
      </c>
      <c r="X37" s="17">
        <v>14567</v>
      </c>
      <c r="Y37" s="18">
        <v>23.363</v>
      </c>
      <c r="Z37" s="17">
        <v>132</v>
      </c>
      <c r="AA37" s="21">
        <v>0.24299999999999999</v>
      </c>
      <c r="AB37" s="8" t="s">
        <v>49</v>
      </c>
      <c r="AC37" s="9"/>
      <c r="AD37" s="9"/>
    </row>
    <row r="38" spans="1:30" x14ac:dyDescent="0.3">
      <c r="A38" s="7" t="s">
        <v>50</v>
      </c>
      <c r="B38" s="20">
        <v>173</v>
      </c>
      <c r="C38" s="18">
        <v>31.38</v>
      </c>
      <c r="D38" s="17">
        <v>450</v>
      </c>
      <c r="E38" s="18">
        <v>94.5</v>
      </c>
      <c r="F38" s="17">
        <v>1823</v>
      </c>
      <c r="G38" s="18">
        <v>259.60000000000002</v>
      </c>
      <c r="H38" s="17" t="s">
        <v>212</v>
      </c>
      <c r="I38" s="18" t="s">
        <v>212</v>
      </c>
      <c r="J38" s="17" t="s">
        <v>212</v>
      </c>
      <c r="K38" s="18" t="s">
        <v>212</v>
      </c>
      <c r="L38" s="17">
        <v>21549</v>
      </c>
      <c r="M38" s="18">
        <v>208.62100000000001</v>
      </c>
      <c r="N38" s="17">
        <v>11776</v>
      </c>
      <c r="O38" s="18">
        <v>257.815</v>
      </c>
      <c r="P38" s="17">
        <v>3598</v>
      </c>
      <c r="Q38" s="18">
        <v>39.273000000000003</v>
      </c>
      <c r="R38" s="17">
        <v>294</v>
      </c>
      <c r="S38" s="18">
        <v>7.4850000000000003</v>
      </c>
      <c r="T38" s="17">
        <v>930</v>
      </c>
      <c r="U38" s="18">
        <v>18.600000000000001</v>
      </c>
      <c r="V38" s="17">
        <v>67220</v>
      </c>
      <c r="W38" s="18">
        <v>4792.6000000000004</v>
      </c>
      <c r="X38" s="17">
        <v>2362535</v>
      </c>
      <c r="Y38" s="18">
        <v>3545.14</v>
      </c>
      <c r="Z38" s="17">
        <v>615</v>
      </c>
      <c r="AA38" s="21">
        <v>1.0900000000000001</v>
      </c>
      <c r="AB38" s="8" t="s">
        <v>51</v>
      </c>
      <c r="AC38" s="9"/>
      <c r="AD38" s="9"/>
    </row>
    <row r="39" spans="1:30" x14ac:dyDescent="0.3">
      <c r="A39" s="44" t="s">
        <v>52</v>
      </c>
      <c r="B39" s="46">
        <f>SUM(B41:B45)</f>
        <v>4392</v>
      </c>
      <c r="C39" s="45">
        <f>SUM(C41:C45)</f>
        <v>794.38499999999999</v>
      </c>
      <c r="D39" s="45">
        <f t="shared" ref="D39:K39" si="7">SUM(D41:D45)</f>
        <v>19902</v>
      </c>
      <c r="E39" s="45">
        <f t="shared" si="7"/>
        <v>5614.2690000000002</v>
      </c>
      <c r="F39" s="45">
        <f t="shared" si="7"/>
        <v>8179</v>
      </c>
      <c r="G39" s="45">
        <f t="shared" si="7"/>
        <v>3094.0680000000002</v>
      </c>
      <c r="H39" s="45">
        <f t="shared" si="7"/>
        <v>3</v>
      </c>
      <c r="I39" s="47">
        <f t="shared" si="7"/>
        <v>0.56999999999999995</v>
      </c>
      <c r="J39" s="45">
        <f t="shared" si="7"/>
        <v>10</v>
      </c>
      <c r="K39" s="47">
        <f t="shared" si="7"/>
        <v>2.2999999999999998</v>
      </c>
      <c r="L39" s="45">
        <f t="shared" ref="L39:P39" si="8">SUM(L41:L45)</f>
        <v>642936</v>
      </c>
      <c r="M39" s="45">
        <f t="shared" si="8"/>
        <v>5668.7180000000008</v>
      </c>
      <c r="N39" s="45">
        <f t="shared" si="8"/>
        <v>108496</v>
      </c>
      <c r="O39" s="45">
        <f>SUM(O41:O45)</f>
        <v>2235.0259999999998</v>
      </c>
      <c r="P39" s="47">
        <f t="shared" si="8"/>
        <v>141670</v>
      </c>
      <c r="Q39" s="45">
        <f t="shared" ref="Q39:AA39" si="9">SUM(Q41:Q45)</f>
        <v>1204.71</v>
      </c>
      <c r="R39" s="45">
        <f t="shared" si="9"/>
        <v>24354</v>
      </c>
      <c r="S39" s="47">
        <f t="shared" si="9"/>
        <v>448.51099999999997</v>
      </c>
      <c r="T39" s="45">
        <f t="shared" si="9"/>
        <v>12946</v>
      </c>
      <c r="U39" s="47">
        <f t="shared" si="9"/>
        <v>243.154</v>
      </c>
      <c r="V39" s="45">
        <f t="shared" si="9"/>
        <v>144983</v>
      </c>
      <c r="W39" s="47">
        <f t="shared" si="9"/>
        <v>9178.8019999999997</v>
      </c>
      <c r="X39" s="45">
        <f t="shared" si="9"/>
        <v>305634</v>
      </c>
      <c r="Y39" s="47">
        <f t="shared" si="9"/>
        <v>592.02300000000002</v>
      </c>
      <c r="Z39" s="45">
        <f t="shared" si="9"/>
        <v>7185</v>
      </c>
      <c r="AA39" s="51">
        <f t="shared" si="9"/>
        <v>12.59</v>
      </c>
      <c r="AB39" s="43" t="s">
        <v>53</v>
      </c>
      <c r="AC39" s="43"/>
      <c r="AD39" s="43"/>
    </row>
    <row r="40" spans="1:30" x14ac:dyDescent="0.3">
      <c r="A40" s="44"/>
      <c r="B40" s="46"/>
      <c r="C40" s="45"/>
      <c r="D40" s="45"/>
      <c r="E40" s="45"/>
      <c r="F40" s="45"/>
      <c r="G40" s="45"/>
      <c r="H40" s="45"/>
      <c r="I40" s="47"/>
      <c r="J40" s="45"/>
      <c r="K40" s="47"/>
      <c r="L40" s="45"/>
      <c r="M40" s="45"/>
      <c r="N40" s="45"/>
      <c r="O40" s="45"/>
      <c r="P40" s="47"/>
      <c r="Q40" s="45"/>
      <c r="R40" s="45"/>
      <c r="S40" s="47"/>
      <c r="T40" s="45"/>
      <c r="U40" s="47"/>
      <c r="V40" s="45"/>
      <c r="W40" s="47"/>
      <c r="X40" s="45"/>
      <c r="Y40" s="47"/>
      <c r="Z40" s="45"/>
      <c r="AA40" s="51"/>
      <c r="AB40" s="43"/>
      <c r="AC40" s="43"/>
      <c r="AD40" s="43"/>
    </row>
    <row r="41" spans="1:30" x14ac:dyDescent="0.3">
      <c r="A41" s="7" t="s">
        <v>54</v>
      </c>
      <c r="B41" s="20">
        <v>1972</v>
      </c>
      <c r="C41" s="18">
        <v>309.93400000000003</v>
      </c>
      <c r="D41" s="17">
        <v>4358</v>
      </c>
      <c r="E41" s="18">
        <v>1164.479</v>
      </c>
      <c r="F41" s="17">
        <v>5800</v>
      </c>
      <c r="G41" s="18">
        <v>2342.6080000000002</v>
      </c>
      <c r="H41" s="17" t="s">
        <v>212</v>
      </c>
      <c r="I41" s="18" t="s">
        <v>212</v>
      </c>
      <c r="J41" s="17" t="s">
        <v>212</v>
      </c>
      <c r="K41" s="18" t="s">
        <v>212</v>
      </c>
      <c r="L41" s="17">
        <v>487096</v>
      </c>
      <c r="M41" s="18">
        <v>4146.7910000000002</v>
      </c>
      <c r="N41" s="17">
        <v>75976</v>
      </c>
      <c r="O41" s="18">
        <v>1406.115</v>
      </c>
      <c r="P41" s="17">
        <v>104583</v>
      </c>
      <c r="Q41" s="18">
        <v>869.38599999999997</v>
      </c>
      <c r="R41" s="17">
        <v>16390</v>
      </c>
      <c r="S41" s="18">
        <v>277.49599999999998</v>
      </c>
      <c r="T41" s="17">
        <v>5703</v>
      </c>
      <c r="U41" s="18">
        <v>113.301</v>
      </c>
      <c r="V41" s="17">
        <v>41116</v>
      </c>
      <c r="W41" s="18">
        <v>3568.5920000000001</v>
      </c>
      <c r="X41" s="17">
        <v>48094</v>
      </c>
      <c r="Y41" s="18">
        <v>125.29600000000001</v>
      </c>
      <c r="Z41" s="17">
        <v>1400</v>
      </c>
      <c r="AA41" s="21">
        <v>3.2090000000000001</v>
      </c>
      <c r="AB41" s="8" t="s">
        <v>55</v>
      </c>
      <c r="AC41" s="9"/>
      <c r="AD41" s="9"/>
    </row>
    <row r="42" spans="1:30" x14ac:dyDescent="0.3">
      <c r="A42" s="7" t="s">
        <v>56</v>
      </c>
      <c r="B42" s="20">
        <v>337</v>
      </c>
      <c r="C42" s="18">
        <v>76.861000000000004</v>
      </c>
      <c r="D42" s="17">
        <v>2738</v>
      </c>
      <c r="E42" s="18">
        <v>810.93</v>
      </c>
      <c r="F42" s="17">
        <v>451</v>
      </c>
      <c r="G42" s="18">
        <v>119.98</v>
      </c>
      <c r="H42" s="17" t="s">
        <v>212</v>
      </c>
      <c r="I42" s="18" t="s">
        <v>212</v>
      </c>
      <c r="J42" s="17" t="s">
        <v>212</v>
      </c>
      <c r="K42" s="18" t="s">
        <v>212</v>
      </c>
      <c r="L42" s="17">
        <v>47995</v>
      </c>
      <c r="M42" s="18">
        <v>471.17599999999999</v>
      </c>
      <c r="N42" s="17">
        <v>7044</v>
      </c>
      <c r="O42" s="18">
        <v>195.114</v>
      </c>
      <c r="P42" s="17">
        <v>5326</v>
      </c>
      <c r="Q42" s="18">
        <v>48.34</v>
      </c>
      <c r="R42" s="17">
        <v>183</v>
      </c>
      <c r="S42" s="18">
        <v>4.2629999999999999</v>
      </c>
      <c r="T42" s="17">
        <v>750</v>
      </c>
      <c r="U42" s="18">
        <v>13.5</v>
      </c>
      <c r="V42" s="17">
        <v>27446</v>
      </c>
      <c r="W42" s="18">
        <v>1616.05</v>
      </c>
      <c r="X42" s="17">
        <v>52875</v>
      </c>
      <c r="Y42" s="18">
        <v>61.198</v>
      </c>
      <c r="Z42" s="17">
        <v>690</v>
      </c>
      <c r="AA42" s="21">
        <v>0.874</v>
      </c>
      <c r="AB42" s="8" t="s">
        <v>57</v>
      </c>
      <c r="AC42" s="9"/>
      <c r="AD42" s="9"/>
    </row>
    <row r="43" spans="1:30" x14ac:dyDescent="0.3">
      <c r="A43" s="7" t="s">
        <v>58</v>
      </c>
      <c r="B43" s="20">
        <v>139</v>
      </c>
      <c r="C43" s="18">
        <v>19.864999999999998</v>
      </c>
      <c r="D43" s="17">
        <v>1770</v>
      </c>
      <c r="E43" s="18">
        <v>427.5</v>
      </c>
      <c r="F43" s="17">
        <v>364</v>
      </c>
      <c r="G43" s="18">
        <v>115.84</v>
      </c>
      <c r="H43" s="17" t="s">
        <v>212</v>
      </c>
      <c r="I43" s="18" t="s">
        <v>212</v>
      </c>
      <c r="J43" s="17" t="s">
        <v>212</v>
      </c>
      <c r="K43" s="18" t="s">
        <v>212</v>
      </c>
      <c r="L43" s="17">
        <v>27657</v>
      </c>
      <c r="M43" s="18">
        <v>248.91399999999999</v>
      </c>
      <c r="N43" s="17">
        <v>5440</v>
      </c>
      <c r="O43" s="18">
        <v>104.346</v>
      </c>
      <c r="P43" s="17">
        <v>13342</v>
      </c>
      <c r="Q43" s="18">
        <v>120.724</v>
      </c>
      <c r="R43" s="17">
        <v>2380</v>
      </c>
      <c r="S43" s="18">
        <v>47.345999999999997</v>
      </c>
      <c r="T43" s="17">
        <v>190</v>
      </c>
      <c r="U43" s="18">
        <v>3.593</v>
      </c>
      <c r="V43" s="17">
        <v>5909</v>
      </c>
      <c r="W43" s="18">
        <v>254.08500000000001</v>
      </c>
      <c r="X43" s="17">
        <v>5300</v>
      </c>
      <c r="Y43" s="18">
        <v>8.7940000000000005</v>
      </c>
      <c r="Z43" s="17">
        <v>250</v>
      </c>
      <c r="AA43" s="21">
        <v>0.45</v>
      </c>
      <c r="AB43" s="8" t="s">
        <v>59</v>
      </c>
      <c r="AC43" s="9"/>
      <c r="AD43" s="9"/>
    </row>
    <row r="44" spans="1:30" x14ac:dyDescent="0.3">
      <c r="A44" s="7" t="s">
        <v>60</v>
      </c>
      <c r="B44" s="20">
        <v>1</v>
      </c>
      <c r="C44" s="18">
        <v>0.125</v>
      </c>
      <c r="D44" s="17" t="s">
        <v>212</v>
      </c>
      <c r="E44" s="18" t="s">
        <v>212</v>
      </c>
      <c r="F44" s="17" t="s">
        <v>212</v>
      </c>
      <c r="G44" s="18" t="s">
        <v>212</v>
      </c>
      <c r="H44" s="17" t="s">
        <v>212</v>
      </c>
      <c r="I44" s="18" t="s">
        <v>212</v>
      </c>
      <c r="J44" s="17" t="s">
        <v>212</v>
      </c>
      <c r="K44" s="18" t="s">
        <v>212</v>
      </c>
      <c r="L44" s="17">
        <v>28</v>
      </c>
      <c r="M44" s="18">
        <v>0.252</v>
      </c>
      <c r="N44" s="17">
        <v>4</v>
      </c>
      <c r="O44" s="18">
        <v>0.1</v>
      </c>
      <c r="P44" s="17">
        <v>489</v>
      </c>
      <c r="Q44" s="18">
        <v>4.8899999999999997</v>
      </c>
      <c r="R44" s="17">
        <v>21</v>
      </c>
      <c r="S44" s="18">
        <v>0.42</v>
      </c>
      <c r="T44" s="17" t="s">
        <v>212</v>
      </c>
      <c r="U44" s="18" t="s">
        <v>212</v>
      </c>
      <c r="V44" s="17" t="s">
        <v>212</v>
      </c>
      <c r="W44" s="18" t="s">
        <v>212</v>
      </c>
      <c r="X44" s="17">
        <v>200</v>
      </c>
      <c r="Y44" s="18">
        <v>0.28000000000000003</v>
      </c>
      <c r="Z44" s="17" t="s">
        <v>212</v>
      </c>
      <c r="AA44" s="21" t="s">
        <v>212</v>
      </c>
      <c r="AB44" s="8" t="s">
        <v>61</v>
      </c>
      <c r="AC44" s="9"/>
      <c r="AD44" s="9"/>
    </row>
    <row r="45" spans="1:30" x14ac:dyDescent="0.3">
      <c r="A45" s="7" t="s">
        <v>62</v>
      </c>
      <c r="B45" s="20">
        <v>1943</v>
      </c>
      <c r="C45" s="18">
        <v>387.6</v>
      </c>
      <c r="D45" s="17">
        <v>11036</v>
      </c>
      <c r="E45" s="18">
        <v>3211.36</v>
      </c>
      <c r="F45" s="17">
        <v>1564</v>
      </c>
      <c r="G45" s="18">
        <v>515.64</v>
      </c>
      <c r="H45" s="17">
        <v>3</v>
      </c>
      <c r="I45" s="18">
        <v>0.56999999999999995</v>
      </c>
      <c r="J45" s="17">
        <v>10</v>
      </c>
      <c r="K45" s="18">
        <v>2.2999999999999998</v>
      </c>
      <c r="L45" s="17">
        <v>80160</v>
      </c>
      <c r="M45" s="18">
        <v>801.58500000000004</v>
      </c>
      <c r="N45" s="17">
        <v>20032</v>
      </c>
      <c r="O45" s="18">
        <v>529.351</v>
      </c>
      <c r="P45" s="17">
        <v>17930</v>
      </c>
      <c r="Q45" s="18">
        <v>161.37</v>
      </c>
      <c r="R45" s="17">
        <v>5380</v>
      </c>
      <c r="S45" s="18">
        <v>118.986</v>
      </c>
      <c r="T45" s="17">
        <v>6303</v>
      </c>
      <c r="U45" s="18">
        <v>112.76</v>
      </c>
      <c r="V45" s="17">
        <v>70512</v>
      </c>
      <c r="W45" s="18">
        <v>3740.0749999999998</v>
      </c>
      <c r="X45" s="17">
        <v>199165</v>
      </c>
      <c r="Y45" s="18">
        <v>396.45499999999998</v>
      </c>
      <c r="Z45" s="17">
        <v>4845</v>
      </c>
      <c r="AA45" s="21">
        <v>8.0570000000000004</v>
      </c>
      <c r="AB45" s="8" t="s">
        <v>63</v>
      </c>
      <c r="AC45" s="9"/>
      <c r="AD45" s="9"/>
    </row>
    <row r="46" spans="1:30" x14ac:dyDescent="0.3">
      <c r="A46" s="44" t="s">
        <v>64</v>
      </c>
      <c r="B46" s="46">
        <f t="shared" ref="B46:G46" si="10">SUM(B48:B52)</f>
        <v>2064</v>
      </c>
      <c r="C46" s="45">
        <f t="shared" si="10"/>
        <v>324.91600000000005</v>
      </c>
      <c r="D46" s="45">
        <f t="shared" si="10"/>
        <v>5162</v>
      </c>
      <c r="E46" s="45">
        <f t="shared" si="10"/>
        <v>1317.4939999999999</v>
      </c>
      <c r="F46" s="45">
        <f t="shared" si="10"/>
        <v>2513</v>
      </c>
      <c r="G46" s="45">
        <f t="shared" si="10"/>
        <v>727.04099999999994</v>
      </c>
      <c r="H46" s="45">
        <f t="shared" ref="H46:M46" si="11">SUM(H48:H52)</f>
        <v>0</v>
      </c>
      <c r="I46" s="47">
        <f t="shared" si="11"/>
        <v>0</v>
      </c>
      <c r="J46" s="45">
        <f t="shared" si="11"/>
        <v>0</v>
      </c>
      <c r="K46" s="47">
        <f t="shared" si="11"/>
        <v>0</v>
      </c>
      <c r="L46" s="45">
        <f t="shared" si="11"/>
        <v>164373</v>
      </c>
      <c r="M46" s="45">
        <f t="shared" si="11"/>
        <v>1727.3589999999999</v>
      </c>
      <c r="N46" s="45">
        <f>SUM(N48:N52)</f>
        <v>48415</v>
      </c>
      <c r="O46" s="45">
        <f>SUM(O48:O52)</f>
        <v>1155.204</v>
      </c>
      <c r="P46" s="47">
        <f>SUM(P48:P52)</f>
        <v>69216</v>
      </c>
      <c r="Q46" s="45">
        <f t="shared" ref="Q46:AA46" si="12">SUM(Q48:Q52)</f>
        <v>683.29</v>
      </c>
      <c r="R46" s="45">
        <f t="shared" si="12"/>
        <v>23858</v>
      </c>
      <c r="S46" s="47">
        <f t="shared" si="12"/>
        <v>511.18400000000008</v>
      </c>
      <c r="T46" s="45">
        <f t="shared" si="12"/>
        <v>11739</v>
      </c>
      <c r="U46" s="47">
        <f t="shared" si="12"/>
        <v>221.55499999999998</v>
      </c>
      <c r="V46" s="45">
        <f t="shared" si="12"/>
        <v>158693</v>
      </c>
      <c r="W46" s="47">
        <f t="shared" si="12"/>
        <v>10768.054999999998</v>
      </c>
      <c r="X46" s="45">
        <f t="shared" si="12"/>
        <v>42125686</v>
      </c>
      <c r="Y46" s="47">
        <f t="shared" si="12"/>
        <v>83678.315000000002</v>
      </c>
      <c r="Z46" s="45">
        <f t="shared" si="12"/>
        <v>19219</v>
      </c>
      <c r="AA46" s="51">
        <f t="shared" si="12"/>
        <v>33.186999999999998</v>
      </c>
      <c r="AB46" s="43" t="s">
        <v>65</v>
      </c>
      <c r="AC46" s="43"/>
      <c r="AD46" s="43"/>
    </row>
    <row r="47" spans="1:30" x14ac:dyDescent="0.3">
      <c r="A47" s="44"/>
      <c r="B47" s="46"/>
      <c r="C47" s="45"/>
      <c r="D47" s="45"/>
      <c r="E47" s="45"/>
      <c r="F47" s="45"/>
      <c r="G47" s="45"/>
      <c r="H47" s="45"/>
      <c r="I47" s="47"/>
      <c r="J47" s="45"/>
      <c r="K47" s="47"/>
      <c r="L47" s="45"/>
      <c r="M47" s="45"/>
      <c r="N47" s="45"/>
      <c r="O47" s="45"/>
      <c r="P47" s="47"/>
      <c r="Q47" s="45"/>
      <c r="R47" s="45"/>
      <c r="S47" s="47"/>
      <c r="T47" s="45"/>
      <c r="U47" s="47"/>
      <c r="V47" s="45"/>
      <c r="W47" s="47"/>
      <c r="X47" s="45"/>
      <c r="Y47" s="47"/>
      <c r="Z47" s="45"/>
      <c r="AA47" s="51"/>
      <c r="AB47" s="43"/>
      <c r="AC47" s="43"/>
      <c r="AD47" s="43"/>
    </row>
    <row r="48" spans="1:30" x14ac:dyDescent="0.3">
      <c r="A48" s="7" t="s">
        <v>66</v>
      </c>
      <c r="B48" s="20">
        <v>467</v>
      </c>
      <c r="C48" s="18">
        <v>86.438000000000002</v>
      </c>
      <c r="D48" s="17">
        <v>2716</v>
      </c>
      <c r="E48" s="18">
        <v>715.89300000000003</v>
      </c>
      <c r="F48" s="17">
        <v>371</v>
      </c>
      <c r="G48" s="18">
        <v>150.755</v>
      </c>
      <c r="H48" s="17" t="s">
        <v>212</v>
      </c>
      <c r="I48" s="18" t="s">
        <v>212</v>
      </c>
      <c r="J48" s="17" t="s">
        <v>212</v>
      </c>
      <c r="K48" s="18" t="s">
        <v>212</v>
      </c>
      <c r="L48" s="17">
        <v>58297</v>
      </c>
      <c r="M48" s="18">
        <v>577.53399999999999</v>
      </c>
      <c r="N48" s="17">
        <v>12141</v>
      </c>
      <c r="O48" s="18">
        <v>289.74799999999999</v>
      </c>
      <c r="P48" s="17">
        <v>12320</v>
      </c>
      <c r="Q48" s="18">
        <v>119.371</v>
      </c>
      <c r="R48" s="17">
        <v>2394</v>
      </c>
      <c r="S48" s="18">
        <v>56.365000000000002</v>
      </c>
      <c r="T48" s="17">
        <v>2544</v>
      </c>
      <c r="U48" s="18">
        <v>45.848999999999997</v>
      </c>
      <c r="V48" s="17">
        <v>9113</v>
      </c>
      <c r="W48" s="18">
        <v>619.90200000000004</v>
      </c>
      <c r="X48" s="17">
        <v>45288</v>
      </c>
      <c r="Y48" s="18">
        <v>73.296000000000006</v>
      </c>
      <c r="Z48" s="17">
        <v>14524</v>
      </c>
      <c r="AA48" s="21">
        <v>24.437999999999999</v>
      </c>
      <c r="AB48" s="8" t="s">
        <v>67</v>
      </c>
      <c r="AC48" s="9"/>
      <c r="AD48" s="9"/>
    </row>
    <row r="49" spans="1:30" x14ac:dyDescent="0.3">
      <c r="A49" s="7" t="s">
        <v>68</v>
      </c>
      <c r="B49" s="20">
        <v>889</v>
      </c>
      <c r="C49" s="18">
        <v>144.27000000000001</v>
      </c>
      <c r="D49" s="17">
        <v>1303</v>
      </c>
      <c r="E49" s="18">
        <v>394.86500000000001</v>
      </c>
      <c r="F49" s="17">
        <v>1024</v>
      </c>
      <c r="G49" s="18">
        <v>376.56400000000002</v>
      </c>
      <c r="H49" s="17" t="s">
        <v>212</v>
      </c>
      <c r="I49" s="18" t="s">
        <v>212</v>
      </c>
      <c r="J49" s="17" t="s">
        <v>212</v>
      </c>
      <c r="K49" s="18" t="s">
        <v>212</v>
      </c>
      <c r="L49" s="17">
        <v>38901</v>
      </c>
      <c r="M49" s="18">
        <v>479.75200000000001</v>
      </c>
      <c r="N49" s="17">
        <v>26819</v>
      </c>
      <c r="O49" s="18">
        <v>643.19799999999998</v>
      </c>
      <c r="P49" s="17">
        <v>10769</v>
      </c>
      <c r="Q49" s="18">
        <v>119.09099999999999</v>
      </c>
      <c r="R49" s="17">
        <v>16037</v>
      </c>
      <c r="S49" s="18">
        <v>350.03300000000002</v>
      </c>
      <c r="T49" s="17">
        <v>2952</v>
      </c>
      <c r="U49" s="18">
        <v>54.64</v>
      </c>
      <c r="V49" s="17">
        <v>15735</v>
      </c>
      <c r="W49" s="18">
        <v>763.89</v>
      </c>
      <c r="X49" s="17">
        <v>5504353</v>
      </c>
      <c r="Y49" s="18">
        <v>11482.409</v>
      </c>
      <c r="Z49" s="17" t="s">
        <v>212</v>
      </c>
      <c r="AA49" s="21" t="s">
        <v>212</v>
      </c>
      <c r="AB49" s="8" t="s">
        <v>69</v>
      </c>
      <c r="AC49" s="9"/>
      <c r="AD49" s="9"/>
    </row>
    <row r="50" spans="1:30" x14ac:dyDescent="0.3">
      <c r="A50" s="7" t="s">
        <v>70</v>
      </c>
      <c r="B50" s="20">
        <v>549</v>
      </c>
      <c r="C50" s="18">
        <v>79.25</v>
      </c>
      <c r="D50" s="17">
        <v>551</v>
      </c>
      <c r="E50" s="18">
        <v>109</v>
      </c>
      <c r="F50" s="17" t="s">
        <v>212</v>
      </c>
      <c r="G50" s="18" t="s">
        <v>212</v>
      </c>
      <c r="H50" s="17" t="s">
        <v>212</v>
      </c>
      <c r="I50" s="18" t="s">
        <v>212</v>
      </c>
      <c r="J50" s="17" t="s">
        <v>212</v>
      </c>
      <c r="K50" s="18" t="s">
        <v>212</v>
      </c>
      <c r="L50" s="17">
        <v>41515</v>
      </c>
      <c r="M50" s="18">
        <v>399.36700000000002</v>
      </c>
      <c r="N50" s="17">
        <v>3212</v>
      </c>
      <c r="O50" s="18">
        <v>71.370999999999995</v>
      </c>
      <c r="P50" s="17">
        <v>30342</v>
      </c>
      <c r="Q50" s="18">
        <v>296.41399999999999</v>
      </c>
      <c r="R50" s="17">
        <v>1361</v>
      </c>
      <c r="S50" s="18">
        <v>25.17</v>
      </c>
      <c r="T50" s="17">
        <v>6215</v>
      </c>
      <c r="U50" s="18">
        <v>120.571</v>
      </c>
      <c r="V50" s="17">
        <v>133146</v>
      </c>
      <c r="W50" s="18">
        <v>9335.9809999999998</v>
      </c>
      <c r="X50" s="17">
        <v>33508895</v>
      </c>
      <c r="Y50" s="18">
        <v>67517.074999999997</v>
      </c>
      <c r="Z50" s="17">
        <v>650</v>
      </c>
      <c r="AA50" s="21">
        <v>1.3</v>
      </c>
      <c r="AB50" s="8" t="s">
        <v>71</v>
      </c>
      <c r="AC50" s="9"/>
      <c r="AD50" s="9"/>
    </row>
    <row r="51" spans="1:30" x14ac:dyDescent="0.3">
      <c r="A51" s="7" t="s">
        <v>72</v>
      </c>
      <c r="B51" s="20">
        <v>100</v>
      </c>
      <c r="C51" s="18">
        <v>9.9949999999999992</v>
      </c>
      <c r="D51" s="17">
        <v>140</v>
      </c>
      <c r="E51" s="18">
        <v>30.04</v>
      </c>
      <c r="F51" s="17">
        <v>9</v>
      </c>
      <c r="G51" s="18">
        <v>1.92</v>
      </c>
      <c r="H51" s="17" t="s">
        <v>212</v>
      </c>
      <c r="I51" s="18" t="s">
        <v>212</v>
      </c>
      <c r="J51" s="17" t="s">
        <v>212</v>
      </c>
      <c r="K51" s="18" t="s">
        <v>212</v>
      </c>
      <c r="L51" s="17">
        <v>5637</v>
      </c>
      <c r="M51" s="18">
        <v>69.415000000000006</v>
      </c>
      <c r="N51" s="17">
        <v>867</v>
      </c>
      <c r="O51" s="18">
        <v>20.338000000000001</v>
      </c>
      <c r="P51" s="17">
        <v>5287</v>
      </c>
      <c r="Q51" s="18">
        <v>58.027000000000001</v>
      </c>
      <c r="R51" s="17">
        <v>1037</v>
      </c>
      <c r="S51" s="18">
        <v>19.61</v>
      </c>
      <c r="T51" s="17">
        <v>4</v>
      </c>
      <c r="U51" s="18">
        <v>7.4999999999999997E-2</v>
      </c>
      <c r="V51" s="17">
        <v>657</v>
      </c>
      <c r="W51" s="18">
        <v>46.561999999999998</v>
      </c>
      <c r="X51" s="17">
        <v>6756</v>
      </c>
      <c r="Y51" s="18">
        <v>15.172000000000001</v>
      </c>
      <c r="Z51" s="17">
        <v>2953</v>
      </c>
      <c r="AA51" s="21">
        <v>5.4909999999999997</v>
      </c>
      <c r="AB51" s="8" t="s">
        <v>73</v>
      </c>
      <c r="AC51" s="9"/>
      <c r="AD51" s="9"/>
    </row>
    <row r="52" spans="1:30" x14ac:dyDescent="0.3">
      <c r="A52" s="7" t="s">
        <v>74</v>
      </c>
      <c r="B52" s="20">
        <v>59</v>
      </c>
      <c r="C52" s="18">
        <v>4.9630000000000001</v>
      </c>
      <c r="D52" s="17">
        <v>452</v>
      </c>
      <c r="E52" s="18">
        <v>67.695999999999998</v>
      </c>
      <c r="F52" s="17">
        <v>1109</v>
      </c>
      <c r="G52" s="18">
        <v>197.80199999999999</v>
      </c>
      <c r="H52" s="17" t="s">
        <v>212</v>
      </c>
      <c r="I52" s="18" t="s">
        <v>212</v>
      </c>
      <c r="J52" s="17" t="s">
        <v>212</v>
      </c>
      <c r="K52" s="18" t="s">
        <v>212</v>
      </c>
      <c r="L52" s="17">
        <v>20023</v>
      </c>
      <c r="M52" s="18">
        <v>201.291</v>
      </c>
      <c r="N52" s="17">
        <v>5376</v>
      </c>
      <c r="O52" s="18">
        <v>130.54900000000001</v>
      </c>
      <c r="P52" s="17">
        <v>10498</v>
      </c>
      <c r="Q52" s="18">
        <v>90.387</v>
      </c>
      <c r="R52" s="17">
        <v>3029</v>
      </c>
      <c r="S52" s="18">
        <v>60.006</v>
      </c>
      <c r="T52" s="17">
        <v>24</v>
      </c>
      <c r="U52" s="18">
        <v>0.42</v>
      </c>
      <c r="V52" s="17">
        <v>42</v>
      </c>
      <c r="W52" s="18">
        <v>1.72</v>
      </c>
      <c r="X52" s="17">
        <v>3060394</v>
      </c>
      <c r="Y52" s="18">
        <v>4590.3630000000003</v>
      </c>
      <c r="Z52" s="17">
        <v>1092</v>
      </c>
      <c r="AA52" s="21">
        <v>1.958</v>
      </c>
      <c r="AB52" s="8" t="s">
        <v>75</v>
      </c>
      <c r="AC52" s="9"/>
      <c r="AD52" s="9"/>
    </row>
    <row r="53" spans="1:30" x14ac:dyDescent="0.3">
      <c r="A53" s="44" t="s">
        <v>76</v>
      </c>
      <c r="B53" s="46">
        <f t="shared" ref="B53:E53" si="13">SUM(B55:B59)</f>
        <v>157</v>
      </c>
      <c r="C53" s="45">
        <f t="shared" si="13"/>
        <v>30.59</v>
      </c>
      <c r="D53" s="45">
        <f t="shared" si="13"/>
        <v>178</v>
      </c>
      <c r="E53" s="45">
        <f t="shared" si="13"/>
        <v>43.749999999999993</v>
      </c>
      <c r="F53" s="45">
        <f t="shared" ref="F53:I53" si="14">SUM(F55:F59)</f>
        <v>65</v>
      </c>
      <c r="G53" s="45">
        <f t="shared" si="14"/>
        <v>22.6</v>
      </c>
      <c r="H53" s="45">
        <f t="shared" si="14"/>
        <v>0</v>
      </c>
      <c r="I53" s="47">
        <f t="shared" si="14"/>
        <v>0</v>
      </c>
      <c r="J53" s="45">
        <f t="shared" ref="J53:M53" si="15">SUM(J55:J59)</f>
        <v>0</v>
      </c>
      <c r="K53" s="47">
        <f t="shared" si="15"/>
        <v>0</v>
      </c>
      <c r="L53" s="45">
        <f t="shared" si="15"/>
        <v>20474</v>
      </c>
      <c r="M53" s="45">
        <f t="shared" si="15"/>
        <v>196.58699999999999</v>
      </c>
      <c r="N53" s="45">
        <f>SUM(N55:N59)</f>
        <v>3828</v>
      </c>
      <c r="O53" s="45">
        <f>SUM(O55:O59)</f>
        <v>117.60599999999999</v>
      </c>
      <c r="P53" s="47">
        <f>SUM(P55:P59)</f>
        <v>22825</v>
      </c>
      <c r="Q53" s="45">
        <f t="shared" ref="Q53:AA53" si="16">SUM(Q55:Q59)</f>
        <v>223.155</v>
      </c>
      <c r="R53" s="45">
        <f t="shared" si="16"/>
        <v>3834</v>
      </c>
      <c r="S53" s="47">
        <f t="shared" si="16"/>
        <v>134.917</v>
      </c>
      <c r="T53" s="45">
        <f t="shared" si="16"/>
        <v>318</v>
      </c>
      <c r="U53" s="47">
        <f t="shared" si="16"/>
        <v>5.1709999999999994</v>
      </c>
      <c r="V53" s="45">
        <f t="shared" si="16"/>
        <v>673</v>
      </c>
      <c r="W53" s="47">
        <f t="shared" si="16"/>
        <v>44.46</v>
      </c>
      <c r="X53" s="45">
        <f t="shared" si="16"/>
        <v>33813</v>
      </c>
      <c r="Y53" s="47">
        <f t="shared" si="16"/>
        <v>50.01</v>
      </c>
      <c r="Z53" s="45">
        <f t="shared" si="16"/>
        <v>17510</v>
      </c>
      <c r="AA53" s="51">
        <f t="shared" si="16"/>
        <v>21.259</v>
      </c>
      <c r="AB53" s="43" t="s">
        <v>77</v>
      </c>
      <c r="AC53" s="43"/>
      <c r="AD53" s="43"/>
    </row>
    <row r="54" spans="1:30" x14ac:dyDescent="0.3">
      <c r="A54" s="44"/>
      <c r="B54" s="46"/>
      <c r="C54" s="45"/>
      <c r="D54" s="45"/>
      <c r="E54" s="45"/>
      <c r="F54" s="45"/>
      <c r="G54" s="45"/>
      <c r="H54" s="45"/>
      <c r="I54" s="47"/>
      <c r="J54" s="45"/>
      <c r="K54" s="47"/>
      <c r="L54" s="45"/>
      <c r="M54" s="45"/>
      <c r="N54" s="45"/>
      <c r="O54" s="45"/>
      <c r="P54" s="47"/>
      <c r="Q54" s="45"/>
      <c r="R54" s="45"/>
      <c r="S54" s="47"/>
      <c r="T54" s="45"/>
      <c r="U54" s="47"/>
      <c r="V54" s="45"/>
      <c r="W54" s="47"/>
      <c r="X54" s="45"/>
      <c r="Y54" s="47"/>
      <c r="Z54" s="45"/>
      <c r="AA54" s="51"/>
      <c r="AB54" s="43"/>
      <c r="AC54" s="43"/>
      <c r="AD54" s="43"/>
    </row>
    <row r="55" spans="1:30" x14ac:dyDescent="0.3">
      <c r="A55" s="7" t="s">
        <v>78</v>
      </c>
      <c r="B55" s="20">
        <v>18</v>
      </c>
      <c r="C55" s="18">
        <v>3.9649999999999999</v>
      </c>
      <c r="D55" s="17">
        <v>3</v>
      </c>
      <c r="E55" s="18">
        <v>1.2</v>
      </c>
      <c r="F55" s="17" t="s">
        <v>212</v>
      </c>
      <c r="G55" s="18" t="s">
        <v>212</v>
      </c>
      <c r="H55" s="17" t="s">
        <v>212</v>
      </c>
      <c r="I55" s="18" t="s">
        <v>212</v>
      </c>
      <c r="J55" s="17" t="s">
        <v>212</v>
      </c>
      <c r="K55" s="18" t="s">
        <v>212</v>
      </c>
      <c r="L55" s="17" t="s">
        <v>212</v>
      </c>
      <c r="M55" s="18" t="s">
        <v>212</v>
      </c>
      <c r="N55" s="17">
        <v>1</v>
      </c>
      <c r="O55" s="18">
        <v>2.8000000000000001E-2</v>
      </c>
      <c r="P55" s="17">
        <v>2</v>
      </c>
      <c r="Q55" s="18">
        <v>1.6E-2</v>
      </c>
      <c r="R55" s="17" t="s">
        <v>212</v>
      </c>
      <c r="S55" s="18" t="s">
        <v>212</v>
      </c>
      <c r="T55" s="17" t="s">
        <v>212</v>
      </c>
      <c r="U55" s="18" t="s">
        <v>212</v>
      </c>
      <c r="V55" s="17" t="s">
        <v>212</v>
      </c>
      <c r="W55" s="18" t="s">
        <v>212</v>
      </c>
      <c r="X55" s="17">
        <v>3933</v>
      </c>
      <c r="Y55" s="18">
        <v>5.2770000000000001</v>
      </c>
      <c r="Z55" s="17">
        <v>25</v>
      </c>
      <c r="AA55" s="21">
        <v>2.9000000000000001E-2</v>
      </c>
      <c r="AB55" s="8" t="s">
        <v>79</v>
      </c>
      <c r="AC55" s="9"/>
      <c r="AD55" s="9"/>
    </row>
    <row r="56" spans="1:30" x14ac:dyDescent="0.3">
      <c r="A56" s="7" t="s">
        <v>80</v>
      </c>
      <c r="B56" s="20">
        <v>19</v>
      </c>
      <c r="C56" s="18">
        <v>3.36</v>
      </c>
      <c r="D56" s="17">
        <v>112</v>
      </c>
      <c r="E56" s="18">
        <v>26.93</v>
      </c>
      <c r="F56" s="17">
        <v>25</v>
      </c>
      <c r="G56" s="18">
        <v>6.6</v>
      </c>
      <c r="H56" s="17" t="s">
        <v>212</v>
      </c>
      <c r="I56" s="18" t="s">
        <v>212</v>
      </c>
      <c r="J56" s="17" t="s">
        <v>212</v>
      </c>
      <c r="K56" s="18" t="s">
        <v>212</v>
      </c>
      <c r="L56" s="17">
        <v>1022</v>
      </c>
      <c r="M56" s="18">
        <v>12.209</v>
      </c>
      <c r="N56" s="17">
        <v>134</v>
      </c>
      <c r="O56" s="18">
        <v>2.246</v>
      </c>
      <c r="P56" s="17">
        <v>1441</v>
      </c>
      <c r="Q56" s="18">
        <v>16.545000000000002</v>
      </c>
      <c r="R56" s="17">
        <v>141</v>
      </c>
      <c r="S56" s="18">
        <v>2.387</v>
      </c>
      <c r="T56" s="17">
        <v>78</v>
      </c>
      <c r="U56" s="18">
        <v>1.367</v>
      </c>
      <c r="V56" s="17">
        <v>659</v>
      </c>
      <c r="W56" s="18">
        <v>43.71</v>
      </c>
      <c r="X56" s="17">
        <v>26265</v>
      </c>
      <c r="Y56" s="18">
        <v>38.344999999999999</v>
      </c>
      <c r="Z56" s="17">
        <v>17175</v>
      </c>
      <c r="AA56" s="21">
        <v>20.795000000000002</v>
      </c>
      <c r="AB56" s="8" t="s">
        <v>81</v>
      </c>
      <c r="AC56" s="9"/>
      <c r="AD56" s="9"/>
    </row>
    <row r="57" spans="1:30" x14ac:dyDescent="0.3">
      <c r="A57" s="7" t="s">
        <v>82</v>
      </c>
      <c r="B57" s="20" t="s">
        <v>212</v>
      </c>
      <c r="C57" s="18" t="s">
        <v>212</v>
      </c>
      <c r="D57" s="17" t="s">
        <v>212</v>
      </c>
      <c r="E57" s="18" t="s">
        <v>212</v>
      </c>
      <c r="F57" s="17" t="s">
        <v>212</v>
      </c>
      <c r="G57" s="18" t="s">
        <v>212</v>
      </c>
      <c r="H57" s="17" t="s">
        <v>212</v>
      </c>
      <c r="I57" s="18" t="s">
        <v>212</v>
      </c>
      <c r="J57" s="17" t="s">
        <v>212</v>
      </c>
      <c r="K57" s="18" t="s">
        <v>212</v>
      </c>
      <c r="L57" s="17" t="s">
        <v>212</v>
      </c>
      <c r="M57" s="18" t="s">
        <v>212</v>
      </c>
      <c r="N57" s="17" t="s">
        <v>212</v>
      </c>
      <c r="O57" s="18" t="s">
        <v>212</v>
      </c>
      <c r="P57" s="17" t="s">
        <v>212</v>
      </c>
      <c r="Q57" s="18" t="s">
        <v>212</v>
      </c>
      <c r="R57" s="17" t="s">
        <v>212</v>
      </c>
      <c r="S57" s="18" t="s">
        <v>212</v>
      </c>
      <c r="T57" s="17" t="s">
        <v>212</v>
      </c>
      <c r="U57" s="18" t="s">
        <v>212</v>
      </c>
      <c r="V57" s="17" t="s">
        <v>212</v>
      </c>
      <c r="W57" s="18" t="s">
        <v>212</v>
      </c>
      <c r="X57" s="17" t="s">
        <v>212</v>
      </c>
      <c r="Y57" s="18" t="s">
        <v>212</v>
      </c>
      <c r="Z57" s="17" t="s">
        <v>212</v>
      </c>
      <c r="AA57" s="21" t="s">
        <v>212</v>
      </c>
      <c r="AB57" s="8" t="s">
        <v>83</v>
      </c>
      <c r="AC57" s="9"/>
      <c r="AD57" s="9"/>
    </row>
    <row r="58" spans="1:30" x14ac:dyDescent="0.3">
      <c r="A58" s="7" t="s">
        <v>84</v>
      </c>
      <c r="B58" s="20">
        <v>101</v>
      </c>
      <c r="C58" s="18">
        <v>21.175000000000001</v>
      </c>
      <c r="D58" s="17">
        <v>55</v>
      </c>
      <c r="E58" s="18">
        <v>14</v>
      </c>
      <c r="F58" s="17">
        <v>40</v>
      </c>
      <c r="G58" s="18">
        <v>16</v>
      </c>
      <c r="H58" s="17" t="s">
        <v>212</v>
      </c>
      <c r="I58" s="18" t="s">
        <v>212</v>
      </c>
      <c r="J58" s="17" t="s">
        <v>212</v>
      </c>
      <c r="K58" s="18" t="s">
        <v>212</v>
      </c>
      <c r="L58" s="17">
        <v>19452</v>
      </c>
      <c r="M58" s="18">
        <v>184.37799999999999</v>
      </c>
      <c r="N58" s="17">
        <v>3693</v>
      </c>
      <c r="O58" s="18">
        <v>115.33199999999999</v>
      </c>
      <c r="P58" s="17">
        <v>21382</v>
      </c>
      <c r="Q58" s="18">
        <v>206.59399999999999</v>
      </c>
      <c r="R58" s="17">
        <v>3693</v>
      </c>
      <c r="S58" s="18">
        <v>132.53</v>
      </c>
      <c r="T58" s="17">
        <v>240</v>
      </c>
      <c r="U58" s="18">
        <v>3.8039999999999998</v>
      </c>
      <c r="V58" s="17">
        <v>14</v>
      </c>
      <c r="W58" s="18">
        <v>0.75</v>
      </c>
      <c r="X58" s="17">
        <v>1780</v>
      </c>
      <c r="Y58" s="18">
        <v>2.7050000000000001</v>
      </c>
      <c r="Z58" s="17">
        <v>200</v>
      </c>
      <c r="AA58" s="21">
        <v>0.23</v>
      </c>
      <c r="AB58" s="8" t="s">
        <v>85</v>
      </c>
      <c r="AC58" s="9"/>
      <c r="AD58" s="9"/>
    </row>
    <row r="59" spans="1:30" x14ac:dyDescent="0.3">
      <c r="A59" s="7" t="s">
        <v>86</v>
      </c>
      <c r="B59" s="20">
        <v>19</v>
      </c>
      <c r="C59" s="18">
        <v>2.09</v>
      </c>
      <c r="D59" s="17">
        <v>8</v>
      </c>
      <c r="E59" s="18">
        <v>1.62</v>
      </c>
      <c r="F59" s="17" t="s">
        <v>212</v>
      </c>
      <c r="G59" s="18" t="s">
        <v>212</v>
      </c>
      <c r="H59" s="17" t="s">
        <v>212</v>
      </c>
      <c r="I59" s="18" t="s">
        <v>212</v>
      </c>
      <c r="J59" s="17" t="s">
        <v>212</v>
      </c>
      <c r="K59" s="18" t="s">
        <v>212</v>
      </c>
      <c r="L59" s="17" t="s">
        <v>212</v>
      </c>
      <c r="M59" s="18" t="s">
        <v>212</v>
      </c>
      <c r="N59" s="17" t="s">
        <v>212</v>
      </c>
      <c r="O59" s="18" t="s">
        <v>212</v>
      </c>
      <c r="P59" s="17" t="s">
        <v>212</v>
      </c>
      <c r="Q59" s="18" t="s">
        <v>212</v>
      </c>
      <c r="R59" s="17" t="s">
        <v>212</v>
      </c>
      <c r="S59" s="18" t="s">
        <v>212</v>
      </c>
      <c r="T59" s="17" t="s">
        <v>212</v>
      </c>
      <c r="U59" s="18" t="s">
        <v>212</v>
      </c>
      <c r="V59" s="17" t="s">
        <v>212</v>
      </c>
      <c r="W59" s="18" t="s">
        <v>212</v>
      </c>
      <c r="X59" s="17">
        <v>1835</v>
      </c>
      <c r="Y59" s="18">
        <v>3.6829999999999998</v>
      </c>
      <c r="Z59" s="17">
        <v>110</v>
      </c>
      <c r="AA59" s="21">
        <v>0.20499999999999999</v>
      </c>
      <c r="AB59" s="8" t="s">
        <v>87</v>
      </c>
      <c r="AC59" s="9"/>
      <c r="AD59" s="9"/>
    </row>
    <row r="60" spans="1:30" x14ac:dyDescent="0.3">
      <c r="A60" s="44" t="s">
        <v>88</v>
      </c>
      <c r="B60" s="46">
        <f t="shared" ref="B60:G60" si="17">SUM(B62:B64)</f>
        <v>8414</v>
      </c>
      <c r="C60" s="45">
        <f t="shared" si="17"/>
        <v>917.77899999999988</v>
      </c>
      <c r="D60" s="45">
        <f t="shared" si="17"/>
        <v>8068</v>
      </c>
      <c r="E60" s="45">
        <f t="shared" si="17"/>
        <v>2072.0329999999999</v>
      </c>
      <c r="F60" s="45">
        <f t="shared" si="17"/>
        <v>4957</v>
      </c>
      <c r="G60" s="45">
        <f t="shared" si="17"/>
        <v>1373.923</v>
      </c>
      <c r="H60" s="45">
        <f t="shared" ref="H60:AA60" si="18">SUM(H62:H64)</f>
        <v>0</v>
      </c>
      <c r="I60" s="47">
        <f t="shared" si="18"/>
        <v>0</v>
      </c>
      <c r="J60" s="45">
        <f t="shared" si="18"/>
        <v>3</v>
      </c>
      <c r="K60" s="47">
        <f t="shared" si="18"/>
        <v>4.4999999999999998E-2</v>
      </c>
      <c r="L60" s="45">
        <f t="shared" si="18"/>
        <v>641535</v>
      </c>
      <c r="M60" s="45">
        <f t="shared" si="18"/>
        <v>6209.9259999999995</v>
      </c>
      <c r="N60" s="45">
        <f t="shared" si="18"/>
        <v>107246</v>
      </c>
      <c r="O60" s="45">
        <f>SUM(O62:O64)</f>
        <v>2021.8509999999999</v>
      </c>
      <c r="P60" s="47">
        <f t="shared" si="18"/>
        <v>178775</v>
      </c>
      <c r="Q60" s="45">
        <f t="shared" si="18"/>
        <v>1614.277</v>
      </c>
      <c r="R60" s="45">
        <f t="shared" si="18"/>
        <v>36335</v>
      </c>
      <c r="S60" s="47">
        <f t="shared" si="18"/>
        <v>711.76199999999994</v>
      </c>
      <c r="T60" s="45">
        <f t="shared" si="18"/>
        <v>25127</v>
      </c>
      <c r="U60" s="47">
        <f t="shared" si="18"/>
        <v>438.52400000000006</v>
      </c>
      <c r="V60" s="45">
        <f t="shared" si="18"/>
        <v>107550</v>
      </c>
      <c r="W60" s="47">
        <f t="shared" si="18"/>
        <v>7763.7350000000006</v>
      </c>
      <c r="X60" s="45">
        <f t="shared" si="18"/>
        <v>371114</v>
      </c>
      <c r="Y60" s="47">
        <f t="shared" si="18"/>
        <v>650.23500000000001</v>
      </c>
      <c r="Z60" s="45">
        <f t="shared" si="18"/>
        <v>100987</v>
      </c>
      <c r="AA60" s="51">
        <f t="shared" si="18"/>
        <v>157.041</v>
      </c>
      <c r="AB60" s="43" t="s">
        <v>89</v>
      </c>
      <c r="AC60" s="43"/>
      <c r="AD60" s="43"/>
    </row>
    <row r="61" spans="1:30" x14ac:dyDescent="0.3">
      <c r="A61" s="44"/>
      <c r="B61" s="46"/>
      <c r="C61" s="45"/>
      <c r="D61" s="45"/>
      <c r="E61" s="45"/>
      <c r="F61" s="45"/>
      <c r="G61" s="45"/>
      <c r="H61" s="45"/>
      <c r="I61" s="47"/>
      <c r="J61" s="45"/>
      <c r="K61" s="47"/>
      <c r="L61" s="45"/>
      <c r="M61" s="45"/>
      <c r="N61" s="45"/>
      <c r="O61" s="45"/>
      <c r="P61" s="47"/>
      <c r="Q61" s="45"/>
      <c r="R61" s="45"/>
      <c r="S61" s="47"/>
      <c r="T61" s="45"/>
      <c r="U61" s="47"/>
      <c r="V61" s="45"/>
      <c r="W61" s="47"/>
      <c r="X61" s="45"/>
      <c r="Y61" s="47"/>
      <c r="Z61" s="45"/>
      <c r="AA61" s="51"/>
      <c r="AB61" s="43"/>
      <c r="AC61" s="43"/>
      <c r="AD61" s="43"/>
    </row>
    <row r="62" spans="1:30" x14ac:dyDescent="0.3">
      <c r="A62" s="7" t="s">
        <v>90</v>
      </c>
      <c r="B62" s="20">
        <v>942</v>
      </c>
      <c r="C62" s="18">
        <v>168.89500000000001</v>
      </c>
      <c r="D62" s="17">
        <v>307</v>
      </c>
      <c r="E62" s="18">
        <v>79.64</v>
      </c>
      <c r="F62" s="17">
        <v>141</v>
      </c>
      <c r="G62" s="18">
        <v>38.53</v>
      </c>
      <c r="H62" s="17" t="s">
        <v>212</v>
      </c>
      <c r="I62" s="18" t="s">
        <v>212</v>
      </c>
      <c r="J62" s="17" t="s">
        <v>212</v>
      </c>
      <c r="K62" s="18" t="s">
        <v>212</v>
      </c>
      <c r="L62" s="17">
        <v>218796</v>
      </c>
      <c r="M62" s="18">
        <v>1988.548</v>
      </c>
      <c r="N62" s="17">
        <v>41093</v>
      </c>
      <c r="O62" s="18">
        <v>790.57899999999995</v>
      </c>
      <c r="P62" s="17">
        <v>68970</v>
      </c>
      <c r="Q62" s="18">
        <v>614.37800000000004</v>
      </c>
      <c r="R62" s="17">
        <v>14860</v>
      </c>
      <c r="S62" s="18">
        <v>274.34199999999998</v>
      </c>
      <c r="T62" s="17">
        <v>139</v>
      </c>
      <c r="U62" s="18">
        <v>2.5950000000000002</v>
      </c>
      <c r="V62" s="17">
        <v>204</v>
      </c>
      <c r="W62" s="18">
        <v>12.64</v>
      </c>
      <c r="X62" s="17">
        <v>52112</v>
      </c>
      <c r="Y62" s="18">
        <v>91.4</v>
      </c>
      <c r="Z62" s="17">
        <v>2881</v>
      </c>
      <c r="AA62" s="21">
        <v>5.08</v>
      </c>
      <c r="AB62" s="8" t="s">
        <v>91</v>
      </c>
      <c r="AC62" s="9"/>
      <c r="AD62" s="9"/>
    </row>
    <row r="63" spans="1:30" x14ac:dyDescent="0.3">
      <c r="A63" s="7" t="s">
        <v>92</v>
      </c>
      <c r="B63" s="20">
        <v>7361</v>
      </c>
      <c r="C63" s="18">
        <v>728.95899999999995</v>
      </c>
      <c r="D63" s="17">
        <v>5136</v>
      </c>
      <c r="E63" s="18">
        <v>1003.533</v>
      </c>
      <c r="F63" s="17">
        <v>4704</v>
      </c>
      <c r="G63" s="18">
        <v>1279.393</v>
      </c>
      <c r="H63" s="17" t="s">
        <v>212</v>
      </c>
      <c r="I63" s="18" t="s">
        <v>212</v>
      </c>
      <c r="J63" s="17">
        <v>3</v>
      </c>
      <c r="K63" s="18">
        <v>4.4999999999999998E-2</v>
      </c>
      <c r="L63" s="17">
        <v>383251</v>
      </c>
      <c r="M63" s="18">
        <v>3791.1819999999998</v>
      </c>
      <c r="N63" s="17">
        <v>62647</v>
      </c>
      <c r="O63" s="18">
        <v>1142.8219999999999</v>
      </c>
      <c r="P63" s="17">
        <v>101397</v>
      </c>
      <c r="Q63" s="18">
        <v>907.66800000000001</v>
      </c>
      <c r="R63" s="17">
        <v>19660</v>
      </c>
      <c r="S63" s="18">
        <v>395.48899999999998</v>
      </c>
      <c r="T63" s="17">
        <v>24718</v>
      </c>
      <c r="U63" s="18">
        <v>430.55900000000003</v>
      </c>
      <c r="V63" s="17">
        <v>83405</v>
      </c>
      <c r="W63" s="18">
        <v>5843.232</v>
      </c>
      <c r="X63" s="17">
        <v>207687</v>
      </c>
      <c r="Y63" s="18">
        <v>311.10899999999998</v>
      </c>
      <c r="Z63" s="17">
        <v>78738</v>
      </c>
      <c r="AA63" s="21">
        <v>120.55500000000001</v>
      </c>
      <c r="AB63" s="8" t="s">
        <v>93</v>
      </c>
      <c r="AC63" s="9"/>
      <c r="AD63" s="9"/>
    </row>
    <row r="64" spans="1:30" x14ac:dyDescent="0.3">
      <c r="A64" s="7" t="s">
        <v>94</v>
      </c>
      <c r="B64" s="20">
        <v>111</v>
      </c>
      <c r="C64" s="18">
        <v>19.925000000000001</v>
      </c>
      <c r="D64" s="17">
        <v>2625</v>
      </c>
      <c r="E64" s="18">
        <v>988.86</v>
      </c>
      <c r="F64" s="17">
        <v>112</v>
      </c>
      <c r="G64" s="18">
        <v>56</v>
      </c>
      <c r="H64" s="17" t="s">
        <v>212</v>
      </c>
      <c r="I64" s="18" t="s">
        <v>212</v>
      </c>
      <c r="J64" s="17" t="s">
        <v>212</v>
      </c>
      <c r="K64" s="18" t="s">
        <v>212</v>
      </c>
      <c r="L64" s="17">
        <v>39488</v>
      </c>
      <c r="M64" s="18">
        <v>430.19600000000003</v>
      </c>
      <c r="N64" s="17">
        <v>3506</v>
      </c>
      <c r="O64" s="18">
        <v>88.45</v>
      </c>
      <c r="P64" s="17">
        <v>8408</v>
      </c>
      <c r="Q64" s="18">
        <v>92.230999999999995</v>
      </c>
      <c r="R64" s="17">
        <v>1815</v>
      </c>
      <c r="S64" s="18">
        <v>41.930999999999997</v>
      </c>
      <c r="T64" s="17">
        <v>270</v>
      </c>
      <c r="U64" s="18">
        <v>5.37</v>
      </c>
      <c r="V64" s="17">
        <v>23941</v>
      </c>
      <c r="W64" s="18">
        <v>1907.8630000000001</v>
      </c>
      <c r="X64" s="17">
        <v>111315</v>
      </c>
      <c r="Y64" s="18">
        <v>247.726</v>
      </c>
      <c r="Z64" s="17">
        <v>19368</v>
      </c>
      <c r="AA64" s="21">
        <v>31.405999999999999</v>
      </c>
      <c r="AB64" s="8" t="s">
        <v>95</v>
      </c>
      <c r="AC64" s="9"/>
      <c r="AD64" s="9"/>
    </row>
    <row r="65" spans="1:30" x14ac:dyDescent="0.3">
      <c r="A65" s="44" t="s">
        <v>96</v>
      </c>
      <c r="B65" s="46">
        <f t="shared" ref="B65:F65" si="19">SUM(B67:B71)</f>
        <v>603</v>
      </c>
      <c r="C65" s="45">
        <f t="shared" si="19"/>
        <v>105.259</v>
      </c>
      <c r="D65" s="45">
        <f t="shared" si="19"/>
        <v>2134</v>
      </c>
      <c r="E65" s="45">
        <f t="shared" si="19"/>
        <v>491.64599999999996</v>
      </c>
      <c r="F65" s="45">
        <f t="shared" si="19"/>
        <v>73</v>
      </c>
      <c r="G65" s="45">
        <f t="shared" ref="G65:AA65" si="20">SUM(G67:G71)</f>
        <v>26.129000000000001</v>
      </c>
      <c r="H65" s="45">
        <f t="shared" si="20"/>
        <v>298</v>
      </c>
      <c r="I65" s="47">
        <f t="shared" si="20"/>
        <v>142.32</v>
      </c>
      <c r="J65" s="45">
        <f t="shared" si="20"/>
        <v>0</v>
      </c>
      <c r="K65" s="47">
        <f t="shared" si="20"/>
        <v>0</v>
      </c>
      <c r="L65" s="45">
        <f t="shared" si="20"/>
        <v>405323</v>
      </c>
      <c r="M65" s="45">
        <f t="shared" si="20"/>
        <v>3845.623</v>
      </c>
      <c r="N65" s="45">
        <f t="shared" si="20"/>
        <v>65912</v>
      </c>
      <c r="O65" s="45">
        <f>SUM(O67:O71)</f>
        <v>1499.0729999999999</v>
      </c>
      <c r="P65" s="47">
        <f t="shared" si="20"/>
        <v>155901</v>
      </c>
      <c r="Q65" s="45">
        <f t="shared" si="20"/>
        <v>1525.8989999999999</v>
      </c>
      <c r="R65" s="45">
        <f t="shared" si="20"/>
        <v>21940</v>
      </c>
      <c r="S65" s="47">
        <f t="shared" si="20"/>
        <v>421.37099999999998</v>
      </c>
      <c r="T65" s="45">
        <f t="shared" si="20"/>
        <v>6768</v>
      </c>
      <c r="U65" s="47">
        <f t="shared" si="20"/>
        <v>131.29300000000001</v>
      </c>
      <c r="V65" s="45">
        <f t="shared" si="20"/>
        <v>88718</v>
      </c>
      <c r="W65" s="47">
        <f t="shared" si="20"/>
        <v>5707.2649999999994</v>
      </c>
      <c r="X65" s="45">
        <f t="shared" si="20"/>
        <v>408051</v>
      </c>
      <c r="Y65" s="47">
        <f t="shared" si="20"/>
        <v>811.64099999999996</v>
      </c>
      <c r="Z65" s="45">
        <f t="shared" si="20"/>
        <v>14362</v>
      </c>
      <c r="AA65" s="51">
        <f t="shared" si="20"/>
        <v>26.718</v>
      </c>
      <c r="AB65" s="43" t="s">
        <v>97</v>
      </c>
      <c r="AC65" s="43"/>
      <c r="AD65" s="43"/>
    </row>
    <row r="66" spans="1:30" x14ac:dyDescent="0.3">
      <c r="A66" s="44"/>
      <c r="B66" s="46"/>
      <c r="C66" s="45"/>
      <c r="D66" s="45"/>
      <c r="E66" s="45"/>
      <c r="F66" s="45"/>
      <c r="G66" s="45"/>
      <c r="H66" s="45"/>
      <c r="I66" s="47"/>
      <c r="J66" s="45"/>
      <c r="K66" s="47"/>
      <c r="L66" s="45"/>
      <c r="M66" s="45"/>
      <c r="N66" s="45"/>
      <c r="O66" s="45"/>
      <c r="P66" s="47"/>
      <c r="Q66" s="45"/>
      <c r="R66" s="45"/>
      <c r="S66" s="47"/>
      <c r="T66" s="45"/>
      <c r="U66" s="47"/>
      <c r="V66" s="45"/>
      <c r="W66" s="47"/>
      <c r="X66" s="45"/>
      <c r="Y66" s="47"/>
      <c r="Z66" s="45"/>
      <c r="AA66" s="51"/>
      <c r="AB66" s="43"/>
      <c r="AC66" s="43"/>
      <c r="AD66" s="43"/>
    </row>
    <row r="67" spans="1:30" x14ac:dyDescent="0.3">
      <c r="A67" s="7" t="s">
        <v>98</v>
      </c>
      <c r="B67" s="20">
        <v>59</v>
      </c>
      <c r="C67" s="18">
        <v>8.7889999999999997</v>
      </c>
      <c r="D67" s="17">
        <v>360</v>
      </c>
      <c r="E67" s="18">
        <v>90</v>
      </c>
      <c r="F67" s="17" t="s">
        <v>212</v>
      </c>
      <c r="G67" s="18" t="s">
        <v>212</v>
      </c>
      <c r="H67" s="17" t="s">
        <v>212</v>
      </c>
      <c r="I67" s="18" t="s">
        <v>212</v>
      </c>
      <c r="J67" s="17" t="s">
        <v>212</v>
      </c>
      <c r="K67" s="18" t="s">
        <v>212</v>
      </c>
      <c r="L67" s="17">
        <v>29676</v>
      </c>
      <c r="M67" s="18">
        <v>271.03300000000002</v>
      </c>
      <c r="N67" s="17">
        <v>7840</v>
      </c>
      <c r="O67" s="18">
        <v>160.15299999999999</v>
      </c>
      <c r="P67" s="17">
        <v>11112</v>
      </c>
      <c r="Q67" s="18">
        <v>101.14400000000001</v>
      </c>
      <c r="R67" s="17">
        <v>3310</v>
      </c>
      <c r="S67" s="18">
        <v>66.334999999999994</v>
      </c>
      <c r="T67" s="17">
        <v>19</v>
      </c>
      <c r="U67" s="18">
        <v>0.35799999999999998</v>
      </c>
      <c r="V67" s="17">
        <v>248</v>
      </c>
      <c r="W67" s="18">
        <v>14.1</v>
      </c>
      <c r="X67" s="17">
        <v>100019</v>
      </c>
      <c r="Y67" s="18">
        <v>155.994</v>
      </c>
      <c r="Z67" s="17">
        <v>7640</v>
      </c>
      <c r="AA67" s="21">
        <v>13.442</v>
      </c>
      <c r="AB67" s="8" t="s">
        <v>99</v>
      </c>
      <c r="AC67" s="9"/>
      <c r="AD67" s="9"/>
    </row>
    <row r="68" spans="1:30" x14ac:dyDescent="0.3">
      <c r="A68" s="7" t="s">
        <v>100</v>
      </c>
      <c r="B68" s="20">
        <v>54</v>
      </c>
      <c r="C68" s="18">
        <v>7.2489999999999997</v>
      </c>
      <c r="D68" s="17">
        <v>190</v>
      </c>
      <c r="E68" s="18">
        <v>42.55</v>
      </c>
      <c r="F68" s="17" t="s">
        <v>212</v>
      </c>
      <c r="G68" s="18" t="s">
        <v>212</v>
      </c>
      <c r="H68" s="17" t="s">
        <v>212</v>
      </c>
      <c r="I68" s="18" t="s">
        <v>212</v>
      </c>
      <c r="J68" s="17" t="s">
        <v>212</v>
      </c>
      <c r="K68" s="18" t="s">
        <v>212</v>
      </c>
      <c r="L68" s="17">
        <v>26633</v>
      </c>
      <c r="M68" s="18">
        <v>266.38</v>
      </c>
      <c r="N68" s="17">
        <v>4737</v>
      </c>
      <c r="O68" s="18">
        <v>96.444999999999993</v>
      </c>
      <c r="P68" s="17">
        <v>13276</v>
      </c>
      <c r="Q68" s="18">
        <v>132.495</v>
      </c>
      <c r="R68" s="17">
        <v>3253</v>
      </c>
      <c r="S68" s="18">
        <v>65.105999999999995</v>
      </c>
      <c r="T68" s="17">
        <v>2785</v>
      </c>
      <c r="U68" s="18">
        <v>52.884999999999998</v>
      </c>
      <c r="V68" s="17">
        <v>5477</v>
      </c>
      <c r="W68" s="18">
        <v>433.53</v>
      </c>
      <c r="X68" s="17">
        <v>8963</v>
      </c>
      <c r="Y68" s="18">
        <v>17.948</v>
      </c>
      <c r="Z68" s="17">
        <v>1680</v>
      </c>
      <c r="AA68" s="21">
        <v>3.19</v>
      </c>
      <c r="AB68" s="8" t="s">
        <v>101</v>
      </c>
      <c r="AC68" s="9"/>
      <c r="AD68" s="9"/>
    </row>
    <row r="69" spans="1:30" x14ac:dyDescent="0.3">
      <c r="A69" s="7" t="s">
        <v>102</v>
      </c>
      <c r="B69" s="20">
        <v>26</v>
      </c>
      <c r="C69" s="18">
        <v>4.5490000000000004</v>
      </c>
      <c r="D69" s="17">
        <v>809</v>
      </c>
      <c r="E69" s="18">
        <v>164.26499999999999</v>
      </c>
      <c r="F69" s="17">
        <v>48</v>
      </c>
      <c r="G69" s="18">
        <v>18.48</v>
      </c>
      <c r="H69" s="17" t="s">
        <v>212</v>
      </c>
      <c r="I69" s="18" t="s">
        <v>212</v>
      </c>
      <c r="J69" s="17" t="s">
        <v>212</v>
      </c>
      <c r="K69" s="18" t="s">
        <v>212</v>
      </c>
      <c r="L69" s="17">
        <v>285758</v>
      </c>
      <c r="M69" s="18">
        <v>2679.6840000000002</v>
      </c>
      <c r="N69" s="17">
        <v>50916</v>
      </c>
      <c r="O69" s="18">
        <v>1197.1099999999999</v>
      </c>
      <c r="P69" s="17">
        <v>65318</v>
      </c>
      <c r="Q69" s="18">
        <v>633.69000000000005</v>
      </c>
      <c r="R69" s="17">
        <v>14334</v>
      </c>
      <c r="S69" s="18">
        <v>268.94499999999999</v>
      </c>
      <c r="T69" s="17">
        <v>3662</v>
      </c>
      <c r="U69" s="18">
        <v>72.12</v>
      </c>
      <c r="V69" s="17">
        <v>64990</v>
      </c>
      <c r="W69" s="18">
        <v>3806.84</v>
      </c>
      <c r="X69" s="17">
        <v>8515</v>
      </c>
      <c r="Y69" s="18">
        <v>16.965</v>
      </c>
      <c r="Z69" s="17">
        <v>2945</v>
      </c>
      <c r="AA69" s="21">
        <v>5.3019999999999996</v>
      </c>
      <c r="AB69" s="8" t="s">
        <v>103</v>
      </c>
      <c r="AC69" s="9"/>
      <c r="AD69" s="9"/>
    </row>
    <row r="70" spans="1:30" x14ac:dyDescent="0.3">
      <c r="A70" s="7" t="s">
        <v>104</v>
      </c>
      <c r="B70" s="20">
        <v>160</v>
      </c>
      <c r="C70" s="18">
        <v>31.98</v>
      </c>
      <c r="D70" s="17">
        <v>738</v>
      </c>
      <c r="E70" s="18">
        <v>184.47</v>
      </c>
      <c r="F70" s="17">
        <v>6</v>
      </c>
      <c r="G70" s="18">
        <v>2</v>
      </c>
      <c r="H70" s="17" t="s">
        <v>212</v>
      </c>
      <c r="I70" s="18" t="s">
        <v>212</v>
      </c>
      <c r="J70" s="17" t="s">
        <v>212</v>
      </c>
      <c r="K70" s="18" t="s">
        <v>212</v>
      </c>
      <c r="L70" s="17">
        <v>50112</v>
      </c>
      <c r="M70" s="18">
        <v>502.31900000000002</v>
      </c>
      <c r="N70" s="17">
        <v>530</v>
      </c>
      <c r="O70" s="18">
        <v>10.61</v>
      </c>
      <c r="P70" s="17">
        <v>59086</v>
      </c>
      <c r="Q70" s="18">
        <v>601.78</v>
      </c>
      <c r="R70" s="17">
        <v>573</v>
      </c>
      <c r="S70" s="18">
        <v>11.76</v>
      </c>
      <c r="T70" s="17">
        <v>231</v>
      </c>
      <c r="U70" s="18">
        <v>4.62</v>
      </c>
      <c r="V70" s="17">
        <v>14455</v>
      </c>
      <c r="W70" s="18">
        <v>1155.3499999999999</v>
      </c>
      <c r="X70" s="17">
        <v>250890</v>
      </c>
      <c r="Y70" s="18">
        <v>493.18</v>
      </c>
      <c r="Z70" s="17">
        <v>255</v>
      </c>
      <c r="AA70" s="21">
        <v>0.5</v>
      </c>
      <c r="AB70" s="8" t="s">
        <v>105</v>
      </c>
      <c r="AC70" s="9"/>
      <c r="AD70" s="9"/>
    </row>
    <row r="71" spans="1:30" x14ac:dyDescent="0.3">
      <c r="A71" s="7" t="s">
        <v>106</v>
      </c>
      <c r="B71" s="20">
        <v>304</v>
      </c>
      <c r="C71" s="18">
        <v>52.692</v>
      </c>
      <c r="D71" s="17">
        <v>37</v>
      </c>
      <c r="E71" s="18">
        <v>10.361000000000001</v>
      </c>
      <c r="F71" s="17">
        <v>19</v>
      </c>
      <c r="G71" s="18">
        <v>5.649</v>
      </c>
      <c r="H71" s="17">
        <v>298</v>
      </c>
      <c r="I71" s="18">
        <v>142.32</v>
      </c>
      <c r="J71" s="17" t="s">
        <v>212</v>
      </c>
      <c r="K71" s="18" t="s">
        <v>212</v>
      </c>
      <c r="L71" s="17">
        <v>13144</v>
      </c>
      <c r="M71" s="18">
        <v>126.20699999999999</v>
      </c>
      <c r="N71" s="17">
        <v>1889</v>
      </c>
      <c r="O71" s="18">
        <v>34.755000000000003</v>
      </c>
      <c r="P71" s="17">
        <v>7109</v>
      </c>
      <c r="Q71" s="18">
        <v>56.79</v>
      </c>
      <c r="R71" s="17">
        <v>470</v>
      </c>
      <c r="S71" s="18">
        <v>9.2249999999999996</v>
      </c>
      <c r="T71" s="17">
        <v>71</v>
      </c>
      <c r="U71" s="18">
        <v>1.31</v>
      </c>
      <c r="V71" s="17">
        <v>3548</v>
      </c>
      <c r="W71" s="18">
        <v>297.44499999999999</v>
      </c>
      <c r="X71" s="17">
        <v>39664</v>
      </c>
      <c r="Y71" s="18">
        <v>127.554</v>
      </c>
      <c r="Z71" s="17">
        <v>1842</v>
      </c>
      <c r="AA71" s="21">
        <v>4.2839999999999998</v>
      </c>
      <c r="AB71" s="8" t="s">
        <v>107</v>
      </c>
      <c r="AC71" s="9"/>
      <c r="AD71" s="9"/>
    </row>
    <row r="72" spans="1:30" x14ac:dyDescent="0.3">
      <c r="A72" s="44" t="s">
        <v>108</v>
      </c>
      <c r="B72" s="46">
        <f t="shared" ref="B72:G72" si="21">SUM(B74:B81)</f>
        <v>3</v>
      </c>
      <c r="C72" s="45">
        <f t="shared" si="21"/>
        <v>0.57000000000000006</v>
      </c>
      <c r="D72" s="45">
        <f t="shared" si="21"/>
        <v>11</v>
      </c>
      <c r="E72" s="45">
        <f t="shared" si="21"/>
        <v>2.911</v>
      </c>
      <c r="F72" s="45">
        <f t="shared" si="21"/>
        <v>2</v>
      </c>
      <c r="G72" s="45">
        <f t="shared" si="21"/>
        <v>0.59199999999999997</v>
      </c>
      <c r="H72" s="45">
        <f t="shared" ref="H72:M72" si="22">SUM(H74:H81)</f>
        <v>0</v>
      </c>
      <c r="I72" s="47">
        <f t="shared" si="22"/>
        <v>0</v>
      </c>
      <c r="J72" s="45">
        <f t="shared" si="22"/>
        <v>0</v>
      </c>
      <c r="K72" s="47">
        <f t="shared" si="22"/>
        <v>0</v>
      </c>
      <c r="L72" s="45">
        <f t="shared" si="22"/>
        <v>2872</v>
      </c>
      <c r="M72" s="45">
        <f t="shared" si="22"/>
        <v>26.957000000000001</v>
      </c>
      <c r="N72" s="45">
        <f t="shared" ref="N72:AA72" si="23">SUM(N74:N81)</f>
        <v>923</v>
      </c>
      <c r="O72" s="45">
        <f>SUM(O74:O81)</f>
        <v>16.302999999999997</v>
      </c>
      <c r="P72" s="47">
        <f t="shared" si="23"/>
        <v>1011</v>
      </c>
      <c r="Q72" s="45">
        <f t="shared" si="23"/>
        <v>9.5109999999999992</v>
      </c>
      <c r="R72" s="45">
        <f t="shared" si="23"/>
        <v>1060</v>
      </c>
      <c r="S72" s="47">
        <f t="shared" si="23"/>
        <v>17.536999999999999</v>
      </c>
      <c r="T72" s="45">
        <f t="shared" si="23"/>
        <v>0</v>
      </c>
      <c r="U72" s="47">
        <f t="shared" si="23"/>
        <v>0</v>
      </c>
      <c r="V72" s="45">
        <f t="shared" si="23"/>
        <v>3</v>
      </c>
      <c r="W72" s="47">
        <f t="shared" si="23"/>
        <v>7.4999999999999997E-2</v>
      </c>
      <c r="X72" s="45">
        <f t="shared" si="23"/>
        <v>263910</v>
      </c>
      <c r="Y72" s="47">
        <f t="shared" si="23"/>
        <v>424.113</v>
      </c>
      <c r="Z72" s="45">
        <f t="shared" si="23"/>
        <v>0</v>
      </c>
      <c r="AA72" s="51">
        <f t="shared" si="23"/>
        <v>0</v>
      </c>
      <c r="AB72" s="43" t="s">
        <v>109</v>
      </c>
      <c r="AC72" s="43"/>
      <c r="AD72" s="43"/>
    </row>
    <row r="73" spans="1:30" x14ac:dyDescent="0.3">
      <c r="A73" s="44"/>
      <c r="B73" s="46"/>
      <c r="C73" s="45"/>
      <c r="D73" s="45"/>
      <c r="E73" s="45"/>
      <c r="F73" s="45"/>
      <c r="G73" s="45"/>
      <c r="H73" s="45"/>
      <c r="I73" s="47"/>
      <c r="J73" s="45"/>
      <c r="K73" s="47"/>
      <c r="L73" s="45"/>
      <c r="M73" s="45"/>
      <c r="N73" s="45"/>
      <c r="O73" s="45"/>
      <c r="P73" s="47"/>
      <c r="Q73" s="45"/>
      <c r="R73" s="45"/>
      <c r="S73" s="47"/>
      <c r="T73" s="45"/>
      <c r="U73" s="47"/>
      <c r="V73" s="45"/>
      <c r="W73" s="47"/>
      <c r="X73" s="45"/>
      <c r="Y73" s="47"/>
      <c r="Z73" s="45"/>
      <c r="AA73" s="51"/>
      <c r="AB73" s="43"/>
      <c r="AC73" s="43"/>
      <c r="AD73" s="43"/>
    </row>
    <row r="74" spans="1:30" x14ac:dyDescent="0.3">
      <c r="A74" s="12" t="s">
        <v>110</v>
      </c>
      <c r="B74" s="20" t="s">
        <v>212</v>
      </c>
      <c r="C74" s="18" t="s">
        <v>212</v>
      </c>
      <c r="D74" s="17" t="s">
        <v>212</v>
      </c>
      <c r="E74" s="18" t="s">
        <v>212</v>
      </c>
      <c r="F74" s="17" t="s">
        <v>212</v>
      </c>
      <c r="G74" s="18" t="s">
        <v>212</v>
      </c>
      <c r="H74" s="17" t="s">
        <v>212</v>
      </c>
      <c r="I74" s="18" t="s">
        <v>212</v>
      </c>
      <c r="J74" s="17" t="s">
        <v>212</v>
      </c>
      <c r="K74" s="18" t="s">
        <v>212</v>
      </c>
      <c r="L74" s="17" t="s">
        <v>212</v>
      </c>
      <c r="M74" s="18" t="s">
        <v>212</v>
      </c>
      <c r="N74" s="17" t="s">
        <v>212</v>
      </c>
      <c r="O74" s="18" t="s">
        <v>212</v>
      </c>
      <c r="P74" s="17" t="s">
        <v>212</v>
      </c>
      <c r="Q74" s="18" t="s">
        <v>212</v>
      </c>
      <c r="R74" s="17" t="s">
        <v>212</v>
      </c>
      <c r="S74" s="18" t="s">
        <v>212</v>
      </c>
      <c r="T74" s="17" t="s">
        <v>212</v>
      </c>
      <c r="U74" s="18" t="s">
        <v>212</v>
      </c>
      <c r="V74" s="17" t="s">
        <v>212</v>
      </c>
      <c r="W74" s="18" t="s">
        <v>212</v>
      </c>
      <c r="X74" s="17" t="s">
        <v>212</v>
      </c>
      <c r="Y74" s="18" t="s">
        <v>212</v>
      </c>
      <c r="Z74" s="17" t="s">
        <v>212</v>
      </c>
      <c r="AA74" s="21" t="s">
        <v>212</v>
      </c>
      <c r="AB74" s="8" t="s">
        <v>111</v>
      </c>
      <c r="AC74" s="9"/>
      <c r="AD74" s="9"/>
    </row>
    <row r="75" spans="1:30" x14ac:dyDescent="0.3">
      <c r="A75" s="12" t="s">
        <v>112</v>
      </c>
      <c r="B75" s="22" t="s">
        <v>212</v>
      </c>
      <c r="C75" s="18" t="s">
        <v>212</v>
      </c>
      <c r="D75" s="19" t="s">
        <v>212</v>
      </c>
      <c r="E75" s="18" t="s">
        <v>212</v>
      </c>
      <c r="F75" s="19" t="s">
        <v>212</v>
      </c>
      <c r="G75" s="18" t="s">
        <v>212</v>
      </c>
      <c r="H75" s="19" t="s">
        <v>212</v>
      </c>
      <c r="I75" s="18" t="s">
        <v>212</v>
      </c>
      <c r="J75" s="19" t="s">
        <v>212</v>
      </c>
      <c r="K75" s="18" t="s">
        <v>212</v>
      </c>
      <c r="L75" s="19" t="s">
        <v>212</v>
      </c>
      <c r="M75" s="18" t="s">
        <v>212</v>
      </c>
      <c r="N75" s="19" t="s">
        <v>212</v>
      </c>
      <c r="O75" s="18" t="s">
        <v>212</v>
      </c>
      <c r="P75" s="19" t="s">
        <v>212</v>
      </c>
      <c r="Q75" s="18" t="s">
        <v>212</v>
      </c>
      <c r="R75" s="19" t="s">
        <v>212</v>
      </c>
      <c r="S75" s="18" t="s">
        <v>212</v>
      </c>
      <c r="T75" s="19" t="s">
        <v>212</v>
      </c>
      <c r="U75" s="18" t="s">
        <v>212</v>
      </c>
      <c r="V75" s="19" t="s">
        <v>212</v>
      </c>
      <c r="W75" s="18" t="s">
        <v>212</v>
      </c>
      <c r="X75" s="19" t="s">
        <v>212</v>
      </c>
      <c r="Y75" s="18" t="s">
        <v>212</v>
      </c>
      <c r="Z75" s="19" t="s">
        <v>212</v>
      </c>
      <c r="AA75" s="21" t="s">
        <v>212</v>
      </c>
      <c r="AB75" s="8" t="s">
        <v>113</v>
      </c>
      <c r="AC75" s="9"/>
      <c r="AD75" s="9"/>
    </row>
    <row r="76" spans="1:30" x14ac:dyDescent="0.3">
      <c r="A76" s="12" t="s">
        <v>114</v>
      </c>
      <c r="B76" s="22" t="s">
        <v>212</v>
      </c>
      <c r="C76" s="18" t="s">
        <v>212</v>
      </c>
      <c r="D76" s="19" t="s">
        <v>212</v>
      </c>
      <c r="E76" s="18" t="s">
        <v>212</v>
      </c>
      <c r="F76" s="19" t="s">
        <v>212</v>
      </c>
      <c r="G76" s="18" t="s">
        <v>212</v>
      </c>
      <c r="H76" s="19" t="s">
        <v>212</v>
      </c>
      <c r="I76" s="18" t="s">
        <v>212</v>
      </c>
      <c r="J76" s="19" t="s">
        <v>212</v>
      </c>
      <c r="K76" s="18" t="s">
        <v>212</v>
      </c>
      <c r="L76" s="19" t="s">
        <v>212</v>
      </c>
      <c r="M76" s="18" t="s">
        <v>212</v>
      </c>
      <c r="N76" s="19" t="s">
        <v>212</v>
      </c>
      <c r="O76" s="18" t="s">
        <v>212</v>
      </c>
      <c r="P76" s="19" t="s">
        <v>212</v>
      </c>
      <c r="Q76" s="18" t="s">
        <v>212</v>
      </c>
      <c r="R76" s="19" t="s">
        <v>212</v>
      </c>
      <c r="S76" s="18" t="s">
        <v>212</v>
      </c>
      <c r="T76" s="19" t="s">
        <v>212</v>
      </c>
      <c r="U76" s="18" t="s">
        <v>212</v>
      </c>
      <c r="V76" s="19" t="s">
        <v>212</v>
      </c>
      <c r="W76" s="18" t="s">
        <v>212</v>
      </c>
      <c r="X76" s="19" t="s">
        <v>212</v>
      </c>
      <c r="Y76" s="18" t="s">
        <v>212</v>
      </c>
      <c r="Z76" s="19" t="s">
        <v>212</v>
      </c>
      <c r="AA76" s="21" t="s">
        <v>212</v>
      </c>
      <c r="AB76" s="8" t="s">
        <v>115</v>
      </c>
      <c r="AC76" s="9"/>
      <c r="AD76" s="9"/>
    </row>
    <row r="77" spans="1:30" x14ac:dyDescent="0.3">
      <c r="A77" s="12" t="s">
        <v>116</v>
      </c>
      <c r="B77" s="22" t="s">
        <v>212</v>
      </c>
      <c r="C77" s="18" t="s">
        <v>212</v>
      </c>
      <c r="D77" s="19" t="s">
        <v>212</v>
      </c>
      <c r="E77" s="18" t="s">
        <v>212</v>
      </c>
      <c r="F77" s="19" t="s">
        <v>212</v>
      </c>
      <c r="G77" s="18" t="s">
        <v>212</v>
      </c>
      <c r="H77" s="19" t="s">
        <v>212</v>
      </c>
      <c r="I77" s="18" t="s">
        <v>212</v>
      </c>
      <c r="J77" s="19" t="s">
        <v>212</v>
      </c>
      <c r="K77" s="18" t="s">
        <v>212</v>
      </c>
      <c r="L77" s="19" t="s">
        <v>212</v>
      </c>
      <c r="M77" s="18" t="s">
        <v>212</v>
      </c>
      <c r="N77" s="19" t="s">
        <v>212</v>
      </c>
      <c r="O77" s="18" t="s">
        <v>212</v>
      </c>
      <c r="P77" s="19" t="s">
        <v>212</v>
      </c>
      <c r="Q77" s="18" t="s">
        <v>212</v>
      </c>
      <c r="R77" s="19" t="s">
        <v>212</v>
      </c>
      <c r="S77" s="18" t="s">
        <v>212</v>
      </c>
      <c r="T77" s="19" t="s">
        <v>212</v>
      </c>
      <c r="U77" s="18" t="s">
        <v>212</v>
      </c>
      <c r="V77" s="19" t="s">
        <v>212</v>
      </c>
      <c r="W77" s="18" t="s">
        <v>212</v>
      </c>
      <c r="X77" s="19" t="s">
        <v>212</v>
      </c>
      <c r="Y77" s="18" t="s">
        <v>212</v>
      </c>
      <c r="Z77" s="19" t="s">
        <v>212</v>
      </c>
      <c r="AA77" s="21" t="s">
        <v>212</v>
      </c>
      <c r="AB77" s="8" t="s">
        <v>117</v>
      </c>
      <c r="AC77" s="9"/>
      <c r="AD77" s="9"/>
    </row>
    <row r="78" spans="1:30" x14ac:dyDescent="0.3">
      <c r="A78" s="12" t="s">
        <v>118</v>
      </c>
      <c r="B78" s="20">
        <v>1</v>
      </c>
      <c r="C78" s="18">
        <v>0.2</v>
      </c>
      <c r="D78" s="17" t="s">
        <v>212</v>
      </c>
      <c r="E78" s="18" t="s">
        <v>212</v>
      </c>
      <c r="F78" s="17" t="s">
        <v>212</v>
      </c>
      <c r="G78" s="18" t="s">
        <v>212</v>
      </c>
      <c r="H78" s="17" t="s">
        <v>212</v>
      </c>
      <c r="I78" s="18" t="s">
        <v>212</v>
      </c>
      <c r="J78" s="17" t="s">
        <v>212</v>
      </c>
      <c r="K78" s="18" t="s">
        <v>212</v>
      </c>
      <c r="L78" s="17">
        <v>2012</v>
      </c>
      <c r="M78" s="18">
        <v>18.306000000000001</v>
      </c>
      <c r="N78" s="17">
        <v>144</v>
      </c>
      <c r="O78" s="18">
        <v>2.5379999999999998</v>
      </c>
      <c r="P78" s="17">
        <v>403</v>
      </c>
      <c r="Q78" s="18">
        <v>3.585</v>
      </c>
      <c r="R78" s="17">
        <v>107</v>
      </c>
      <c r="S78" s="18">
        <v>2.294</v>
      </c>
      <c r="T78" s="17" t="s">
        <v>212</v>
      </c>
      <c r="U78" s="18" t="s">
        <v>212</v>
      </c>
      <c r="V78" s="17">
        <v>3</v>
      </c>
      <c r="W78" s="18">
        <v>7.4999999999999997E-2</v>
      </c>
      <c r="X78" s="17">
        <v>262890</v>
      </c>
      <c r="Y78" s="18">
        <v>422.02300000000002</v>
      </c>
      <c r="Z78" s="17" t="s">
        <v>212</v>
      </c>
      <c r="AA78" s="21" t="s">
        <v>212</v>
      </c>
      <c r="AB78" s="8" t="s">
        <v>119</v>
      </c>
      <c r="AC78" s="9"/>
      <c r="AD78" s="9"/>
    </row>
    <row r="79" spans="1:30" x14ac:dyDescent="0.3">
      <c r="A79" s="12" t="s">
        <v>120</v>
      </c>
      <c r="B79" s="20" t="s">
        <v>212</v>
      </c>
      <c r="C79" s="18" t="s">
        <v>212</v>
      </c>
      <c r="D79" s="17" t="s">
        <v>212</v>
      </c>
      <c r="E79" s="18" t="s">
        <v>212</v>
      </c>
      <c r="F79" s="17" t="s">
        <v>212</v>
      </c>
      <c r="G79" s="18" t="s">
        <v>212</v>
      </c>
      <c r="H79" s="17" t="s">
        <v>212</v>
      </c>
      <c r="I79" s="18" t="s">
        <v>212</v>
      </c>
      <c r="J79" s="17" t="s">
        <v>212</v>
      </c>
      <c r="K79" s="18" t="s">
        <v>212</v>
      </c>
      <c r="L79" s="17" t="s">
        <v>212</v>
      </c>
      <c r="M79" s="18" t="s">
        <v>212</v>
      </c>
      <c r="N79" s="17">
        <v>350</v>
      </c>
      <c r="O79" s="18">
        <v>5.6</v>
      </c>
      <c r="P79" s="17" t="s">
        <v>212</v>
      </c>
      <c r="Q79" s="18" t="s">
        <v>212</v>
      </c>
      <c r="R79" s="17">
        <v>100</v>
      </c>
      <c r="S79" s="18">
        <v>1.95</v>
      </c>
      <c r="T79" s="17" t="s">
        <v>212</v>
      </c>
      <c r="U79" s="18" t="s">
        <v>212</v>
      </c>
      <c r="V79" s="17" t="s">
        <v>212</v>
      </c>
      <c r="W79" s="18" t="s">
        <v>212</v>
      </c>
      <c r="X79" s="17" t="s">
        <v>212</v>
      </c>
      <c r="Y79" s="18" t="s">
        <v>212</v>
      </c>
      <c r="Z79" s="17" t="s">
        <v>212</v>
      </c>
      <c r="AA79" s="21" t="s">
        <v>212</v>
      </c>
      <c r="AB79" s="8" t="s">
        <v>121</v>
      </c>
      <c r="AC79" s="9"/>
      <c r="AD79" s="9"/>
    </row>
    <row r="80" spans="1:30" x14ac:dyDescent="0.3">
      <c r="A80" s="12" t="s">
        <v>122</v>
      </c>
      <c r="B80" s="22" t="s">
        <v>212</v>
      </c>
      <c r="C80" s="18" t="s">
        <v>212</v>
      </c>
      <c r="D80" s="19" t="s">
        <v>212</v>
      </c>
      <c r="E80" s="18" t="s">
        <v>212</v>
      </c>
      <c r="F80" s="19" t="s">
        <v>212</v>
      </c>
      <c r="G80" s="18" t="s">
        <v>212</v>
      </c>
      <c r="H80" s="19" t="s">
        <v>212</v>
      </c>
      <c r="I80" s="18" t="s">
        <v>212</v>
      </c>
      <c r="J80" s="19" t="s">
        <v>212</v>
      </c>
      <c r="K80" s="18" t="s">
        <v>212</v>
      </c>
      <c r="L80" s="19" t="s">
        <v>212</v>
      </c>
      <c r="M80" s="18" t="s">
        <v>212</v>
      </c>
      <c r="N80" s="19" t="s">
        <v>212</v>
      </c>
      <c r="O80" s="18" t="s">
        <v>212</v>
      </c>
      <c r="P80" s="19" t="s">
        <v>212</v>
      </c>
      <c r="Q80" s="18" t="s">
        <v>212</v>
      </c>
      <c r="R80" s="19" t="s">
        <v>212</v>
      </c>
      <c r="S80" s="18" t="s">
        <v>212</v>
      </c>
      <c r="T80" s="19" t="s">
        <v>212</v>
      </c>
      <c r="U80" s="18" t="s">
        <v>212</v>
      </c>
      <c r="V80" s="19" t="s">
        <v>212</v>
      </c>
      <c r="W80" s="18" t="s">
        <v>212</v>
      </c>
      <c r="X80" s="19" t="s">
        <v>212</v>
      </c>
      <c r="Y80" s="18" t="s">
        <v>212</v>
      </c>
      <c r="Z80" s="19" t="s">
        <v>212</v>
      </c>
      <c r="AA80" s="21" t="s">
        <v>212</v>
      </c>
      <c r="AB80" s="8" t="s">
        <v>123</v>
      </c>
      <c r="AC80" s="9"/>
      <c r="AD80" s="9"/>
    </row>
    <row r="81" spans="1:30" x14ac:dyDescent="0.3">
      <c r="A81" s="12" t="s">
        <v>124</v>
      </c>
      <c r="B81" s="20">
        <v>2</v>
      </c>
      <c r="C81" s="18">
        <v>0.37</v>
      </c>
      <c r="D81" s="17">
        <v>11</v>
      </c>
      <c r="E81" s="18">
        <v>2.911</v>
      </c>
      <c r="F81" s="17">
        <v>2</v>
      </c>
      <c r="G81" s="18">
        <v>0.59199999999999997</v>
      </c>
      <c r="H81" s="17" t="s">
        <v>212</v>
      </c>
      <c r="I81" s="18" t="s">
        <v>212</v>
      </c>
      <c r="J81" s="17" t="s">
        <v>212</v>
      </c>
      <c r="K81" s="18" t="s">
        <v>212</v>
      </c>
      <c r="L81" s="17">
        <v>860</v>
      </c>
      <c r="M81" s="18">
        <v>8.6509999999999998</v>
      </c>
      <c r="N81" s="17">
        <v>429</v>
      </c>
      <c r="O81" s="18">
        <v>8.1649999999999991</v>
      </c>
      <c r="P81" s="17">
        <v>608</v>
      </c>
      <c r="Q81" s="18">
        <v>5.9260000000000002</v>
      </c>
      <c r="R81" s="17">
        <v>853</v>
      </c>
      <c r="S81" s="18">
        <v>13.292999999999999</v>
      </c>
      <c r="T81" s="17" t="s">
        <v>212</v>
      </c>
      <c r="U81" s="18" t="s">
        <v>212</v>
      </c>
      <c r="V81" s="17" t="s">
        <v>212</v>
      </c>
      <c r="W81" s="18" t="s">
        <v>212</v>
      </c>
      <c r="X81" s="17">
        <v>1020</v>
      </c>
      <c r="Y81" s="18">
        <v>2.09</v>
      </c>
      <c r="Z81" s="17" t="s">
        <v>212</v>
      </c>
      <c r="AA81" s="21" t="s">
        <v>212</v>
      </c>
      <c r="AB81" s="8" t="s">
        <v>125</v>
      </c>
      <c r="AC81" s="9"/>
      <c r="AD81" s="9"/>
    </row>
    <row r="82" spans="1:30" x14ac:dyDescent="0.3">
      <c r="A82" s="44" t="s">
        <v>126</v>
      </c>
      <c r="B82" s="46">
        <f t="shared" ref="B82:E82" si="24">SUM(B84:B88)</f>
        <v>745</v>
      </c>
      <c r="C82" s="45">
        <f t="shared" si="24"/>
        <v>107.72300000000001</v>
      </c>
      <c r="D82" s="45">
        <f t="shared" si="24"/>
        <v>830</v>
      </c>
      <c r="E82" s="45">
        <f t="shared" si="24"/>
        <v>218.697</v>
      </c>
      <c r="F82" s="45">
        <f t="shared" ref="F82:H82" si="25">SUM(F84:F88)</f>
        <v>1261</v>
      </c>
      <c r="G82" s="45">
        <f t="shared" si="25"/>
        <v>377.11100000000005</v>
      </c>
      <c r="H82" s="45">
        <f t="shared" si="25"/>
        <v>0</v>
      </c>
      <c r="I82" s="47">
        <f t="shared" ref="I82:AA82" si="26">SUM(I84:I88)</f>
        <v>0</v>
      </c>
      <c r="J82" s="45">
        <f t="shared" si="26"/>
        <v>0</v>
      </c>
      <c r="K82" s="47">
        <f t="shared" si="26"/>
        <v>0</v>
      </c>
      <c r="L82" s="45">
        <f t="shared" si="26"/>
        <v>246022</v>
      </c>
      <c r="M82" s="45">
        <f t="shared" si="26"/>
        <v>2042.1519999999998</v>
      </c>
      <c r="N82" s="61">
        <f t="shared" si="26"/>
        <v>27130</v>
      </c>
      <c r="O82" s="61">
        <f>SUM(O84:O88)</f>
        <v>558.62699999999995</v>
      </c>
      <c r="P82" s="60">
        <f t="shared" si="26"/>
        <v>47828</v>
      </c>
      <c r="Q82" s="61">
        <f t="shared" si="26"/>
        <v>401.70399999999995</v>
      </c>
      <c r="R82" s="61">
        <f t="shared" si="26"/>
        <v>5738</v>
      </c>
      <c r="S82" s="60">
        <f t="shared" si="26"/>
        <v>103.35499999999999</v>
      </c>
      <c r="T82" s="61">
        <f t="shared" si="26"/>
        <v>694</v>
      </c>
      <c r="U82" s="60">
        <f t="shared" si="26"/>
        <v>13.004</v>
      </c>
      <c r="V82" s="61">
        <f t="shared" si="26"/>
        <v>3609</v>
      </c>
      <c r="W82" s="60">
        <f t="shared" si="26"/>
        <v>204.94499999999999</v>
      </c>
      <c r="X82" s="61">
        <f t="shared" si="26"/>
        <v>40954</v>
      </c>
      <c r="Y82" s="60">
        <f t="shared" si="26"/>
        <v>68.231999999999999</v>
      </c>
      <c r="Z82" s="61">
        <f t="shared" si="26"/>
        <v>20784</v>
      </c>
      <c r="AA82" s="59">
        <f t="shared" si="26"/>
        <v>32.132999999999996</v>
      </c>
      <c r="AB82" s="43" t="s">
        <v>127</v>
      </c>
      <c r="AC82" s="43"/>
      <c r="AD82" s="43"/>
    </row>
    <row r="83" spans="1:30" x14ac:dyDescent="0.3">
      <c r="A83" s="44"/>
      <c r="B83" s="46"/>
      <c r="C83" s="45"/>
      <c r="D83" s="45"/>
      <c r="E83" s="45"/>
      <c r="F83" s="45"/>
      <c r="G83" s="45"/>
      <c r="H83" s="45"/>
      <c r="I83" s="47"/>
      <c r="J83" s="45"/>
      <c r="K83" s="47"/>
      <c r="L83" s="45"/>
      <c r="M83" s="45"/>
      <c r="N83" s="61"/>
      <c r="O83" s="61"/>
      <c r="P83" s="60"/>
      <c r="Q83" s="61"/>
      <c r="R83" s="61"/>
      <c r="S83" s="60"/>
      <c r="T83" s="61"/>
      <c r="U83" s="60"/>
      <c r="V83" s="61"/>
      <c r="W83" s="60"/>
      <c r="X83" s="61"/>
      <c r="Y83" s="60"/>
      <c r="Z83" s="61"/>
      <c r="AA83" s="59"/>
      <c r="AB83" s="43"/>
      <c r="AC83" s="43"/>
      <c r="AD83" s="43"/>
    </row>
    <row r="84" spans="1:30" x14ac:dyDescent="0.3">
      <c r="A84" s="7" t="s">
        <v>128</v>
      </c>
      <c r="B84" s="20">
        <v>377</v>
      </c>
      <c r="C84" s="18">
        <v>52.715000000000003</v>
      </c>
      <c r="D84" s="17">
        <v>336</v>
      </c>
      <c r="E84" s="18">
        <v>90.93</v>
      </c>
      <c r="F84" s="17">
        <v>1009</v>
      </c>
      <c r="G84" s="18">
        <v>303.10500000000002</v>
      </c>
      <c r="H84" s="17" t="s">
        <v>212</v>
      </c>
      <c r="I84" s="18" t="s">
        <v>212</v>
      </c>
      <c r="J84" s="17" t="s">
        <v>212</v>
      </c>
      <c r="K84" s="18" t="s">
        <v>212</v>
      </c>
      <c r="L84" s="17">
        <v>206092</v>
      </c>
      <c r="M84" s="18">
        <v>1657.8889999999999</v>
      </c>
      <c r="N84" s="17">
        <v>24677</v>
      </c>
      <c r="O84" s="18">
        <v>515.42399999999998</v>
      </c>
      <c r="P84" s="17">
        <v>18754</v>
      </c>
      <c r="Q84" s="18">
        <v>144.18100000000001</v>
      </c>
      <c r="R84" s="17">
        <v>2668</v>
      </c>
      <c r="S84" s="18">
        <v>51.156999999999996</v>
      </c>
      <c r="T84" s="17">
        <v>346</v>
      </c>
      <c r="U84" s="18">
        <v>6.3140000000000001</v>
      </c>
      <c r="V84" s="17">
        <v>1600</v>
      </c>
      <c r="W84" s="18">
        <v>83.388999999999996</v>
      </c>
      <c r="X84" s="17">
        <v>9834</v>
      </c>
      <c r="Y84" s="18">
        <v>18.672000000000001</v>
      </c>
      <c r="Z84" s="17">
        <v>935</v>
      </c>
      <c r="AA84" s="21">
        <v>1.8009999999999999</v>
      </c>
      <c r="AB84" s="8" t="s">
        <v>129</v>
      </c>
      <c r="AC84" s="9"/>
      <c r="AD84" s="9"/>
    </row>
    <row r="85" spans="1:30" x14ac:dyDescent="0.3">
      <c r="A85" s="7" t="s">
        <v>130</v>
      </c>
      <c r="B85" s="20">
        <v>52</v>
      </c>
      <c r="C85" s="18">
        <v>7.7949999999999999</v>
      </c>
      <c r="D85" s="17">
        <v>32</v>
      </c>
      <c r="E85" s="18">
        <v>9.6199999999999992</v>
      </c>
      <c r="F85" s="17">
        <v>5</v>
      </c>
      <c r="G85" s="18">
        <v>2.5</v>
      </c>
      <c r="H85" s="17" t="s">
        <v>212</v>
      </c>
      <c r="I85" s="18" t="s">
        <v>212</v>
      </c>
      <c r="J85" s="17" t="s">
        <v>212</v>
      </c>
      <c r="K85" s="18" t="s">
        <v>212</v>
      </c>
      <c r="L85" s="17">
        <v>4340</v>
      </c>
      <c r="M85" s="18">
        <v>44.6</v>
      </c>
      <c r="N85" s="17">
        <v>590</v>
      </c>
      <c r="O85" s="18">
        <v>9.5960000000000001</v>
      </c>
      <c r="P85" s="17">
        <v>13543</v>
      </c>
      <c r="Q85" s="18">
        <v>135.43</v>
      </c>
      <c r="R85" s="17">
        <v>1590</v>
      </c>
      <c r="S85" s="18">
        <v>25.524999999999999</v>
      </c>
      <c r="T85" s="17">
        <v>224</v>
      </c>
      <c r="U85" s="18">
        <v>4.4800000000000004</v>
      </c>
      <c r="V85" s="17">
        <v>984</v>
      </c>
      <c r="W85" s="18">
        <v>59.04</v>
      </c>
      <c r="X85" s="17">
        <v>12800</v>
      </c>
      <c r="Y85" s="18">
        <v>19.28</v>
      </c>
      <c r="Z85" s="17">
        <v>17910</v>
      </c>
      <c r="AA85" s="21">
        <v>26.864999999999998</v>
      </c>
      <c r="AB85" s="8" t="s">
        <v>131</v>
      </c>
      <c r="AC85" s="9"/>
      <c r="AD85" s="9"/>
    </row>
    <row r="86" spans="1:30" x14ac:dyDescent="0.3">
      <c r="A86" s="7" t="s">
        <v>132</v>
      </c>
      <c r="B86" s="20">
        <v>299</v>
      </c>
      <c r="C86" s="18">
        <v>44.755000000000003</v>
      </c>
      <c r="D86" s="17">
        <v>235</v>
      </c>
      <c r="E86" s="18">
        <v>58.28</v>
      </c>
      <c r="F86" s="17">
        <v>5</v>
      </c>
      <c r="G86" s="18">
        <v>1.6</v>
      </c>
      <c r="H86" s="17" t="s">
        <v>212</v>
      </c>
      <c r="I86" s="18" t="s">
        <v>212</v>
      </c>
      <c r="J86" s="17" t="s">
        <v>212</v>
      </c>
      <c r="K86" s="18" t="s">
        <v>212</v>
      </c>
      <c r="L86" s="17">
        <v>31333</v>
      </c>
      <c r="M86" s="18">
        <v>297.39</v>
      </c>
      <c r="N86" s="17">
        <v>1313</v>
      </c>
      <c r="O86" s="18">
        <v>23.423999999999999</v>
      </c>
      <c r="P86" s="17">
        <v>3246</v>
      </c>
      <c r="Q86" s="18">
        <v>29.213999999999999</v>
      </c>
      <c r="R86" s="17">
        <v>450</v>
      </c>
      <c r="S86" s="18">
        <v>8.3879999999999999</v>
      </c>
      <c r="T86" s="17">
        <v>32</v>
      </c>
      <c r="U86" s="18">
        <v>0.63500000000000001</v>
      </c>
      <c r="V86" s="17">
        <v>805</v>
      </c>
      <c r="W86" s="18">
        <v>51.118000000000002</v>
      </c>
      <c r="X86" s="17">
        <v>2140</v>
      </c>
      <c r="Y86" s="18">
        <v>3.89</v>
      </c>
      <c r="Z86" s="17" t="s">
        <v>212</v>
      </c>
      <c r="AA86" s="21" t="s">
        <v>212</v>
      </c>
      <c r="AB86" s="8" t="s">
        <v>133</v>
      </c>
      <c r="AC86" s="9"/>
      <c r="AD86" s="9"/>
    </row>
    <row r="87" spans="1:30" x14ac:dyDescent="0.3">
      <c r="A87" s="7" t="s">
        <v>134</v>
      </c>
      <c r="B87" s="20">
        <v>3</v>
      </c>
      <c r="C87" s="18">
        <v>0.42</v>
      </c>
      <c r="D87" s="17" t="s">
        <v>212</v>
      </c>
      <c r="E87" s="18" t="s">
        <v>212</v>
      </c>
      <c r="F87" s="17" t="s">
        <v>212</v>
      </c>
      <c r="G87" s="18" t="s">
        <v>212</v>
      </c>
      <c r="H87" s="17" t="s">
        <v>212</v>
      </c>
      <c r="I87" s="18" t="s">
        <v>212</v>
      </c>
      <c r="J87" s="17" t="s">
        <v>212</v>
      </c>
      <c r="K87" s="18" t="s">
        <v>212</v>
      </c>
      <c r="L87" s="17">
        <v>495</v>
      </c>
      <c r="M87" s="18">
        <v>5.1100000000000003</v>
      </c>
      <c r="N87" s="17">
        <v>66</v>
      </c>
      <c r="O87" s="18">
        <v>1.145</v>
      </c>
      <c r="P87" s="17">
        <v>2890</v>
      </c>
      <c r="Q87" s="18">
        <v>26.948</v>
      </c>
      <c r="R87" s="17">
        <v>183</v>
      </c>
      <c r="S87" s="18">
        <v>2.9529999999999998</v>
      </c>
      <c r="T87" s="17">
        <v>24</v>
      </c>
      <c r="U87" s="18">
        <v>0.45</v>
      </c>
      <c r="V87" s="17">
        <v>119</v>
      </c>
      <c r="W87" s="18">
        <v>4.625</v>
      </c>
      <c r="X87" s="17">
        <v>1430</v>
      </c>
      <c r="Y87" s="18">
        <v>3.0590000000000002</v>
      </c>
      <c r="Z87" s="17">
        <v>414</v>
      </c>
      <c r="AA87" s="21">
        <v>0.74</v>
      </c>
      <c r="AB87" s="8" t="s">
        <v>135</v>
      </c>
      <c r="AC87" s="9"/>
      <c r="AD87" s="9"/>
    </row>
    <row r="88" spans="1:30" x14ac:dyDescent="0.3">
      <c r="A88" s="7" t="s">
        <v>136</v>
      </c>
      <c r="B88" s="20">
        <v>14</v>
      </c>
      <c r="C88" s="18">
        <v>2.0379999999999998</v>
      </c>
      <c r="D88" s="17">
        <v>227</v>
      </c>
      <c r="E88" s="18">
        <v>59.866999999999997</v>
      </c>
      <c r="F88" s="17">
        <v>242</v>
      </c>
      <c r="G88" s="18">
        <v>69.906000000000006</v>
      </c>
      <c r="H88" s="17" t="s">
        <v>212</v>
      </c>
      <c r="I88" s="18" t="s">
        <v>212</v>
      </c>
      <c r="J88" s="17" t="s">
        <v>212</v>
      </c>
      <c r="K88" s="18" t="s">
        <v>212</v>
      </c>
      <c r="L88" s="17">
        <v>3762</v>
      </c>
      <c r="M88" s="18">
        <v>37.162999999999997</v>
      </c>
      <c r="N88" s="17">
        <v>484</v>
      </c>
      <c r="O88" s="18">
        <v>9.0380000000000003</v>
      </c>
      <c r="P88" s="17">
        <v>9395</v>
      </c>
      <c r="Q88" s="18">
        <v>65.930999999999997</v>
      </c>
      <c r="R88" s="17">
        <v>847</v>
      </c>
      <c r="S88" s="18">
        <v>15.332000000000001</v>
      </c>
      <c r="T88" s="17">
        <v>68</v>
      </c>
      <c r="U88" s="18">
        <v>1.125</v>
      </c>
      <c r="V88" s="17">
        <v>101</v>
      </c>
      <c r="W88" s="18">
        <v>6.7729999999999997</v>
      </c>
      <c r="X88" s="17">
        <v>14750</v>
      </c>
      <c r="Y88" s="18">
        <v>23.331</v>
      </c>
      <c r="Z88" s="17">
        <v>1525</v>
      </c>
      <c r="AA88" s="21">
        <v>2.7269999999999999</v>
      </c>
      <c r="AB88" s="8" t="s">
        <v>137</v>
      </c>
      <c r="AC88" s="9"/>
      <c r="AD88" s="9"/>
    </row>
    <row r="89" spans="1:30" x14ac:dyDescent="0.3">
      <c r="A89" s="44" t="s">
        <v>138</v>
      </c>
      <c r="B89" s="46">
        <f t="shared" ref="B89:F89" si="27">SUM(B91:B103)</f>
        <v>853</v>
      </c>
      <c r="C89" s="45">
        <f t="shared" si="27"/>
        <v>110.38699999999999</v>
      </c>
      <c r="D89" s="45">
        <f t="shared" si="27"/>
        <v>2306</v>
      </c>
      <c r="E89" s="45">
        <f t="shared" si="27"/>
        <v>580.51700000000005</v>
      </c>
      <c r="F89" s="45">
        <f t="shared" si="27"/>
        <v>1759</v>
      </c>
      <c r="G89" s="45">
        <f t="shared" ref="G89:M89" si="28">SUM(G91:G103)</f>
        <v>601.18999999999994</v>
      </c>
      <c r="H89" s="45">
        <f t="shared" si="28"/>
        <v>4</v>
      </c>
      <c r="I89" s="47">
        <f t="shared" si="28"/>
        <v>1.2</v>
      </c>
      <c r="J89" s="45">
        <f t="shared" si="28"/>
        <v>0</v>
      </c>
      <c r="K89" s="47">
        <f t="shared" si="28"/>
        <v>0</v>
      </c>
      <c r="L89" s="45">
        <f t="shared" si="28"/>
        <v>85556</v>
      </c>
      <c r="M89" s="45">
        <f t="shared" si="28"/>
        <v>856.74</v>
      </c>
      <c r="N89" s="45">
        <f>SUM(N91:N103)</f>
        <v>9165</v>
      </c>
      <c r="O89" s="45">
        <f>SUM(O91:O103)</f>
        <v>188.89399999999998</v>
      </c>
      <c r="P89" s="47">
        <f>SUM(P91:P103)</f>
        <v>100582</v>
      </c>
      <c r="Q89" s="45">
        <f t="shared" ref="Q89:AA89" si="29">SUM(Q91:Q103)</f>
        <v>916.92500000000007</v>
      </c>
      <c r="R89" s="45">
        <f t="shared" si="29"/>
        <v>8243</v>
      </c>
      <c r="S89" s="47">
        <f t="shared" si="29"/>
        <v>165.65900000000002</v>
      </c>
      <c r="T89" s="45">
        <f t="shared" si="29"/>
        <v>3751</v>
      </c>
      <c r="U89" s="47">
        <f t="shared" si="29"/>
        <v>65.066999999999993</v>
      </c>
      <c r="V89" s="45">
        <f t="shared" si="29"/>
        <v>5596</v>
      </c>
      <c r="W89" s="47">
        <f t="shared" si="29"/>
        <v>375.85400000000004</v>
      </c>
      <c r="X89" s="45">
        <f t="shared" si="29"/>
        <v>73932</v>
      </c>
      <c r="Y89" s="47">
        <f t="shared" si="29"/>
        <v>136.84399999999997</v>
      </c>
      <c r="Z89" s="45">
        <f t="shared" si="29"/>
        <v>31450</v>
      </c>
      <c r="AA89" s="51">
        <f t="shared" si="29"/>
        <v>57.453999999999986</v>
      </c>
      <c r="AB89" s="43" t="s">
        <v>139</v>
      </c>
      <c r="AC89" s="43"/>
      <c r="AD89" s="43"/>
    </row>
    <row r="90" spans="1:30" x14ac:dyDescent="0.3">
      <c r="A90" s="44"/>
      <c r="B90" s="46"/>
      <c r="C90" s="45"/>
      <c r="D90" s="45"/>
      <c r="E90" s="45"/>
      <c r="F90" s="45"/>
      <c r="G90" s="45"/>
      <c r="H90" s="45"/>
      <c r="I90" s="47"/>
      <c r="J90" s="45"/>
      <c r="K90" s="47"/>
      <c r="L90" s="45"/>
      <c r="M90" s="45"/>
      <c r="N90" s="45"/>
      <c r="O90" s="45"/>
      <c r="P90" s="47"/>
      <c r="Q90" s="45"/>
      <c r="R90" s="45"/>
      <c r="S90" s="47"/>
      <c r="T90" s="45"/>
      <c r="U90" s="47"/>
      <c r="V90" s="45"/>
      <c r="W90" s="47"/>
      <c r="X90" s="45"/>
      <c r="Y90" s="47"/>
      <c r="Z90" s="45"/>
      <c r="AA90" s="51"/>
      <c r="AB90" s="43"/>
      <c r="AC90" s="43"/>
      <c r="AD90" s="43"/>
    </row>
    <row r="91" spans="1:30" x14ac:dyDescent="0.3">
      <c r="A91" s="7" t="s">
        <v>140</v>
      </c>
      <c r="B91" s="20">
        <v>42</v>
      </c>
      <c r="C91" s="18">
        <v>7.64</v>
      </c>
      <c r="D91" s="17">
        <v>183</v>
      </c>
      <c r="E91" s="18">
        <v>40.26</v>
      </c>
      <c r="F91" s="17" t="s">
        <v>212</v>
      </c>
      <c r="G91" s="18" t="s">
        <v>212</v>
      </c>
      <c r="H91" s="17" t="s">
        <v>212</v>
      </c>
      <c r="I91" s="18" t="s">
        <v>212</v>
      </c>
      <c r="J91" s="17" t="s">
        <v>212</v>
      </c>
      <c r="K91" s="18" t="s">
        <v>212</v>
      </c>
      <c r="L91" s="17">
        <v>1076</v>
      </c>
      <c r="M91" s="18">
        <v>10.76</v>
      </c>
      <c r="N91" s="17">
        <v>214</v>
      </c>
      <c r="O91" s="18">
        <v>3.4239999999999999</v>
      </c>
      <c r="P91" s="17">
        <v>1644</v>
      </c>
      <c r="Q91" s="18">
        <v>16.440000000000001</v>
      </c>
      <c r="R91" s="17">
        <v>185</v>
      </c>
      <c r="S91" s="18">
        <v>3.7</v>
      </c>
      <c r="T91" s="17">
        <v>76</v>
      </c>
      <c r="U91" s="18">
        <v>1.52</v>
      </c>
      <c r="V91" s="17">
        <v>8</v>
      </c>
      <c r="W91" s="18">
        <v>0.68</v>
      </c>
      <c r="X91" s="17">
        <v>2175</v>
      </c>
      <c r="Y91" s="18">
        <v>3.2639999999999998</v>
      </c>
      <c r="Z91" s="17">
        <v>223</v>
      </c>
      <c r="AA91" s="21">
        <v>0.33600000000000002</v>
      </c>
      <c r="AB91" s="8" t="s">
        <v>141</v>
      </c>
      <c r="AC91" s="9"/>
      <c r="AD91" s="9"/>
    </row>
    <row r="92" spans="1:30" x14ac:dyDescent="0.3">
      <c r="A92" s="7" t="s">
        <v>142</v>
      </c>
      <c r="B92" s="20">
        <v>83</v>
      </c>
      <c r="C92" s="18">
        <v>8.3450000000000006</v>
      </c>
      <c r="D92" s="17">
        <v>100</v>
      </c>
      <c r="E92" s="18">
        <v>17</v>
      </c>
      <c r="F92" s="17">
        <v>70</v>
      </c>
      <c r="G92" s="18">
        <v>14</v>
      </c>
      <c r="H92" s="17" t="s">
        <v>212</v>
      </c>
      <c r="I92" s="18" t="s">
        <v>212</v>
      </c>
      <c r="J92" s="17" t="s">
        <v>212</v>
      </c>
      <c r="K92" s="18" t="s">
        <v>212</v>
      </c>
      <c r="L92" s="17">
        <v>2145</v>
      </c>
      <c r="M92" s="18">
        <v>25.75</v>
      </c>
      <c r="N92" s="17">
        <v>187</v>
      </c>
      <c r="O92" s="18">
        <v>5.48</v>
      </c>
      <c r="P92" s="17">
        <v>1559</v>
      </c>
      <c r="Q92" s="18">
        <v>15.58</v>
      </c>
      <c r="R92" s="17">
        <v>170</v>
      </c>
      <c r="S92" s="18">
        <v>5.04</v>
      </c>
      <c r="T92" s="17">
        <v>80</v>
      </c>
      <c r="U92" s="18">
        <v>1.56</v>
      </c>
      <c r="V92" s="17">
        <v>939</v>
      </c>
      <c r="W92" s="18">
        <v>84.483999999999995</v>
      </c>
      <c r="X92" s="17">
        <v>6105</v>
      </c>
      <c r="Y92" s="18">
        <v>13.11</v>
      </c>
      <c r="Z92" s="17">
        <v>1897</v>
      </c>
      <c r="AA92" s="21">
        <v>3.64</v>
      </c>
      <c r="AB92" s="8" t="s">
        <v>143</v>
      </c>
      <c r="AC92" s="9"/>
      <c r="AD92" s="9"/>
    </row>
    <row r="93" spans="1:30" x14ac:dyDescent="0.3">
      <c r="A93" s="7" t="s">
        <v>144</v>
      </c>
      <c r="B93" s="20">
        <v>63</v>
      </c>
      <c r="C93" s="18">
        <v>7.0250000000000004</v>
      </c>
      <c r="D93" s="17">
        <v>39</v>
      </c>
      <c r="E93" s="18">
        <v>6.33</v>
      </c>
      <c r="F93" s="17" t="s">
        <v>212</v>
      </c>
      <c r="G93" s="18" t="s">
        <v>212</v>
      </c>
      <c r="H93" s="17" t="s">
        <v>212</v>
      </c>
      <c r="I93" s="18" t="s">
        <v>212</v>
      </c>
      <c r="J93" s="17" t="s">
        <v>212</v>
      </c>
      <c r="K93" s="18" t="s">
        <v>212</v>
      </c>
      <c r="L93" s="17">
        <v>242</v>
      </c>
      <c r="M93" s="18">
        <v>3.6749999999999998</v>
      </c>
      <c r="N93" s="17">
        <v>107</v>
      </c>
      <c r="O93" s="18">
        <v>2.11</v>
      </c>
      <c r="P93" s="17">
        <v>1092</v>
      </c>
      <c r="Q93" s="18">
        <v>15.83</v>
      </c>
      <c r="R93" s="17">
        <v>349</v>
      </c>
      <c r="S93" s="18">
        <v>8.2739999999999991</v>
      </c>
      <c r="T93" s="17">
        <v>1320</v>
      </c>
      <c r="U93" s="18">
        <v>20.100000000000001</v>
      </c>
      <c r="V93" s="17">
        <v>718</v>
      </c>
      <c r="W93" s="18">
        <v>53.993000000000002</v>
      </c>
      <c r="X93" s="17">
        <v>5720</v>
      </c>
      <c r="Y93" s="18">
        <v>10.234999999999999</v>
      </c>
      <c r="Z93" s="17">
        <v>4570</v>
      </c>
      <c r="AA93" s="21">
        <v>10.46</v>
      </c>
      <c r="AB93" s="8" t="s">
        <v>145</v>
      </c>
      <c r="AC93" s="9"/>
      <c r="AD93" s="9"/>
    </row>
    <row r="94" spans="1:30" x14ac:dyDescent="0.3">
      <c r="A94" s="7" t="s">
        <v>146</v>
      </c>
      <c r="B94" s="20">
        <v>286</v>
      </c>
      <c r="C94" s="18">
        <v>28.68</v>
      </c>
      <c r="D94" s="17">
        <v>20</v>
      </c>
      <c r="E94" s="18">
        <v>5</v>
      </c>
      <c r="F94" s="17">
        <v>49</v>
      </c>
      <c r="G94" s="18">
        <v>29.4</v>
      </c>
      <c r="H94" s="17" t="s">
        <v>212</v>
      </c>
      <c r="I94" s="18" t="s">
        <v>212</v>
      </c>
      <c r="J94" s="17" t="s">
        <v>212</v>
      </c>
      <c r="K94" s="18" t="s">
        <v>212</v>
      </c>
      <c r="L94" s="17">
        <v>9160</v>
      </c>
      <c r="M94" s="18">
        <v>64.12</v>
      </c>
      <c r="N94" s="17">
        <v>250</v>
      </c>
      <c r="O94" s="18">
        <v>3.95</v>
      </c>
      <c r="P94" s="17">
        <v>25150</v>
      </c>
      <c r="Q94" s="18">
        <v>176.05</v>
      </c>
      <c r="R94" s="17">
        <v>490</v>
      </c>
      <c r="S94" s="18">
        <v>9.8000000000000007</v>
      </c>
      <c r="T94" s="17">
        <v>313</v>
      </c>
      <c r="U94" s="18">
        <v>5.26</v>
      </c>
      <c r="V94" s="17">
        <v>414</v>
      </c>
      <c r="W94" s="18">
        <v>10.95</v>
      </c>
      <c r="X94" s="17">
        <v>10130</v>
      </c>
      <c r="Y94" s="18">
        <v>19.873999999999999</v>
      </c>
      <c r="Z94" s="17">
        <v>9000</v>
      </c>
      <c r="AA94" s="21">
        <v>20.56</v>
      </c>
      <c r="AB94" s="8" t="s">
        <v>147</v>
      </c>
      <c r="AC94" s="9"/>
      <c r="AD94" s="9"/>
    </row>
    <row r="95" spans="1:30" x14ac:dyDescent="0.3">
      <c r="A95" s="7" t="s">
        <v>148</v>
      </c>
      <c r="B95" s="22" t="s">
        <v>212</v>
      </c>
      <c r="C95" s="18" t="s">
        <v>212</v>
      </c>
      <c r="D95" s="19" t="s">
        <v>212</v>
      </c>
      <c r="E95" s="18" t="s">
        <v>212</v>
      </c>
      <c r="F95" s="19" t="s">
        <v>212</v>
      </c>
      <c r="G95" s="18" t="s">
        <v>212</v>
      </c>
      <c r="H95" s="19" t="s">
        <v>212</v>
      </c>
      <c r="I95" s="18" t="s">
        <v>212</v>
      </c>
      <c r="J95" s="19" t="s">
        <v>212</v>
      </c>
      <c r="K95" s="18" t="s">
        <v>212</v>
      </c>
      <c r="L95" s="19">
        <v>934</v>
      </c>
      <c r="M95" s="18">
        <v>8.4760000000000009</v>
      </c>
      <c r="N95" s="19">
        <v>17</v>
      </c>
      <c r="O95" s="18">
        <v>0.28999999999999998</v>
      </c>
      <c r="P95" s="19">
        <v>804</v>
      </c>
      <c r="Q95" s="18">
        <v>7.2839999999999998</v>
      </c>
      <c r="R95" s="19">
        <v>12</v>
      </c>
      <c r="S95" s="18">
        <v>0.21</v>
      </c>
      <c r="T95" s="19" t="s">
        <v>212</v>
      </c>
      <c r="U95" s="18" t="s">
        <v>212</v>
      </c>
      <c r="V95" s="19" t="s">
        <v>212</v>
      </c>
      <c r="W95" s="18" t="s">
        <v>212</v>
      </c>
      <c r="X95" s="19">
        <v>200</v>
      </c>
      <c r="Y95" s="18">
        <v>0.3</v>
      </c>
      <c r="Z95" s="19">
        <v>1352</v>
      </c>
      <c r="AA95" s="21">
        <v>2.6469999999999998</v>
      </c>
      <c r="AB95" s="8" t="s">
        <v>149</v>
      </c>
      <c r="AC95" s="9"/>
      <c r="AD95" s="9"/>
    </row>
    <row r="96" spans="1:30" x14ac:dyDescent="0.3">
      <c r="A96" s="7" t="s">
        <v>150</v>
      </c>
      <c r="B96" s="20">
        <v>61</v>
      </c>
      <c r="C96" s="18">
        <v>11.164999999999999</v>
      </c>
      <c r="D96" s="17">
        <v>189</v>
      </c>
      <c r="E96" s="18">
        <v>41.58</v>
      </c>
      <c r="F96" s="17" t="s">
        <v>212</v>
      </c>
      <c r="G96" s="18" t="s">
        <v>212</v>
      </c>
      <c r="H96" s="17" t="s">
        <v>212</v>
      </c>
      <c r="I96" s="18" t="s">
        <v>212</v>
      </c>
      <c r="J96" s="17" t="s">
        <v>212</v>
      </c>
      <c r="K96" s="18" t="s">
        <v>212</v>
      </c>
      <c r="L96" s="17">
        <v>11169</v>
      </c>
      <c r="M96" s="18">
        <v>111.69</v>
      </c>
      <c r="N96" s="17">
        <v>2137</v>
      </c>
      <c r="O96" s="18">
        <v>34.192</v>
      </c>
      <c r="P96" s="17">
        <v>14423</v>
      </c>
      <c r="Q96" s="18">
        <v>144.22999999999999</v>
      </c>
      <c r="R96" s="17">
        <v>1512</v>
      </c>
      <c r="S96" s="18">
        <v>30.24</v>
      </c>
      <c r="T96" s="17">
        <v>1018</v>
      </c>
      <c r="U96" s="18">
        <v>20.36</v>
      </c>
      <c r="V96" s="17">
        <v>47</v>
      </c>
      <c r="W96" s="18">
        <v>3.9950000000000001</v>
      </c>
      <c r="X96" s="17">
        <v>656</v>
      </c>
      <c r="Y96" s="18">
        <v>0.98899999999999999</v>
      </c>
      <c r="Z96" s="17" t="s">
        <v>212</v>
      </c>
      <c r="AA96" s="21" t="s">
        <v>212</v>
      </c>
      <c r="AB96" s="8" t="s">
        <v>151</v>
      </c>
      <c r="AC96" s="9"/>
      <c r="AD96" s="9"/>
    </row>
    <row r="97" spans="1:30" x14ac:dyDescent="0.3">
      <c r="A97" s="7" t="s">
        <v>152</v>
      </c>
      <c r="B97" s="20">
        <v>73</v>
      </c>
      <c r="C97" s="18">
        <v>8.5</v>
      </c>
      <c r="D97" s="17">
        <v>69</v>
      </c>
      <c r="E97" s="18">
        <v>10.55</v>
      </c>
      <c r="F97" s="17">
        <v>793</v>
      </c>
      <c r="G97" s="18">
        <v>233</v>
      </c>
      <c r="H97" s="17">
        <v>4</v>
      </c>
      <c r="I97" s="18">
        <v>1.2</v>
      </c>
      <c r="J97" s="17" t="s">
        <v>212</v>
      </c>
      <c r="K97" s="18" t="s">
        <v>212</v>
      </c>
      <c r="L97" s="17">
        <v>1341</v>
      </c>
      <c r="M97" s="18">
        <v>11.21</v>
      </c>
      <c r="N97" s="17">
        <v>25</v>
      </c>
      <c r="O97" s="18">
        <v>0.55500000000000005</v>
      </c>
      <c r="P97" s="17">
        <v>1731</v>
      </c>
      <c r="Q97" s="18">
        <v>13.12</v>
      </c>
      <c r="R97" s="17">
        <v>77</v>
      </c>
      <c r="S97" s="18">
        <v>1.335</v>
      </c>
      <c r="T97" s="17">
        <v>18</v>
      </c>
      <c r="U97" s="18">
        <v>0.36</v>
      </c>
      <c r="V97" s="17">
        <v>376</v>
      </c>
      <c r="W97" s="18">
        <v>25.1</v>
      </c>
      <c r="X97" s="17">
        <v>2360</v>
      </c>
      <c r="Y97" s="18">
        <v>3.4550000000000001</v>
      </c>
      <c r="Z97" s="17">
        <v>350</v>
      </c>
      <c r="AA97" s="21">
        <v>0.52500000000000002</v>
      </c>
      <c r="AB97" s="8" t="s">
        <v>153</v>
      </c>
      <c r="AC97" s="9"/>
      <c r="AD97" s="9"/>
    </row>
    <row r="98" spans="1:30" x14ac:dyDescent="0.3">
      <c r="A98" s="7" t="s">
        <v>154</v>
      </c>
      <c r="B98" s="20">
        <v>27</v>
      </c>
      <c r="C98" s="18">
        <v>4.2</v>
      </c>
      <c r="D98" s="17">
        <v>13</v>
      </c>
      <c r="E98" s="18">
        <v>2.6749999999999998</v>
      </c>
      <c r="F98" s="17">
        <v>1</v>
      </c>
      <c r="G98" s="18">
        <v>0.18</v>
      </c>
      <c r="H98" s="17" t="s">
        <v>212</v>
      </c>
      <c r="I98" s="18" t="s">
        <v>212</v>
      </c>
      <c r="J98" s="17" t="s">
        <v>212</v>
      </c>
      <c r="K98" s="18" t="s">
        <v>212</v>
      </c>
      <c r="L98" s="17">
        <v>4680</v>
      </c>
      <c r="M98" s="18">
        <v>45.747999999999998</v>
      </c>
      <c r="N98" s="17">
        <v>1150</v>
      </c>
      <c r="O98" s="18">
        <v>21.684999999999999</v>
      </c>
      <c r="P98" s="17">
        <v>7267</v>
      </c>
      <c r="Q98" s="18">
        <v>71.234999999999999</v>
      </c>
      <c r="R98" s="17">
        <v>1845</v>
      </c>
      <c r="S98" s="18">
        <v>31.445</v>
      </c>
      <c r="T98" s="17">
        <v>52</v>
      </c>
      <c r="U98" s="18">
        <v>1.04</v>
      </c>
      <c r="V98" s="17">
        <v>372</v>
      </c>
      <c r="W98" s="18">
        <v>24.225000000000001</v>
      </c>
      <c r="X98" s="17">
        <v>14810</v>
      </c>
      <c r="Y98" s="18">
        <v>22.88</v>
      </c>
      <c r="Z98" s="17">
        <v>1645</v>
      </c>
      <c r="AA98" s="21">
        <v>2.6850000000000001</v>
      </c>
      <c r="AB98" s="8" t="s">
        <v>155</v>
      </c>
      <c r="AC98" s="9"/>
      <c r="AD98" s="9"/>
    </row>
    <row r="99" spans="1:30" x14ac:dyDescent="0.3">
      <c r="A99" s="7" t="s">
        <v>156</v>
      </c>
      <c r="B99" s="20">
        <v>13</v>
      </c>
      <c r="C99" s="18">
        <v>2.4049999999999998</v>
      </c>
      <c r="D99" s="17">
        <v>36</v>
      </c>
      <c r="E99" s="18">
        <v>7.92</v>
      </c>
      <c r="F99" s="17" t="s">
        <v>212</v>
      </c>
      <c r="G99" s="18" t="s">
        <v>212</v>
      </c>
      <c r="H99" s="17" t="s">
        <v>212</v>
      </c>
      <c r="I99" s="18" t="s">
        <v>212</v>
      </c>
      <c r="J99" s="17" t="s">
        <v>212</v>
      </c>
      <c r="K99" s="18" t="s">
        <v>212</v>
      </c>
      <c r="L99" s="17">
        <v>2307</v>
      </c>
      <c r="M99" s="18">
        <v>23.07</v>
      </c>
      <c r="N99" s="17">
        <v>443</v>
      </c>
      <c r="O99" s="18">
        <v>7.0880000000000001</v>
      </c>
      <c r="P99" s="17">
        <v>1351</v>
      </c>
      <c r="Q99" s="18">
        <v>13.51</v>
      </c>
      <c r="R99" s="17">
        <v>97</v>
      </c>
      <c r="S99" s="18">
        <v>1.94</v>
      </c>
      <c r="T99" s="17">
        <v>21</v>
      </c>
      <c r="U99" s="18">
        <v>0.42</v>
      </c>
      <c r="V99" s="17">
        <v>1</v>
      </c>
      <c r="W99" s="18">
        <v>8.5000000000000006E-2</v>
      </c>
      <c r="X99" s="17">
        <v>310</v>
      </c>
      <c r="Y99" s="18">
        <v>0.46600000000000003</v>
      </c>
      <c r="Z99" s="17" t="s">
        <v>212</v>
      </c>
      <c r="AA99" s="21" t="s">
        <v>212</v>
      </c>
      <c r="AB99" s="8" t="s">
        <v>157</v>
      </c>
      <c r="AC99" s="9"/>
      <c r="AD99" s="9"/>
    </row>
    <row r="100" spans="1:30" x14ac:dyDescent="0.3">
      <c r="A100" s="7" t="s">
        <v>158</v>
      </c>
      <c r="B100" s="20">
        <v>118</v>
      </c>
      <c r="C100" s="18">
        <v>17.585000000000001</v>
      </c>
      <c r="D100" s="17">
        <v>1229</v>
      </c>
      <c r="E100" s="18">
        <v>352.83</v>
      </c>
      <c r="F100" s="17">
        <v>693</v>
      </c>
      <c r="G100" s="18">
        <v>283.2</v>
      </c>
      <c r="H100" s="17" t="s">
        <v>212</v>
      </c>
      <c r="I100" s="18" t="s">
        <v>212</v>
      </c>
      <c r="J100" s="17" t="s">
        <v>212</v>
      </c>
      <c r="K100" s="18" t="s">
        <v>212</v>
      </c>
      <c r="L100" s="17">
        <v>39259</v>
      </c>
      <c r="M100" s="18">
        <v>415.75400000000002</v>
      </c>
      <c r="N100" s="17">
        <v>2760</v>
      </c>
      <c r="O100" s="18">
        <v>79.441000000000003</v>
      </c>
      <c r="P100" s="17">
        <v>33758</v>
      </c>
      <c r="Q100" s="18">
        <v>323.18299999999999</v>
      </c>
      <c r="R100" s="17">
        <v>2066</v>
      </c>
      <c r="S100" s="18">
        <v>45.63</v>
      </c>
      <c r="T100" s="17">
        <v>422</v>
      </c>
      <c r="U100" s="18">
        <v>7.59</v>
      </c>
      <c r="V100" s="17">
        <v>1128</v>
      </c>
      <c r="W100" s="18">
        <v>71.075000000000003</v>
      </c>
      <c r="X100" s="17">
        <v>22580</v>
      </c>
      <c r="Y100" s="18">
        <v>48.932000000000002</v>
      </c>
      <c r="Z100" s="17">
        <v>11790</v>
      </c>
      <c r="AA100" s="21">
        <v>15.632999999999999</v>
      </c>
      <c r="AB100" s="8" t="s">
        <v>159</v>
      </c>
      <c r="AC100" s="9"/>
      <c r="AD100" s="9"/>
    </row>
    <row r="101" spans="1:30" x14ac:dyDescent="0.3">
      <c r="A101" s="7" t="s">
        <v>160</v>
      </c>
      <c r="B101" s="20">
        <v>2</v>
      </c>
      <c r="C101" s="18">
        <v>0.36</v>
      </c>
      <c r="D101" s="17">
        <v>152</v>
      </c>
      <c r="E101" s="18">
        <v>38</v>
      </c>
      <c r="F101" s="17">
        <v>48</v>
      </c>
      <c r="G101" s="18">
        <v>16.8</v>
      </c>
      <c r="H101" s="17" t="s">
        <v>212</v>
      </c>
      <c r="I101" s="18" t="s">
        <v>212</v>
      </c>
      <c r="J101" s="17" t="s">
        <v>212</v>
      </c>
      <c r="K101" s="18" t="s">
        <v>212</v>
      </c>
      <c r="L101" s="17">
        <v>606</v>
      </c>
      <c r="M101" s="18">
        <v>6.06</v>
      </c>
      <c r="N101" s="17">
        <v>37</v>
      </c>
      <c r="O101" s="18">
        <v>0.66600000000000004</v>
      </c>
      <c r="P101" s="17">
        <v>836</v>
      </c>
      <c r="Q101" s="18">
        <v>10.032</v>
      </c>
      <c r="R101" s="17">
        <v>95</v>
      </c>
      <c r="S101" s="18">
        <v>1.71</v>
      </c>
      <c r="T101" s="17">
        <v>20</v>
      </c>
      <c r="U101" s="18">
        <v>0.36</v>
      </c>
      <c r="V101" s="17">
        <v>12</v>
      </c>
      <c r="W101" s="18">
        <v>0.54</v>
      </c>
      <c r="X101" s="17">
        <v>1830</v>
      </c>
      <c r="Y101" s="18">
        <v>2.74</v>
      </c>
      <c r="Z101" s="17">
        <v>100</v>
      </c>
      <c r="AA101" s="21">
        <v>0.18</v>
      </c>
      <c r="AB101" s="8" t="s">
        <v>161</v>
      </c>
      <c r="AC101" s="9"/>
      <c r="AD101" s="9"/>
    </row>
    <row r="102" spans="1:30" x14ac:dyDescent="0.3">
      <c r="A102" s="7" t="s">
        <v>162</v>
      </c>
      <c r="B102" s="20">
        <v>27</v>
      </c>
      <c r="C102" s="18">
        <v>3.8119999999999998</v>
      </c>
      <c r="D102" s="17">
        <v>125</v>
      </c>
      <c r="E102" s="18">
        <v>28.172000000000001</v>
      </c>
      <c r="F102" s="17">
        <v>105</v>
      </c>
      <c r="G102" s="18">
        <v>24.61</v>
      </c>
      <c r="H102" s="17" t="s">
        <v>212</v>
      </c>
      <c r="I102" s="18" t="s">
        <v>212</v>
      </c>
      <c r="J102" s="17" t="s">
        <v>212</v>
      </c>
      <c r="K102" s="18" t="s">
        <v>212</v>
      </c>
      <c r="L102" s="17">
        <v>4275</v>
      </c>
      <c r="M102" s="18">
        <v>46.807000000000002</v>
      </c>
      <c r="N102" s="17">
        <v>367</v>
      </c>
      <c r="O102" s="18">
        <v>6.4770000000000003</v>
      </c>
      <c r="P102" s="17">
        <v>5717</v>
      </c>
      <c r="Q102" s="18">
        <v>57.930999999999997</v>
      </c>
      <c r="R102" s="17">
        <v>780</v>
      </c>
      <c r="S102" s="18">
        <v>15.035</v>
      </c>
      <c r="T102" s="17">
        <v>319</v>
      </c>
      <c r="U102" s="18">
        <v>4.657</v>
      </c>
      <c r="V102" s="17">
        <v>1562</v>
      </c>
      <c r="W102" s="18">
        <v>99.111999999999995</v>
      </c>
      <c r="X102" s="17">
        <v>5228</v>
      </c>
      <c r="Y102" s="18">
        <v>7.8559999999999999</v>
      </c>
      <c r="Z102" s="17" t="s">
        <v>212</v>
      </c>
      <c r="AA102" s="21" t="s">
        <v>212</v>
      </c>
      <c r="AB102" s="8" t="s">
        <v>163</v>
      </c>
      <c r="AC102" s="9"/>
      <c r="AD102" s="9"/>
    </row>
    <row r="103" spans="1:30" x14ac:dyDescent="0.3">
      <c r="A103" s="7" t="s">
        <v>164</v>
      </c>
      <c r="B103" s="20">
        <v>58</v>
      </c>
      <c r="C103" s="18">
        <v>10.67</v>
      </c>
      <c r="D103" s="17">
        <v>151</v>
      </c>
      <c r="E103" s="18">
        <v>30.2</v>
      </c>
      <c r="F103" s="17" t="s">
        <v>212</v>
      </c>
      <c r="G103" s="18" t="s">
        <v>212</v>
      </c>
      <c r="H103" s="17" t="s">
        <v>212</v>
      </c>
      <c r="I103" s="18" t="s">
        <v>212</v>
      </c>
      <c r="J103" s="17" t="s">
        <v>212</v>
      </c>
      <c r="K103" s="18" t="s">
        <v>212</v>
      </c>
      <c r="L103" s="17">
        <v>8362</v>
      </c>
      <c r="M103" s="18">
        <v>83.62</v>
      </c>
      <c r="N103" s="17">
        <v>1471</v>
      </c>
      <c r="O103" s="18">
        <v>23.536000000000001</v>
      </c>
      <c r="P103" s="17">
        <v>5250</v>
      </c>
      <c r="Q103" s="18">
        <v>52.5</v>
      </c>
      <c r="R103" s="17">
        <v>565</v>
      </c>
      <c r="S103" s="18">
        <v>11.3</v>
      </c>
      <c r="T103" s="17">
        <v>92</v>
      </c>
      <c r="U103" s="18">
        <v>1.84</v>
      </c>
      <c r="V103" s="17">
        <v>19</v>
      </c>
      <c r="W103" s="18">
        <v>1.615</v>
      </c>
      <c r="X103" s="17">
        <v>1828</v>
      </c>
      <c r="Y103" s="18">
        <v>2.7429999999999999</v>
      </c>
      <c r="Z103" s="17">
        <v>523</v>
      </c>
      <c r="AA103" s="21">
        <v>0.78800000000000003</v>
      </c>
      <c r="AB103" s="8" t="s">
        <v>165</v>
      </c>
      <c r="AC103" s="9"/>
      <c r="AD103" s="9"/>
    </row>
    <row r="104" spans="1:30" x14ac:dyDescent="0.3">
      <c r="A104" s="44" t="s">
        <v>166</v>
      </c>
      <c r="B104" s="46">
        <f t="shared" ref="B104:G104" si="30">SUM(B106:B109)</f>
        <v>365</v>
      </c>
      <c r="C104" s="45">
        <f t="shared" si="30"/>
        <v>62.790999999999997</v>
      </c>
      <c r="D104" s="45">
        <f t="shared" si="30"/>
        <v>1040</v>
      </c>
      <c r="E104" s="45">
        <f t="shared" si="30"/>
        <v>265.23</v>
      </c>
      <c r="F104" s="45">
        <f t="shared" si="30"/>
        <v>794</v>
      </c>
      <c r="G104" s="45">
        <f t="shared" si="30"/>
        <v>227.101</v>
      </c>
      <c r="H104" s="45">
        <f t="shared" ref="H104:M104" si="31">SUM(H106:H109)</f>
        <v>20</v>
      </c>
      <c r="I104" s="47">
        <f t="shared" si="31"/>
        <v>5.4020000000000001</v>
      </c>
      <c r="J104" s="45">
        <f t="shared" si="31"/>
        <v>10</v>
      </c>
      <c r="K104" s="47">
        <f t="shared" si="31"/>
        <v>2.85</v>
      </c>
      <c r="L104" s="45">
        <f t="shared" si="31"/>
        <v>704529</v>
      </c>
      <c r="M104" s="45">
        <f t="shared" si="31"/>
        <v>7675.9609999999993</v>
      </c>
      <c r="N104" s="45">
        <f>SUM(N106:N109)</f>
        <v>83181</v>
      </c>
      <c r="O104" s="45">
        <f>SUM(O106:O109)</f>
        <v>1492.7130000000002</v>
      </c>
      <c r="P104" s="47">
        <f t="shared" ref="P104:AA104" si="32">SUM(P106:P109)</f>
        <v>237316</v>
      </c>
      <c r="Q104" s="45">
        <f t="shared" si="32"/>
        <v>2457.384</v>
      </c>
      <c r="R104" s="45">
        <f t="shared" si="32"/>
        <v>31386</v>
      </c>
      <c r="S104" s="47">
        <f t="shared" si="32"/>
        <v>586.53</v>
      </c>
      <c r="T104" s="45">
        <f t="shared" si="32"/>
        <v>21461</v>
      </c>
      <c r="U104" s="47">
        <f t="shared" si="32"/>
        <v>417.46499999999997</v>
      </c>
      <c r="V104" s="45">
        <f t="shared" si="32"/>
        <v>19692</v>
      </c>
      <c r="W104" s="47">
        <f t="shared" si="32"/>
        <v>1111.758</v>
      </c>
      <c r="X104" s="45">
        <f t="shared" si="32"/>
        <v>510055</v>
      </c>
      <c r="Y104" s="47">
        <f t="shared" si="32"/>
        <v>1099.4289999999999</v>
      </c>
      <c r="Z104" s="45">
        <f t="shared" si="32"/>
        <v>643994</v>
      </c>
      <c r="AA104" s="51">
        <f t="shared" si="32"/>
        <v>1103.26</v>
      </c>
      <c r="AB104" s="43" t="s">
        <v>167</v>
      </c>
      <c r="AC104" s="43"/>
      <c r="AD104" s="43"/>
    </row>
    <row r="105" spans="1:30" x14ac:dyDescent="0.3">
      <c r="A105" s="44"/>
      <c r="B105" s="46"/>
      <c r="C105" s="45"/>
      <c r="D105" s="45"/>
      <c r="E105" s="45"/>
      <c r="F105" s="45"/>
      <c r="G105" s="45"/>
      <c r="H105" s="45"/>
      <c r="I105" s="47"/>
      <c r="J105" s="45"/>
      <c r="K105" s="47"/>
      <c r="L105" s="45"/>
      <c r="M105" s="45"/>
      <c r="N105" s="45"/>
      <c r="O105" s="45"/>
      <c r="P105" s="47"/>
      <c r="Q105" s="45"/>
      <c r="R105" s="45"/>
      <c r="S105" s="47"/>
      <c r="T105" s="45"/>
      <c r="U105" s="47"/>
      <c r="V105" s="45"/>
      <c r="W105" s="47"/>
      <c r="X105" s="45"/>
      <c r="Y105" s="47"/>
      <c r="Z105" s="45"/>
      <c r="AA105" s="51"/>
      <c r="AB105" s="43"/>
      <c r="AC105" s="43"/>
      <c r="AD105" s="43"/>
    </row>
    <row r="106" spans="1:30" x14ac:dyDescent="0.3">
      <c r="A106" s="7" t="s">
        <v>168</v>
      </c>
      <c r="B106" s="20">
        <v>111</v>
      </c>
      <c r="C106" s="18">
        <v>15.12</v>
      </c>
      <c r="D106" s="17">
        <v>680</v>
      </c>
      <c r="E106" s="18">
        <v>162</v>
      </c>
      <c r="F106" s="17">
        <v>4</v>
      </c>
      <c r="G106" s="18">
        <v>0.72</v>
      </c>
      <c r="H106" s="17" t="s">
        <v>212</v>
      </c>
      <c r="I106" s="18" t="s">
        <v>212</v>
      </c>
      <c r="J106" s="17" t="s">
        <v>212</v>
      </c>
      <c r="K106" s="18" t="s">
        <v>212</v>
      </c>
      <c r="L106" s="17">
        <v>55346</v>
      </c>
      <c r="M106" s="18">
        <v>505.04899999999998</v>
      </c>
      <c r="N106" s="17">
        <v>11383</v>
      </c>
      <c r="O106" s="18">
        <v>184.697</v>
      </c>
      <c r="P106" s="17">
        <v>8547</v>
      </c>
      <c r="Q106" s="18">
        <v>73.578999999999994</v>
      </c>
      <c r="R106" s="17">
        <v>3388</v>
      </c>
      <c r="S106" s="18">
        <v>54.518999999999998</v>
      </c>
      <c r="T106" s="17">
        <v>764</v>
      </c>
      <c r="U106" s="18">
        <v>15.212</v>
      </c>
      <c r="V106" s="17">
        <v>3694</v>
      </c>
      <c r="W106" s="18">
        <v>166.23</v>
      </c>
      <c r="X106" s="17">
        <v>137476</v>
      </c>
      <c r="Y106" s="18">
        <v>212.053</v>
      </c>
      <c r="Z106" s="17">
        <v>269228</v>
      </c>
      <c r="AA106" s="21">
        <v>402.70499999999998</v>
      </c>
      <c r="AB106" s="8" t="s">
        <v>169</v>
      </c>
      <c r="AC106" s="9"/>
      <c r="AD106" s="9"/>
    </row>
    <row r="107" spans="1:30" x14ac:dyDescent="0.3">
      <c r="A107" s="7" t="s">
        <v>170</v>
      </c>
      <c r="B107" s="22">
        <v>1</v>
      </c>
      <c r="C107" s="18">
        <v>0.185</v>
      </c>
      <c r="D107" s="19" t="s">
        <v>212</v>
      </c>
      <c r="E107" s="18" t="s">
        <v>212</v>
      </c>
      <c r="F107" s="19" t="s">
        <v>212</v>
      </c>
      <c r="G107" s="18" t="s">
        <v>212</v>
      </c>
      <c r="H107" s="19" t="s">
        <v>212</v>
      </c>
      <c r="I107" s="18" t="s">
        <v>212</v>
      </c>
      <c r="J107" s="19" t="s">
        <v>212</v>
      </c>
      <c r="K107" s="18" t="s">
        <v>212</v>
      </c>
      <c r="L107" s="19">
        <v>28874</v>
      </c>
      <c r="M107" s="18">
        <v>315.62</v>
      </c>
      <c r="N107" s="19">
        <v>10231</v>
      </c>
      <c r="O107" s="18">
        <v>274.97000000000003</v>
      </c>
      <c r="P107" s="19">
        <v>31368</v>
      </c>
      <c r="Q107" s="18">
        <v>348.83</v>
      </c>
      <c r="R107" s="19">
        <v>3852</v>
      </c>
      <c r="S107" s="18">
        <v>91.355000000000004</v>
      </c>
      <c r="T107" s="19">
        <v>500</v>
      </c>
      <c r="U107" s="18">
        <v>10</v>
      </c>
      <c r="V107" s="19">
        <v>2500</v>
      </c>
      <c r="W107" s="18">
        <v>137.5</v>
      </c>
      <c r="X107" s="19">
        <v>14810</v>
      </c>
      <c r="Y107" s="18">
        <v>26.488</v>
      </c>
      <c r="Z107" s="19">
        <v>12800</v>
      </c>
      <c r="AA107" s="21">
        <v>22.327999999999999</v>
      </c>
      <c r="AB107" s="8" t="s">
        <v>171</v>
      </c>
      <c r="AC107" s="9"/>
      <c r="AD107" s="9"/>
    </row>
    <row r="108" spans="1:30" x14ac:dyDescent="0.3">
      <c r="A108" s="7" t="s">
        <v>172</v>
      </c>
      <c r="B108" s="20">
        <v>120</v>
      </c>
      <c r="C108" s="18">
        <v>21.786000000000001</v>
      </c>
      <c r="D108" s="17">
        <v>105</v>
      </c>
      <c r="E108" s="18">
        <v>29.4</v>
      </c>
      <c r="F108" s="17" t="s">
        <v>212</v>
      </c>
      <c r="G108" s="18" t="s">
        <v>212</v>
      </c>
      <c r="H108" s="17" t="s">
        <v>212</v>
      </c>
      <c r="I108" s="18" t="s">
        <v>212</v>
      </c>
      <c r="J108" s="17" t="s">
        <v>212</v>
      </c>
      <c r="K108" s="18" t="s">
        <v>212</v>
      </c>
      <c r="L108" s="17">
        <v>556278</v>
      </c>
      <c r="M108" s="18">
        <v>6185.4979999999996</v>
      </c>
      <c r="N108" s="17">
        <v>51894</v>
      </c>
      <c r="O108" s="18">
        <v>863.01</v>
      </c>
      <c r="P108" s="17">
        <v>172396</v>
      </c>
      <c r="Q108" s="18">
        <v>1792.74</v>
      </c>
      <c r="R108" s="17">
        <v>17148</v>
      </c>
      <c r="S108" s="18">
        <v>312.43900000000002</v>
      </c>
      <c r="T108" s="17">
        <v>18557</v>
      </c>
      <c r="U108" s="18">
        <v>365.42099999999999</v>
      </c>
      <c r="V108" s="17">
        <v>7173</v>
      </c>
      <c r="W108" s="18">
        <v>430.63099999999997</v>
      </c>
      <c r="X108" s="17">
        <v>184891</v>
      </c>
      <c r="Y108" s="18">
        <v>511.721</v>
      </c>
      <c r="Z108" s="17">
        <v>163292</v>
      </c>
      <c r="AA108" s="21">
        <v>359.37400000000002</v>
      </c>
      <c r="AB108" s="8" t="s">
        <v>173</v>
      </c>
      <c r="AC108" s="9"/>
      <c r="AD108" s="9"/>
    </row>
    <row r="109" spans="1:30" ht="15" thickBot="1" x14ac:dyDescent="0.35">
      <c r="A109" s="13" t="s">
        <v>174</v>
      </c>
      <c r="B109" s="23">
        <v>133</v>
      </c>
      <c r="C109" s="24">
        <v>25.7</v>
      </c>
      <c r="D109" s="25">
        <v>255</v>
      </c>
      <c r="E109" s="24">
        <v>73.83</v>
      </c>
      <c r="F109" s="25">
        <v>790</v>
      </c>
      <c r="G109" s="24">
        <v>226.381</v>
      </c>
      <c r="H109" s="25">
        <v>20</v>
      </c>
      <c r="I109" s="24">
        <v>5.4020000000000001</v>
      </c>
      <c r="J109" s="25">
        <v>10</v>
      </c>
      <c r="K109" s="24">
        <v>2.85</v>
      </c>
      <c r="L109" s="25">
        <v>64031</v>
      </c>
      <c r="M109" s="24">
        <v>669.79399999999998</v>
      </c>
      <c r="N109" s="25">
        <v>9673</v>
      </c>
      <c r="O109" s="24">
        <v>170.036</v>
      </c>
      <c r="P109" s="25">
        <v>25005</v>
      </c>
      <c r="Q109" s="24">
        <v>242.23500000000001</v>
      </c>
      <c r="R109" s="25">
        <v>6998</v>
      </c>
      <c r="S109" s="24">
        <v>128.21700000000001</v>
      </c>
      <c r="T109" s="25">
        <v>1640</v>
      </c>
      <c r="U109" s="24">
        <v>26.832000000000001</v>
      </c>
      <c r="V109" s="25">
        <v>6325</v>
      </c>
      <c r="W109" s="24">
        <v>377.39699999999999</v>
      </c>
      <c r="X109" s="25">
        <v>172878</v>
      </c>
      <c r="Y109" s="24">
        <v>349.16699999999997</v>
      </c>
      <c r="Z109" s="25">
        <v>198674</v>
      </c>
      <c r="AA109" s="26">
        <v>318.85300000000001</v>
      </c>
      <c r="AB109" s="14" t="s">
        <v>175</v>
      </c>
      <c r="AC109" s="15"/>
      <c r="AD109" s="15"/>
    </row>
  </sheetData>
  <mergeCells count="395">
    <mergeCell ref="U104:U105"/>
    <mergeCell ref="V104:V105"/>
    <mergeCell ref="Q104:Q105"/>
    <mergeCell ref="AB5:AD8"/>
    <mergeCell ref="A5:A8"/>
    <mergeCell ref="N82:N83"/>
    <mergeCell ref="O82:O83"/>
    <mergeCell ref="P82:P83"/>
    <mergeCell ref="AC4:AD4"/>
    <mergeCell ref="B2:AA2"/>
    <mergeCell ref="B3:AA3"/>
    <mergeCell ref="W104:W105"/>
    <mergeCell ref="X104:X105"/>
    <mergeCell ref="Y104:Y105"/>
    <mergeCell ref="R104:R105"/>
    <mergeCell ref="S104:S105"/>
    <mergeCell ref="Z104:Z105"/>
    <mergeCell ref="AA104:AA105"/>
    <mergeCell ref="N104:N105"/>
    <mergeCell ref="O104:O105"/>
    <mergeCell ref="P104:P105"/>
    <mergeCell ref="W89:W90"/>
    <mergeCell ref="X89:X90"/>
    <mergeCell ref="T89:T90"/>
    <mergeCell ref="U89:U90"/>
    <mergeCell ref="V89:V90"/>
    <mergeCell ref="Q89:Q90"/>
    <mergeCell ref="T104:T105"/>
    <mergeCell ref="W82:W83"/>
    <mergeCell ref="X82:X83"/>
    <mergeCell ref="T82:T83"/>
    <mergeCell ref="U82:U83"/>
    <mergeCell ref="V82:V83"/>
    <mergeCell ref="Q82:Q83"/>
    <mergeCell ref="R82:R83"/>
    <mergeCell ref="S82:S83"/>
    <mergeCell ref="R89:R90"/>
    <mergeCell ref="S89:S90"/>
    <mergeCell ref="Z65:Z66"/>
    <mergeCell ref="AA65:AA66"/>
    <mergeCell ref="Y65:Y66"/>
    <mergeCell ref="Z72:Z73"/>
    <mergeCell ref="AA72:AA73"/>
    <mergeCell ref="Y72:Y73"/>
    <mergeCell ref="AA82:AA83"/>
    <mergeCell ref="Y82:Y83"/>
    <mergeCell ref="Z89:Z90"/>
    <mergeCell ref="AA89:AA90"/>
    <mergeCell ref="Y89:Y90"/>
    <mergeCell ref="Z82:Z83"/>
    <mergeCell ref="Z53:Z54"/>
    <mergeCell ref="AA53:AA54"/>
    <mergeCell ref="Y53:Y54"/>
    <mergeCell ref="Z60:Z61"/>
    <mergeCell ref="AA60:AA61"/>
    <mergeCell ref="Y60:Y61"/>
    <mergeCell ref="N72:N73"/>
    <mergeCell ref="O72:O73"/>
    <mergeCell ref="P72:P73"/>
    <mergeCell ref="W65:W66"/>
    <mergeCell ref="X65:X66"/>
    <mergeCell ref="T65:T66"/>
    <mergeCell ref="U65:U66"/>
    <mergeCell ref="V65:V66"/>
    <mergeCell ref="Q65:Q66"/>
    <mergeCell ref="R65:R66"/>
    <mergeCell ref="S65:S66"/>
    <mergeCell ref="R72:R73"/>
    <mergeCell ref="S72:S73"/>
    <mergeCell ref="N65:N66"/>
    <mergeCell ref="O65:O66"/>
    <mergeCell ref="P65:P66"/>
    <mergeCell ref="W72:W73"/>
    <mergeCell ref="X72:X73"/>
    <mergeCell ref="Z39:Z40"/>
    <mergeCell ref="AA39:AA40"/>
    <mergeCell ref="Y39:Y40"/>
    <mergeCell ref="Z46:Z47"/>
    <mergeCell ref="AA46:AA47"/>
    <mergeCell ref="Y46:Y47"/>
    <mergeCell ref="N60:N61"/>
    <mergeCell ref="O60:O61"/>
    <mergeCell ref="P60:P61"/>
    <mergeCell ref="W53:W54"/>
    <mergeCell ref="X53:X54"/>
    <mergeCell ref="T53:T54"/>
    <mergeCell ref="U53:U54"/>
    <mergeCell ref="V53:V54"/>
    <mergeCell ref="Q53:Q54"/>
    <mergeCell ref="R53:R54"/>
    <mergeCell ref="S53:S54"/>
    <mergeCell ref="R60:R61"/>
    <mergeCell ref="S60:S61"/>
    <mergeCell ref="N53:N54"/>
    <mergeCell ref="O53:O54"/>
    <mergeCell ref="P53:P54"/>
    <mergeCell ref="W60:W61"/>
    <mergeCell ref="X60:X61"/>
    <mergeCell ref="Z33:Z34"/>
    <mergeCell ref="AA33:AA34"/>
    <mergeCell ref="Y33:Y34"/>
    <mergeCell ref="N46:N47"/>
    <mergeCell ref="O46:O47"/>
    <mergeCell ref="P46:P47"/>
    <mergeCell ref="W39:W40"/>
    <mergeCell ref="X39:X40"/>
    <mergeCell ref="T39:T40"/>
    <mergeCell ref="U39:U40"/>
    <mergeCell ref="V39:V40"/>
    <mergeCell ref="Q39:Q40"/>
    <mergeCell ref="R39:R40"/>
    <mergeCell ref="S39:S40"/>
    <mergeCell ref="R46:R47"/>
    <mergeCell ref="S46:S47"/>
    <mergeCell ref="N39:N40"/>
    <mergeCell ref="O39:O40"/>
    <mergeCell ref="P39:P40"/>
    <mergeCell ref="W46:W47"/>
    <mergeCell ref="X46:X47"/>
    <mergeCell ref="T46:T47"/>
    <mergeCell ref="U46:U47"/>
    <mergeCell ref="V46:V47"/>
    <mergeCell ref="X19:X20"/>
    <mergeCell ref="T19:T20"/>
    <mergeCell ref="U19:U20"/>
    <mergeCell ref="V19:V20"/>
    <mergeCell ref="Q19:Q20"/>
    <mergeCell ref="R19:R20"/>
    <mergeCell ref="S19:S20"/>
    <mergeCell ref="R33:R34"/>
    <mergeCell ref="S33:S34"/>
    <mergeCell ref="W33:W34"/>
    <mergeCell ref="X33:X34"/>
    <mergeCell ref="T33:T34"/>
    <mergeCell ref="U33:U34"/>
    <mergeCell ref="V33:V34"/>
    <mergeCell ref="Q33:Q34"/>
    <mergeCell ref="W11:W12"/>
    <mergeCell ref="X11:X12"/>
    <mergeCell ref="T11:T12"/>
    <mergeCell ref="U11:U12"/>
    <mergeCell ref="V11:V12"/>
    <mergeCell ref="Q11:Q12"/>
    <mergeCell ref="Y9:Y10"/>
    <mergeCell ref="Y11:Y12"/>
    <mergeCell ref="Q9:Q10"/>
    <mergeCell ref="R9:R10"/>
    <mergeCell ref="S9:S10"/>
    <mergeCell ref="R11:R12"/>
    <mergeCell ref="S11:S12"/>
    <mergeCell ref="W9:W10"/>
    <mergeCell ref="X9:X10"/>
    <mergeCell ref="T9:T10"/>
    <mergeCell ref="U9:U10"/>
    <mergeCell ref="V9:V10"/>
    <mergeCell ref="D89:D90"/>
    <mergeCell ref="B89:B90"/>
    <mergeCell ref="C89:C90"/>
    <mergeCell ref="E89:E90"/>
    <mergeCell ref="L89:L90"/>
    <mergeCell ref="N33:N34"/>
    <mergeCell ref="O33:O34"/>
    <mergeCell ref="P33:P34"/>
    <mergeCell ref="W19:W20"/>
    <mergeCell ref="N19:N20"/>
    <mergeCell ref="O19:O20"/>
    <mergeCell ref="P19:P20"/>
    <mergeCell ref="Q46:Q47"/>
    <mergeCell ref="T60:T61"/>
    <mergeCell ref="U60:U61"/>
    <mergeCell ref="V60:V61"/>
    <mergeCell ref="Q60:Q61"/>
    <mergeCell ref="T72:T73"/>
    <mergeCell ref="U72:U73"/>
    <mergeCell ref="V72:V73"/>
    <mergeCell ref="Q72:Q73"/>
    <mergeCell ref="N89:N90"/>
    <mergeCell ref="O89:O90"/>
    <mergeCell ref="P89:P90"/>
    <mergeCell ref="B82:B83"/>
    <mergeCell ref="C82:C83"/>
    <mergeCell ref="D82:D83"/>
    <mergeCell ref="E82:E83"/>
    <mergeCell ref="F82:F83"/>
    <mergeCell ref="M89:M90"/>
    <mergeCell ref="B104:B105"/>
    <mergeCell ref="C104:C105"/>
    <mergeCell ref="E104:E105"/>
    <mergeCell ref="H104:H105"/>
    <mergeCell ref="I104:I105"/>
    <mergeCell ref="J104:J105"/>
    <mergeCell ref="D104:D105"/>
    <mergeCell ref="F104:F105"/>
    <mergeCell ref="G104:G105"/>
    <mergeCell ref="K104:K105"/>
    <mergeCell ref="L104:L105"/>
    <mergeCell ref="M104:M105"/>
    <mergeCell ref="K89:K90"/>
    <mergeCell ref="F89:F90"/>
    <mergeCell ref="G89:G90"/>
    <mergeCell ref="H89:H90"/>
    <mergeCell ref="I89:I90"/>
    <mergeCell ref="J89:J90"/>
    <mergeCell ref="M82:M83"/>
    <mergeCell ref="I72:I73"/>
    <mergeCell ref="J72:J73"/>
    <mergeCell ref="J82:J83"/>
    <mergeCell ref="K82:K83"/>
    <mergeCell ref="L82:L83"/>
    <mergeCell ref="G82:G83"/>
    <mergeCell ref="H82:H83"/>
    <mergeCell ref="I82:I83"/>
    <mergeCell ref="K72:K73"/>
    <mergeCell ref="L72:L73"/>
    <mergeCell ref="B65:B66"/>
    <mergeCell ref="C65:C66"/>
    <mergeCell ref="E65:E66"/>
    <mergeCell ref="M72:M73"/>
    <mergeCell ref="F72:F73"/>
    <mergeCell ref="G72:G73"/>
    <mergeCell ref="H72:H73"/>
    <mergeCell ref="B72:B73"/>
    <mergeCell ref="C72:C73"/>
    <mergeCell ref="D72:D73"/>
    <mergeCell ref="E72:E73"/>
    <mergeCell ref="L65:L66"/>
    <mergeCell ref="D65:D66"/>
    <mergeCell ref="I65:I66"/>
    <mergeCell ref="J65:J66"/>
    <mergeCell ref="K65:K66"/>
    <mergeCell ref="F65:F66"/>
    <mergeCell ref="G65:G66"/>
    <mergeCell ref="M53:M54"/>
    <mergeCell ref="F53:F54"/>
    <mergeCell ref="G53:G54"/>
    <mergeCell ref="G46:G47"/>
    <mergeCell ref="H46:H47"/>
    <mergeCell ref="M65:M66"/>
    <mergeCell ref="J60:J61"/>
    <mergeCell ref="K60:K61"/>
    <mergeCell ref="L60:L61"/>
    <mergeCell ref="G60:G61"/>
    <mergeCell ref="H60:H61"/>
    <mergeCell ref="I60:I61"/>
    <mergeCell ref="B53:B54"/>
    <mergeCell ref="C53:C54"/>
    <mergeCell ref="E46:E47"/>
    <mergeCell ref="B46:B47"/>
    <mergeCell ref="C46:C47"/>
    <mergeCell ref="D46:D47"/>
    <mergeCell ref="F46:F47"/>
    <mergeCell ref="I53:I54"/>
    <mergeCell ref="J53:J54"/>
    <mergeCell ref="I46:I47"/>
    <mergeCell ref="J46:J47"/>
    <mergeCell ref="D53:D54"/>
    <mergeCell ref="E53:E54"/>
    <mergeCell ref="L46:L47"/>
    <mergeCell ref="G33:G34"/>
    <mergeCell ref="H33:H34"/>
    <mergeCell ref="I33:I34"/>
    <mergeCell ref="F19:F20"/>
    <mergeCell ref="G19:G20"/>
    <mergeCell ref="D9:D10"/>
    <mergeCell ref="E9:E10"/>
    <mergeCell ref="F11:F12"/>
    <mergeCell ref="G11:G12"/>
    <mergeCell ref="H9:H10"/>
    <mergeCell ref="F9:F10"/>
    <mergeCell ref="G9:G10"/>
    <mergeCell ref="I11:I12"/>
    <mergeCell ref="J11:J12"/>
    <mergeCell ref="F33:F34"/>
    <mergeCell ref="H53:H54"/>
    <mergeCell ref="K46:K47"/>
    <mergeCell ref="K53:K54"/>
    <mergeCell ref="L53:L54"/>
    <mergeCell ref="AB9:AD10"/>
    <mergeCell ref="A11:A12"/>
    <mergeCell ref="AB11:AD12"/>
    <mergeCell ref="L11:L12"/>
    <mergeCell ref="M11:M12"/>
    <mergeCell ref="B9:B10"/>
    <mergeCell ref="C9:C10"/>
    <mergeCell ref="L9:L10"/>
    <mergeCell ref="M9:M10"/>
    <mergeCell ref="N9:N10"/>
    <mergeCell ref="O9:O10"/>
    <mergeCell ref="P9:P10"/>
    <mergeCell ref="N11:N12"/>
    <mergeCell ref="O11:O12"/>
    <mergeCell ref="P11:P12"/>
    <mergeCell ref="Z5:AA5"/>
    <mergeCell ref="N5:O5"/>
    <mergeCell ref="F5:G5"/>
    <mergeCell ref="I9:I10"/>
    <mergeCell ref="J9:J10"/>
    <mergeCell ref="K9:K10"/>
    <mergeCell ref="D11:D12"/>
    <mergeCell ref="E11:E12"/>
    <mergeCell ref="A19:A20"/>
    <mergeCell ref="AB19:AD20"/>
    <mergeCell ref="A9:A10"/>
    <mergeCell ref="H19:H20"/>
    <mergeCell ref="I19:I20"/>
    <mergeCell ref="J19:J20"/>
    <mergeCell ref="K19:K20"/>
    <mergeCell ref="H11:H12"/>
    <mergeCell ref="B11:B12"/>
    <mergeCell ref="C11:C12"/>
    <mergeCell ref="L19:L20"/>
    <mergeCell ref="M19:M20"/>
    <mergeCell ref="B19:B20"/>
    <mergeCell ref="C19:C20"/>
    <mergeCell ref="D19:D20"/>
    <mergeCell ref="E19:E20"/>
    <mergeCell ref="Z9:Z10"/>
    <mergeCell ref="AA9:AA10"/>
    <mergeCell ref="Z11:Z12"/>
    <mergeCell ref="AA11:AA12"/>
    <mergeCell ref="Z19:Z20"/>
    <mergeCell ref="AA19:AA20"/>
    <mergeCell ref="Y19:Y20"/>
    <mergeCell ref="K11:K12"/>
    <mergeCell ref="B39:B40"/>
    <mergeCell ref="C39:C40"/>
    <mergeCell ref="A46:A47"/>
    <mergeCell ref="AB46:AD47"/>
    <mergeCell ref="F39:F40"/>
    <mergeCell ref="G39:G40"/>
    <mergeCell ref="A33:A34"/>
    <mergeCell ref="B33:B34"/>
    <mergeCell ref="L39:L40"/>
    <mergeCell ref="M39:M40"/>
    <mergeCell ref="H39:H40"/>
    <mergeCell ref="I39:I40"/>
    <mergeCell ref="C33:C34"/>
    <mergeCell ref="D33:D34"/>
    <mergeCell ref="E33:E34"/>
    <mergeCell ref="J39:J40"/>
    <mergeCell ref="K39:K40"/>
    <mergeCell ref="D39:D40"/>
    <mergeCell ref="E39:E40"/>
    <mergeCell ref="L33:L34"/>
    <mergeCell ref="M33:M34"/>
    <mergeCell ref="J33:J34"/>
    <mergeCell ref="K33:K34"/>
    <mergeCell ref="M46:M47"/>
    <mergeCell ref="AB33:AD34"/>
    <mergeCell ref="A104:A105"/>
    <mergeCell ref="AB104:AD105"/>
    <mergeCell ref="A65:A66"/>
    <mergeCell ref="AB65:AD66"/>
    <mergeCell ref="A72:A73"/>
    <mergeCell ref="AB72:AD73"/>
    <mergeCell ref="A82:A83"/>
    <mergeCell ref="AB82:AD83"/>
    <mergeCell ref="A53:A54"/>
    <mergeCell ref="AB53:AD54"/>
    <mergeCell ref="A60:A61"/>
    <mergeCell ref="AB60:AD61"/>
    <mergeCell ref="E60:E61"/>
    <mergeCell ref="B60:B61"/>
    <mergeCell ref="C60:C61"/>
    <mergeCell ref="D60:D61"/>
    <mergeCell ref="F60:F61"/>
    <mergeCell ref="H65:H66"/>
    <mergeCell ref="M60:M61"/>
    <mergeCell ref="A89:A90"/>
    <mergeCell ref="AB89:AD90"/>
    <mergeCell ref="A39:A40"/>
    <mergeCell ref="AB39:AD40"/>
    <mergeCell ref="V5:W5"/>
    <mergeCell ref="X6:Y6"/>
    <mergeCell ref="Z6:AA6"/>
    <mergeCell ref="B6:C6"/>
    <mergeCell ref="D6:E6"/>
    <mergeCell ref="F6:G6"/>
    <mergeCell ref="H6:I6"/>
    <mergeCell ref="J6:K6"/>
    <mergeCell ref="L6:M6"/>
    <mergeCell ref="N6:O6"/>
    <mergeCell ref="P6:Q6"/>
    <mergeCell ref="P5:Q5"/>
    <mergeCell ref="B5:C5"/>
    <mergeCell ref="D5:E5"/>
    <mergeCell ref="H5:I5"/>
    <mergeCell ref="J5:K5"/>
    <mergeCell ref="L5:M5"/>
    <mergeCell ref="X5:Y5"/>
    <mergeCell ref="R6:S6"/>
    <mergeCell ref="R5:S5"/>
    <mergeCell ref="T6:U6"/>
    <mergeCell ref="T5:U5"/>
    <mergeCell ref="V6:W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2015-05-22T07:33:21Z</dcterms:created>
  <dcterms:modified xsi:type="dcterms:W3CDTF">2025-06-11T08:21:15Z</dcterms:modified>
</cp:coreProperties>
</file>