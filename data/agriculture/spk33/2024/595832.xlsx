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8_{F035DE35-EE0D-463F-82C5-5256CBAD340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D15" i="1"/>
  <c r="B15" i="1" s="1"/>
  <c r="C30" i="1"/>
  <c r="C84" i="1"/>
  <c r="C91" i="1"/>
  <c r="C106" i="1"/>
  <c r="C74" i="1"/>
  <c r="C67" i="1"/>
  <c r="C55" i="1"/>
  <c r="C62" i="1"/>
  <c r="C48" i="1"/>
  <c r="C35" i="1"/>
  <c r="C21" i="1"/>
  <c r="C41" i="1"/>
  <c r="C13" i="1"/>
  <c r="C11" i="1" l="1"/>
  <c r="D16" i="1"/>
  <c r="E16" i="1"/>
  <c r="B16" i="1" l="1"/>
  <c r="E111" i="1"/>
  <c r="E110" i="1"/>
  <c r="E109" i="1"/>
  <c r="E108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0" i="1"/>
  <c r="E89" i="1"/>
  <c r="E88" i="1"/>
  <c r="E87" i="1"/>
  <c r="E86" i="1"/>
  <c r="E83" i="1"/>
  <c r="E82" i="1"/>
  <c r="E81" i="1"/>
  <c r="E80" i="1"/>
  <c r="E79" i="1"/>
  <c r="E78" i="1"/>
  <c r="E77" i="1"/>
  <c r="E76" i="1"/>
  <c r="E73" i="1"/>
  <c r="E72" i="1"/>
  <c r="E71" i="1"/>
  <c r="E70" i="1"/>
  <c r="E69" i="1"/>
  <c r="E66" i="1"/>
  <c r="E65" i="1"/>
  <c r="E64" i="1"/>
  <c r="E61" i="1"/>
  <c r="E60" i="1"/>
  <c r="E59" i="1"/>
  <c r="E58" i="1"/>
  <c r="E57" i="1"/>
  <c r="E54" i="1"/>
  <c r="E53" i="1"/>
  <c r="E52" i="1"/>
  <c r="E51" i="1"/>
  <c r="E50" i="1"/>
  <c r="E47" i="1"/>
  <c r="E46" i="1"/>
  <c r="E45" i="1"/>
  <c r="E44" i="1"/>
  <c r="E43" i="1"/>
  <c r="E40" i="1"/>
  <c r="E39" i="1"/>
  <c r="E38" i="1"/>
  <c r="E37" i="1"/>
  <c r="E34" i="1"/>
  <c r="E33" i="1"/>
  <c r="E32" i="1"/>
  <c r="E31" i="1"/>
  <c r="E29" i="1"/>
  <c r="E28" i="1"/>
  <c r="E27" i="1"/>
  <c r="E26" i="1"/>
  <c r="E25" i="1"/>
  <c r="E24" i="1"/>
  <c r="E23" i="1"/>
  <c r="E17" i="1"/>
  <c r="D111" i="1"/>
  <c r="D110" i="1"/>
  <c r="D109" i="1"/>
  <c r="D108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B93" i="1" s="1"/>
  <c r="D90" i="1"/>
  <c r="D89" i="1"/>
  <c r="D88" i="1"/>
  <c r="D87" i="1"/>
  <c r="D86" i="1"/>
  <c r="D83" i="1"/>
  <c r="D82" i="1"/>
  <c r="D81" i="1"/>
  <c r="D80" i="1"/>
  <c r="D79" i="1"/>
  <c r="D78" i="1"/>
  <c r="D77" i="1"/>
  <c r="D76" i="1"/>
  <c r="D73" i="1"/>
  <c r="D72" i="1"/>
  <c r="D71" i="1"/>
  <c r="D70" i="1"/>
  <c r="D69" i="1"/>
  <c r="D66" i="1"/>
  <c r="D65" i="1"/>
  <c r="D64" i="1"/>
  <c r="D61" i="1"/>
  <c r="D60" i="1"/>
  <c r="D59" i="1"/>
  <c r="D58" i="1"/>
  <c r="D57" i="1"/>
  <c r="D54" i="1"/>
  <c r="D53" i="1"/>
  <c r="D52" i="1"/>
  <c r="D51" i="1"/>
  <c r="D50" i="1"/>
  <c r="D47" i="1"/>
  <c r="B47" i="1" s="1"/>
  <c r="D46" i="1"/>
  <c r="D45" i="1"/>
  <c r="D44" i="1"/>
  <c r="D43" i="1"/>
  <c r="D40" i="1"/>
  <c r="D39" i="1"/>
  <c r="D38" i="1"/>
  <c r="D37" i="1"/>
  <c r="D34" i="1"/>
  <c r="B34" i="1" s="1"/>
  <c r="D33" i="1"/>
  <c r="D32" i="1"/>
  <c r="D31" i="1"/>
  <c r="D29" i="1"/>
  <c r="D28" i="1"/>
  <c r="D27" i="1"/>
  <c r="D26" i="1"/>
  <c r="D25" i="1"/>
  <c r="D24" i="1"/>
  <c r="D23" i="1"/>
  <c r="E18" i="1"/>
  <c r="E19" i="1"/>
  <c r="E20" i="1"/>
  <c r="D17" i="1"/>
  <c r="B17" i="1" s="1"/>
  <c r="D18" i="1"/>
  <c r="D19" i="1"/>
  <c r="B19" i="1" s="1"/>
  <c r="D20" i="1"/>
  <c r="F13" i="1"/>
  <c r="F21" i="1"/>
  <c r="F106" i="1"/>
  <c r="F91" i="1"/>
  <c r="F84" i="1"/>
  <c r="F74" i="1"/>
  <c r="F67" i="1"/>
  <c r="F62" i="1"/>
  <c r="F55" i="1"/>
  <c r="F48" i="1"/>
  <c r="F41" i="1"/>
  <c r="F35" i="1"/>
  <c r="F30" i="1"/>
  <c r="G13" i="1"/>
  <c r="G30" i="1"/>
  <c r="H30" i="1"/>
  <c r="I30" i="1"/>
  <c r="J30" i="1"/>
  <c r="K30" i="1"/>
  <c r="L30" i="1"/>
  <c r="M30" i="1"/>
  <c r="H21" i="1"/>
  <c r="G21" i="1"/>
  <c r="I21" i="1"/>
  <c r="J21" i="1"/>
  <c r="K21" i="1"/>
  <c r="L21" i="1"/>
  <c r="M21" i="1"/>
  <c r="M106" i="1"/>
  <c r="L106" i="1"/>
  <c r="K106" i="1"/>
  <c r="J106" i="1"/>
  <c r="I106" i="1"/>
  <c r="H106" i="1"/>
  <c r="G106" i="1"/>
  <c r="M91" i="1"/>
  <c r="L91" i="1"/>
  <c r="K91" i="1"/>
  <c r="J91" i="1"/>
  <c r="I91" i="1"/>
  <c r="H91" i="1"/>
  <c r="G91" i="1"/>
  <c r="M84" i="1"/>
  <c r="L84" i="1"/>
  <c r="K84" i="1"/>
  <c r="J84" i="1"/>
  <c r="I84" i="1"/>
  <c r="H84" i="1"/>
  <c r="G84" i="1"/>
  <c r="M74" i="1"/>
  <c r="L74" i="1"/>
  <c r="K74" i="1"/>
  <c r="J74" i="1"/>
  <c r="I74" i="1"/>
  <c r="H74" i="1"/>
  <c r="G74" i="1"/>
  <c r="M67" i="1"/>
  <c r="L67" i="1"/>
  <c r="K67" i="1"/>
  <c r="J67" i="1"/>
  <c r="I67" i="1"/>
  <c r="H67" i="1"/>
  <c r="G67" i="1"/>
  <c r="M62" i="1"/>
  <c r="L62" i="1"/>
  <c r="K62" i="1"/>
  <c r="J62" i="1"/>
  <c r="I62" i="1"/>
  <c r="H62" i="1"/>
  <c r="G62" i="1"/>
  <c r="M55" i="1"/>
  <c r="L55" i="1"/>
  <c r="K55" i="1"/>
  <c r="J55" i="1"/>
  <c r="I55" i="1"/>
  <c r="H55" i="1"/>
  <c r="G55" i="1"/>
  <c r="M48" i="1"/>
  <c r="L48" i="1"/>
  <c r="K48" i="1"/>
  <c r="J48" i="1"/>
  <c r="I48" i="1"/>
  <c r="H48" i="1"/>
  <c r="G48" i="1"/>
  <c r="M41" i="1"/>
  <c r="L41" i="1"/>
  <c r="K41" i="1"/>
  <c r="J41" i="1"/>
  <c r="I41" i="1"/>
  <c r="H41" i="1"/>
  <c r="G41" i="1"/>
  <c r="M35" i="1"/>
  <c r="L35" i="1"/>
  <c r="K35" i="1"/>
  <c r="J35" i="1"/>
  <c r="I35" i="1"/>
  <c r="H35" i="1"/>
  <c r="G35" i="1"/>
  <c r="M13" i="1"/>
  <c r="L13" i="1"/>
  <c r="K13" i="1"/>
  <c r="J13" i="1"/>
  <c r="I13" i="1"/>
  <c r="H13" i="1"/>
  <c r="B101" i="1" l="1"/>
  <c r="B80" i="1"/>
  <c r="B70" i="1"/>
  <c r="B59" i="1"/>
  <c r="B32" i="1"/>
  <c r="B78" i="1"/>
  <c r="B45" i="1"/>
  <c r="B57" i="1"/>
  <c r="B99" i="1"/>
  <c r="B95" i="1"/>
  <c r="B103" i="1"/>
  <c r="B105" i="1"/>
  <c r="B97" i="1"/>
  <c r="B76" i="1"/>
  <c r="B61" i="1"/>
  <c r="B43" i="1"/>
  <c r="B18" i="1"/>
  <c r="B20" i="1"/>
  <c r="B82" i="1"/>
  <c r="B72" i="1"/>
  <c r="B108" i="1"/>
  <c r="B110" i="1"/>
  <c r="B86" i="1"/>
  <c r="B88" i="1"/>
  <c r="B90" i="1"/>
  <c r="B64" i="1"/>
  <c r="B66" i="1"/>
  <c r="B50" i="1"/>
  <c r="B52" i="1"/>
  <c r="B54" i="1"/>
  <c r="B38" i="1"/>
  <c r="B40" i="1"/>
  <c r="B23" i="1"/>
  <c r="B25" i="1"/>
  <c r="B27" i="1"/>
  <c r="B29" i="1"/>
  <c r="B109" i="1"/>
  <c r="B111" i="1"/>
  <c r="B94" i="1"/>
  <c r="B96" i="1"/>
  <c r="B98" i="1"/>
  <c r="B100" i="1"/>
  <c r="B102" i="1"/>
  <c r="B104" i="1"/>
  <c r="B87" i="1"/>
  <c r="B89" i="1"/>
  <c r="B77" i="1"/>
  <c r="B79" i="1"/>
  <c r="B81" i="1"/>
  <c r="B83" i="1"/>
  <c r="B69" i="1"/>
  <c r="B71" i="1"/>
  <c r="B73" i="1"/>
  <c r="B65" i="1"/>
  <c r="B58" i="1"/>
  <c r="B60" i="1"/>
  <c r="B51" i="1"/>
  <c r="B53" i="1"/>
  <c r="B44" i="1"/>
  <c r="B46" i="1"/>
  <c r="B37" i="1"/>
  <c r="B39" i="1"/>
  <c r="B31" i="1"/>
  <c r="B33" i="1"/>
  <c r="B24" i="1"/>
  <c r="B26" i="1"/>
  <c r="B28" i="1"/>
  <c r="E67" i="1"/>
  <c r="E13" i="1"/>
  <c r="E84" i="1"/>
  <c r="E41" i="1"/>
  <c r="E35" i="1"/>
  <c r="D13" i="1"/>
  <c r="E106" i="1"/>
  <c r="E55" i="1"/>
  <c r="F11" i="1"/>
  <c r="E48" i="1"/>
  <c r="E62" i="1"/>
  <c r="D74" i="1"/>
  <c r="E30" i="1"/>
  <c r="E91" i="1"/>
  <c r="D106" i="1"/>
  <c r="D91" i="1"/>
  <c r="D30" i="1"/>
  <c r="D21" i="1"/>
  <c r="E74" i="1"/>
  <c r="E21" i="1"/>
  <c r="D67" i="1"/>
  <c r="D55" i="1"/>
  <c r="D41" i="1"/>
  <c r="D35" i="1"/>
  <c r="D84" i="1"/>
  <c r="D62" i="1"/>
  <c r="D48" i="1"/>
  <c r="J11" i="1"/>
  <c r="M11" i="1"/>
  <c r="I11" i="1"/>
  <c r="K11" i="1"/>
  <c r="L11" i="1"/>
  <c r="H11" i="1"/>
  <c r="G11" i="1"/>
  <c r="B13" i="1" l="1"/>
  <c r="B62" i="1"/>
  <c r="B106" i="1"/>
  <c r="B55" i="1"/>
  <c r="B91" i="1"/>
  <c r="B84" i="1"/>
  <c r="B74" i="1"/>
  <c r="B48" i="1"/>
  <c r="B41" i="1"/>
  <c r="B21" i="1"/>
  <c r="B67" i="1"/>
  <c r="B35" i="1"/>
  <c r="B30" i="1"/>
  <c r="D11" i="1"/>
  <c r="E11" i="1"/>
  <c r="B11" i="1" l="1"/>
</calcChain>
</file>

<file path=xl/sharedStrings.xml><?xml version="1.0" encoding="utf-8"?>
<sst xmlns="http://schemas.openxmlformats.org/spreadsheetml/2006/main" count="441" uniqueCount="211">
  <si>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</si>
  <si>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</si>
  <si>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</si>
  <si>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</si>
  <si>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</si>
  <si>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</si>
  <si>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</si>
  <si>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</si>
  <si>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</si>
  <si>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</si>
  <si>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</si>
  <si>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</si>
  <si>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</si>
  <si>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</si>
  <si>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</si>
  <si>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</si>
  <si>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</si>
  <si>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</si>
  <si>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</si>
  <si>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</si>
  <si>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</si>
  <si>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</si>
  <si>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</si>
  <si>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</si>
  <si>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</si>
  <si>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</si>
  <si>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</si>
  <si>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</si>
  <si>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</si>
  <si>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</si>
  <si>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</si>
  <si>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</si>
  <si>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</si>
  <si>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</si>
  <si>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</si>
  <si>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</si>
  <si>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</si>
  <si>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</si>
  <si>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</si>
  <si>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</si>
  <si>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</si>
  <si>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</si>
  <si>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</si>
  <si>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</si>
  <si>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</si>
  <si>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</si>
  <si>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</si>
  <si>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</si>
  <si>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</si>
  <si>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</si>
  <si>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</si>
  <si>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</si>
  <si>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</si>
  <si>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</si>
  <si>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</si>
  <si>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</si>
  <si>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</si>
  <si>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</si>
  <si>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</si>
  <si>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</si>
  <si>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</si>
  <si>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</si>
  <si>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</si>
  <si>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</si>
  <si>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</si>
  <si>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</si>
  <si>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</si>
  <si>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</si>
  <si>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</si>
  <si>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</si>
  <si>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</si>
  <si>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</si>
  <si>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</si>
  <si>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</si>
  <si>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</si>
  <si>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</si>
  <si>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</si>
  <si>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</si>
  <si>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</si>
  <si>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</si>
  <si>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</si>
  <si>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</si>
  <si>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</si>
  <si>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</si>
  <si>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</si>
  <si>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</si>
  <si>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</si>
  <si>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</si>
  <si>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</si>
  <si>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</si>
  <si>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</si>
  <si>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</si>
  <si>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</si>
  <si>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</si>
  <si>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</si>
  <si>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</si>
  <si>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</si>
  <si>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</si>
  <si>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</si>
  <si>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</si>
  <si>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</si>
  <si>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</si>
  <si>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</si>
  <si>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</si>
  <si>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Region of Western Macedonia</t>
  </si>
  <si>
    <t>Περιφέρεια Δυτικής Μακεδονίας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</si>
  <si>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</si>
  <si>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</si>
  <si>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</si>
  <si>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</si>
  <si>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</si>
  <si>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</si>
  <si>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</si>
  <si>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</si>
  <si>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</si>
  <si>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</si>
  <si>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</si>
  <si>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</si>
  <si>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</si>
  <si>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</si>
  <si>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</si>
  <si>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</si>
  <si>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</si>
  <si>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</si>
  <si>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</si>
  <si>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</si>
  <si>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</si>
  <si>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</si>
  <si>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</si>
  <si>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</si>
  <si>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</si>
  <si>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</si>
  <si>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</si>
  <si>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</si>
  <si>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</si>
  <si>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</si>
  <si>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</si>
  <si>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</si>
  <si>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</si>
  <si>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</si>
  <si>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</si>
  <si>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</si>
  <si>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</si>
  <si>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</si>
  <si>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</si>
  <si>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</si>
  <si>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</si>
  <si>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</si>
  <si>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</si>
  <si>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</si>
  <si>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</si>
  <si>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</si>
  <si>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</si>
  <si>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</si>
  <si>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</si>
  <si>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</si>
  <si>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</si>
  <si>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</si>
  <si>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</si>
  <si>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</si>
  <si>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</si>
  <si>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</si>
  <si>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</si>
  <si>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</si>
  <si>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</si>
  <si>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</si>
  <si>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</si>
  <si>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</si>
  <si>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</si>
  <si>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</si>
  <si>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</si>
  <si>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</si>
  <si>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</si>
  <si>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</si>
  <si>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</si>
  <si>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</si>
  <si>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</si>
  <si>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</si>
  <si>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</si>
  <si>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</si>
  <si>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—</t>
  </si>
  <si>
    <t>Oxen, bulls, heifers and cows</t>
  </si>
  <si>
    <t>Buffaloes</t>
  </si>
  <si>
    <t>Βουβάλια</t>
  </si>
  <si>
    <t>Μοσχάρια, βόδια, ταύροι, δαμάλια και αγελάδες</t>
  </si>
  <si>
    <t>General total</t>
  </si>
  <si>
    <t>Calves</t>
  </si>
  <si>
    <t>Μοσχάρια κάτω του έτους</t>
  </si>
  <si>
    <t>Γενικό σύνολο</t>
  </si>
  <si>
    <t>Total</t>
  </si>
  <si>
    <t>Bovine animals 
between one (1) and two (2) years old</t>
  </si>
  <si>
    <t>Βοοειδή ενός (1) μέχρι δύο (2) ετών</t>
  </si>
  <si>
    <t>Bovine animals of two (2) years of age or more</t>
  </si>
  <si>
    <t>Βοοειδή δύο (2) ετών και άνω</t>
  </si>
  <si>
    <t>Σύνολο</t>
  </si>
  <si>
    <t xml:space="preserve">Θήλεα
</t>
  </si>
  <si>
    <t>Female</t>
  </si>
  <si>
    <t xml:space="preserve">Άρρενα
</t>
  </si>
  <si>
    <t>Male</t>
  </si>
  <si>
    <t>Άρρενα</t>
  </si>
  <si>
    <t>Θήλεα</t>
  </si>
  <si>
    <t>Cows for milk production</t>
  </si>
  <si>
    <t>Bovine male</t>
  </si>
  <si>
    <t>Βοοειδή άρρενα</t>
  </si>
  <si>
    <t>Αγελάδες γαλακτοπαραγωγής</t>
  </si>
  <si>
    <t>Δαμάλια</t>
  </si>
  <si>
    <t>Heifers</t>
  </si>
  <si>
    <t>Αγελάδες για παραγωγή βοοειδών πάχυνσης</t>
  </si>
  <si>
    <t>Cows for meat production bovine</t>
  </si>
  <si>
    <t>Πίνακας 2. Μοσχάρια, βόδια, ταύροι, δαμάλια, αγελάδες και βουβάλια (όλων των ηλικιών) στις 31.12.2024, κατά Περιφέρεια και Περιφερειακή Ενότητα</t>
  </si>
  <si>
    <t>Table 2. Calves, oxen, bulls, heifers, cows and buffaloes (all ages) on 31st December 2024,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</si>
</sst>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0" xfId="0" applyFont="1"/>
    <xf numFmtId="0" fontId="3" fillId="0" borderId="2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wrapText="1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49" fontId="3" fillId="0" borderId="5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0" fillId="0" borderId="0" xfId="0" applyNumberFormat="1"/>
    <xf numFmtId="0" fontId="1" fillId="0" borderId="0" xfId="0" applyFont="1" applyAlignment="1">
      <alignment horizontal="right" vertical="center"/>
    </xf>
    <xf numFmtId="0" fontId="6" fillId="0" borderId="1" xfId="0" applyFont="1" applyBorder="1" applyAlignment="1">
      <alignment horizontal="left"/>
    </xf>
    <xf numFmtId="0" fontId="8" fillId="0" borderId="0" xfId="0" applyFont="1" applyAlignment="1">
      <alignment vertical="center" wrapText="1"/>
    </xf>
    <xf numFmtId="3" fontId="7" fillId="0" borderId="4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0" fontId="7" fillId="0" borderId="17" xfId="0" applyFont="1" applyBorder="1" applyAlignment="1">
      <alignment horizontal="right" vertical="top"/>
    </xf>
    <xf numFmtId="3" fontId="7" fillId="0" borderId="17" xfId="0" applyNumberFormat="1" applyFont="1" applyBorder="1" applyAlignment="1">
      <alignment horizontal="right" vertical="top"/>
    </xf>
    <xf numFmtId="0" fontId="7" fillId="0" borderId="4" xfId="0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3" fontId="7" fillId="0" borderId="7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0" fontId="7" fillId="0" borderId="25" xfId="0" applyFont="1" applyBorder="1" applyAlignment="1">
      <alignment horizontal="right" vertical="top"/>
    </xf>
    <xf numFmtId="0" fontId="3" fillId="0" borderId="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3" fontId="7" fillId="0" borderId="20" xfId="0" applyNumberFormat="1" applyFont="1" applyBorder="1" applyAlignment="1">
      <alignment horizontal="right" vertical="top"/>
    </xf>
    <xf numFmtId="0" fontId="7" fillId="0" borderId="20" xfId="0" applyFont="1" applyBorder="1" applyAlignment="1">
      <alignment horizontal="right" vertical="top"/>
    </xf>
    <xf numFmtId="3" fontId="7" fillId="0" borderId="21" xfId="0" applyNumberFormat="1" applyFont="1" applyBorder="1" applyAlignment="1">
      <alignment horizontal="right" vertical="top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3" fontId="3" fillId="2" borderId="4" xfId="0" quotePrefix="1" applyNumberFormat="1" applyFont="1" applyFill="1" applyBorder="1" applyAlignment="1">
      <alignment horizontal="right"/>
    </xf>
    <xf numFmtId="3" fontId="3" fillId="2" borderId="20" xfId="0" quotePrefix="1" applyNumberFormat="1" applyFont="1" applyFill="1" applyBorder="1" applyAlignment="1">
      <alignment horizontal="right"/>
    </xf>
    <xf numFmtId="3" fontId="2" fillId="2" borderId="4" xfId="0" quotePrefix="1" applyNumberFormat="1" applyFont="1" applyFill="1" applyBorder="1" applyAlignment="1">
      <alignment horizontal="right" vertical="center"/>
    </xf>
    <xf numFmtId="3" fontId="2" fillId="2" borderId="20" xfId="0" quotePrefix="1" applyNumberFormat="1" applyFont="1" applyFill="1" applyBorder="1" applyAlignment="1">
      <alignment horizontal="right" vertical="center"/>
    </xf>
    <xf numFmtId="3" fontId="2" fillId="2" borderId="16" xfId="0" quotePrefix="1" applyNumberFormat="1" applyFont="1" applyFill="1" applyBorder="1" applyAlignment="1">
      <alignment horizontal="right" vertical="center"/>
    </xf>
    <xf numFmtId="3" fontId="3" fillId="2" borderId="7" xfId="0" quotePrefix="1" applyNumberFormat="1" applyFont="1" applyFill="1" applyBorder="1" applyAlignment="1">
      <alignment horizontal="right"/>
    </xf>
    <xf numFmtId="3" fontId="3" fillId="2" borderId="21" xfId="0" quotePrefix="1" applyNumberFormat="1" applyFont="1" applyFill="1" applyBorder="1" applyAlignment="1">
      <alignment horizontal="right"/>
    </xf>
    <xf numFmtId="3" fontId="3" fillId="2" borderId="15" xfId="0" quotePrefix="1" applyNumberFormat="1" applyFont="1" applyFill="1" applyBorder="1" applyAlignment="1">
      <alignment horizontal="right"/>
    </xf>
    <xf numFmtId="3" fontId="2" fillId="2" borderId="15" xfId="0" quotePrefix="1" applyNumberFormat="1" applyFont="1" applyFill="1" applyBorder="1" applyAlignment="1">
      <alignment horizontal="right" vertical="center"/>
    </xf>
    <xf numFmtId="3" fontId="3" fillId="2" borderId="18" xfId="0" quotePrefix="1" applyNumberFormat="1" applyFont="1" applyFill="1" applyBorder="1" applyAlignment="1">
      <alignment horizontal="right"/>
    </xf>
    <xf numFmtId="3" fontId="2" fillId="2" borderId="4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3" fontId="2" fillId="2" borderId="20" xfId="0" applyNumberFormat="1" applyFont="1" applyFill="1" applyBorder="1" applyAlignment="1">
      <alignment horizontal="right" vertical="center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left" wrapText="1" inden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2" fillId="2" borderId="16" xfId="0" applyNumberFormat="1" applyFont="1" applyFill="1" applyBorder="1" applyAlignment="1">
      <alignment horizontal="right" vertical="center"/>
    </xf>
    <xf numFmtId="3" fontId="2" fillId="2" borderId="15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3" fontId="2" fillId="2" borderId="14" xfId="0" applyNumberFormat="1" applyFont="1" applyFill="1" applyBorder="1" applyAlignment="1">
      <alignment horizontal="right" vertical="center" wrapText="1"/>
    </xf>
    <xf numFmtId="3" fontId="2" fillId="2" borderId="4" xfId="0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2" fillId="0" borderId="13" xfId="0" applyFont="1" applyBorder="1" applyAlignment="1">
      <alignment horizontal="left" vertical="center" wrapText="1"/>
    </xf>
    <xf numFmtId="3" fontId="2" fillId="2" borderId="8" xfId="0" applyNumberFormat="1" applyFont="1" applyFill="1" applyBorder="1" applyAlignment="1">
      <alignment horizontal="right" vertical="center" wrapText="1"/>
    </xf>
    <xf numFmtId="3" fontId="2" fillId="2" borderId="16" xfId="0" applyNumberFormat="1" applyFont="1" applyFill="1" applyBorder="1" applyAlignment="1">
      <alignment horizontal="right" vertical="center" wrapText="1"/>
    </xf>
    <xf numFmtId="49" fontId="2" fillId="0" borderId="13" xfId="0" applyNumberFormat="1" applyFont="1" applyBorder="1" applyAlignment="1">
      <alignment vertical="center" wrapText="1"/>
    </xf>
    <xf numFmtId="3" fontId="2" fillId="2" borderId="28" xfId="0" applyNumberFormat="1" applyFont="1" applyFill="1" applyBorder="1" applyAlignment="1">
      <alignment horizontal="right" vertical="center" wrapText="1"/>
    </xf>
    <xf numFmtId="3" fontId="2" fillId="2" borderId="29" xfId="0" applyNumberFormat="1" applyFont="1" applyFill="1" applyBorder="1" applyAlignment="1">
      <alignment horizontal="right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3" fontId="2" fillId="2" borderId="24" xfId="0" applyNumberFormat="1" applyFont="1" applyFill="1" applyBorder="1" applyAlignment="1">
      <alignment horizontal="right" vertical="center" wrapText="1"/>
    </xf>
    <xf numFmtId="3" fontId="2" fillId="2" borderId="19" xfId="0" applyNumberFormat="1" applyFont="1" applyFill="1" applyBorder="1" applyAlignment="1">
      <alignment horizontal="right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</cellXfs>
  <cellStyles count="1">
    <cellStyle name="Κανονικό" xfId="0" builtinId="0"/>
  </cellStyles>
  <dxfs count="1">
    <dxf>
      <font>
        <b val="0"/>
        <i val="0"/>
      </font>
      <fill>
        <patternFill>
          <bgColor theme="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37"/>
  <sheetViews>
    <sheetView showGridLines="0" tabSelected="1" workbookViewId="0">
      <selection activeCell="H10" sqref="H10"/>
    </sheetView>
  </sheetViews>
  <sheetFormatPr defaultRowHeight="14.4" x14ac:dyDescent="0.3"/>
  <cols>
    <col min="1" max="1" width="43.109375" bestFit="1" customWidth="1"/>
    <col min="2" max="2" width="10.21875" customWidth="1"/>
    <col min="3" max="3" width="12.44140625" customWidth="1"/>
    <col min="4" max="5" width="9.5546875" customWidth="1"/>
    <col min="6" max="6" width="17.21875" customWidth="1"/>
    <col min="7" max="7" width="15" customWidth="1"/>
    <col min="8" max="8" width="17.33203125" customWidth="1"/>
    <col min="9" max="9" width="11" bestFit="1" customWidth="1"/>
    <col min="10" max="10" width="8" bestFit="1" customWidth="1"/>
    <col min="11" max="11" width="14.6640625" bestFit="1" customWidth="1"/>
    <col min="12" max="12" width="6.88671875" bestFit="1" customWidth="1"/>
    <col min="13" max="13" width="7" bestFit="1" customWidth="1"/>
    <col min="14" max="14" width="11.5546875" customWidth="1"/>
    <col min="15" max="15" width="10.21875" customWidth="1"/>
    <col min="16" max="16" width="16.33203125" customWidth="1"/>
    <col min="17" max="17" width="10.109375" customWidth="1"/>
  </cols>
  <sheetData>
    <row r="2" spans="1:17" ht="18" x14ac:dyDescent="0.3">
      <c r="A2" s="83" t="s">
        <v>209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1"/>
      <c r="Q2" s="2"/>
    </row>
    <row r="3" spans="1:17" ht="18" x14ac:dyDescent="0.3">
      <c r="A3" s="83" t="s">
        <v>210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30"/>
      <c r="P3" s="3"/>
      <c r="Q3" s="2"/>
    </row>
    <row r="4" spans="1:17" ht="15" thickBot="1" x14ac:dyDescent="0.35">
      <c r="A4" s="29" t="s">
        <v>102</v>
      </c>
      <c r="B4" s="29"/>
      <c r="C4" s="29"/>
      <c r="D4" s="4"/>
      <c r="E4" s="4"/>
      <c r="F4" s="4"/>
      <c r="G4" s="4"/>
      <c r="H4" s="4"/>
      <c r="I4" s="4"/>
      <c r="J4" s="92"/>
      <c r="K4" s="92"/>
      <c r="L4" s="92"/>
      <c r="M4" s="92"/>
      <c r="N4" s="5"/>
      <c r="O4" s="93" t="s">
        <v>103</v>
      </c>
      <c r="P4" s="93"/>
    </row>
    <row r="5" spans="1:17" x14ac:dyDescent="0.3">
      <c r="A5" s="85" t="s">
        <v>0</v>
      </c>
      <c r="B5" s="100" t="s">
        <v>184</v>
      </c>
      <c r="C5" s="101"/>
      <c r="D5" s="101"/>
      <c r="E5" s="101"/>
      <c r="F5" s="101"/>
      <c r="G5" s="101"/>
      <c r="H5" s="101"/>
      <c r="I5" s="101"/>
      <c r="J5" s="101"/>
      <c r="K5" s="102"/>
      <c r="L5" s="105" t="s">
        <v>183</v>
      </c>
      <c r="M5" s="106"/>
      <c r="N5" s="84" t="s">
        <v>1</v>
      </c>
      <c r="O5" s="85"/>
      <c r="P5" s="85"/>
    </row>
    <row r="6" spans="1:17" x14ac:dyDescent="0.3">
      <c r="A6" s="87"/>
      <c r="B6" s="119" t="s">
        <v>181</v>
      </c>
      <c r="C6" s="120"/>
      <c r="D6" s="120"/>
      <c r="E6" s="120"/>
      <c r="F6" s="120"/>
      <c r="G6" s="120"/>
      <c r="H6" s="120"/>
      <c r="I6" s="120"/>
      <c r="J6" s="120"/>
      <c r="K6" s="121"/>
      <c r="L6" s="107" t="s">
        <v>182</v>
      </c>
      <c r="M6" s="108"/>
      <c r="N6" s="86"/>
      <c r="O6" s="87"/>
      <c r="P6" s="87"/>
    </row>
    <row r="7" spans="1:17" x14ac:dyDescent="0.3">
      <c r="A7" s="87"/>
      <c r="B7" s="122" t="s">
        <v>188</v>
      </c>
      <c r="C7" s="125" t="s">
        <v>187</v>
      </c>
      <c r="D7" s="109" t="s">
        <v>194</v>
      </c>
      <c r="E7" s="110"/>
      <c r="F7" s="107" t="s">
        <v>191</v>
      </c>
      <c r="G7" s="111"/>
      <c r="H7" s="107" t="s">
        <v>193</v>
      </c>
      <c r="I7" s="112"/>
      <c r="J7" s="112"/>
      <c r="K7" s="111"/>
      <c r="L7" s="113" t="s">
        <v>200</v>
      </c>
      <c r="M7" s="116" t="s">
        <v>199</v>
      </c>
      <c r="N7" s="86"/>
      <c r="O7" s="87"/>
      <c r="P7" s="87"/>
    </row>
    <row r="8" spans="1:17" x14ac:dyDescent="0.3">
      <c r="A8" s="87"/>
      <c r="B8" s="123"/>
      <c r="C8" s="126"/>
      <c r="D8" s="109" t="s">
        <v>189</v>
      </c>
      <c r="E8" s="110"/>
      <c r="F8" s="107" t="s">
        <v>190</v>
      </c>
      <c r="G8" s="111"/>
      <c r="H8" s="107" t="s">
        <v>192</v>
      </c>
      <c r="I8" s="112"/>
      <c r="J8" s="112"/>
      <c r="K8" s="111"/>
      <c r="L8" s="114"/>
      <c r="M8" s="117"/>
      <c r="N8" s="86"/>
      <c r="O8" s="87"/>
      <c r="P8" s="87"/>
    </row>
    <row r="9" spans="1:17" ht="57.6" x14ac:dyDescent="0.3">
      <c r="A9" s="89"/>
      <c r="B9" s="124"/>
      <c r="C9" s="127"/>
      <c r="D9" s="8" t="s">
        <v>195</v>
      </c>
      <c r="E9" s="40" t="s">
        <v>197</v>
      </c>
      <c r="F9" s="40" t="s">
        <v>200</v>
      </c>
      <c r="G9" s="7" t="s">
        <v>199</v>
      </c>
      <c r="H9" s="40" t="s">
        <v>204</v>
      </c>
      <c r="I9" s="8" t="s">
        <v>203</v>
      </c>
      <c r="J9" s="8" t="s">
        <v>205</v>
      </c>
      <c r="K9" s="41" t="s">
        <v>207</v>
      </c>
      <c r="L9" s="115"/>
      <c r="M9" s="118"/>
      <c r="N9" s="88"/>
      <c r="O9" s="89"/>
      <c r="P9" s="89"/>
    </row>
    <row r="10" spans="1:17" ht="43.2" x14ac:dyDescent="0.3">
      <c r="A10" s="50"/>
      <c r="B10" s="53" t="s">
        <v>185</v>
      </c>
      <c r="C10" s="54" t="s">
        <v>186</v>
      </c>
      <c r="D10" s="52" t="s">
        <v>196</v>
      </c>
      <c r="E10" s="52" t="s">
        <v>198</v>
      </c>
      <c r="F10" s="52" t="s">
        <v>196</v>
      </c>
      <c r="G10" s="52" t="s">
        <v>198</v>
      </c>
      <c r="H10" s="52" t="s">
        <v>201</v>
      </c>
      <c r="I10" s="51" t="s">
        <v>202</v>
      </c>
      <c r="J10" s="51" t="s">
        <v>206</v>
      </c>
      <c r="K10" s="48" t="s">
        <v>208</v>
      </c>
      <c r="L10" s="49" t="s">
        <v>196</v>
      </c>
      <c r="M10" s="47" t="s">
        <v>198</v>
      </c>
      <c r="N10" s="50"/>
      <c r="O10" s="50"/>
      <c r="P10" s="50"/>
    </row>
    <row r="11" spans="1:17" x14ac:dyDescent="0.3">
      <c r="A11" s="97" t="s">
        <v>2</v>
      </c>
      <c r="B11" s="103">
        <f>SUM(B13,B21,B30,B35,B41,B48,B55,B62,B67,B74,B84,B91,B106)</f>
        <v>637514</v>
      </c>
      <c r="C11" s="98">
        <f t="shared" ref="C11" si="0">SUM(C13,C21,C30,C35,C41,C48,C55,C62,C67,C74,C84,C91,C106)</f>
        <v>85155</v>
      </c>
      <c r="D11" s="98">
        <f>SUM(D13,D21,D30,D35,D41,D48,D55,D62,D67,D74,D84,D91,D106)</f>
        <v>438855</v>
      </c>
      <c r="E11" s="90">
        <f>SUM(E13,E21,E30,E35,E41,E48,E55,E62,E67,E74,E84,E91,E106)</f>
        <v>113504</v>
      </c>
      <c r="F11" s="90">
        <f>SUM(F13,F21,F30,F35,F41,F48,F55,F62,F67,F74,F84,F91,F106)</f>
        <v>90465</v>
      </c>
      <c r="G11" s="90">
        <f t="shared" ref="G11:M11" si="1">SUM(G13,G21,G30,G35,G41,G48,G55,G62,G67,G74,G84,G91,G106)</f>
        <v>78359</v>
      </c>
      <c r="H11" s="90">
        <f t="shared" si="1"/>
        <v>102924</v>
      </c>
      <c r="I11" s="90">
        <f t="shared" si="1"/>
        <v>33884</v>
      </c>
      <c r="J11" s="90">
        <f t="shared" si="1"/>
        <v>20075</v>
      </c>
      <c r="K11" s="90">
        <f t="shared" si="1"/>
        <v>222273</v>
      </c>
      <c r="L11" s="90">
        <f t="shared" si="1"/>
        <v>3118</v>
      </c>
      <c r="M11" s="95">
        <f t="shared" si="1"/>
        <v>1261</v>
      </c>
      <c r="N11" s="94" t="s">
        <v>3</v>
      </c>
      <c r="O11" s="94"/>
      <c r="P11" s="94"/>
    </row>
    <row r="12" spans="1:17" x14ac:dyDescent="0.3">
      <c r="A12" s="81"/>
      <c r="B12" s="104"/>
      <c r="C12" s="99"/>
      <c r="D12" s="99"/>
      <c r="E12" s="91"/>
      <c r="F12" s="91"/>
      <c r="G12" s="91"/>
      <c r="H12" s="91"/>
      <c r="I12" s="91"/>
      <c r="J12" s="91"/>
      <c r="K12" s="91"/>
      <c r="L12" s="91"/>
      <c r="M12" s="96"/>
      <c r="N12" s="82"/>
      <c r="O12" s="82"/>
      <c r="P12" s="82"/>
    </row>
    <row r="13" spans="1:17" ht="19.5" customHeight="1" x14ac:dyDescent="0.3">
      <c r="A13" s="81" t="s">
        <v>4</v>
      </c>
      <c r="B13" s="79">
        <f>SUM(B15:B20)</f>
        <v>75240</v>
      </c>
      <c r="C13" s="65">
        <f t="shared" ref="C13" si="2">SUM(C15:C20)</f>
        <v>10284</v>
      </c>
      <c r="D13" s="65">
        <f>SUM(D15:D20)</f>
        <v>52698</v>
      </c>
      <c r="E13" s="68">
        <f>SUM(E15:E20)</f>
        <v>12258</v>
      </c>
      <c r="F13" s="65">
        <f>SUM(F15:F20)</f>
        <v>11757</v>
      </c>
      <c r="G13" s="65">
        <f>SUM(G15:G20)</f>
        <v>9127</v>
      </c>
      <c r="H13" s="65">
        <f t="shared" ref="H13:M13" si="3">SUM(H15:H20)</f>
        <v>15961</v>
      </c>
      <c r="I13" s="65">
        <f t="shared" si="3"/>
        <v>3093</v>
      </c>
      <c r="J13" s="65">
        <f t="shared" si="3"/>
        <v>3044</v>
      </c>
      <c r="K13" s="65">
        <f t="shared" si="3"/>
        <v>21840</v>
      </c>
      <c r="L13" s="65">
        <f t="shared" si="3"/>
        <v>96</v>
      </c>
      <c r="M13" s="78">
        <f t="shared" si="3"/>
        <v>38</v>
      </c>
      <c r="N13" s="82" t="s">
        <v>5</v>
      </c>
      <c r="O13" s="82"/>
      <c r="P13" s="82"/>
    </row>
    <row r="14" spans="1:17" x14ac:dyDescent="0.3">
      <c r="A14" s="81"/>
      <c r="B14" s="79"/>
      <c r="C14" s="65"/>
      <c r="D14" s="65"/>
      <c r="E14" s="68"/>
      <c r="F14" s="65"/>
      <c r="G14" s="65"/>
      <c r="H14" s="65"/>
      <c r="I14" s="65"/>
      <c r="J14" s="65"/>
      <c r="K14" s="65"/>
      <c r="L14" s="65"/>
      <c r="M14" s="78"/>
      <c r="N14" s="82"/>
      <c r="O14" s="82"/>
      <c r="P14" s="82"/>
    </row>
    <row r="15" spans="1:17" x14ac:dyDescent="0.3">
      <c r="A15" s="9" t="s">
        <v>114</v>
      </c>
      <c r="B15" s="62">
        <f>SUM(C15:E15)</f>
        <v>18515</v>
      </c>
      <c r="C15" s="31">
        <v>1963</v>
      </c>
      <c r="D15" s="55">
        <f>SUM(F15,H15,J15,K15,L15)</f>
        <v>13235</v>
      </c>
      <c r="E15" s="56">
        <f>SUM(G15,I15,M15)</f>
        <v>3317</v>
      </c>
      <c r="F15" s="31">
        <v>2751</v>
      </c>
      <c r="G15" s="32">
        <v>2298</v>
      </c>
      <c r="H15" s="31">
        <v>2323</v>
      </c>
      <c r="I15" s="32">
        <v>981</v>
      </c>
      <c r="J15" s="31">
        <v>341</v>
      </c>
      <c r="K15" s="44">
        <v>7724</v>
      </c>
      <c r="L15" s="31">
        <v>96</v>
      </c>
      <c r="M15" s="33">
        <v>38</v>
      </c>
      <c r="N15" s="10" t="s">
        <v>6</v>
      </c>
      <c r="O15" s="11"/>
      <c r="P15" s="11"/>
    </row>
    <row r="16" spans="1:17" x14ac:dyDescent="0.3">
      <c r="A16" s="9" t="s">
        <v>115</v>
      </c>
      <c r="B16" s="62">
        <f t="shared" ref="B16:B20" si="4">SUM(C16:E16)</f>
        <v>16677</v>
      </c>
      <c r="C16" s="31">
        <v>2467</v>
      </c>
      <c r="D16" s="55">
        <f>SUM(F16,H16,J16,K16,L16)</f>
        <v>11401</v>
      </c>
      <c r="E16" s="56">
        <f>SUM(G16,I16,M16)</f>
        <v>2809</v>
      </c>
      <c r="F16" s="31">
        <v>2336</v>
      </c>
      <c r="G16" s="32">
        <v>2019</v>
      </c>
      <c r="H16" s="31">
        <v>1842</v>
      </c>
      <c r="I16" s="32">
        <v>790</v>
      </c>
      <c r="J16" s="31">
        <v>1358</v>
      </c>
      <c r="K16" s="44">
        <v>5865</v>
      </c>
      <c r="L16" s="31" t="s">
        <v>180</v>
      </c>
      <c r="M16" s="33" t="s">
        <v>180</v>
      </c>
      <c r="N16" s="10" t="s">
        <v>7</v>
      </c>
      <c r="O16" s="11"/>
      <c r="P16" s="11"/>
    </row>
    <row r="17" spans="1:16" x14ac:dyDescent="0.3">
      <c r="A17" s="9" t="s">
        <v>116</v>
      </c>
      <c r="B17" s="62">
        <f t="shared" si="4"/>
        <v>14779</v>
      </c>
      <c r="C17" s="31">
        <v>1954</v>
      </c>
      <c r="D17" s="55">
        <f t="shared" ref="D17:D20" si="5">SUM(F17,H17,J17,K17,L17)</f>
        <v>10390</v>
      </c>
      <c r="E17" s="56">
        <f>SUM(G17,I17,M17)</f>
        <v>2435</v>
      </c>
      <c r="F17" s="31">
        <v>2435</v>
      </c>
      <c r="G17" s="32">
        <v>1864</v>
      </c>
      <c r="H17" s="31">
        <v>3456</v>
      </c>
      <c r="I17" s="32">
        <v>571</v>
      </c>
      <c r="J17" s="31">
        <v>95</v>
      </c>
      <c r="K17" s="44">
        <v>4404</v>
      </c>
      <c r="L17" s="31" t="s">
        <v>180</v>
      </c>
      <c r="M17" s="34" t="s">
        <v>180</v>
      </c>
      <c r="N17" s="10" t="s">
        <v>8</v>
      </c>
      <c r="O17" s="11"/>
      <c r="P17" s="11"/>
    </row>
    <row r="18" spans="1:16" x14ac:dyDescent="0.3">
      <c r="A18" s="9" t="s">
        <v>117</v>
      </c>
      <c r="B18" s="62">
        <f t="shared" si="4"/>
        <v>0</v>
      </c>
      <c r="C18" s="31" t="s">
        <v>180</v>
      </c>
      <c r="D18" s="55">
        <f t="shared" si="5"/>
        <v>0</v>
      </c>
      <c r="E18" s="56">
        <f t="shared" ref="E18:E20" si="6">SUM(G18,I18,M18)</f>
        <v>0</v>
      </c>
      <c r="F18" s="35" t="s">
        <v>180</v>
      </c>
      <c r="G18" s="36" t="s">
        <v>180</v>
      </c>
      <c r="H18" s="35" t="s">
        <v>180</v>
      </c>
      <c r="I18" s="32" t="s">
        <v>180</v>
      </c>
      <c r="J18" s="35" t="s">
        <v>180</v>
      </c>
      <c r="K18" s="45" t="s">
        <v>180</v>
      </c>
      <c r="L18" s="35" t="s">
        <v>180</v>
      </c>
      <c r="M18" s="33" t="s">
        <v>180</v>
      </c>
      <c r="N18" s="10" t="s">
        <v>9</v>
      </c>
      <c r="O18" s="11"/>
      <c r="P18" s="11"/>
    </row>
    <row r="19" spans="1:16" x14ac:dyDescent="0.3">
      <c r="A19" s="9" t="s">
        <v>118</v>
      </c>
      <c r="B19" s="62">
        <f t="shared" si="4"/>
        <v>6207</v>
      </c>
      <c r="C19" s="31">
        <v>1668</v>
      </c>
      <c r="D19" s="55">
        <f t="shared" si="5"/>
        <v>3897</v>
      </c>
      <c r="E19" s="56">
        <f t="shared" si="6"/>
        <v>642</v>
      </c>
      <c r="F19" s="31">
        <v>471</v>
      </c>
      <c r="G19" s="32">
        <v>405</v>
      </c>
      <c r="H19" s="31">
        <v>1253</v>
      </c>
      <c r="I19" s="32">
        <v>237</v>
      </c>
      <c r="J19" s="31">
        <v>35</v>
      </c>
      <c r="K19" s="44">
        <v>2138</v>
      </c>
      <c r="L19" s="31" t="s">
        <v>180</v>
      </c>
      <c r="M19" s="33" t="s">
        <v>180</v>
      </c>
      <c r="N19" s="10" t="s">
        <v>10</v>
      </c>
      <c r="O19" s="11"/>
      <c r="P19" s="11"/>
    </row>
    <row r="20" spans="1:16" x14ac:dyDescent="0.3">
      <c r="A20" s="9" t="s">
        <v>119</v>
      </c>
      <c r="B20" s="62">
        <f t="shared" si="4"/>
        <v>19062</v>
      </c>
      <c r="C20" s="31">
        <v>2232</v>
      </c>
      <c r="D20" s="55">
        <f t="shared" si="5"/>
        <v>13775</v>
      </c>
      <c r="E20" s="56">
        <f t="shared" si="6"/>
        <v>3055</v>
      </c>
      <c r="F20" s="31">
        <v>3764</v>
      </c>
      <c r="G20" s="32">
        <v>2541</v>
      </c>
      <c r="H20" s="31">
        <v>7087</v>
      </c>
      <c r="I20" s="32">
        <v>514</v>
      </c>
      <c r="J20" s="31">
        <v>1215</v>
      </c>
      <c r="K20" s="44">
        <v>1709</v>
      </c>
      <c r="L20" s="31" t="s">
        <v>180</v>
      </c>
      <c r="M20" s="33" t="s">
        <v>180</v>
      </c>
      <c r="N20" s="10" t="s">
        <v>11</v>
      </c>
      <c r="O20" s="11"/>
      <c r="P20" s="11"/>
    </row>
    <row r="21" spans="1:16" x14ac:dyDescent="0.3">
      <c r="A21" s="67" t="s">
        <v>12</v>
      </c>
      <c r="B21" s="79">
        <f t="shared" ref="B21:C21" si="7">SUM(B23:B29)</f>
        <v>133981</v>
      </c>
      <c r="C21" s="65">
        <f t="shared" si="7"/>
        <v>16835</v>
      </c>
      <c r="D21" s="65">
        <f>SUM(D23:D29)</f>
        <v>91707</v>
      </c>
      <c r="E21" s="68">
        <f>SUM(E23:E29)</f>
        <v>25439</v>
      </c>
      <c r="F21" s="65">
        <f>SUM(F23:F29)</f>
        <v>19881</v>
      </c>
      <c r="G21" s="65">
        <f t="shared" ref="G21:M21" si="8">SUM(G23:G29)</f>
        <v>19625</v>
      </c>
      <c r="H21" s="65">
        <f>SUM(H23:H29)</f>
        <v>43603</v>
      </c>
      <c r="I21" s="65">
        <f t="shared" si="8"/>
        <v>4614</v>
      </c>
      <c r="J21" s="65">
        <f t="shared" si="8"/>
        <v>688</v>
      </c>
      <c r="K21" s="65">
        <f t="shared" si="8"/>
        <v>24596</v>
      </c>
      <c r="L21" s="65">
        <f t="shared" si="8"/>
        <v>2939</v>
      </c>
      <c r="M21" s="78">
        <f t="shared" si="8"/>
        <v>1200</v>
      </c>
      <c r="N21" s="80" t="s">
        <v>13</v>
      </c>
      <c r="O21" s="80"/>
      <c r="P21" s="80"/>
    </row>
    <row r="22" spans="1:16" x14ac:dyDescent="0.3">
      <c r="A22" s="67"/>
      <c r="B22" s="79"/>
      <c r="C22" s="65"/>
      <c r="D22" s="65"/>
      <c r="E22" s="68"/>
      <c r="F22" s="65"/>
      <c r="G22" s="65"/>
      <c r="H22" s="65"/>
      <c r="I22" s="65"/>
      <c r="J22" s="65"/>
      <c r="K22" s="65"/>
      <c r="L22" s="65"/>
      <c r="M22" s="78"/>
      <c r="N22" s="80"/>
      <c r="O22" s="80"/>
      <c r="P22" s="80"/>
    </row>
    <row r="23" spans="1:16" x14ac:dyDescent="0.3">
      <c r="A23" s="9" t="s">
        <v>120</v>
      </c>
      <c r="B23" s="62">
        <f t="shared" ref="B23:B29" si="9">SUM(C23:E23)</f>
        <v>44761</v>
      </c>
      <c r="C23" s="31">
        <v>5033</v>
      </c>
      <c r="D23" s="55">
        <f t="shared" ref="D23:D29" si="10">SUM(F23,H23,J23,K23,L23)</f>
        <v>35093</v>
      </c>
      <c r="E23" s="56">
        <f t="shared" ref="E23:E29" si="11">SUM(G23,I23,M23)</f>
        <v>4635</v>
      </c>
      <c r="F23" s="31">
        <v>7768</v>
      </c>
      <c r="G23" s="32">
        <v>3889</v>
      </c>
      <c r="H23" s="31">
        <v>23395</v>
      </c>
      <c r="I23" s="32">
        <v>746</v>
      </c>
      <c r="J23" s="31" t="s">
        <v>180</v>
      </c>
      <c r="K23" s="44">
        <v>3930</v>
      </c>
      <c r="L23" s="31" t="s">
        <v>180</v>
      </c>
      <c r="M23" s="34" t="s">
        <v>180</v>
      </c>
      <c r="N23" s="10" t="s">
        <v>14</v>
      </c>
      <c r="O23" s="11"/>
      <c r="P23" s="11"/>
    </row>
    <row r="24" spans="1:16" x14ac:dyDescent="0.3">
      <c r="A24" s="9" t="s">
        <v>121</v>
      </c>
      <c r="B24" s="62">
        <f t="shared" si="9"/>
        <v>9339</v>
      </c>
      <c r="C24" s="31">
        <v>1022</v>
      </c>
      <c r="D24" s="55">
        <f t="shared" si="10"/>
        <v>2680</v>
      </c>
      <c r="E24" s="56">
        <f t="shared" si="11"/>
        <v>5637</v>
      </c>
      <c r="F24" s="31">
        <v>702</v>
      </c>
      <c r="G24" s="32">
        <v>5302</v>
      </c>
      <c r="H24" s="31">
        <v>999</v>
      </c>
      <c r="I24" s="32">
        <v>335</v>
      </c>
      <c r="J24" s="31">
        <v>58</v>
      </c>
      <c r="K24" s="44">
        <v>921</v>
      </c>
      <c r="L24" s="31" t="s">
        <v>180</v>
      </c>
      <c r="M24" s="33" t="s">
        <v>180</v>
      </c>
      <c r="N24" s="10" t="s">
        <v>15</v>
      </c>
      <c r="O24" s="11"/>
      <c r="P24" s="11"/>
    </row>
    <row r="25" spans="1:16" x14ac:dyDescent="0.3">
      <c r="A25" s="9" t="s">
        <v>122</v>
      </c>
      <c r="B25" s="62">
        <f t="shared" si="9"/>
        <v>12419</v>
      </c>
      <c r="C25" s="31">
        <v>1270</v>
      </c>
      <c r="D25" s="55">
        <f t="shared" si="10"/>
        <v>8831</v>
      </c>
      <c r="E25" s="56">
        <f t="shared" si="11"/>
        <v>2318</v>
      </c>
      <c r="F25" s="31">
        <v>2260</v>
      </c>
      <c r="G25" s="32">
        <v>1809</v>
      </c>
      <c r="H25" s="31">
        <v>6025</v>
      </c>
      <c r="I25" s="32">
        <v>509</v>
      </c>
      <c r="J25" s="31" t="s">
        <v>180</v>
      </c>
      <c r="K25" s="44">
        <v>546</v>
      </c>
      <c r="L25" s="31" t="s">
        <v>180</v>
      </c>
      <c r="M25" s="33" t="s">
        <v>180</v>
      </c>
      <c r="N25" s="10" t="s">
        <v>16</v>
      </c>
      <c r="O25" s="11"/>
      <c r="P25" s="11"/>
    </row>
    <row r="26" spans="1:16" x14ac:dyDescent="0.3">
      <c r="A26" s="9" t="s">
        <v>123</v>
      </c>
      <c r="B26" s="62">
        <f t="shared" si="9"/>
        <v>13379</v>
      </c>
      <c r="C26" s="31">
        <v>1261</v>
      </c>
      <c r="D26" s="55">
        <f t="shared" si="10"/>
        <v>9023</v>
      </c>
      <c r="E26" s="56">
        <f t="shared" si="11"/>
        <v>3095</v>
      </c>
      <c r="F26" s="31">
        <v>2049</v>
      </c>
      <c r="G26" s="32">
        <v>2268</v>
      </c>
      <c r="H26" s="31">
        <v>2267</v>
      </c>
      <c r="I26" s="32">
        <v>827</v>
      </c>
      <c r="J26" s="31">
        <v>196</v>
      </c>
      <c r="K26" s="44">
        <v>4511</v>
      </c>
      <c r="L26" s="31" t="s">
        <v>180</v>
      </c>
      <c r="M26" s="33" t="s">
        <v>180</v>
      </c>
      <c r="N26" s="10" t="s">
        <v>17</v>
      </c>
      <c r="O26" s="11"/>
      <c r="P26" s="11"/>
    </row>
    <row r="27" spans="1:16" x14ac:dyDescent="0.3">
      <c r="A27" s="9" t="s">
        <v>124</v>
      </c>
      <c r="B27" s="62">
        <f t="shared" si="9"/>
        <v>5344</v>
      </c>
      <c r="C27" s="31">
        <v>1224</v>
      </c>
      <c r="D27" s="55">
        <f t="shared" si="10"/>
        <v>3413</v>
      </c>
      <c r="E27" s="56">
        <f t="shared" si="11"/>
        <v>707</v>
      </c>
      <c r="F27" s="31">
        <v>727</v>
      </c>
      <c r="G27" s="32">
        <v>512</v>
      </c>
      <c r="H27" s="31">
        <v>1967</v>
      </c>
      <c r="I27" s="32">
        <v>195</v>
      </c>
      <c r="J27" s="31" t="s">
        <v>180</v>
      </c>
      <c r="K27" s="44">
        <v>719</v>
      </c>
      <c r="L27" s="31" t="s">
        <v>180</v>
      </c>
      <c r="M27" s="33" t="s">
        <v>180</v>
      </c>
      <c r="N27" s="10" t="s">
        <v>18</v>
      </c>
      <c r="O27" s="11"/>
      <c r="P27" s="11"/>
    </row>
    <row r="28" spans="1:16" x14ac:dyDescent="0.3">
      <c r="A28" s="9" t="s">
        <v>125</v>
      </c>
      <c r="B28" s="62">
        <f t="shared" si="9"/>
        <v>46205</v>
      </c>
      <c r="C28" s="31">
        <v>6569</v>
      </c>
      <c r="D28" s="55">
        <f t="shared" si="10"/>
        <v>30999</v>
      </c>
      <c r="E28" s="56">
        <f t="shared" si="11"/>
        <v>8637</v>
      </c>
      <c r="F28" s="31">
        <v>5894</v>
      </c>
      <c r="G28" s="32">
        <v>5526</v>
      </c>
      <c r="H28" s="31">
        <v>8566</v>
      </c>
      <c r="I28" s="32">
        <v>1911</v>
      </c>
      <c r="J28" s="31">
        <v>411</v>
      </c>
      <c r="K28" s="44">
        <v>13189</v>
      </c>
      <c r="L28" s="31">
        <v>2939</v>
      </c>
      <c r="M28" s="34">
        <v>1200</v>
      </c>
      <c r="N28" s="10" t="s">
        <v>19</v>
      </c>
      <c r="O28" s="11"/>
      <c r="P28" s="11"/>
    </row>
    <row r="29" spans="1:16" x14ac:dyDescent="0.3">
      <c r="A29" s="9" t="s">
        <v>126</v>
      </c>
      <c r="B29" s="62">
        <f t="shared" si="9"/>
        <v>2534</v>
      </c>
      <c r="C29" s="31">
        <v>456</v>
      </c>
      <c r="D29" s="55">
        <f t="shared" si="10"/>
        <v>1668</v>
      </c>
      <c r="E29" s="56">
        <f t="shared" si="11"/>
        <v>410</v>
      </c>
      <c r="F29" s="31">
        <v>481</v>
      </c>
      <c r="G29" s="32">
        <v>319</v>
      </c>
      <c r="H29" s="31">
        <v>384</v>
      </c>
      <c r="I29" s="32">
        <v>91</v>
      </c>
      <c r="J29" s="31">
        <v>23</v>
      </c>
      <c r="K29" s="44">
        <v>780</v>
      </c>
      <c r="L29" s="31" t="s">
        <v>180</v>
      </c>
      <c r="M29" s="33" t="s">
        <v>180</v>
      </c>
      <c r="N29" s="10" t="s">
        <v>20</v>
      </c>
      <c r="O29" s="11"/>
      <c r="P29" s="11"/>
    </row>
    <row r="30" spans="1:16" ht="28.8" customHeight="1" x14ac:dyDescent="0.3">
      <c r="A30" s="12" t="s">
        <v>105</v>
      </c>
      <c r="B30" s="63">
        <f>SUM(B31:B34)</f>
        <v>33483</v>
      </c>
      <c r="C30" s="57">
        <f>SUM(C31:C34)</f>
        <v>6517</v>
      </c>
      <c r="D30" s="57">
        <f>SUM(D31:D34)</f>
        <v>22429</v>
      </c>
      <c r="E30" s="58">
        <f>SUM(E31:E34)</f>
        <v>4537</v>
      </c>
      <c r="F30" s="57">
        <f t="shared" ref="F30:M30" si="12">SUM(F31:F34)</f>
        <v>3904</v>
      </c>
      <c r="G30" s="57">
        <f t="shared" si="12"/>
        <v>3006</v>
      </c>
      <c r="H30" s="57">
        <f t="shared" si="12"/>
        <v>5336</v>
      </c>
      <c r="I30" s="57">
        <f t="shared" si="12"/>
        <v>1531</v>
      </c>
      <c r="J30" s="57">
        <f t="shared" si="12"/>
        <v>800</v>
      </c>
      <c r="K30" s="57">
        <f t="shared" si="12"/>
        <v>12389</v>
      </c>
      <c r="L30" s="57">
        <f t="shared" si="12"/>
        <v>0</v>
      </c>
      <c r="M30" s="59">
        <f t="shared" si="12"/>
        <v>0</v>
      </c>
      <c r="N30" s="13" t="s">
        <v>104</v>
      </c>
      <c r="O30" s="11"/>
      <c r="P30" s="11"/>
    </row>
    <row r="31" spans="1:16" x14ac:dyDescent="0.3">
      <c r="A31" s="9" t="s">
        <v>127</v>
      </c>
      <c r="B31" s="62">
        <f t="shared" ref="B31:B34" si="13">SUM(C31:E31)</f>
        <v>16599</v>
      </c>
      <c r="C31" s="31">
        <v>3129</v>
      </c>
      <c r="D31" s="55">
        <f t="shared" ref="D31:D34" si="14">SUM(F31,H31,J31,K31,L31)</f>
        <v>11208</v>
      </c>
      <c r="E31" s="56">
        <f t="shared" ref="E31:E34" si="15">SUM(G31,I31,M31)</f>
        <v>2262</v>
      </c>
      <c r="F31" s="31">
        <v>2060</v>
      </c>
      <c r="G31" s="32">
        <v>1458</v>
      </c>
      <c r="H31" s="31">
        <v>2451</v>
      </c>
      <c r="I31" s="32">
        <v>804</v>
      </c>
      <c r="J31" s="31">
        <v>25</v>
      </c>
      <c r="K31" s="44">
        <v>6672</v>
      </c>
      <c r="L31" s="31" t="s">
        <v>180</v>
      </c>
      <c r="M31" s="33" t="s">
        <v>180</v>
      </c>
      <c r="N31" s="10" t="s">
        <v>21</v>
      </c>
      <c r="O31" s="11"/>
      <c r="P31" s="11"/>
    </row>
    <row r="32" spans="1:16" x14ac:dyDescent="0.3">
      <c r="A32" s="9" t="s">
        <v>128</v>
      </c>
      <c r="B32" s="62">
        <f t="shared" si="13"/>
        <v>6634</v>
      </c>
      <c r="C32" s="31">
        <v>1193</v>
      </c>
      <c r="D32" s="55">
        <f t="shared" si="14"/>
        <v>4519</v>
      </c>
      <c r="E32" s="56">
        <f t="shared" si="15"/>
        <v>922</v>
      </c>
      <c r="F32" s="31">
        <v>687</v>
      </c>
      <c r="G32" s="32">
        <v>535</v>
      </c>
      <c r="H32" s="31">
        <v>913</v>
      </c>
      <c r="I32" s="32">
        <v>387</v>
      </c>
      <c r="J32" s="31">
        <v>113</v>
      </c>
      <c r="K32" s="44">
        <v>2806</v>
      </c>
      <c r="L32" s="31" t="s">
        <v>180</v>
      </c>
      <c r="M32" s="33" t="s">
        <v>180</v>
      </c>
      <c r="N32" s="10" t="s">
        <v>22</v>
      </c>
      <c r="O32" s="11"/>
      <c r="P32" s="11"/>
    </row>
    <row r="33" spans="1:16" x14ac:dyDescent="0.3">
      <c r="A33" s="9" t="s">
        <v>129</v>
      </c>
      <c r="B33" s="62">
        <f t="shared" si="13"/>
        <v>2921</v>
      </c>
      <c r="C33" s="31">
        <v>412</v>
      </c>
      <c r="D33" s="55">
        <f t="shared" si="14"/>
        <v>2102</v>
      </c>
      <c r="E33" s="56">
        <f t="shared" si="15"/>
        <v>407</v>
      </c>
      <c r="F33" s="31">
        <v>349</v>
      </c>
      <c r="G33" s="32">
        <v>294</v>
      </c>
      <c r="H33" s="31">
        <v>22</v>
      </c>
      <c r="I33" s="32">
        <v>113</v>
      </c>
      <c r="J33" s="31">
        <v>124</v>
      </c>
      <c r="K33" s="44">
        <v>1607</v>
      </c>
      <c r="L33" s="31" t="s">
        <v>180</v>
      </c>
      <c r="M33" s="33" t="s">
        <v>180</v>
      </c>
      <c r="N33" s="10" t="s">
        <v>23</v>
      </c>
      <c r="O33" s="11"/>
      <c r="P33" s="11"/>
    </row>
    <row r="34" spans="1:16" x14ac:dyDescent="0.3">
      <c r="A34" s="9" t="s">
        <v>130</v>
      </c>
      <c r="B34" s="62">
        <f t="shared" si="13"/>
        <v>7329</v>
      </c>
      <c r="C34" s="31">
        <v>1783</v>
      </c>
      <c r="D34" s="55">
        <f t="shared" si="14"/>
        <v>4600</v>
      </c>
      <c r="E34" s="56">
        <f t="shared" si="15"/>
        <v>946</v>
      </c>
      <c r="F34" s="31">
        <v>808</v>
      </c>
      <c r="G34" s="32">
        <v>719</v>
      </c>
      <c r="H34" s="31">
        <v>1950</v>
      </c>
      <c r="I34" s="32">
        <v>227</v>
      </c>
      <c r="J34" s="31">
        <v>538</v>
      </c>
      <c r="K34" s="44">
        <v>1304</v>
      </c>
      <c r="L34" s="31" t="s">
        <v>180</v>
      </c>
      <c r="M34" s="33" t="s">
        <v>180</v>
      </c>
      <c r="N34" s="10" t="s">
        <v>24</v>
      </c>
      <c r="O34" s="11"/>
      <c r="P34" s="11"/>
    </row>
    <row r="35" spans="1:16" x14ac:dyDescent="0.3">
      <c r="A35" s="67" t="s">
        <v>25</v>
      </c>
      <c r="B35" s="79">
        <f t="shared" ref="B35:C35" si="16">SUM(B37:B40)</f>
        <v>82546</v>
      </c>
      <c r="C35" s="65">
        <f t="shared" si="16"/>
        <v>12449</v>
      </c>
      <c r="D35" s="65">
        <f>SUM(D37:D40)</f>
        <v>57761</v>
      </c>
      <c r="E35" s="68">
        <f>SUM(E37:E40)</f>
        <v>12336</v>
      </c>
      <c r="F35" s="65">
        <f>SUM(F37:F40)</f>
        <v>9873</v>
      </c>
      <c r="G35" s="65">
        <f>SUM(G37:G40)</f>
        <v>7760</v>
      </c>
      <c r="H35" s="65">
        <f t="shared" ref="H35:M35" si="17">SUM(H37:H40)</f>
        <v>4526</v>
      </c>
      <c r="I35" s="65">
        <f t="shared" si="17"/>
        <v>4576</v>
      </c>
      <c r="J35" s="65">
        <f t="shared" si="17"/>
        <v>3065</v>
      </c>
      <c r="K35" s="65">
        <f t="shared" si="17"/>
        <v>40297</v>
      </c>
      <c r="L35" s="65">
        <f t="shared" si="17"/>
        <v>0</v>
      </c>
      <c r="M35" s="78">
        <f t="shared" si="17"/>
        <v>0</v>
      </c>
      <c r="N35" s="77" t="s">
        <v>26</v>
      </c>
      <c r="O35" s="77"/>
      <c r="P35" s="77"/>
    </row>
    <row r="36" spans="1:16" x14ac:dyDescent="0.3">
      <c r="A36" s="67"/>
      <c r="B36" s="79"/>
      <c r="C36" s="65"/>
      <c r="D36" s="65"/>
      <c r="E36" s="68"/>
      <c r="F36" s="65"/>
      <c r="G36" s="65"/>
      <c r="H36" s="65"/>
      <c r="I36" s="65"/>
      <c r="J36" s="65"/>
      <c r="K36" s="65"/>
      <c r="L36" s="65"/>
      <c r="M36" s="78"/>
      <c r="N36" s="77"/>
      <c r="O36" s="77"/>
      <c r="P36" s="77"/>
    </row>
    <row r="37" spans="1:16" x14ac:dyDescent="0.3">
      <c r="A37" s="9" t="s">
        <v>131</v>
      </c>
      <c r="B37" s="62">
        <f t="shared" ref="B37:B40" si="18">SUM(C37:E37)</f>
        <v>24404</v>
      </c>
      <c r="C37" s="31">
        <v>4217</v>
      </c>
      <c r="D37" s="55">
        <f t="shared" ref="D37:D40" si="19">SUM(F37,H37,J37,K37,L37)</f>
        <v>16468</v>
      </c>
      <c r="E37" s="56">
        <f t="shared" ref="E37:E40" si="20">SUM(G37,I37,M37)</f>
        <v>3719</v>
      </c>
      <c r="F37" s="31">
        <v>2550</v>
      </c>
      <c r="G37" s="32">
        <v>2406</v>
      </c>
      <c r="H37" s="31">
        <v>1606</v>
      </c>
      <c r="I37" s="32">
        <v>1313</v>
      </c>
      <c r="J37" s="31">
        <v>532</v>
      </c>
      <c r="K37" s="44">
        <v>11780</v>
      </c>
      <c r="L37" s="31" t="s">
        <v>180</v>
      </c>
      <c r="M37" s="33" t="s">
        <v>180</v>
      </c>
      <c r="N37" s="10" t="s">
        <v>27</v>
      </c>
      <c r="O37" s="11"/>
      <c r="P37" s="11"/>
    </row>
    <row r="38" spans="1:16" x14ac:dyDescent="0.3">
      <c r="A38" s="9" t="s">
        <v>132</v>
      </c>
      <c r="B38" s="62">
        <f t="shared" si="18"/>
        <v>5715</v>
      </c>
      <c r="C38" s="31">
        <v>355</v>
      </c>
      <c r="D38" s="55">
        <f t="shared" si="19"/>
        <v>3802</v>
      </c>
      <c r="E38" s="56">
        <f t="shared" si="20"/>
        <v>1558</v>
      </c>
      <c r="F38" s="31">
        <v>723</v>
      </c>
      <c r="G38" s="32">
        <v>888</v>
      </c>
      <c r="H38" s="31">
        <v>753</v>
      </c>
      <c r="I38" s="32">
        <v>670</v>
      </c>
      <c r="J38" s="31">
        <v>3</v>
      </c>
      <c r="K38" s="44">
        <v>2323</v>
      </c>
      <c r="L38" s="31" t="s">
        <v>180</v>
      </c>
      <c r="M38" s="33" t="s">
        <v>180</v>
      </c>
      <c r="N38" s="10" t="s">
        <v>28</v>
      </c>
      <c r="O38" s="11"/>
      <c r="P38" s="11"/>
    </row>
    <row r="39" spans="1:16" x14ac:dyDescent="0.3">
      <c r="A39" s="9" t="s">
        <v>133</v>
      </c>
      <c r="B39" s="62">
        <f t="shared" si="18"/>
        <v>36118</v>
      </c>
      <c r="C39" s="31">
        <v>7156</v>
      </c>
      <c r="D39" s="55">
        <f t="shared" si="19"/>
        <v>25256</v>
      </c>
      <c r="E39" s="56">
        <f t="shared" si="20"/>
        <v>3706</v>
      </c>
      <c r="F39" s="31">
        <v>3305</v>
      </c>
      <c r="G39" s="32">
        <v>2070</v>
      </c>
      <c r="H39" s="31">
        <v>94</v>
      </c>
      <c r="I39" s="32">
        <v>1636</v>
      </c>
      <c r="J39" s="31">
        <v>655</v>
      </c>
      <c r="K39" s="44">
        <v>21202</v>
      </c>
      <c r="L39" s="31" t="s">
        <v>180</v>
      </c>
      <c r="M39" s="33" t="s">
        <v>180</v>
      </c>
      <c r="N39" s="10" t="s">
        <v>29</v>
      </c>
      <c r="O39" s="11"/>
      <c r="P39" s="11"/>
    </row>
    <row r="40" spans="1:16" x14ac:dyDescent="0.3">
      <c r="A40" s="9" t="s">
        <v>134</v>
      </c>
      <c r="B40" s="62">
        <f t="shared" si="18"/>
        <v>16309</v>
      </c>
      <c r="C40" s="31">
        <v>721</v>
      </c>
      <c r="D40" s="55">
        <f t="shared" si="19"/>
        <v>12235</v>
      </c>
      <c r="E40" s="56">
        <f t="shared" si="20"/>
        <v>3353</v>
      </c>
      <c r="F40" s="31">
        <v>3295</v>
      </c>
      <c r="G40" s="32">
        <v>2396</v>
      </c>
      <c r="H40" s="31">
        <v>2073</v>
      </c>
      <c r="I40" s="32">
        <v>957</v>
      </c>
      <c r="J40" s="31">
        <v>1875</v>
      </c>
      <c r="K40" s="44">
        <v>4992</v>
      </c>
      <c r="L40" s="31" t="s">
        <v>180</v>
      </c>
      <c r="M40" s="33" t="s">
        <v>180</v>
      </c>
      <c r="N40" s="10" t="s">
        <v>30</v>
      </c>
      <c r="O40" s="11"/>
      <c r="P40" s="11"/>
    </row>
    <row r="41" spans="1:16" x14ac:dyDescent="0.3">
      <c r="A41" s="67" t="s">
        <v>31</v>
      </c>
      <c r="B41" s="79">
        <f>SUM(B43:B47)</f>
        <v>155477</v>
      </c>
      <c r="C41" s="65">
        <f t="shared" ref="C41" si="21">SUM(C43:C47)</f>
        <v>18942</v>
      </c>
      <c r="D41" s="65">
        <f>SUM(D43:D47)</f>
        <v>107391</v>
      </c>
      <c r="E41" s="68">
        <f>SUM(E43:E47)</f>
        <v>29144</v>
      </c>
      <c r="F41" s="65">
        <f t="shared" ref="F41" si="22">SUM(F43:F47)</f>
        <v>25367</v>
      </c>
      <c r="G41" s="65">
        <f t="shared" ref="G41:M41" si="23">SUM(G43:G47)</f>
        <v>22717</v>
      </c>
      <c r="H41" s="65">
        <f t="shared" si="23"/>
        <v>14594</v>
      </c>
      <c r="I41" s="65">
        <f t="shared" si="23"/>
        <v>6404</v>
      </c>
      <c r="J41" s="65">
        <f t="shared" si="23"/>
        <v>4707</v>
      </c>
      <c r="K41" s="65">
        <f t="shared" si="23"/>
        <v>62640</v>
      </c>
      <c r="L41" s="65">
        <f t="shared" si="23"/>
        <v>83</v>
      </c>
      <c r="M41" s="78">
        <f t="shared" si="23"/>
        <v>23</v>
      </c>
      <c r="N41" s="77" t="s">
        <v>32</v>
      </c>
      <c r="O41" s="77"/>
      <c r="P41" s="77"/>
    </row>
    <row r="42" spans="1:16" x14ac:dyDescent="0.3">
      <c r="A42" s="67"/>
      <c r="B42" s="79"/>
      <c r="C42" s="65"/>
      <c r="D42" s="65"/>
      <c r="E42" s="68"/>
      <c r="F42" s="65"/>
      <c r="G42" s="65"/>
      <c r="H42" s="65"/>
      <c r="I42" s="65"/>
      <c r="J42" s="65"/>
      <c r="K42" s="65"/>
      <c r="L42" s="65"/>
      <c r="M42" s="78"/>
      <c r="N42" s="77"/>
      <c r="O42" s="77"/>
      <c r="P42" s="77"/>
    </row>
    <row r="43" spans="1:16" x14ac:dyDescent="0.3">
      <c r="A43" s="9" t="s">
        <v>135</v>
      </c>
      <c r="B43" s="62">
        <f t="shared" ref="B43:B47" si="24">SUM(C43:E43)</f>
        <v>75105</v>
      </c>
      <c r="C43" s="31">
        <v>8465</v>
      </c>
      <c r="D43" s="55">
        <f t="shared" ref="D43:D47" si="25">SUM(F43,H43,J43,K43,L43)</f>
        <v>52059</v>
      </c>
      <c r="E43" s="56">
        <f t="shared" ref="E43:E47" si="26">SUM(G43,I43,M43)</f>
        <v>14581</v>
      </c>
      <c r="F43" s="31">
        <v>12655</v>
      </c>
      <c r="G43" s="32">
        <v>11452</v>
      </c>
      <c r="H43" s="31">
        <v>10515</v>
      </c>
      <c r="I43" s="32">
        <v>3129</v>
      </c>
      <c r="J43" s="31">
        <v>1446</v>
      </c>
      <c r="K43" s="44">
        <v>27443</v>
      </c>
      <c r="L43" s="31" t="s">
        <v>180</v>
      </c>
      <c r="M43" s="33" t="s">
        <v>180</v>
      </c>
      <c r="N43" s="10" t="s">
        <v>33</v>
      </c>
      <c r="O43" s="11"/>
      <c r="P43" s="11"/>
    </row>
    <row r="44" spans="1:16" x14ac:dyDescent="0.3">
      <c r="A44" s="9" t="s">
        <v>136</v>
      </c>
      <c r="B44" s="62">
        <f t="shared" si="24"/>
        <v>10384</v>
      </c>
      <c r="C44" s="31">
        <v>2411</v>
      </c>
      <c r="D44" s="55">
        <f t="shared" si="25"/>
        <v>6138</v>
      </c>
      <c r="E44" s="56">
        <f t="shared" si="26"/>
        <v>1835</v>
      </c>
      <c r="F44" s="31">
        <v>1766</v>
      </c>
      <c r="G44" s="32">
        <v>1515</v>
      </c>
      <c r="H44" s="31">
        <v>912</v>
      </c>
      <c r="I44" s="32">
        <v>320</v>
      </c>
      <c r="J44" s="31">
        <v>52</v>
      </c>
      <c r="K44" s="44">
        <v>3408</v>
      </c>
      <c r="L44" s="31" t="s">
        <v>180</v>
      </c>
      <c r="M44" s="33" t="s">
        <v>180</v>
      </c>
      <c r="N44" s="10" t="s">
        <v>34</v>
      </c>
      <c r="O44" s="11"/>
      <c r="P44" s="11"/>
    </row>
    <row r="45" spans="1:16" x14ac:dyDescent="0.3">
      <c r="A45" s="9" t="s">
        <v>137</v>
      </c>
      <c r="B45" s="62">
        <f t="shared" si="24"/>
        <v>22603</v>
      </c>
      <c r="C45" s="31">
        <v>1827</v>
      </c>
      <c r="D45" s="55">
        <f t="shared" si="25"/>
        <v>16339</v>
      </c>
      <c r="E45" s="56">
        <f t="shared" si="26"/>
        <v>4437</v>
      </c>
      <c r="F45" s="31">
        <v>3393</v>
      </c>
      <c r="G45" s="32">
        <v>3121</v>
      </c>
      <c r="H45" s="31">
        <v>870</v>
      </c>
      <c r="I45" s="32">
        <v>1316</v>
      </c>
      <c r="J45" s="31">
        <v>1150</v>
      </c>
      <c r="K45" s="44">
        <v>10926</v>
      </c>
      <c r="L45" s="31" t="s">
        <v>180</v>
      </c>
      <c r="M45" s="33" t="s">
        <v>180</v>
      </c>
      <c r="N45" s="10" t="s">
        <v>35</v>
      </c>
      <c r="O45" s="11"/>
      <c r="P45" s="11"/>
    </row>
    <row r="46" spans="1:16" x14ac:dyDescent="0.3">
      <c r="A46" s="9" t="s">
        <v>138</v>
      </c>
      <c r="B46" s="62">
        <f t="shared" si="24"/>
        <v>5</v>
      </c>
      <c r="C46" s="31">
        <v>1</v>
      </c>
      <c r="D46" s="55">
        <f t="shared" si="25"/>
        <v>3</v>
      </c>
      <c r="E46" s="56">
        <f t="shared" si="26"/>
        <v>1</v>
      </c>
      <c r="F46" s="35" t="s">
        <v>180</v>
      </c>
      <c r="G46" s="36" t="s">
        <v>180</v>
      </c>
      <c r="H46" s="35">
        <v>3</v>
      </c>
      <c r="I46" s="36">
        <v>1</v>
      </c>
      <c r="J46" s="35" t="s">
        <v>180</v>
      </c>
      <c r="K46" s="44" t="s">
        <v>180</v>
      </c>
      <c r="L46" s="35" t="s">
        <v>180</v>
      </c>
      <c r="M46" s="33" t="s">
        <v>180</v>
      </c>
      <c r="N46" s="10" t="s">
        <v>36</v>
      </c>
      <c r="O46" s="11"/>
      <c r="P46" s="11"/>
    </row>
    <row r="47" spans="1:16" x14ac:dyDescent="0.3">
      <c r="A47" s="9" t="s">
        <v>139</v>
      </c>
      <c r="B47" s="62">
        <f t="shared" si="24"/>
        <v>47380</v>
      </c>
      <c r="C47" s="31">
        <v>6238</v>
      </c>
      <c r="D47" s="55">
        <f t="shared" si="25"/>
        <v>32852</v>
      </c>
      <c r="E47" s="56">
        <f t="shared" si="26"/>
        <v>8290</v>
      </c>
      <c r="F47" s="31">
        <v>7553</v>
      </c>
      <c r="G47" s="32">
        <v>6629</v>
      </c>
      <c r="H47" s="31">
        <v>2294</v>
      </c>
      <c r="I47" s="32">
        <v>1638</v>
      </c>
      <c r="J47" s="31">
        <v>2059</v>
      </c>
      <c r="K47" s="44">
        <v>20863</v>
      </c>
      <c r="L47" s="31">
        <v>83</v>
      </c>
      <c r="M47" s="34">
        <v>23</v>
      </c>
      <c r="N47" s="10" t="s">
        <v>37</v>
      </c>
      <c r="O47" s="11"/>
      <c r="P47" s="11"/>
    </row>
    <row r="48" spans="1:16" x14ac:dyDescent="0.3">
      <c r="A48" s="67" t="s">
        <v>38</v>
      </c>
      <c r="B48" s="79">
        <f t="shared" ref="B48:C48" si="27">SUM(B50:B54)</f>
        <v>36933</v>
      </c>
      <c r="C48" s="65">
        <f t="shared" si="27"/>
        <v>7072</v>
      </c>
      <c r="D48" s="65">
        <f>SUM(D50:D54)</f>
        <v>24515</v>
      </c>
      <c r="E48" s="68">
        <f>SUM(E50:E54)</f>
        <v>5346</v>
      </c>
      <c r="F48" s="65">
        <f t="shared" ref="F48" si="28">SUM(F50:F54)</f>
        <v>3759</v>
      </c>
      <c r="G48" s="65">
        <f t="shared" ref="G48:M48" si="29">SUM(G50:G54)</f>
        <v>3066</v>
      </c>
      <c r="H48" s="65">
        <f t="shared" si="29"/>
        <v>5348</v>
      </c>
      <c r="I48" s="65">
        <f t="shared" si="29"/>
        <v>2280</v>
      </c>
      <c r="J48" s="65">
        <f t="shared" si="29"/>
        <v>1204</v>
      </c>
      <c r="K48" s="65">
        <f t="shared" si="29"/>
        <v>14204</v>
      </c>
      <c r="L48" s="65">
        <f t="shared" si="29"/>
        <v>0</v>
      </c>
      <c r="M48" s="78">
        <f t="shared" si="29"/>
        <v>0</v>
      </c>
      <c r="N48" s="77" t="s">
        <v>39</v>
      </c>
      <c r="O48" s="77"/>
      <c r="P48" s="77"/>
    </row>
    <row r="49" spans="1:16" x14ac:dyDescent="0.3">
      <c r="A49" s="67"/>
      <c r="B49" s="79"/>
      <c r="C49" s="65"/>
      <c r="D49" s="65"/>
      <c r="E49" s="68"/>
      <c r="F49" s="65"/>
      <c r="G49" s="65"/>
      <c r="H49" s="65"/>
      <c r="I49" s="65"/>
      <c r="J49" s="65"/>
      <c r="K49" s="65"/>
      <c r="L49" s="65"/>
      <c r="M49" s="78"/>
      <c r="N49" s="77"/>
      <c r="O49" s="77"/>
      <c r="P49" s="77"/>
    </row>
    <row r="50" spans="1:16" x14ac:dyDescent="0.3">
      <c r="A50" s="9" t="s">
        <v>140</v>
      </c>
      <c r="B50" s="62">
        <f t="shared" ref="B50:B54" si="30">SUM(C50:E50)</f>
        <v>12703</v>
      </c>
      <c r="C50" s="31">
        <v>2546</v>
      </c>
      <c r="D50" s="55">
        <f t="shared" ref="D50:D54" si="31">SUM(F50,H50,J50,K50,L50)</f>
        <v>8151</v>
      </c>
      <c r="E50" s="56">
        <f t="shared" ref="E50:E54" si="32">SUM(G50,I50,M50)</f>
        <v>2006</v>
      </c>
      <c r="F50" s="31">
        <v>1080</v>
      </c>
      <c r="G50" s="32">
        <v>993</v>
      </c>
      <c r="H50" s="31">
        <v>2179</v>
      </c>
      <c r="I50" s="32">
        <v>1013</v>
      </c>
      <c r="J50" s="31">
        <v>816</v>
      </c>
      <c r="K50" s="44">
        <v>4076</v>
      </c>
      <c r="L50" s="31" t="s">
        <v>180</v>
      </c>
      <c r="M50" s="33" t="s">
        <v>180</v>
      </c>
      <c r="N50" s="10" t="s">
        <v>40</v>
      </c>
      <c r="O50" s="11"/>
      <c r="P50" s="11"/>
    </row>
    <row r="51" spans="1:16" x14ac:dyDescent="0.3">
      <c r="A51" s="9" t="s">
        <v>141</v>
      </c>
      <c r="B51" s="62">
        <f t="shared" si="30"/>
        <v>8194</v>
      </c>
      <c r="C51" s="31">
        <v>1711</v>
      </c>
      <c r="D51" s="55">
        <f t="shared" si="31"/>
        <v>5728</v>
      </c>
      <c r="E51" s="56">
        <f t="shared" si="32"/>
        <v>755</v>
      </c>
      <c r="F51" s="31">
        <v>847</v>
      </c>
      <c r="G51" s="32">
        <v>389</v>
      </c>
      <c r="H51" s="31">
        <v>2644</v>
      </c>
      <c r="I51" s="32">
        <v>366</v>
      </c>
      <c r="J51" s="31">
        <v>39</v>
      </c>
      <c r="K51" s="44">
        <v>2198</v>
      </c>
      <c r="L51" s="31" t="s">
        <v>180</v>
      </c>
      <c r="M51" s="33" t="s">
        <v>180</v>
      </c>
      <c r="N51" s="10" t="s">
        <v>41</v>
      </c>
      <c r="O51" s="11"/>
      <c r="P51" s="11"/>
    </row>
    <row r="52" spans="1:16" x14ac:dyDescent="0.3">
      <c r="A52" s="9" t="s">
        <v>142</v>
      </c>
      <c r="B52" s="62">
        <f t="shared" si="30"/>
        <v>1687</v>
      </c>
      <c r="C52" s="31">
        <v>252</v>
      </c>
      <c r="D52" s="55">
        <f t="shared" si="31"/>
        <v>1001</v>
      </c>
      <c r="E52" s="56">
        <f t="shared" si="32"/>
        <v>434</v>
      </c>
      <c r="F52" s="31">
        <v>216</v>
      </c>
      <c r="G52" s="32">
        <v>254</v>
      </c>
      <c r="H52" s="31">
        <v>252</v>
      </c>
      <c r="I52" s="32">
        <v>180</v>
      </c>
      <c r="J52" s="31">
        <v>3</v>
      </c>
      <c r="K52" s="44">
        <v>530</v>
      </c>
      <c r="L52" s="31" t="s">
        <v>180</v>
      </c>
      <c r="M52" s="33" t="s">
        <v>180</v>
      </c>
      <c r="N52" s="10" t="s">
        <v>42</v>
      </c>
      <c r="O52" s="11"/>
      <c r="P52" s="11"/>
    </row>
    <row r="53" spans="1:16" x14ac:dyDescent="0.3">
      <c r="A53" s="9" t="s">
        <v>143</v>
      </c>
      <c r="B53" s="62">
        <f t="shared" si="30"/>
        <v>3906</v>
      </c>
      <c r="C53" s="31">
        <v>729</v>
      </c>
      <c r="D53" s="55">
        <f t="shared" si="31"/>
        <v>2643</v>
      </c>
      <c r="E53" s="56">
        <f t="shared" si="32"/>
        <v>534</v>
      </c>
      <c r="F53" s="31">
        <v>253</v>
      </c>
      <c r="G53" s="32">
        <v>206</v>
      </c>
      <c r="H53" s="31">
        <v>8</v>
      </c>
      <c r="I53" s="32">
        <v>328</v>
      </c>
      <c r="J53" s="31" t="s">
        <v>180</v>
      </c>
      <c r="K53" s="44">
        <v>2382</v>
      </c>
      <c r="L53" s="31" t="s">
        <v>180</v>
      </c>
      <c r="M53" s="33" t="s">
        <v>180</v>
      </c>
      <c r="N53" s="10" t="s">
        <v>43</v>
      </c>
      <c r="O53" s="11"/>
      <c r="P53" s="11"/>
    </row>
    <row r="54" spans="1:16" x14ac:dyDescent="0.3">
      <c r="A54" s="9" t="s">
        <v>144</v>
      </c>
      <c r="B54" s="62">
        <f t="shared" si="30"/>
        <v>10443</v>
      </c>
      <c r="C54" s="31">
        <v>1834</v>
      </c>
      <c r="D54" s="55">
        <f t="shared" si="31"/>
        <v>6992</v>
      </c>
      <c r="E54" s="56">
        <f t="shared" si="32"/>
        <v>1617</v>
      </c>
      <c r="F54" s="31">
        <v>1363</v>
      </c>
      <c r="G54" s="32">
        <v>1224</v>
      </c>
      <c r="H54" s="31">
        <v>265</v>
      </c>
      <c r="I54" s="32">
        <v>393</v>
      </c>
      <c r="J54" s="31">
        <v>346</v>
      </c>
      <c r="K54" s="44">
        <v>5018</v>
      </c>
      <c r="L54" s="31" t="s">
        <v>180</v>
      </c>
      <c r="M54" s="33" t="s">
        <v>180</v>
      </c>
      <c r="N54" s="10" t="s">
        <v>44</v>
      </c>
      <c r="O54" s="11"/>
      <c r="P54" s="11"/>
    </row>
    <row r="55" spans="1:16" x14ac:dyDescent="0.3">
      <c r="A55" s="67" t="s">
        <v>45</v>
      </c>
      <c r="B55" s="79">
        <f t="shared" ref="B55:C55" si="33">SUM(B57:B61)</f>
        <v>3038</v>
      </c>
      <c r="C55" s="65">
        <f t="shared" si="33"/>
        <v>175</v>
      </c>
      <c r="D55" s="65">
        <f>SUM(D57:D61)</f>
        <v>2152</v>
      </c>
      <c r="E55" s="68">
        <f>SUM(E57:E61)</f>
        <v>711</v>
      </c>
      <c r="F55" s="65">
        <f t="shared" ref="F55" si="34">SUM(F57:F61)</f>
        <v>296</v>
      </c>
      <c r="G55" s="65">
        <f t="shared" ref="G55:M55" si="35">SUM(G57:G61)</f>
        <v>284</v>
      </c>
      <c r="H55" s="65">
        <f t="shared" si="35"/>
        <v>149</v>
      </c>
      <c r="I55" s="65">
        <f t="shared" si="35"/>
        <v>427</v>
      </c>
      <c r="J55" s="65">
        <f t="shared" si="35"/>
        <v>35</v>
      </c>
      <c r="K55" s="65">
        <f t="shared" si="35"/>
        <v>1672</v>
      </c>
      <c r="L55" s="65">
        <f t="shared" si="35"/>
        <v>0</v>
      </c>
      <c r="M55" s="78">
        <f t="shared" si="35"/>
        <v>0</v>
      </c>
      <c r="N55" s="77" t="s">
        <v>46</v>
      </c>
      <c r="O55" s="77"/>
      <c r="P55" s="77"/>
    </row>
    <row r="56" spans="1:16" x14ac:dyDescent="0.3">
      <c r="A56" s="67"/>
      <c r="B56" s="79"/>
      <c r="C56" s="65"/>
      <c r="D56" s="65"/>
      <c r="E56" s="68"/>
      <c r="F56" s="65"/>
      <c r="G56" s="65"/>
      <c r="H56" s="65"/>
      <c r="I56" s="65"/>
      <c r="J56" s="65"/>
      <c r="K56" s="65"/>
      <c r="L56" s="65"/>
      <c r="M56" s="78"/>
      <c r="N56" s="77"/>
      <c r="O56" s="77"/>
      <c r="P56" s="77"/>
    </row>
    <row r="57" spans="1:16" x14ac:dyDescent="0.3">
      <c r="A57" s="9" t="s">
        <v>145</v>
      </c>
      <c r="B57" s="62">
        <f t="shared" ref="B57:B61" si="36">SUM(C57:E57)</f>
        <v>187</v>
      </c>
      <c r="C57" s="31">
        <v>16</v>
      </c>
      <c r="D57" s="55">
        <f t="shared" ref="D57:D61" si="37">SUM(F57,H57,J57,K57,L57)</f>
        <v>132</v>
      </c>
      <c r="E57" s="56">
        <f t="shared" ref="E57:E61" si="38">SUM(G57,I57,M57)</f>
        <v>39</v>
      </c>
      <c r="F57" s="31">
        <v>7</v>
      </c>
      <c r="G57" s="32">
        <v>3</v>
      </c>
      <c r="H57" s="31">
        <v>88</v>
      </c>
      <c r="I57" s="32">
        <v>36</v>
      </c>
      <c r="J57" s="31">
        <v>2</v>
      </c>
      <c r="K57" s="44">
        <v>35</v>
      </c>
      <c r="L57" s="31" t="s">
        <v>180</v>
      </c>
      <c r="M57" s="33" t="s">
        <v>180</v>
      </c>
      <c r="N57" s="10" t="s">
        <v>47</v>
      </c>
      <c r="O57" s="11"/>
      <c r="P57" s="11"/>
    </row>
    <row r="58" spans="1:16" x14ac:dyDescent="0.3">
      <c r="A58" s="9" t="s">
        <v>146</v>
      </c>
      <c r="B58" s="62">
        <f t="shared" si="36"/>
        <v>525</v>
      </c>
      <c r="C58" s="31">
        <v>49</v>
      </c>
      <c r="D58" s="55">
        <f t="shared" si="37"/>
        <v>256</v>
      </c>
      <c r="E58" s="56">
        <f t="shared" si="38"/>
        <v>220</v>
      </c>
      <c r="F58" s="31">
        <v>63</v>
      </c>
      <c r="G58" s="32">
        <v>127</v>
      </c>
      <c r="H58" s="31">
        <v>38</v>
      </c>
      <c r="I58" s="32">
        <v>93</v>
      </c>
      <c r="J58" s="31" t="s">
        <v>180</v>
      </c>
      <c r="K58" s="44">
        <v>155</v>
      </c>
      <c r="L58" s="31" t="s">
        <v>180</v>
      </c>
      <c r="M58" s="33" t="s">
        <v>180</v>
      </c>
      <c r="N58" s="10" t="s">
        <v>48</v>
      </c>
      <c r="O58" s="11"/>
      <c r="P58" s="11"/>
    </row>
    <row r="59" spans="1:16" x14ac:dyDescent="0.3">
      <c r="A59" s="9" t="s">
        <v>147</v>
      </c>
      <c r="B59" s="62">
        <f t="shared" si="36"/>
        <v>89</v>
      </c>
      <c r="C59" s="31">
        <v>3</v>
      </c>
      <c r="D59" s="55">
        <f t="shared" si="37"/>
        <v>61</v>
      </c>
      <c r="E59" s="56">
        <f t="shared" si="38"/>
        <v>25</v>
      </c>
      <c r="F59" s="31">
        <v>46</v>
      </c>
      <c r="G59" s="32">
        <v>16</v>
      </c>
      <c r="H59" s="31" t="s">
        <v>180</v>
      </c>
      <c r="I59" s="32">
        <v>9</v>
      </c>
      <c r="J59" s="31" t="s">
        <v>180</v>
      </c>
      <c r="K59" s="45">
        <v>15</v>
      </c>
      <c r="L59" s="31" t="s">
        <v>180</v>
      </c>
      <c r="M59" s="33" t="s">
        <v>180</v>
      </c>
      <c r="N59" s="10" t="s">
        <v>49</v>
      </c>
      <c r="O59" s="11"/>
      <c r="P59" s="11"/>
    </row>
    <row r="60" spans="1:16" x14ac:dyDescent="0.3">
      <c r="A60" s="9" t="s">
        <v>148</v>
      </c>
      <c r="B60" s="62">
        <f t="shared" si="36"/>
        <v>1872</v>
      </c>
      <c r="C60" s="31">
        <v>70</v>
      </c>
      <c r="D60" s="55">
        <f t="shared" si="37"/>
        <v>1429</v>
      </c>
      <c r="E60" s="56">
        <f t="shared" si="38"/>
        <v>373</v>
      </c>
      <c r="F60" s="31">
        <v>152</v>
      </c>
      <c r="G60" s="32">
        <v>118</v>
      </c>
      <c r="H60" s="31">
        <v>23</v>
      </c>
      <c r="I60" s="32">
        <v>255</v>
      </c>
      <c r="J60" s="31">
        <v>33</v>
      </c>
      <c r="K60" s="44">
        <v>1221</v>
      </c>
      <c r="L60" s="31" t="s">
        <v>180</v>
      </c>
      <c r="M60" s="33" t="s">
        <v>180</v>
      </c>
      <c r="N60" s="10" t="s">
        <v>50</v>
      </c>
      <c r="O60" s="11"/>
      <c r="P60" s="11"/>
    </row>
    <row r="61" spans="1:16" x14ac:dyDescent="0.3">
      <c r="A61" s="9" t="s">
        <v>149</v>
      </c>
      <c r="B61" s="62">
        <f t="shared" si="36"/>
        <v>365</v>
      </c>
      <c r="C61" s="31">
        <v>37</v>
      </c>
      <c r="D61" s="55">
        <f t="shared" si="37"/>
        <v>274</v>
      </c>
      <c r="E61" s="56">
        <f t="shared" si="38"/>
        <v>54</v>
      </c>
      <c r="F61" s="31">
        <v>28</v>
      </c>
      <c r="G61" s="32">
        <v>20</v>
      </c>
      <c r="H61" s="31" t="s">
        <v>180</v>
      </c>
      <c r="I61" s="32">
        <v>34</v>
      </c>
      <c r="J61" s="31" t="s">
        <v>180</v>
      </c>
      <c r="K61" s="44">
        <v>246</v>
      </c>
      <c r="L61" s="31" t="s">
        <v>180</v>
      </c>
      <c r="M61" s="33" t="s">
        <v>180</v>
      </c>
      <c r="N61" s="10" t="s">
        <v>51</v>
      </c>
      <c r="O61" s="11"/>
      <c r="P61" s="11"/>
    </row>
    <row r="62" spans="1:16" x14ac:dyDescent="0.3">
      <c r="A62" s="67" t="s">
        <v>52</v>
      </c>
      <c r="B62" s="79">
        <f t="shared" ref="B62:C62" si="39">SUM(B64:B66)</f>
        <v>81628</v>
      </c>
      <c r="C62" s="65">
        <f t="shared" si="39"/>
        <v>8220</v>
      </c>
      <c r="D62" s="65">
        <f>SUM(D64:D66)</f>
        <v>57087</v>
      </c>
      <c r="E62" s="68">
        <f>SUM(E64:E66)</f>
        <v>16321</v>
      </c>
      <c r="F62" s="65">
        <f t="shared" ref="F62" si="40">SUM(F64:F66)</f>
        <v>11427</v>
      </c>
      <c r="G62" s="65">
        <f t="shared" ref="G62:M62" si="41">SUM(G64:G66)</f>
        <v>8414</v>
      </c>
      <c r="H62" s="65">
        <f t="shared" si="41"/>
        <v>5566</v>
      </c>
      <c r="I62" s="65">
        <f t="shared" si="41"/>
        <v>7907</v>
      </c>
      <c r="J62" s="65">
        <f t="shared" si="41"/>
        <v>5583</v>
      </c>
      <c r="K62" s="65">
        <f t="shared" si="41"/>
        <v>34511</v>
      </c>
      <c r="L62" s="65">
        <f t="shared" si="41"/>
        <v>0</v>
      </c>
      <c r="M62" s="78">
        <f t="shared" si="41"/>
        <v>0</v>
      </c>
      <c r="N62" s="77" t="s">
        <v>53</v>
      </c>
      <c r="O62" s="77"/>
      <c r="P62" s="77"/>
    </row>
    <row r="63" spans="1:16" x14ac:dyDescent="0.3">
      <c r="A63" s="67"/>
      <c r="B63" s="79"/>
      <c r="C63" s="65"/>
      <c r="D63" s="65"/>
      <c r="E63" s="68"/>
      <c r="F63" s="65"/>
      <c r="G63" s="65"/>
      <c r="H63" s="65"/>
      <c r="I63" s="65"/>
      <c r="J63" s="65"/>
      <c r="K63" s="65"/>
      <c r="L63" s="65"/>
      <c r="M63" s="78"/>
      <c r="N63" s="77"/>
      <c r="O63" s="77"/>
      <c r="P63" s="77"/>
    </row>
    <row r="64" spans="1:16" x14ac:dyDescent="0.3">
      <c r="A64" s="9" t="s">
        <v>150</v>
      </c>
      <c r="B64" s="62">
        <f t="shared" ref="B64:B66" si="42">SUM(C64:E64)</f>
        <v>7020</v>
      </c>
      <c r="C64" s="31">
        <v>867</v>
      </c>
      <c r="D64" s="55">
        <f t="shared" ref="D64:D66" si="43">SUM(F64,H64,J64,K64,L64)</f>
        <v>5023</v>
      </c>
      <c r="E64" s="56">
        <f t="shared" ref="E64:E66" si="44">SUM(G64,I64,M64)</f>
        <v>1130</v>
      </c>
      <c r="F64" s="31">
        <v>796</v>
      </c>
      <c r="G64" s="32">
        <v>587</v>
      </c>
      <c r="H64" s="31">
        <v>2381</v>
      </c>
      <c r="I64" s="32">
        <v>543</v>
      </c>
      <c r="J64" s="31">
        <v>34</v>
      </c>
      <c r="K64" s="44">
        <v>1812</v>
      </c>
      <c r="L64" s="31" t="s">
        <v>180</v>
      </c>
      <c r="M64" s="33" t="s">
        <v>180</v>
      </c>
      <c r="N64" s="10" t="s">
        <v>54</v>
      </c>
      <c r="O64" s="11"/>
      <c r="P64" s="11"/>
    </row>
    <row r="65" spans="1:16" x14ac:dyDescent="0.3">
      <c r="A65" s="9" t="s">
        <v>151</v>
      </c>
      <c r="B65" s="62">
        <f t="shared" si="42"/>
        <v>69471</v>
      </c>
      <c r="C65" s="31">
        <v>6572</v>
      </c>
      <c r="D65" s="55">
        <f t="shared" si="43"/>
        <v>48725</v>
      </c>
      <c r="E65" s="56">
        <f t="shared" si="44"/>
        <v>14174</v>
      </c>
      <c r="F65" s="31">
        <v>10138</v>
      </c>
      <c r="G65" s="32">
        <v>7043</v>
      </c>
      <c r="H65" s="31">
        <v>589</v>
      </c>
      <c r="I65" s="32">
        <v>7131</v>
      </c>
      <c r="J65" s="31">
        <v>5545</v>
      </c>
      <c r="K65" s="44">
        <v>32453</v>
      </c>
      <c r="L65" s="31" t="s">
        <v>180</v>
      </c>
      <c r="M65" s="33" t="s">
        <v>180</v>
      </c>
      <c r="N65" s="10" t="s">
        <v>55</v>
      </c>
      <c r="O65" s="11"/>
      <c r="P65" s="11"/>
    </row>
    <row r="66" spans="1:16" x14ac:dyDescent="0.3">
      <c r="A66" s="9" t="s">
        <v>152</v>
      </c>
      <c r="B66" s="62">
        <f t="shared" si="42"/>
        <v>5137</v>
      </c>
      <c r="C66" s="31">
        <v>781</v>
      </c>
      <c r="D66" s="55">
        <f t="shared" si="43"/>
        <v>3339</v>
      </c>
      <c r="E66" s="56">
        <f t="shared" si="44"/>
        <v>1017</v>
      </c>
      <c r="F66" s="31">
        <v>493</v>
      </c>
      <c r="G66" s="32">
        <v>784</v>
      </c>
      <c r="H66" s="31">
        <v>2596</v>
      </c>
      <c r="I66" s="32">
        <v>233</v>
      </c>
      <c r="J66" s="31">
        <v>4</v>
      </c>
      <c r="K66" s="44">
        <v>246</v>
      </c>
      <c r="L66" s="31" t="s">
        <v>180</v>
      </c>
      <c r="M66" s="33" t="s">
        <v>180</v>
      </c>
      <c r="N66" s="10" t="s">
        <v>56</v>
      </c>
      <c r="O66" s="11"/>
      <c r="P66" s="11"/>
    </row>
    <row r="67" spans="1:16" x14ac:dyDescent="0.3">
      <c r="A67" s="67" t="s">
        <v>57</v>
      </c>
      <c r="B67" s="79">
        <f t="shared" ref="B67:C67" si="45">SUM(B69:B73)</f>
        <v>13875</v>
      </c>
      <c r="C67" s="65">
        <f t="shared" si="45"/>
        <v>2356</v>
      </c>
      <c r="D67" s="65">
        <f>SUM(D69:D73)</f>
        <v>8999</v>
      </c>
      <c r="E67" s="68">
        <f>SUM(E69:E73)</f>
        <v>2520</v>
      </c>
      <c r="F67" s="65">
        <f t="shared" ref="F67" si="46">SUM(F69:F73)</f>
        <v>1683</v>
      </c>
      <c r="G67" s="65">
        <f t="shared" ref="G67:M67" si="47">SUM(G69:G73)</f>
        <v>1755</v>
      </c>
      <c r="H67" s="65">
        <f t="shared" si="47"/>
        <v>1113</v>
      </c>
      <c r="I67" s="65">
        <f t="shared" si="47"/>
        <v>765</v>
      </c>
      <c r="J67" s="65">
        <f t="shared" si="47"/>
        <v>387</v>
      </c>
      <c r="K67" s="65">
        <f t="shared" si="47"/>
        <v>5816</v>
      </c>
      <c r="L67" s="65">
        <f t="shared" si="47"/>
        <v>0</v>
      </c>
      <c r="M67" s="78">
        <f t="shared" si="47"/>
        <v>0</v>
      </c>
      <c r="N67" s="77" t="s">
        <v>58</v>
      </c>
      <c r="O67" s="77"/>
      <c r="P67" s="77"/>
    </row>
    <row r="68" spans="1:16" x14ac:dyDescent="0.3">
      <c r="A68" s="67"/>
      <c r="B68" s="79"/>
      <c r="C68" s="65"/>
      <c r="D68" s="65"/>
      <c r="E68" s="68"/>
      <c r="F68" s="65"/>
      <c r="G68" s="65"/>
      <c r="H68" s="65"/>
      <c r="I68" s="65"/>
      <c r="J68" s="65"/>
      <c r="K68" s="65"/>
      <c r="L68" s="65"/>
      <c r="M68" s="78"/>
      <c r="N68" s="77"/>
      <c r="O68" s="77"/>
      <c r="P68" s="77"/>
    </row>
    <row r="69" spans="1:16" x14ac:dyDescent="0.3">
      <c r="A69" s="9" t="s">
        <v>153</v>
      </c>
      <c r="B69" s="62">
        <f t="shared" ref="B69:B73" si="48">SUM(C69:E69)</f>
        <v>1091</v>
      </c>
      <c r="C69" s="31">
        <v>246</v>
      </c>
      <c r="D69" s="55">
        <f t="shared" ref="D69:D73" si="49">SUM(F69,H69,J69,K69,L69)</f>
        <v>715</v>
      </c>
      <c r="E69" s="56">
        <f t="shared" ref="E69:E73" si="50">SUM(G69,I69,M69)</f>
        <v>130</v>
      </c>
      <c r="F69" s="31">
        <v>63</v>
      </c>
      <c r="G69" s="32">
        <v>72</v>
      </c>
      <c r="H69" s="31">
        <v>89</v>
      </c>
      <c r="I69" s="32">
        <v>58</v>
      </c>
      <c r="J69" s="31">
        <v>17</v>
      </c>
      <c r="K69" s="44">
        <v>546</v>
      </c>
      <c r="L69" s="31" t="s">
        <v>180</v>
      </c>
      <c r="M69" s="33" t="s">
        <v>180</v>
      </c>
      <c r="N69" s="10" t="s">
        <v>59</v>
      </c>
      <c r="O69" s="11"/>
      <c r="P69" s="11"/>
    </row>
    <row r="70" spans="1:16" x14ac:dyDescent="0.3">
      <c r="A70" s="9" t="s">
        <v>154</v>
      </c>
      <c r="B70" s="62">
        <f t="shared" si="48"/>
        <v>1107</v>
      </c>
      <c r="C70" s="31">
        <v>281</v>
      </c>
      <c r="D70" s="55">
        <f t="shared" si="49"/>
        <v>705</v>
      </c>
      <c r="E70" s="56">
        <f t="shared" si="50"/>
        <v>121</v>
      </c>
      <c r="F70" s="31">
        <v>120</v>
      </c>
      <c r="G70" s="32">
        <v>83</v>
      </c>
      <c r="H70" s="31">
        <v>440</v>
      </c>
      <c r="I70" s="32">
        <v>38</v>
      </c>
      <c r="J70" s="31" t="s">
        <v>180</v>
      </c>
      <c r="K70" s="44">
        <v>145</v>
      </c>
      <c r="L70" s="31" t="s">
        <v>180</v>
      </c>
      <c r="M70" s="33" t="s">
        <v>180</v>
      </c>
      <c r="N70" s="10" t="s">
        <v>60</v>
      </c>
      <c r="O70" s="11"/>
      <c r="P70" s="11"/>
    </row>
    <row r="71" spans="1:16" x14ac:dyDescent="0.3">
      <c r="A71" s="9" t="s">
        <v>155</v>
      </c>
      <c r="B71" s="62">
        <f t="shared" si="48"/>
        <v>1078</v>
      </c>
      <c r="C71" s="31">
        <v>228</v>
      </c>
      <c r="D71" s="55">
        <f t="shared" si="49"/>
        <v>737</v>
      </c>
      <c r="E71" s="56">
        <f t="shared" si="50"/>
        <v>113</v>
      </c>
      <c r="F71" s="31">
        <v>96</v>
      </c>
      <c r="G71" s="32">
        <v>73</v>
      </c>
      <c r="H71" s="31">
        <v>187</v>
      </c>
      <c r="I71" s="32">
        <v>40</v>
      </c>
      <c r="J71" s="31">
        <v>4</v>
      </c>
      <c r="K71" s="44">
        <v>450</v>
      </c>
      <c r="L71" s="31" t="s">
        <v>180</v>
      </c>
      <c r="M71" s="33" t="s">
        <v>180</v>
      </c>
      <c r="N71" s="10" t="s">
        <v>61</v>
      </c>
      <c r="O71" s="11"/>
      <c r="P71" s="11"/>
    </row>
    <row r="72" spans="1:16" x14ac:dyDescent="0.3">
      <c r="A72" s="9" t="s">
        <v>156</v>
      </c>
      <c r="B72" s="62">
        <f t="shared" si="48"/>
        <v>7761</v>
      </c>
      <c r="C72" s="31">
        <v>1324</v>
      </c>
      <c r="D72" s="55">
        <f t="shared" si="49"/>
        <v>4872</v>
      </c>
      <c r="E72" s="56">
        <f t="shared" si="50"/>
        <v>1565</v>
      </c>
      <c r="F72" s="31">
        <v>1091</v>
      </c>
      <c r="G72" s="32">
        <v>1178</v>
      </c>
      <c r="H72" s="31">
        <v>300</v>
      </c>
      <c r="I72" s="32">
        <v>387</v>
      </c>
      <c r="J72" s="31">
        <v>244</v>
      </c>
      <c r="K72" s="44">
        <v>3237</v>
      </c>
      <c r="L72" s="31" t="s">
        <v>180</v>
      </c>
      <c r="M72" s="33" t="s">
        <v>180</v>
      </c>
      <c r="N72" s="10" t="s">
        <v>62</v>
      </c>
      <c r="O72" s="11"/>
      <c r="P72" s="11"/>
    </row>
    <row r="73" spans="1:16" x14ac:dyDescent="0.3">
      <c r="A73" s="9" t="s">
        <v>157</v>
      </c>
      <c r="B73" s="62">
        <f t="shared" si="48"/>
        <v>2838</v>
      </c>
      <c r="C73" s="31">
        <v>277</v>
      </c>
      <c r="D73" s="55">
        <f t="shared" si="49"/>
        <v>1970</v>
      </c>
      <c r="E73" s="56">
        <f t="shared" si="50"/>
        <v>591</v>
      </c>
      <c r="F73" s="31">
        <v>313</v>
      </c>
      <c r="G73" s="32">
        <v>349</v>
      </c>
      <c r="H73" s="31">
        <v>97</v>
      </c>
      <c r="I73" s="32">
        <v>242</v>
      </c>
      <c r="J73" s="31">
        <v>122</v>
      </c>
      <c r="K73" s="44">
        <v>1438</v>
      </c>
      <c r="L73" s="31" t="s">
        <v>180</v>
      </c>
      <c r="M73" s="33" t="s">
        <v>180</v>
      </c>
      <c r="N73" s="10" t="s">
        <v>63</v>
      </c>
      <c r="O73" s="11"/>
      <c r="P73" s="11"/>
    </row>
    <row r="74" spans="1:16" ht="10.65" customHeight="1" x14ac:dyDescent="0.3">
      <c r="A74" s="67" t="s">
        <v>64</v>
      </c>
      <c r="B74" s="79">
        <f t="shared" ref="B74:C74" si="51">SUM(B76:B83)</f>
        <v>2212</v>
      </c>
      <c r="C74" s="65">
        <f t="shared" si="51"/>
        <v>64</v>
      </c>
      <c r="D74" s="65">
        <f>SUM(D76:D83)</f>
        <v>1941</v>
      </c>
      <c r="E74" s="68">
        <f>SUM(E76:E83)</f>
        <v>207</v>
      </c>
      <c r="F74" s="65">
        <f t="shared" ref="F74" si="52">SUM(F76:F83)</f>
        <v>184</v>
      </c>
      <c r="G74" s="65">
        <f t="shared" ref="G74:M74" si="53">SUM(G76:G83)</f>
        <v>102</v>
      </c>
      <c r="H74" s="65">
        <f t="shared" si="53"/>
        <v>1555</v>
      </c>
      <c r="I74" s="65">
        <f t="shared" si="53"/>
        <v>105</v>
      </c>
      <c r="J74" s="65">
        <f t="shared" si="53"/>
        <v>2</v>
      </c>
      <c r="K74" s="65">
        <f t="shared" si="53"/>
        <v>200</v>
      </c>
      <c r="L74" s="65">
        <f t="shared" si="53"/>
        <v>0</v>
      </c>
      <c r="M74" s="78">
        <f t="shared" si="53"/>
        <v>0</v>
      </c>
      <c r="N74" s="77" t="s">
        <v>65</v>
      </c>
      <c r="O74" s="77"/>
      <c r="P74" s="77"/>
    </row>
    <row r="75" spans="1:16" ht="12.6" customHeight="1" x14ac:dyDescent="0.3">
      <c r="A75" s="67"/>
      <c r="B75" s="79"/>
      <c r="C75" s="65"/>
      <c r="D75" s="65"/>
      <c r="E75" s="68"/>
      <c r="F75" s="65"/>
      <c r="G75" s="65"/>
      <c r="H75" s="65"/>
      <c r="I75" s="65"/>
      <c r="J75" s="65"/>
      <c r="K75" s="65"/>
      <c r="L75" s="65"/>
      <c r="M75" s="78"/>
      <c r="N75" s="77"/>
      <c r="O75" s="77"/>
      <c r="P75" s="77"/>
    </row>
    <row r="76" spans="1:16" x14ac:dyDescent="0.3">
      <c r="A76" s="14" t="s">
        <v>106</v>
      </c>
      <c r="B76" s="62">
        <f t="shared" ref="B76:B83" si="54">SUM(C76:E76)</f>
        <v>0</v>
      </c>
      <c r="C76" s="31" t="s">
        <v>180</v>
      </c>
      <c r="D76" s="55">
        <f t="shared" ref="D76:D83" si="55">SUM(F76,H76,J76,K76,L76)</f>
        <v>0</v>
      </c>
      <c r="E76" s="56">
        <f t="shared" ref="E76:E83" si="56">SUM(G76,I76,M76)</f>
        <v>0</v>
      </c>
      <c r="F76" s="31" t="s">
        <v>180</v>
      </c>
      <c r="G76" s="32" t="s">
        <v>180</v>
      </c>
      <c r="H76" s="31" t="s">
        <v>180</v>
      </c>
      <c r="I76" s="32" t="s">
        <v>180</v>
      </c>
      <c r="J76" s="31" t="s">
        <v>180</v>
      </c>
      <c r="K76" s="44" t="s">
        <v>180</v>
      </c>
      <c r="L76" s="31" t="s">
        <v>180</v>
      </c>
      <c r="M76" s="33" t="s">
        <v>180</v>
      </c>
      <c r="N76" s="10" t="s">
        <v>66</v>
      </c>
      <c r="O76" s="11"/>
      <c r="P76" s="11"/>
    </row>
    <row r="77" spans="1:16" x14ac:dyDescent="0.3">
      <c r="A77" s="14" t="s">
        <v>107</v>
      </c>
      <c r="B77" s="62">
        <f t="shared" si="54"/>
        <v>0</v>
      </c>
      <c r="C77" s="31" t="s">
        <v>180</v>
      </c>
      <c r="D77" s="55">
        <f t="shared" si="55"/>
        <v>0</v>
      </c>
      <c r="E77" s="56">
        <f t="shared" si="56"/>
        <v>0</v>
      </c>
      <c r="F77" s="31" t="s">
        <v>180</v>
      </c>
      <c r="G77" s="32" t="s">
        <v>180</v>
      </c>
      <c r="H77" s="31" t="s">
        <v>180</v>
      </c>
      <c r="I77" s="32" t="s">
        <v>180</v>
      </c>
      <c r="J77" s="31" t="s">
        <v>180</v>
      </c>
      <c r="K77" s="44" t="s">
        <v>180</v>
      </c>
      <c r="L77" s="31" t="s">
        <v>180</v>
      </c>
      <c r="M77" s="33" t="s">
        <v>180</v>
      </c>
      <c r="N77" s="10" t="s">
        <v>67</v>
      </c>
      <c r="O77" s="11"/>
      <c r="P77" s="11"/>
    </row>
    <row r="78" spans="1:16" x14ac:dyDescent="0.3">
      <c r="A78" s="14" t="s">
        <v>108</v>
      </c>
      <c r="B78" s="62">
        <f t="shared" si="54"/>
        <v>0</v>
      </c>
      <c r="C78" s="31" t="s">
        <v>180</v>
      </c>
      <c r="D78" s="55">
        <f t="shared" si="55"/>
        <v>0</v>
      </c>
      <c r="E78" s="56">
        <f t="shared" si="56"/>
        <v>0</v>
      </c>
      <c r="F78" s="31" t="s">
        <v>180</v>
      </c>
      <c r="G78" s="32" t="s">
        <v>180</v>
      </c>
      <c r="H78" s="31" t="s">
        <v>180</v>
      </c>
      <c r="I78" s="32" t="s">
        <v>180</v>
      </c>
      <c r="J78" s="31" t="s">
        <v>180</v>
      </c>
      <c r="K78" s="44" t="s">
        <v>180</v>
      </c>
      <c r="L78" s="31" t="s">
        <v>180</v>
      </c>
      <c r="M78" s="33" t="s">
        <v>180</v>
      </c>
      <c r="N78" s="10" t="s">
        <v>68</v>
      </c>
      <c r="O78" s="11"/>
      <c r="P78" s="11"/>
    </row>
    <row r="79" spans="1:16" x14ac:dyDescent="0.3">
      <c r="A79" s="14" t="s">
        <v>109</v>
      </c>
      <c r="B79" s="62">
        <f t="shared" si="54"/>
        <v>0</v>
      </c>
      <c r="C79" s="31" t="s">
        <v>180</v>
      </c>
      <c r="D79" s="55">
        <f t="shared" si="55"/>
        <v>0</v>
      </c>
      <c r="E79" s="56">
        <f t="shared" si="56"/>
        <v>0</v>
      </c>
      <c r="F79" s="31" t="s">
        <v>180</v>
      </c>
      <c r="G79" s="32" t="s">
        <v>180</v>
      </c>
      <c r="H79" s="31" t="s">
        <v>180</v>
      </c>
      <c r="I79" s="32" t="s">
        <v>180</v>
      </c>
      <c r="J79" s="31" t="s">
        <v>180</v>
      </c>
      <c r="K79" s="44" t="s">
        <v>180</v>
      </c>
      <c r="L79" s="31" t="s">
        <v>180</v>
      </c>
      <c r="M79" s="33" t="s">
        <v>180</v>
      </c>
      <c r="N79" s="10" t="s">
        <v>69</v>
      </c>
      <c r="O79" s="11"/>
      <c r="P79" s="11"/>
    </row>
    <row r="80" spans="1:16" x14ac:dyDescent="0.3">
      <c r="A80" s="14" t="s">
        <v>110</v>
      </c>
      <c r="B80" s="62">
        <f t="shared" si="54"/>
        <v>157</v>
      </c>
      <c r="C80" s="31">
        <v>7</v>
      </c>
      <c r="D80" s="55">
        <f t="shared" si="55"/>
        <v>127</v>
      </c>
      <c r="E80" s="56">
        <f t="shared" si="56"/>
        <v>23</v>
      </c>
      <c r="F80" s="31">
        <v>21</v>
      </c>
      <c r="G80" s="32">
        <v>17</v>
      </c>
      <c r="H80" s="31">
        <v>24</v>
      </c>
      <c r="I80" s="32">
        <v>6</v>
      </c>
      <c r="J80" s="31">
        <v>2</v>
      </c>
      <c r="K80" s="45">
        <v>80</v>
      </c>
      <c r="L80" s="31" t="s">
        <v>180</v>
      </c>
      <c r="M80" s="33" t="s">
        <v>180</v>
      </c>
      <c r="N80" s="10" t="s">
        <v>70</v>
      </c>
      <c r="O80" s="11"/>
      <c r="P80" s="11"/>
    </row>
    <row r="81" spans="1:16" x14ac:dyDescent="0.3">
      <c r="A81" s="14" t="s">
        <v>111</v>
      </c>
      <c r="B81" s="62">
        <f t="shared" si="54"/>
        <v>1298</v>
      </c>
      <c r="C81" s="31">
        <v>32</v>
      </c>
      <c r="D81" s="55">
        <f t="shared" si="55"/>
        <v>1128</v>
      </c>
      <c r="E81" s="56">
        <f t="shared" si="56"/>
        <v>138</v>
      </c>
      <c r="F81" s="31">
        <v>108</v>
      </c>
      <c r="G81" s="32">
        <v>80</v>
      </c>
      <c r="H81" s="31">
        <v>966</v>
      </c>
      <c r="I81" s="32">
        <v>58</v>
      </c>
      <c r="J81" s="31" t="s">
        <v>180</v>
      </c>
      <c r="K81" s="44">
        <v>54</v>
      </c>
      <c r="L81" s="31" t="s">
        <v>180</v>
      </c>
      <c r="M81" s="33" t="s">
        <v>180</v>
      </c>
      <c r="N81" s="10" t="s">
        <v>71</v>
      </c>
      <c r="O81" s="11"/>
      <c r="P81" s="11"/>
    </row>
    <row r="82" spans="1:16" x14ac:dyDescent="0.3">
      <c r="A82" s="14" t="s">
        <v>112</v>
      </c>
      <c r="B82" s="62">
        <f t="shared" si="54"/>
        <v>0</v>
      </c>
      <c r="C82" s="31" t="s">
        <v>180</v>
      </c>
      <c r="D82" s="55">
        <f t="shared" si="55"/>
        <v>0</v>
      </c>
      <c r="E82" s="56">
        <f t="shared" si="56"/>
        <v>0</v>
      </c>
      <c r="F82" s="31" t="s">
        <v>180</v>
      </c>
      <c r="G82" s="32" t="s">
        <v>180</v>
      </c>
      <c r="H82" s="31" t="s">
        <v>180</v>
      </c>
      <c r="I82" s="32" t="s">
        <v>180</v>
      </c>
      <c r="J82" s="31" t="s">
        <v>180</v>
      </c>
      <c r="K82" s="44" t="s">
        <v>180</v>
      </c>
      <c r="L82" s="31" t="s">
        <v>180</v>
      </c>
      <c r="M82" s="33" t="s">
        <v>180</v>
      </c>
      <c r="N82" s="10" t="s">
        <v>72</v>
      </c>
      <c r="O82" s="11"/>
      <c r="P82" s="11"/>
    </row>
    <row r="83" spans="1:16" x14ac:dyDescent="0.3">
      <c r="A83" s="14" t="s">
        <v>113</v>
      </c>
      <c r="B83" s="62">
        <f t="shared" si="54"/>
        <v>757</v>
      </c>
      <c r="C83" s="31">
        <v>25</v>
      </c>
      <c r="D83" s="55">
        <f t="shared" si="55"/>
        <v>686</v>
      </c>
      <c r="E83" s="56">
        <f t="shared" si="56"/>
        <v>46</v>
      </c>
      <c r="F83" s="31">
        <v>55</v>
      </c>
      <c r="G83" s="32">
        <v>5</v>
      </c>
      <c r="H83" s="31">
        <v>565</v>
      </c>
      <c r="I83" s="32">
        <v>41</v>
      </c>
      <c r="J83" s="31" t="s">
        <v>180</v>
      </c>
      <c r="K83" s="44">
        <v>66</v>
      </c>
      <c r="L83" s="31" t="s">
        <v>180</v>
      </c>
      <c r="M83" s="33" t="s">
        <v>180</v>
      </c>
      <c r="N83" s="10" t="s">
        <v>73</v>
      </c>
      <c r="O83" s="11"/>
      <c r="P83" s="11"/>
    </row>
    <row r="84" spans="1:16" x14ac:dyDescent="0.3">
      <c r="A84" s="67" t="s">
        <v>74</v>
      </c>
      <c r="B84" s="79">
        <f t="shared" ref="B84:C84" si="57">SUM(B86:B90)</f>
        <v>4759</v>
      </c>
      <c r="C84" s="65">
        <f t="shared" si="57"/>
        <v>900</v>
      </c>
      <c r="D84" s="65">
        <f>SUM(D86:D90)</f>
        <v>3084</v>
      </c>
      <c r="E84" s="68">
        <f>SUM(E86:E90)</f>
        <v>775</v>
      </c>
      <c r="F84" s="65">
        <f t="shared" ref="F84" si="58">SUM(F86:F90)</f>
        <v>517</v>
      </c>
      <c r="G84" s="65">
        <f t="shared" ref="G84:M84" si="59">SUM(G86:G90)</f>
        <v>509</v>
      </c>
      <c r="H84" s="65">
        <f t="shared" si="59"/>
        <v>734</v>
      </c>
      <c r="I84" s="65">
        <f t="shared" si="59"/>
        <v>266</v>
      </c>
      <c r="J84" s="65">
        <f t="shared" si="59"/>
        <v>465</v>
      </c>
      <c r="K84" s="65">
        <f t="shared" si="59"/>
        <v>1368</v>
      </c>
      <c r="L84" s="65">
        <f t="shared" si="59"/>
        <v>0</v>
      </c>
      <c r="M84" s="78">
        <f t="shared" si="59"/>
        <v>0</v>
      </c>
      <c r="N84" s="77" t="s">
        <v>75</v>
      </c>
      <c r="O84" s="77"/>
      <c r="P84" s="77"/>
    </row>
    <row r="85" spans="1:16" x14ac:dyDescent="0.3">
      <c r="A85" s="67"/>
      <c r="B85" s="79"/>
      <c r="C85" s="65"/>
      <c r="D85" s="65"/>
      <c r="E85" s="68"/>
      <c r="F85" s="65"/>
      <c r="G85" s="65"/>
      <c r="H85" s="65"/>
      <c r="I85" s="65"/>
      <c r="J85" s="65"/>
      <c r="K85" s="65"/>
      <c r="L85" s="65"/>
      <c r="M85" s="78"/>
      <c r="N85" s="77"/>
      <c r="O85" s="77"/>
      <c r="P85" s="77"/>
    </row>
    <row r="86" spans="1:16" x14ac:dyDescent="0.3">
      <c r="A86" s="9" t="s">
        <v>158</v>
      </c>
      <c r="B86" s="62">
        <f t="shared" ref="B86:B90" si="60">SUM(C86:E86)</f>
        <v>2406</v>
      </c>
      <c r="C86" s="31">
        <v>487</v>
      </c>
      <c r="D86" s="55">
        <f t="shared" ref="D86:D90" si="61">SUM(F86,H86,J86,K86,L86)</f>
        <v>1415</v>
      </c>
      <c r="E86" s="56">
        <f t="shared" ref="E86:E90" si="62">SUM(G86,I86,M86)</f>
        <v>504</v>
      </c>
      <c r="F86" s="31">
        <v>300</v>
      </c>
      <c r="G86" s="32">
        <v>293</v>
      </c>
      <c r="H86" s="31">
        <v>3</v>
      </c>
      <c r="I86" s="32">
        <v>211</v>
      </c>
      <c r="J86" s="31">
        <v>266</v>
      </c>
      <c r="K86" s="44">
        <v>846</v>
      </c>
      <c r="L86" s="31" t="s">
        <v>180</v>
      </c>
      <c r="M86" s="33" t="s">
        <v>180</v>
      </c>
      <c r="N86" s="10" t="s">
        <v>76</v>
      </c>
      <c r="O86" s="11"/>
      <c r="P86" s="11"/>
    </row>
    <row r="87" spans="1:16" x14ac:dyDescent="0.3">
      <c r="A87" s="9" t="s">
        <v>159</v>
      </c>
      <c r="B87" s="62">
        <f t="shared" si="60"/>
        <v>142</v>
      </c>
      <c r="C87" s="31">
        <v>19</v>
      </c>
      <c r="D87" s="55">
        <f t="shared" si="61"/>
        <v>98</v>
      </c>
      <c r="E87" s="56">
        <f t="shared" si="62"/>
        <v>25</v>
      </c>
      <c r="F87" s="31">
        <v>22</v>
      </c>
      <c r="G87" s="32">
        <v>19</v>
      </c>
      <c r="H87" s="31">
        <v>17</v>
      </c>
      <c r="I87" s="32">
        <v>6</v>
      </c>
      <c r="J87" s="31" t="s">
        <v>180</v>
      </c>
      <c r="K87" s="44">
        <v>59</v>
      </c>
      <c r="L87" s="31" t="s">
        <v>180</v>
      </c>
      <c r="M87" s="33" t="s">
        <v>180</v>
      </c>
      <c r="N87" s="10" t="s">
        <v>77</v>
      </c>
      <c r="O87" s="11"/>
      <c r="P87" s="11"/>
    </row>
    <row r="88" spans="1:16" x14ac:dyDescent="0.3">
      <c r="A88" s="9" t="s">
        <v>160</v>
      </c>
      <c r="B88" s="62">
        <f t="shared" si="60"/>
        <v>836</v>
      </c>
      <c r="C88" s="31">
        <v>162</v>
      </c>
      <c r="D88" s="55">
        <f t="shared" si="61"/>
        <v>538</v>
      </c>
      <c r="E88" s="56">
        <f t="shared" si="62"/>
        <v>136</v>
      </c>
      <c r="F88" s="31">
        <v>124</v>
      </c>
      <c r="G88" s="32">
        <v>110</v>
      </c>
      <c r="H88" s="31">
        <v>46</v>
      </c>
      <c r="I88" s="32">
        <v>26</v>
      </c>
      <c r="J88" s="31" t="s">
        <v>180</v>
      </c>
      <c r="K88" s="44">
        <v>368</v>
      </c>
      <c r="L88" s="31" t="s">
        <v>180</v>
      </c>
      <c r="M88" s="33" t="s">
        <v>180</v>
      </c>
      <c r="N88" s="10" t="s">
        <v>78</v>
      </c>
      <c r="O88" s="11"/>
      <c r="P88" s="11"/>
    </row>
    <row r="89" spans="1:16" x14ac:dyDescent="0.3">
      <c r="A89" s="9" t="s">
        <v>161</v>
      </c>
      <c r="B89" s="62">
        <f t="shared" si="60"/>
        <v>38</v>
      </c>
      <c r="C89" s="31">
        <v>4</v>
      </c>
      <c r="D89" s="55">
        <f t="shared" si="61"/>
        <v>30</v>
      </c>
      <c r="E89" s="56">
        <f t="shared" si="62"/>
        <v>4</v>
      </c>
      <c r="F89" s="31">
        <v>1</v>
      </c>
      <c r="G89" s="32">
        <v>1</v>
      </c>
      <c r="H89" s="31">
        <v>12</v>
      </c>
      <c r="I89" s="32">
        <v>3</v>
      </c>
      <c r="J89" s="31" t="s">
        <v>180</v>
      </c>
      <c r="K89" s="44">
        <v>17</v>
      </c>
      <c r="L89" s="31" t="s">
        <v>180</v>
      </c>
      <c r="M89" s="33" t="s">
        <v>180</v>
      </c>
      <c r="N89" s="10" t="s">
        <v>79</v>
      </c>
      <c r="O89" s="11"/>
      <c r="P89" s="11"/>
    </row>
    <row r="90" spans="1:16" x14ac:dyDescent="0.3">
      <c r="A90" s="9" t="s">
        <v>162</v>
      </c>
      <c r="B90" s="62">
        <f t="shared" si="60"/>
        <v>1337</v>
      </c>
      <c r="C90" s="31">
        <v>228</v>
      </c>
      <c r="D90" s="55">
        <f t="shared" si="61"/>
        <v>1003</v>
      </c>
      <c r="E90" s="56">
        <f t="shared" si="62"/>
        <v>106</v>
      </c>
      <c r="F90" s="31">
        <v>70</v>
      </c>
      <c r="G90" s="32">
        <v>86</v>
      </c>
      <c r="H90" s="31">
        <v>656</v>
      </c>
      <c r="I90" s="32">
        <v>20</v>
      </c>
      <c r="J90" s="31">
        <v>199</v>
      </c>
      <c r="K90" s="44">
        <v>78</v>
      </c>
      <c r="L90" s="31" t="s">
        <v>180</v>
      </c>
      <c r="M90" s="33" t="s">
        <v>180</v>
      </c>
      <c r="N90" s="10" t="s">
        <v>80</v>
      </c>
      <c r="O90" s="11"/>
      <c r="P90" s="11"/>
    </row>
    <row r="91" spans="1:16" x14ac:dyDescent="0.3">
      <c r="A91" s="67" t="s">
        <v>81</v>
      </c>
      <c r="B91" s="79">
        <f t="shared" ref="B91:C91" si="63">SUM(B93:B105)</f>
        <v>10456</v>
      </c>
      <c r="C91" s="65">
        <f t="shared" si="63"/>
        <v>1057</v>
      </c>
      <c r="D91" s="65">
        <f>SUM(D93:D105)</f>
        <v>7750</v>
      </c>
      <c r="E91" s="68">
        <f>SUM(E93:E105)</f>
        <v>1649</v>
      </c>
      <c r="F91" s="65">
        <f t="shared" ref="F91" si="64">SUM(F93:F105)</f>
        <v>1464</v>
      </c>
      <c r="G91" s="65">
        <f t="shared" ref="G91:M91" si="65">SUM(G93:G105)</f>
        <v>1191</v>
      </c>
      <c r="H91" s="65">
        <f t="shared" si="65"/>
        <v>4067</v>
      </c>
      <c r="I91" s="65">
        <f t="shared" si="65"/>
        <v>458</v>
      </c>
      <c r="J91" s="65">
        <f t="shared" si="65"/>
        <v>46</v>
      </c>
      <c r="K91" s="65">
        <f t="shared" si="65"/>
        <v>2173</v>
      </c>
      <c r="L91" s="65">
        <f t="shared" si="65"/>
        <v>0</v>
      </c>
      <c r="M91" s="78">
        <f t="shared" si="65"/>
        <v>0</v>
      </c>
      <c r="N91" s="77" t="s">
        <v>82</v>
      </c>
      <c r="O91" s="77"/>
      <c r="P91" s="77"/>
    </row>
    <row r="92" spans="1:16" x14ac:dyDescent="0.3">
      <c r="A92" s="67"/>
      <c r="B92" s="79"/>
      <c r="C92" s="65"/>
      <c r="D92" s="65"/>
      <c r="E92" s="68"/>
      <c r="F92" s="65"/>
      <c r="G92" s="65"/>
      <c r="H92" s="65"/>
      <c r="I92" s="65"/>
      <c r="J92" s="65"/>
      <c r="K92" s="65"/>
      <c r="L92" s="65"/>
      <c r="M92" s="78"/>
      <c r="N92" s="77"/>
      <c r="O92" s="77"/>
      <c r="P92" s="77"/>
    </row>
    <row r="93" spans="1:16" x14ac:dyDescent="0.3">
      <c r="A93" s="9" t="s">
        <v>163</v>
      </c>
      <c r="B93" s="62">
        <f t="shared" ref="B93:B105" si="66">SUM(C93:E93)</f>
        <v>406</v>
      </c>
      <c r="C93" s="31">
        <v>15</v>
      </c>
      <c r="D93" s="55">
        <f t="shared" ref="D93:D105" si="67">SUM(F93,H93,J93,K93,L93)</f>
        <v>299</v>
      </c>
      <c r="E93" s="56">
        <f t="shared" ref="E93:E105" si="68">SUM(G93,I93,M93)</f>
        <v>92</v>
      </c>
      <c r="F93" s="31">
        <v>84</v>
      </c>
      <c r="G93" s="32">
        <v>68</v>
      </c>
      <c r="H93" s="31">
        <v>51</v>
      </c>
      <c r="I93" s="36">
        <v>24</v>
      </c>
      <c r="J93" s="31" t="s">
        <v>180</v>
      </c>
      <c r="K93" s="45">
        <v>164</v>
      </c>
      <c r="L93" s="31" t="s">
        <v>180</v>
      </c>
      <c r="M93" s="33" t="s">
        <v>180</v>
      </c>
      <c r="N93" s="10" t="s">
        <v>83</v>
      </c>
      <c r="O93" s="11"/>
      <c r="P93" s="11"/>
    </row>
    <row r="94" spans="1:16" x14ac:dyDescent="0.3">
      <c r="A94" s="9" t="s">
        <v>164</v>
      </c>
      <c r="B94" s="62">
        <f t="shared" si="66"/>
        <v>501</v>
      </c>
      <c r="C94" s="31">
        <v>149</v>
      </c>
      <c r="D94" s="55">
        <f t="shared" si="67"/>
        <v>328</v>
      </c>
      <c r="E94" s="56">
        <f t="shared" si="68"/>
        <v>24</v>
      </c>
      <c r="F94" s="31">
        <v>37</v>
      </c>
      <c r="G94" s="32">
        <v>21</v>
      </c>
      <c r="H94" s="31">
        <v>284</v>
      </c>
      <c r="I94" s="32">
        <v>3</v>
      </c>
      <c r="J94" s="31" t="s">
        <v>180</v>
      </c>
      <c r="K94" s="44">
        <v>7</v>
      </c>
      <c r="L94" s="31" t="s">
        <v>180</v>
      </c>
      <c r="M94" s="33" t="s">
        <v>180</v>
      </c>
      <c r="N94" s="10" t="s">
        <v>84</v>
      </c>
      <c r="O94" s="11"/>
      <c r="P94" s="11"/>
    </row>
    <row r="95" spans="1:16" x14ac:dyDescent="0.3">
      <c r="A95" s="9" t="s">
        <v>165</v>
      </c>
      <c r="B95" s="62">
        <f t="shared" si="66"/>
        <v>244</v>
      </c>
      <c r="C95" s="31">
        <v>33</v>
      </c>
      <c r="D95" s="55">
        <f t="shared" si="67"/>
        <v>172</v>
      </c>
      <c r="E95" s="56">
        <f t="shared" si="68"/>
        <v>39</v>
      </c>
      <c r="F95" s="31">
        <v>35</v>
      </c>
      <c r="G95" s="32">
        <v>28</v>
      </c>
      <c r="H95" s="31">
        <v>92</v>
      </c>
      <c r="I95" s="32">
        <v>11</v>
      </c>
      <c r="J95" s="31">
        <v>8</v>
      </c>
      <c r="K95" s="44">
        <v>37</v>
      </c>
      <c r="L95" s="31" t="s">
        <v>180</v>
      </c>
      <c r="M95" s="33" t="s">
        <v>180</v>
      </c>
      <c r="N95" s="10" t="s">
        <v>85</v>
      </c>
      <c r="O95" s="11"/>
      <c r="P95" s="11"/>
    </row>
    <row r="96" spans="1:16" x14ac:dyDescent="0.3">
      <c r="A96" s="9" t="s">
        <v>166</v>
      </c>
      <c r="B96" s="62">
        <f t="shared" si="66"/>
        <v>432</v>
      </c>
      <c r="C96" s="31">
        <v>13</v>
      </c>
      <c r="D96" s="55">
        <f t="shared" si="67"/>
        <v>320</v>
      </c>
      <c r="E96" s="56">
        <f t="shared" si="68"/>
        <v>99</v>
      </c>
      <c r="F96" s="31">
        <v>29</v>
      </c>
      <c r="G96" s="32">
        <v>35</v>
      </c>
      <c r="H96" s="31">
        <v>271</v>
      </c>
      <c r="I96" s="32">
        <v>64</v>
      </c>
      <c r="J96" s="31" t="s">
        <v>180</v>
      </c>
      <c r="K96" s="44">
        <v>20</v>
      </c>
      <c r="L96" s="31" t="s">
        <v>180</v>
      </c>
      <c r="M96" s="33" t="s">
        <v>180</v>
      </c>
      <c r="N96" s="10" t="s">
        <v>86</v>
      </c>
      <c r="O96" s="11"/>
      <c r="P96" s="11"/>
    </row>
    <row r="97" spans="1:16" x14ac:dyDescent="0.3">
      <c r="A97" s="9" t="s">
        <v>167</v>
      </c>
      <c r="B97" s="62">
        <f t="shared" si="66"/>
        <v>0</v>
      </c>
      <c r="C97" s="31" t="s">
        <v>180</v>
      </c>
      <c r="D97" s="55">
        <f t="shared" si="67"/>
        <v>0</v>
      </c>
      <c r="E97" s="56">
        <f t="shared" si="68"/>
        <v>0</v>
      </c>
      <c r="F97" s="35" t="s">
        <v>180</v>
      </c>
      <c r="G97" s="36" t="s">
        <v>180</v>
      </c>
      <c r="H97" s="35" t="s">
        <v>180</v>
      </c>
      <c r="I97" s="32" t="s">
        <v>180</v>
      </c>
      <c r="J97" s="35" t="s">
        <v>180</v>
      </c>
      <c r="K97" s="44" t="s">
        <v>180</v>
      </c>
      <c r="L97" s="35" t="s">
        <v>180</v>
      </c>
      <c r="M97" s="33" t="s">
        <v>180</v>
      </c>
      <c r="N97" s="10" t="s">
        <v>87</v>
      </c>
      <c r="O97" s="11"/>
      <c r="P97" s="11"/>
    </row>
    <row r="98" spans="1:16" x14ac:dyDescent="0.3">
      <c r="A98" s="9" t="s">
        <v>168</v>
      </c>
      <c r="B98" s="62">
        <f t="shared" si="66"/>
        <v>436</v>
      </c>
      <c r="C98" s="31">
        <v>19</v>
      </c>
      <c r="D98" s="55">
        <f t="shared" si="67"/>
        <v>321</v>
      </c>
      <c r="E98" s="56">
        <f t="shared" si="68"/>
        <v>96</v>
      </c>
      <c r="F98" s="31">
        <v>77</v>
      </c>
      <c r="G98" s="32">
        <v>69</v>
      </c>
      <c r="H98" s="31">
        <v>13</v>
      </c>
      <c r="I98" s="32">
        <v>27</v>
      </c>
      <c r="J98" s="31" t="s">
        <v>180</v>
      </c>
      <c r="K98" s="44">
        <v>231</v>
      </c>
      <c r="L98" s="31" t="s">
        <v>180</v>
      </c>
      <c r="M98" s="33" t="s">
        <v>180</v>
      </c>
      <c r="N98" s="10" t="s">
        <v>88</v>
      </c>
      <c r="O98" s="11"/>
      <c r="P98" s="11"/>
    </row>
    <row r="99" spans="1:16" x14ac:dyDescent="0.3">
      <c r="A99" s="9" t="s">
        <v>169</v>
      </c>
      <c r="B99" s="62">
        <f t="shared" si="66"/>
        <v>1749</v>
      </c>
      <c r="C99" s="31">
        <v>327</v>
      </c>
      <c r="D99" s="55">
        <f t="shared" si="67"/>
        <v>1247</v>
      </c>
      <c r="E99" s="56">
        <f t="shared" si="68"/>
        <v>175</v>
      </c>
      <c r="F99" s="31">
        <v>106</v>
      </c>
      <c r="G99" s="32">
        <v>99</v>
      </c>
      <c r="H99" s="31">
        <v>57</v>
      </c>
      <c r="I99" s="32">
        <v>76</v>
      </c>
      <c r="J99" s="31" t="s">
        <v>180</v>
      </c>
      <c r="K99" s="44">
        <v>1084</v>
      </c>
      <c r="L99" s="31" t="s">
        <v>180</v>
      </c>
      <c r="M99" s="33" t="s">
        <v>180</v>
      </c>
      <c r="N99" s="10" t="s">
        <v>89</v>
      </c>
      <c r="O99" s="11"/>
      <c r="P99" s="11"/>
    </row>
    <row r="100" spans="1:16" x14ac:dyDescent="0.3">
      <c r="A100" s="9" t="s">
        <v>170</v>
      </c>
      <c r="B100" s="62">
        <f t="shared" si="66"/>
        <v>168</v>
      </c>
      <c r="C100" s="31">
        <v>19</v>
      </c>
      <c r="D100" s="55">
        <f t="shared" si="67"/>
        <v>117</v>
      </c>
      <c r="E100" s="56">
        <f t="shared" si="68"/>
        <v>32</v>
      </c>
      <c r="F100" s="31">
        <v>25</v>
      </c>
      <c r="G100" s="32">
        <v>21</v>
      </c>
      <c r="H100" s="31">
        <v>71</v>
      </c>
      <c r="I100" s="32">
        <v>11</v>
      </c>
      <c r="J100" s="31">
        <v>2</v>
      </c>
      <c r="K100" s="44">
        <v>19</v>
      </c>
      <c r="L100" s="31" t="s">
        <v>180</v>
      </c>
      <c r="M100" s="33" t="s">
        <v>180</v>
      </c>
      <c r="N100" s="10" t="s">
        <v>90</v>
      </c>
      <c r="O100" s="11"/>
      <c r="P100" s="11"/>
    </row>
    <row r="101" spans="1:16" x14ac:dyDescent="0.3">
      <c r="A101" s="9" t="s">
        <v>171</v>
      </c>
      <c r="B101" s="62">
        <f t="shared" si="66"/>
        <v>435</v>
      </c>
      <c r="C101" s="31">
        <v>11</v>
      </c>
      <c r="D101" s="55">
        <f t="shared" si="67"/>
        <v>312</v>
      </c>
      <c r="E101" s="56">
        <f t="shared" si="68"/>
        <v>112</v>
      </c>
      <c r="F101" s="31">
        <v>53</v>
      </c>
      <c r="G101" s="32">
        <v>31</v>
      </c>
      <c r="H101" s="31">
        <v>101</v>
      </c>
      <c r="I101" s="32">
        <v>81</v>
      </c>
      <c r="J101" s="31" t="s">
        <v>180</v>
      </c>
      <c r="K101" s="44">
        <v>158</v>
      </c>
      <c r="L101" s="31" t="s">
        <v>180</v>
      </c>
      <c r="M101" s="33" t="s">
        <v>180</v>
      </c>
      <c r="N101" s="10" t="s">
        <v>91</v>
      </c>
      <c r="O101" s="11"/>
      <c r="P101" s="11"/>
    </row>
    <row r="102" spans="1:16" x14ac:dyDescent="0.3">
      <c r="A102" s="9" t="s">
        <v>172</v>
      </c>
      <c r="B102" s="62">
        <f t="shared" si="66"/>
        <v>4519</v>
      </c>
      <c r="C102" s="31">
        <v>287</v>
      </c>
      <c r="D102" s="55">
        <f t="shared" si="67"/>
        <v>3507</v>
      </c>
      <c r="E102" s="56">
        <f t="shared" si="68"/>
        <v>725</v>
      </c>
      <c r="F102" s="31">
        <v>781</v>
      </c>
      <c r="G102" s="32">
        <v>622</v>
      </c>
      <c r="H102" s="31">
        <v>2648</v>
      </c>
      <c r="I102" s="32">
        <v>103</v>
      </c>
      <c r="J102" s="31" t="s">
        <v>180</v>
      </c>
      <c r="K102" s="44">
        <v>78</v>
      </c>
      <c r="L102" s="31" t="s">
        <v>180</v>
      </c>
      <c r="M102" s="33" t="s">
        <v>180</v>
      </c>
      <c r="N102" s="10" t="s">
        <v>92</v>
      </c>
      <c r="O102" s="11"/>
      <c r="P102" s="11"/>
    </row>
    <row r="103" spans="1:16" x14ac:dyDescent="0.3">
      <c r="A103" s="9" t="s">
        <v>173</v>
      </c>
      <c r="B103" s="62">
        <f t="shared" si="66"/>
        <v>423</v>
      </c>
      <c r="C103" s="31">
        <v>37</v>
      </c>
      <c r="D103" s="55">
        <f t="shared" si="67"/>
        <v>284</v>
      </c>
      <c r="E103" s="56">
        <f t="shared" si="68"/>
        <v>102</v>
      </c>
      <c r="F103" s="31">
        <v>82</v>
      </c>
      <c r="G103" s="32">
        <v>77</v>
      </c>
      <c r="H103" s="31">
        <v>72</v>
      </c>
      <c r="I103" s="32">
        <v>25</v>
      </c>
      <c r="J103" s="31">
        <v>29</v>
      </c>
      <c r="K103" s="45">
        <v>101</v>
      </c>
      <c r="L103" s="31" t="s">
        <v>180</v>
      </c>
      <c r="M103" s="33" t="s">
        <v>180</v>
      </c>
      <c r="N103" s="10" t="s">
        <v>93</v>
      </c>
      <c r="O103" s="11"/>
      <c r="P103" s="11"/>
    </row>
    <row r="104" spans="1:16" x14ac:dyDescent="0.3">
      <c r="A104" s="9" t="s">
        <v>174</v>
      </c>
      <c r="B104" s="62">
        <f t="shared" si="66"/>
        <v>731</v>
      </c>
      <c r="C104" s="31">
        <v>133</v>
      </c>
      <c r="D104" s="55">
        <f t="shared" si="67"/>
        <v>508</v>
      </c>
      <c r="E104" s="56">
        <f t="shared" si="68"/>
        <v>90</v>
      </c>
      <c r="F104" s="31">
        <v>103</v>
      </c>
      <c r="G104" s="32">
        <v>71</v>
      </c>
      <c r="H104" s="31">
        <v>337</v>
      </c>
      <c r="I104" s="32">
        <v>19</v>
      </c>
      <c r="J104" s="31">
        <v>7</v>
      </c>
      <c r="K104" s="44">
        <v>61</v>
      </c>
      <c r="L104" s="31" t="s">
        <v>180</v>
      </c>
      <c r="M104" s="33" t="s">
        <v>180</v>
      </c>
      <c r="N104" s="10" t="s">
        <v>94</v>
      </c>
      <c r="O104" s="11"/>
      <c r="P104" s="11"/>
    </row>
    <row r="105" spans="1:16" x14ac:dyDescent="0.3">
      <c r="A105" s="9" t="s">
        <v>175</v>
      </c>
      <c r="B105" s="62">
        <f t="shared" si="66"/>
        <v>412</v>
      </c>
      <c r="C105" s="31">
        <v>14</v>
      </c>
      <c r="D105" s="55">
        <f t="shared" si="67"/>
        <v>335</v>
      </c>
      <c r="E105" s="56">
        <f t="shared" si="68"/>
        <v>63</v>
      </c>
      <c r="F105" s="31">
        <v>52</v>
      </c>
      <c r="G105" s="32">
        <v>49</v>
      </c>
      <c r="H105" s="31">
        <v>70</v>
      </c>
      <c r="I105" s="32">
        <v>14</v>
      </c>
      <c r="J105" s="31" t="s">
        <v>180</v>
      </c>
      <c r="K105" s="44">
        <v>213</v>
      </c>
      <c r="L105" s="31" t="s">
        <v>180</v>
      </c>
      <c r="M105" s="33" t="s">
        <v>180</v>
      </c>
      <c r="N105" s="10" t="s">
        <v>95</v>
      </c>
      <c r="O105" s="11"/>
      <c r="P105" s="11"/>
    </row>
    <row r="106" spans="1:16" x14ac:dyDescent="0.3">
      <c r="A106" s="67" t="s">
        <v>96</v>
      </c>
      <c r="B106" s="79">
        <f t="shared" ref="B106:C106" si="69">SUM(B108:B111)</f>
        <v>3886</v>
      </c>
      <c r="C106" s="65">
        <f t="shared" si="69"/>
        <v>284</v>
      </c>
      <c r="D106" s="65">
        <f>SUM(D108:D111)</f>
        <v>1341</v>
      </c>
      <c r="E106" s="68">
        <f>SUM(E108:E111)</f>
        <v>2261</v>
      </c>
      <c r="F106" s="65">
        <f t="shared" ref="F106" si="70">SUM(F108:F111)</f>
        <v>353</v>
      </c>
      <c r="G106" s="65">
        <f t="shared" ref="G106:M106" si="71">SUM(G108:G111)</f>
        <v>803</v>
      </c>
      <c r="H106" s="65">
        <f t="shared" si="71"/>
        <v>372</v>
      </c>
      <c r="I106" s="65">
        <f t="shared" si="71"/>
        <v>1458</v>
      </c>
      <c r="J106" s="65">
        <f t="shared" si="71"/>
        <v>49</v>
      </c>
      <c r="K106" s="65">
        <f t="shared" si="71"/>
        <v>567</v>
      </c>
      <c r="L106" s="65">
        <f t="shared" si="71"/>
        <v>0</v>
      </c>
      <c r="M106" s="78">
        <f t="shared" si="71"/>
        <v>0</v>
      </c>
      <c r="N106" s="77" t="s">
        <v>97</v>
      </c>
      <c r="O106" s="77"/>
      <c r="P106" s="77"/>
    </row>
    <row r="107" spans="1:16" x14ac:dyDescent="0.3">
      <c r="A107" s="67"/>
      <c r="B107" s="79"/>
      <c r="C107" s="65"/>
      <c r="D107" s="65"/>
      <c r="E107" s="68"/>
      <c r="F107" s="65"/>
      <c r="G107" s="65"/>
      <c r="H107" s="65"/>
      <c r="I107" s="65"/>
      <c r="J107" s="65"/>
      <c r="K107" s="65"/>
      <c r="L107" s="65"/>
      <c r="M107" s="78"/>
      <c r="N107" s="77"/>
      <c r="O107" s="77"/>
      <c r="P107" s="77"/>
    </row>
    <row r="108" spans="1:16" x14ac:dyDescent="0.3">
      <c r="A108" s="9" t="s">
        <v>176</v>
      </c>
      <c r="B108" s="62">
        <f>SUM(C108:E108)</f>
        <v>676</v>
      </c>
      <c r="C108" s="31">
        <v>45</v>
      </c>
      <c r="D108" s="55">
        <f t="shared" ref="D108:D111" si="72">SUM(F108,H108,J108,K108,L108)</f>
        <v>342</v>
      </c>
      <c r="E108" s="56">
        <f t="shared" ref="E108:E111" si="73">SUM(G108,I108,M108)</f>
        <v>289</v>
      </c>
      <c r="F108" s="31">
        <v>85</v>
      </c>
      <c r="G108" s="32">
        <v>169</v>
      </c>
      <c r="H108" s="31">
        <v>116</v>
      </c>
      <c r="I108" s="32">
        <v>120</v>
      </c>
      <c r="J108" s="31" t="s">
        <v>180</v>
      </c>
      <c r="K108" s="44">
        <v>141</v>
      </c>
      <c r="L108" s="31" t="s">
        <v>180</v>
      </c>
      <c r="M108" s="33" t="s">
        <v>180</v>
      </c>
      <c r="N108" s="10" t="s">
        <v>98</v>
      </c>
      <c r="O108" s="11"/>
      <c r="P108" s="11"/>
    </row>
    <row r="109" spans="1:16" x14ac:dyDescent="0.3">
      <c r="A109" s="9" t="s">
        <v>177</v>
      </c>
      <c r="B109" s="62">
        <f t="shared" ref="B109:B111" si="74">SUM(C109:E109)</f>
        <v>4</v>
      </c>
      <c r="C109" s="31" t="s">
        <v>180</v>
      </c>
      <c r="D109" s="55">
        <f t="shared" si="72"/>
        <v>1</v>
      </c>
      <c r="E109" s="56">
        <f t="shared" si="73"/>
        <v>3</v>
      </c>
      <c r="F109" s="35" t="s">
        <v>180</v>
      </c>
      <c r="G109" s="32" t="s">
        <v>180</v>
      </c>
      <c r="H109" s="35" t="s">
        <v>180</v>
      </c>
      <c r="I109" s="36">
        <v>3</v>
      </c>
      <c r="J109" s="35">
        <v>1</v>
      </c>
      <c r="K109" s="45" t="s">
        <v>180</v>
      </c>
      <c r="L109" s="35" t="s">
        <v>180</v>
      </c>
      <c r="M109" s="33" t="s">
        <v>180</v>
      </c>
      <c r="N109" s="10" t="s">
        <v>99</v>
      </c>
      <c r="O109" s="11"/>
      <c r="P109" s="11"/>
    </row>
    <row r="110" spans="1:16" x14ac:dyDescent="0.3">
      <c r="A110" s="9" t="s">
        <v>178</v>
      </c>
      <c r="B110" s="62">
        <f t="shared" si="74"/>
        <v>3029</v>
      </c>
      <c r="C110" s="31">
        <v>204</v>
      </c>
      <c r="D110" s="55">
        <f t="shared" si="72"/>
        <v>899</v>
      </c>
      <c r="E110" s="56">
        <f t="shared" si="73"/>
        <v>1926</v>
      </c>
      <c r="F110" s="31">
        <v>247</v>
      </c>
      <c r="G110" s="32">
        <v>605</v>
      </c>
      <c r="H110" s="31">
        <v>199</v>
      </c>
      <c r="I110" s="32">
        <v>1321</v>
      </c>
      <c r="J110" s="31">
        <v>48</v>
      </c>
      <c r="K110" s="44">
        <v>405</v>
      </c>
      <c r="L110" s="31" t="s">
        <v>180</v>
      </c>
      <c r="M110" s="33" t="s">
        <v>180</v>
      </c>
      <c r="N110" s="10" t="s">
        <v>100</v>
      </c>
      <c r="O110" s="11"/>
      <c r="P110" s="11"/>
    </row>
    <row r="111" spans="1:16" ht="15" thickBot="1" x14ac:dyDescent="0.35">
      <c r="A111" s="15" t="s">
        <v>179</v>
      </c>
      <c r="B111" s="64">
        <f t="shared" si="74"/>
        <v>177</v>
      </c>
      <c r="C111" s="37">
        <v>35</v>
      </c>
      <c r="D111" s="60">
        <f t="shared" si="72"/>
        <v>99</v>
      </c>
      <c r="E111" s="61">
        <f t="shared" si="73"/>
        <v>43</v>
      </c>
      <c r="F111" s="37">
        <v>21</v>
      </c>
      <c r="G111" s="38">
        <v>29</v>
      </c>
      <c r="H111" s="37">
        <v>57</v>
      </c>
      <c r="I111" s="38">
        <v>14</v>
      </c>
      <c r="J111" s="37" t="s">
        <v>180</v>
      </c>
      <c r="K111" s="46">
        <v>21</v>
      </c>
      <c r="L111" s="37" t="s">
        <v>180</v>
      </c>
      <c r="M111" s="39" t="s">
        <v>180</v>
      </c>
      <c r="N111" s="16" t="s">
        <v>101</v>
      </c>
      <c r="O111" s="17"/>
      <c r="P111" s="17"/>
    </row>
    <row r="112" spans="1:16" x14ac:dyDescent="0.3">
      <c r="A112" s="18"/>
      <c r="B112" s="19"/>
      <c r="C112" s="19"/>
      <c r="M112" s="2"/>
      <c r="O112" s="76"/>
      <c r="P112" s="76"/>
    </row>
    <row r="113" spans="1:16" x14ac:dyDescent="0.3">
      <c r="A113" s="19"/>
      <c r="B113" s="19"/>
      <c r="C113" s="19"/>
      <c r="M113" s="20"/>
      <c r="N113" s="19"/>
      <c r="O113" s="19"/>
      <c r="P113" s="19"/>
    </row>
    <row r="114" spans="1:16" ht="10.199999999999999" customHeight="1" x14ac:dyDescent="0.3">
      <c r="A114" s="21"/>
      <c r="B114" s="21"/>
      <c r="C114" s="21"/>
      <c r="D114" s="22"/>
      <c r="E114" s="22"/>
      <c r="F114" s="22"/>
      <c r="G114" s="22"/>
      <c r="H114" s="22"/>
      <c r="N114" s="22"/>
      <c r="O114" s="22"/>
      <c r="P114" s="22"/>
    </row>
    <row r="115" spans="1:16" ht="10.199999999999999" customHeight="1" x14ac:dyDescent="0.3">
      <c r="A115" s="21"/>
      <c r="B115" s="21"/>
      <c r="C115" s="21"/>
      <c r="D115" s="22"/>
      <c r="E115" s="22"/>
      <c r="F115" s="22"/>
      <c r="G115" s="22"/>
      <c r="H115" s="22"/>
      <c r="N115" s="22"/>
      <c r="O115" s="22"/>
      <c r="P115" s="22"/>
    </row>
    <row r="116" spans="1:16" ht="10.199999999999999" customHeight="1" x14ac:dyDescent="0.3">
      <c r="A116" s="72"/>
      <c r="B116" s="72"/>
      <c r="C116" s="72"/>
      <c r="D116" s="72"/>
      <c r="E116" s="72"/>
      <c r="F116" s="72"/>
      <c r="G116" s="72"/>
      <c r="H116" s="72"/>
      <c r="N116" s="72"/>
      <c r="O116" s="72"/>
      <c r="P116" s="72"/>
    </row>
    <row r="117" spans="1:16" x14ac:dyDescent="0.3">
      <c r="A117" s="72"/>
      <c r="B117" s="72"/>
      <c r="C117" s="72"/>
      <c r="D117" s="72"/>
      <c r="E117" s="72"/>
      <c r="F117" s="72"/>
      <c r="G117" s="72"/>
      <c r="H117" s="72"/>
      <c r="N117" s="72"/>
      <c r="O117" s="72"/>
      <c r="P117" s="72"/>
    </row>
    <row r="126" spans="1:16" x14ac:dyDescent="0.3">
      <c r="A126" s="23"/>
      <c r="B126" s="23"/>
      <c r="C126" s="23"/>
    </row>
    <row r="127" spans="1:16" x14ac:dyDescent="0.3">
      <c r="A127" s="73"/>
      <c r="B127" s="73"/>
      <c r="C127" s="73"/>
      <c r="D127" s="73"/>
      <c r="E127" s="73"/>
      <c r="F127" s="73"/>
      <c r="G127" s="73"/>
      <c r="H127" s="73"/>
      <c r="I127" s="73"/>
      <c r="J127" s="66"/>
      <c r="K127" s="66"/>
      <c r="L127" s="66"/>
      <c r="M127" s="66"/>
    </row>
    <row r="128" spans="1:16" x14ac:dyDescent="0.3">
      <c r="A128" s="73"/>
      <c r="B128" s="73"/>
      <c r="C128" s="73"/>
      <c r="D128" s="73"/>
      <c r="E128" s="73"/>
      <c r="F128" s="73"/>
      <c r="G128" s="73"/>
      <c r="H128" s="73"/>
      <c r="I128" s="73"/>
      <c r="J128" s="66"/>
      <c r="K128" s="66"/>
      <c r="L128" s="66"/>
      <c r="M128" s="66"/>
    </row>
    <row r="129" spans="1:13" x14ac:dyDescent="0.3">
      <c r="A129" s="73"/>
      <c r="B129" s="73"/>
      <c r="C129" s="73"/>
      <c r="D129" s="73"/>
      <c r="E129" s="73"/>
      <c r="F129" s="73"/>
      <c r="G129" s="73"/>
      <c r="H129" s="73"/>
      <c r="I129" s="73"/>
      <c r="J129" s="66"/>
      <c r="K129" s="66"/>
      <c r="L129" s="66"/>
      <c r="M129" s="66"/>
    </row>
    <row r="130" spans="1:13" x14ac:dyDescent="0.3">
      <c r="A130" s="23"/>
      <c r="B130" s="23"/>
      <c r="C130" s="23"/>
      <c r="I130" s="74"/>
      <c r="J130" s="74"/>
      <c r="K130" s="74"/>
      <c r="L130" s="74"/>
      <c r="M130" s="74"/>
    </row>
    <row r="131" spans="1:13" x14ac:dyDescent="0.3">
      <c r="A131" s="75"/>
      <c r="B131" s="24"/>
      <c r="C131" s="24"/>
      <c r="D131" s="75"/>
      <c r="E131" s="75"/>
      <c r="F131" s="75"/>
      <c r="G131" s="75"/>
      <c r="H131" s="75"/>
      <c r="I131" s="75"/>
      <c r="J131" s="75"/>
      <c r="K131" s="75"/>
      <c r="L131" s="75"/>
      <c r="M131" s="75"/>
    </row>
    <row r="132" spans="1:13" x14ac:dyDescent="0.3">
      <c r="A132" s="75"/>
      <c r="B132" s="24"/>
      <c r="C132" s="24"/>
      <c r="D132" s="75"/>
      <c r="E132" s="75"/>
      <c r="F132" s="75"/>
      <c r="G132" s="75"/>
      <c r="H132" s="75"/>
      <c r="I132" s="75"/>
      <c r="J132" s="75"/>
      <c r="K132" s="75"/>
      <c r="L132" s="75"/>
      <c r="M132" s="75"/>
    </row>
    <row r="133" spans="1:13" x14ac:dyDescent="0.3">
      <c r="A133" s="75"/>
      <c r="B133" s="24"/>
      <c r="C133" s="24"/>
      <c r="D133" s="75"/>
      <c r="E133" s="75"/>
      <c r="F133" s="24"/>
      <c r="G133" s="75"/>
      <c r="H133" s="75"/>
      <c r="I133" s="75"/>
      <c r="J133" s="75"/>
      <c r="K133" s="75"/>
      <c r="L133" s="75"/>
      <c r="M133" s="75"/>
    </row>
    <row r="134" spans="1:13" x14ac:dyDescent="0.3">
      <c r="A134" s="75"/>
      <c r="B134" s="24"/>
      <c r="C134" s="24"/>
      <c r="D134" s="25"/>
      <c r="E134" s="25"/>
      <c r="F134" s="25"/>
      <c r="G134" s="25"/>
      <c r="H134" s="25"/>
      <c r="I134" s="25"/>
      <c r="J134" s="25"/>
      <c r="K134" s="25"/>
      <c r="L134" s="25"/>
      <c r="M134" s="25"/>
    </row>
    <row r="135" spans="1:13" x14ac:dyDescent="0.3">
      <c r="A135" s="26"/>
      <c r="B135" s="26"/>
      <c r="C135" s="26"/>
    </row>
    <row r="136" spans="1:13" x14ac:dyDescent="0.3">
      <c r="A136" s="27"/>
      <c r="B136" s="27"/>
      <c r="C136" s="27"/>
    </row>
    <row r="137" spans="1:13" x14ac:dyDescent="0.3">
      <c r="A137" s="69"/>
      <c r="B137" s="43"/>
      <c r="C137" s="43"/>
      <c r="D137" s="71"/>
      <c r="E137" s="71"/>
      <c r="F137" s="28"/>
      <c r="G137" s="71"/>
      <c r="H137" s="71"/>
      <c r="I137" s="71"/>
      <c r="J137" s="71"/>
      <c r="K137" s="71"/>
      <c r="L137" s="71"/>
      <c r="M137" s="71"/>
    </row>
    <row r="138" spans="1:13" x14ac:dyDescent="0.3">
      <c r="A138" s="69"/>
      <c r="B138" s="43"/>
      <c r="C138" s="43"/>
      <c r="D138" s="71"/>
      <c r="E138" s="71"/>
      <c r="F138" s="28"/>
      <c r="G138" s="71"/>
      <c r="H138" s="71"/>
      <c r="I138" s="71"/>
      <c r="J138" s="71"/>
      <c r="K138" s="71"/>
      <c r="L138" s="71"/>
      <c r="M138" s="71"/>
    </row>
    <row r="139" spans="1:13" x14ac:dyDescent="0.3">
      <c r="A139" s="69"/>
      <c r="B139" s="43"/>
      <c r="C139" s="43"/>
      <c r="D139" s="71"/>
      <c r="E139" s="71"/>
      <c r="F139" s="28"/>
      <c r="G139" s="71"/>
      <c r="H139" s="71"/>
      <c r="I139" s="71"/>
      <c r="J139" s="71"/>
      <c r="K139" s="71"/>
      <c r="L139" s="71"/>
      <c r="M139" s="71"/>
    </row>
    <row r="140" spans="1:13" x14ac:dyDescent="0.3">
      <c r="A140" s="27"/>
      <c r="B140" s="27"/>
      <c r="C140" s="27"/>
      <c r="I140" s="6"/>
      <c r="J140" s="6"/>
    </row>
    <row r="141" spans="1:13" x14ac:dyDescent="0.3">
      <c r="A141" s="27"/>
      <c r="B141" s="27"/>
      <c r="C141" s="27"/>
      <c r="I141" s="6"/>
      <c r="J141" s="6"/>
    </row>
    <row r="142" spans="1:13" x14ac:dyDescent="0.3">
      <c r="A142" s="27"/>
      <c r="B142" s="27"/>
      <c r="C142" s="27"/>
      <c r="I142" s="6"/>
      <c r="J142" s="6"/>
    </row>
    <row r="143" spans="1:13" x14ac:dyDescent="0.3">
      <c r="A143" s="27"/>
      <c r="B143" s="27"/>
      <c r="C143" s="27"/>
      <c r="I143" s="6"/>
      <c r="J143" s="6"/>
    </row>
    <row r="144" spans="1:13" x14ac:dyDescent="0.3">
      <c r="A144" s="27"/>
      <c r="B144" s="27"/>
      <c r="C144" s="27"/>
      <c r="I144" s="6"/>
      <c r="J144" s="6"/>
    </row>
    <row r="145" spans="1:10" x14ac:dyDescent="0.3">
      <c r="A145" s="27"/>
      <c r="B145" s="27"/>
      <c r="C145" s="27"/>
      <c r="I145" s="6"/>
      <c r="J145" s="6"/>
    </row>
    <row r="146" spans="1:10" x14ac:dyDescent="0.3">
      <c r="A146" s="69"/>
      <c r="B146" s="43"/>
      <c r="C146" s="43"/>
    </row>
    <row r="147" spans="1:10" x14ac:dyDescent="0.3">
      <c r="A147" s="69"/>
      <c r="B147" s="43"/>
      <c r="C147" s="43"/>
    </row>
    <row r="148" spans="1:10" x14ac:dyDescent="0.3">
      <c r="A148" s="27"/>
      <c r="B148" s="27"/>
      <c r="C148" s="27"/>
      <c r="I148" s="6"/>
      <c r="J148" s="6"/>
    </row>
    <row r="149" spans="1:10" x14ac:dyDescent="0.3">
      <c r="A149" s="27"/>
      <c r="B149" s="27"/>
      <c r="C149" s="27"/>
      <c r="I149" s="6"/>
      <c r="J149" s="6"/>
    </row>
    <row r="150" spans="1:10" x14ac:dyDescent="0.3">
      <c r="A150" s="27"/>
      <c r="B150" s="27"/>
      <c r="C150" s="27"/>
      <c r="I150" s="6"/>
      <c r="J150" s="6"/>
    </row>
    <row r="151" spans="1:10" x14ac:dyDescent="0.3">
      <c r="A151" s="27"/>
      <c r="B151" s="27"/>
      <c r="C151" s="27"/>
      <c r="I151" s="6"/>
      <c r="J151" s="6"/>
    </row>
    <row r="152" spans="1:10" x14ac:dyDescent="0.3">
      <c r="A152" s="27"/>
      <c r="B152" s="27"/>
      <c r="C152" s="27"/>
      <c r="I152" s="6"/>
      <c r="J152" s="6"/>
    </row>
    <row r="153" spans="1:10" x14ac:dyDescent="0.3">
      <c r="A153" s="27"/>
      <c r="B153" s="27"/>
      <c r="C153" s="27"/>
      <c r="I153" s="6"/>
      <c r="J153" s="6"/>
    </row>
    <row r="154" spans="1:10" x14ac:dyDescent="0.3">
      <c r="A154" s="27"/>
      <c r="B154" s="27"/>
      <c r="C154" s="27"/>
      <c r="I154" s="6"/>
      <c r="J154" s="6"/>
    </row>
    <row r="155" spans="1:10" x14ac:dyDescent="0.3">
      <c r="A155" s="27"/>
      <c r="B155" s="27"/>
      <c r="C155" s="27"/>
      <c r="I155" s="6"/>
      <c r="J155" s="6"/>
    </row>
    <row r="156" spans="1:10" x14ac:dyDescent="0.3">
      <c r="A156" s="27"/>
      <c r="B156" s="27"/>
      <c r="C156" s="27"/>
      <c r="I156" s="6"/>
      <c r="J156" s="6"/>
    </row>
    <row r="157" spans="1:10" x14ac:dyDescent="0.3">
      <c r="A157" s="27"/>
      <c r="B157" s="27"/>
      <c r="C157" s="27"/>
      <c r="I157" s="6"/>
      <c r="J157" s="6"/>
    </row>
    <row r="158" spans="1:10" x14ac:dyDescent="0.3">
      <c r="A158" s="27"/>
      <c r="B158" s="27"/>
      <c r="C158" s="27"/>
      <c r="I158" s="6"/>
      <c r="J158" s="6"/>
    </row>
    <row r="159" spans="1:10" x14ac:dyDescent="0.3">
      <c r="A159" s="70"/>
      <c r="B159" s="42"/>
      <c r="C159" s="42"/>
    </row>
    <row r="160" spans="1:10" x14ac:dyDescent="0.3">
      <c r="A160" s="70"/>
      <c r="B160" s="42"/>
      <c r="C160" s="42"/>
    </row>
    <row r="161" spans="1:10" x14ac:dyDescent="0.3">
      <c r="A161" s="27"/>
      <c r="B161" s="27"/>
      <c r="C161" s="27"/>
      <c r="I161" s="6"/>
      <c r="J161" s="6"/>
    </row>
    <row r="162" spans="1:10" x14ac:dyDescent="0.3">
      <c r="A162" s="27"/>
      <c r="B162" s="27"/>
      <c r="C162" s="27"/>
      <c r="I162" s="6"/>
      <c r="J162" s="6"/>
    </row>
    <row r="163" spans="1:10" x14ac:dyDescent="0.3">
      <c r="A163" s="27"/>
      <c r="B163" s="27"/>
      <c r="C163" s="27"/>
      <c r="I163" s="6"/>
      <c r="J163" s="6"/>
    </row>
    <row r="164" spans="1:10" x14ac:dyDescent="0.3">
      <c r="A164" s="27"/>
      <c r="B164" s="27"/>
      <c r="C164" s="27"/>
      <c r="I164" s="6"/>
      <c r="J164" s="6"/>
    </row>
    <row r="165" spans="1:10" x14ac:dyDescent="0.3">
      <c r="A165" s="70"/>
      <c r="B165" s="42"/>
      <c r="C165" s="42"/>
    </row>
    <row r="166" spans="1:10" x14ac:dyDescent="0.3">
      <c r="A166" s="70"/>
      <c r="B166" s="42"/>
      <c r="C166" s="42"/>
    </row>
    <row r="167" spans="1:10" x14ac:dyDescent="0.3">
      <c r="A167" s="27"/>
      <c r="B167" s="27"/>
      <c r="C167" s="27"/>
      <c r="I167" s="6"/>
      <c r="J167" s="6"/>
    </row>
    <row r="168" spans="1:10" x14ac:dyDescent="0.3">
      <c r="A168" s="27"/>
      <c r="B168" s="27"/>
      <c r="C168" s="27"/>
      <c r="I168" s="6"/>
      <c r="J168" s="6"/>
    </row>
    <row r="169" spans="1:10" x14ac:dyDescent="0.3">
      <c r="A169" s="27"/>
      <c r="B169" s="27"/>
      <c r="C169" s="27"/>
      <c r="I169" s="6"/>
      <c r="J169" s="6"/>
    </row>
    <row r="170" spans="1:10" x14ac:dyDescent="0.3">
      <c r="A170" s="27"/>
      <c r="B170" s="27"/>
      <c r="C170" s="27"/>
      <c r="I170" s="6"/>
      <c r="J170" s="6"/>
    </row>
    <row r="171" spans="1:10" x14ac:dyDescent="0.3">
      <c r="A171" s="27"/>
      <c r="B171" s="27"/>
      <c r="C171" s="27"/>
      <c r="I171" s="6"/>
      <c r="J171" s="6"/>
    </row>
    <row r="172" spans="1:10" x14ac:dyDescent="0.3">
      <c r="A172" s="70"/>
      <c r="B172" s="42"/>
      <c r="C172" s="42"/>
    </row>
    <row r="173" spans="1:10" x14ac:dyDescent="0.3">
      <c r="A173" s="70"/>
      <c r="B173" s="42"/>
      <c r="C173" s="42"/>
    </row>
    <row r="174" spans="1:10" x14ac:dyDescent="0.3">
      <c r="A174" s="27"/>
      <c r="B174" s="27"/>
      <c r="C174" s="27"/>
      <c r="I174" s="6"/>
      <c r="J174" s="6"/>
    </row>
    <row r="175" spans="1:10" x14ac:dyDescent="0.3">
      <c r="A175" s="27"/>
      <c r="B175" s="27"/>
      <c r="C175" s="27"/>
      <c r="I175" s="6"/>
      <c r="J175" s="6"/>
    </row>
    <row r="176" spans="1:10" x14ac:dyDescent="0.3">
      <c r="A176" s="27"/>
      <c r="B176" s="27"/>
      <c r="C176" s="27"/>
      <c r="I176" s="6"/>
      <c r="J176" s="6"/>
    </row>
    <row r="177" spans="1:10" x14ac:dyDescent="0.3">
      <c r="A177" s="27"/>
      <c r="B177" s="27"/>
      <c r="C177" s="27"/>
      <c r="I177" s="6"/>
      <c r="J177" s="6"/>
    </row>
    <row r="178" spans="1:10" x14ac:dyDescent="0.3">
      <c r="A178" s="27"/>
      <c r="B178" s="27"/>
      <c r="C178" s="27"/>
      <c r="I178" s="6"/>
      <c r="J178" s="6"/>
    </row>
    <row r="179" spans="1:10" x14ac:dyDescent="0.3">
      <c r="A179" s="70"/>
      <c r="B179" s="42"/>
      <c r="C179" s="42"/>
    </row>
    <row r="180" spans="1:10" x14ac:dyDescent="0.3">
      <c r="A180" s="70"/>
      <c r="B180" s="42"/>
      <c r="C180" s="42"/>
    </row>
    <row r="181" spans="1:10" x14ac:dyDescent="0.3">
      <c r="A181" s="27"/>
      <c r="B181" s="27"/>
      <c r="C181" s="27"/>
      <c r="I181" s="6"/>
      <c r="J181" s="6"/>
    </row>
    <row r="182" spans="1:10" x14ac:dyDescent="0.3">
      <c r="A182" s="27"/>
      <c r="B182" s="27"/>
      <c r="C182" s="27"/>
      <c r="I182" s="6"/>
      <c r="J182" s="6"/>
    </row>
    <row r="183" spans="1:10" x14ac:dyDescent="0.3">
      <c r="A183" s="27"/>
      <c r="B183" s="27"/>
      <c r="C183" s="27"/>
      <c r="I183" s="6"/>
      <c r="J183" s="6"/>
    </row>
    <row r="184" spans="1:10" x14ac:dyDescent="0.3">
      <c r="A184" s="27"/>
      <c r="B184" s="27"/>
      <c r="C184" s="27"/>
      <c r="I184" s="6"/>
      <c r="J184" s="6"/>
    </row>
    <row r="185" spans="1:10" x14ac:dyDescent="0.3">
      <c r="A185" s="27"/>
      <c r="B185" s="27"/>
      <c r="C185" s="27"/>
      <c r="I185" s="6"/>
      <c r="J185" s="6"/>
    </row>
    <row r="186" spans="1:10" x14ac:dyDescent="0.3">
      <c r="A186" s="70"/>
      <c r="B186" s="42"/>
      <c r="C186" s="42"/>
    </row>
    <row r="187" spans="1:10" x14ac:dyDescent="0.3">
      <c r="A187" s="70"/>
      <c r="B187" s="42"/>
      <c r="C187" s="42"/>
    </row>
    <row r="188" spans="1:10" x14ac:dyDescent="0.3">
      <c r="A188" s="27"/>
      <c r="B188" s="27"/>
      <c r="C188" s="27"/>
      <c r="I188" s="6"/>
      <c r="J188" s="6"/>
    </row>
    <row r="189" spans="1:10" x14ac:dyDescent="0.3">
      <c r="A189" s="27"/>
      <c r="B189" s="27"/>
      <c r="C189" s="27"/>
      <c r="I189" s="6"/>
      <c r="J189" s="6"/>
    </row>
    <row r="190" spans="1:10" x14ac:dyDescent="0.3">
      <c r="A190" s="27"/>
      <c r="B190" s="27"/>
      <c r="C190" s="27"/>
      <c r="I190" s="6"/>
      <c r="J190" s="6"/>
    </row>
    <row r="191" spans="1:10" x14ac:dyDescent="0.3">
      <c r="A191" s="70"/>
      <c r="B191" s="42"/>
      <c r="C191" s="42"/>
    </row>
    <row r="192" spans="1:10" x14ac:dyDescent="0.3">
      <c r="A192" s="70"/>
      <c r="B192" s="42"/>
      <c r="C192" s="42"/>
    </row>
    <row r="193" spans="1:10" x14ac:dyDescent="0.3">
      <c r="A193" s="27"/>
      <c r="B193" s="27"/>
      <c r="C193" s="27"/>
      <c r="I193" s="6"/>
      <c r="J193" s="6"/>
    </row>
    <row r="194" spans="1:10" x14ac:dyDescent="0.3">
      <c r="A194" s="27"/>
      <c r="B194" s="27"/>
      <c r="C194" s="27"/>
      <c r="I194" s="6"/>
      <c r="J194" s="6"/>
    </row>
    <row r="195" spans="1:10" x14ac:dyDescent="0.3">
      <c r="A195" s="27"/>
      <c r="B195" s="27"/>
      <c r="C195" s="27"/>
      <c r="I195" s="6"/>
      <c r="J195" s="6"/>
    </row>
    <row r="196" spans="1:10" x14ac:dyDescent="0.3">
      <c r="A196" s="27"/>
      <c r="B196" s="27"/>
      <c r="C196" s="27"/>
      <c r="I196" s="6"/>
      <c r="J196" s="6"/>
    </row>
    <row r="197" spans="1:10" x14ac:dyDescent="0.3">
      <c r="A197" s="27"/>
      <c r="B197" s="27"/>
      <c r="C197" s="27"/>
      <c r="I197" s="6"/>
      <c r="J197" s="6"/>
    </row>
    <row r="198" spans="1:10" x14ac:dyDescent="0.3">
      <c r="A198" s="70"/>
      <c r="B198" s="42"/>
      <c r="C198" s="42"/>
    </row>
    <row r="199" spans="1:10" x14ac:dyDescent="0.3">
      <c r="A199" s="70"/>
      <c r="B199" s="42"/>
      <c r="C199" s="42"/>
    </row>
    <row r="200" spans="1:10" x14ac:dyDescent="0.3">
      <c r="A200" s="27"/>
      <c r="B200" s="27"/>
      <c r="C200" s="27"/>
      <c r="I200" s="6"/>
      <c r="J200" s="6"/>
    </row>
    <row r="201" spans="1:10" x14ac:dyDescent="0.3">
      <c r="A201" s="27"/>
      <c r="B201" s="27"/>
      <c r="C201" s="27"/>
      <c r="I201" s="6"/>
      <c r="J201" s="6"/>
    </row>
    <row r="202" spans="1:10" x14ac:dyDescent="0.3">
      <c r="A202" s="27"/>
      <c r="B202" s="27"/>
      <c r="C202" s="27"/>
      <c r="I202" s="6"/>
      <c r="J202" s="6"/>
    </row>
    <row r="203" spans="1:10" x14ac:dyDescent="0.3">
      <c r="A203" s="27"/>
      <c r="B203" s="27"/>
      <c r="C203" s="27"/>
      <c r="I203" s="6"/>
      <c r="J203" s="6"/>
    </row>
    <row r="204" spans="1:10" x14ac:dyDescent="0.3">
      <c r="A204" s="27"/>
      <c r="B204" s="27"/>
      <c r="C204" s="27"/>
      <c r="I204" s="6"/>
      <c r="J204" s="6"/>
    </row>
    <row r="205" spans="1:10" x14ac:dyDescent="0.3">
      <c r="A205" s="27"/>
      <c r="B205" s="27"/>
      <c r="C205" s="27"/>
      <c r="I205" s="6"/>
      <c r="J205" s="6"/>
    </row>
    <row r="206" spans="1:10" x14ac:dyDescent="0.3">
      <c r="A206" s="27"/>
      <c r="B206" s="27"/>
      <c r="C206" s="27"/>
      <c r="I206" s="6"/>
      <c r="J206" s="6"/>
    </row>
    <row r="207" spans="1:10" x14ac:dyDescent="0.3">
      <c r="A207" s="27"/>
      <c r="B207" s="27"/>
      <c r="C207" s="27"/>
      <c r="I207" s="6"/>
      <c r="J207" s="6"/>
    </row>
    <row r="208" spans="1:10" x14ac:dyDescent="0.3">
      <c r="A208" s="70"/>
      <c r="B208" s="42"/>
      <c r="C208" s="42"/>
    </row>
    <row r="209" spans="1:10" x14ac:dyDescent="0.3">
      <c r="A209" s="70"/>
      <c r="B209" s="42"/>
      <c r="C209" s="42"/>
    </row>
    <row r="210" spans="1:10" x14ac:dyDescent="0.3">
      <c r="A210" s="27"/>
      <c r="B210" s="27"/>
      <c r="C210" s="27"/>
      <c r="I210" s="6"/>
      <c r="J210" s="6"/>
    </row>
    <row r="211" spans="1:10" x14ac:dyDescent="0.3">
      <c r="A211" s="27"/>
      <c r="B211" s="27"/>
      <c r="C211" s="27"/>
      <c r="I211" s="6"/>
      <c r="J211" s="6"/>
    </row>
    <row r="212" spans="1:10" x14ac:dyDescent="0.3">
      <c r="A212" s="27"/>
      <c r="B212" s="27"/>
      <c r="C212" s="27"/>
      <c r="I212" s="6"/>
      <c r="J212" s="6"/>
    </row>
    <row r="213" spans="1:10" x14ac:dyDescent="0.3">
      <c r="A213" s="27"/>
      <c r="B213" s="27"/>
      <c r="C213" s="27"/>
      <c r="I213" s="6"/>
      <c r="J213" s="6"/>
    </row>
    <row r="214" spans="1:10" x14ac:dyDescent="0.3">
      <c r="A214" s="27"/>
      <c r="B214" s="27"/>
      <c r="C214" s="27"/>
      <c r="I214" s="6"/>
      <c r="J214" s="6"/>
    </row>
    <row r="215" spans="1:10" x14ac:dyDescent="0.3">
      <c r="A215" s="70"/>
      <c r="B215" s="42"/>
      <c r="C215" s="42"/>
    </row>
    <row r="216" spans="1:10" x14ac:dyDescent="0.3">
      <c r="A216" s="70"/>
      <c r="B216" s="42"/>
      <c r="C216" s="42"/>
    </row>
    <row r="217" spans="1:10" x14ac:dyDescent="0.3">
      <c r="A217" s="27"/>
      <c r="B217" s="27"/>
      <c r="C217" s="27"/>
      <c r="I217" s="6"/>
      <c r="J217" s="6"/>
    </row>
    <row r="218" spans="1:10" x14ac:dyDescent="0.3">
      <c r="A218" s="27"/>
      <c r="B218" s="27"/>
      <c r="C218" s="27"/>
      <c r="I218" s="6"/>
      <c r="J218" s="6"/>
    </row>
    <row r="219" spans="1:10" x14ac:dyDescent="0.3">
      <c r="A219" s="27"/>
      <c r="B219" s="27"/>
      <c r="C219" s="27"/>
      <c r="I219" s="6"/>
      <c r="J219" s="6"/>
    </row>
    <row r="220" spans="1:10" x14ac:dyDescent="0.3">
      <c r="A220" s="27"/>
      <c r="B220" s="27"/>
      <c r="C220" s="27"/>
      <c r="I220" s="6"/>
      <c r="J220" s="6"/>
    </row>
    <row r="221" spans="1:10" x14ac:dyDescent="0.3">
      <c r="A221" s="27"/>
      <c r="B221" s="27"/>
      <c r="C221" s="27"/>
      <c r="I221" s="6"/>
      <c r="J221" s="6"/>
    </row>
    <row r="222" spans="1:10" x14ac:dyDescent="0.3">
      <c r="A222" s="27"/>
      <c r="B222" s="27"/>
      <c r="C222" s="27"/>
      <c r="I222" s="6"/>
      <c r="J222" s="6"/>
    </row>
    <row r="223" spans="1:10" x14ac:dyDescent="0.3">
      <c r="A223" s="27"/>
      <c r="B223" s="27"/>
      <c r="C223" s="27"/>
      <c r="I223" s="6"/>
      <c r="J223" s="6"/>
    </row>
    <row r="224" spans="1:10" x14ac:dyDescent="0.3">
      <c r="A224" s="27"/>
      <c r="B224" s="27"/>
      <c r="C224" s="27"/>
      <c r="I224" s="6"/>
      <c r="J224" s="6"/>
    </row>
    <row r="225" spans="1:10" x14ac:dyDescent="0.3">
      <c r="A225" s="27"/>
      <c r="B225" s="27"/>
      <c r="C225" s="27"/>
      <c r="I225" s="6"/>
      <c r="J225" s="6"/>
    </row>
    <row r="226" spans="1:10" x14ac:dyDescent="0.3">
      <c r="A226" s="27"/>
      <c r="B226" s="27"/>
      <c r="C226" s="27"/>
      <c r="I226" s="6"/>
      <c r="J226" s="6"/>
    </row>
    <row r="227" spans="1:10" x14ac:dyDescent="0.3">
      <c r="A227" s="27"/>
      <c r="B227" s="27"/>
      <c r="C227" s="27"/>
      <c r="I227" s="6"/>
      <c r="J227" s="6"/>
    </row>
    <row r="228" spans="1:10" x14ac:dyDescent="0.3">
      <c r="A228" s="27"/>
      <c r="B228" s="27"/>
      <c r="C228" s="27"/>
      <c r="I228" s="6"/>
      <c r="J228" s="6"/>
    </row>
    <row r="229" spans="1:10" x14ac:dyDescent="0.3">
      <c r="A229" s="27"/>
      <c r="B229" s="27"/>
      <c r="C229" s="27"/>
      <c r="I229" s="6"/>
      <c r="J229" s="6"/>
    </row>
    <row r="230" spans="1:10" x14ac:dyDescent="0.3">
      <c r="A230" s="70"/>
      <c r="B230" s="42"/>
      <c r="C230" s="42"/>
    </row>
    <row r="231" spans="1:10" x14ac:dyDescent="0.3">
      <c r="A231" s="70"/>
      <c r="B231" s="42"/>
      <c r="C231" s="42"/>
    </row>
    <row r="232" spans="1:10" x14ac:dyDescent="0.3">
      <c r="A232" s="27"/>
      <c r="B232" s="27"/>
      <c r="C232" s="27"/>
      <c r="I232" s="6"/>
      <c r="J232" s="6"/>
    </row>
    <row r="233" spans="1:10" x14ac:dyDescent="0.3">
      <c r="A233" s="27"/>
      <c r="B233" s="27"/>
      <c r="C233" s="27"/>
      <c r="I233" s="6"/>
      <c r="J233" s="6"/>
    </row>
    <row r="234" spans="1:10" x14ac:dyDescent="0.3">
      <c r="A234" s="27"/>
      <c r="B234" s="27"/>
      <c r="C234" s="27"/>
      <c r="I234" s="6"/>
      <c r="J234" s="6"/>
    </row>
    <row r="235" spans="1:10" x14ac:dyDescent="0.3">
      <c r="A235" s="27"/>
      <c r="B235" s="27"/>
      <c r="C235" s="27"/>
      <c r="I235" s="6"/>
      <c r="J235" s="6"/>
    </row>
    <row r="236" spans="1:10" x14ac:dyDescent="0.3">
      <c r="A236" s="27"/>
      <c r="B236" s="27"/>
      <c r="C236" s="27"/>
    </row>
    <row r="237" spans="1:10" x14ac:dyDescent="0.3">
      <c r="A237" s="27"/>
      <c r="B237" s="27"/>
      <c r="C237" s="27"/>
    </row>
  </sheetData>
  <mergeCells count="238">
    <mergeCell ref="L5:M5"/>
    <mergeCell ref="L6:M6"/>
    <mergeCell ref="D8:E8"/>
    <mergeCell ref="D7:E7"/>
    <mergeCell ref="F7:G7"/>
    <mergeCell ref="F8:G8"/>
    <mergeCell ref="H7:K7"/>
    <mergeCell ref="H8:K8"/>
    <mergeCell ref="L7:L9"/>
    <mergeCell ref="M7:M9"/>
    <mergeCell ref="B6:K6"/>
    <mergeCell ref="B7:B9"/>
    <mergeCell ref="C7:C9"/>
    <mergeCell ref="B41:B42"/>
    <mergeCell ref="C41:C42"/>
    <mergeCell ref="B21:B22"/>
    <mergeCell ref="C21:C22"/>
    <mergeCell ref="B35:B36"/>
    <mergeCell ref="C35:C36"/>
    <mergeCell ref="B62:B63"/>
    <mergeCell ref="C62:C63"/>
    <mergeCell ref="B55:B56"/>
    <mergeCell ref="C55:C56"/>
    <mergeCell ref="A2:O2"/>
    <mergeCell ref="A3:N3"/>
    <mergeCell ref="N5:P9"/>
    <mergeCell ref="F11:F12"/>
    <mergeCell ref="F13:F14"/>
    <mergeCell ref="J4:M4"/>
    <mergeCell ref="O4:P4"/>
    <mergeCell ref="A5:A9"/>
    <mergeCell ref="N11:P12"/>
    <mergeCell ref="J11:J12"/>
    <mergeCell ref="K11:K12"/>
    <mergeCell ref="L11:L12"/>
    <mergeCell ref="M11:M12"/>
    <mergeCell ref="A11:A12"/>
    <mergeCell ref="D11:D12"/>
    <mergeCell ref="E11:E12"/>
    <mergeCell ref="G11:G12"/>
    <mergeCell ref="H11:H12"/>
    <mergeCell ref="I11:I12"/>
    <mergeCell ref="B5:K5"/>
    <mergeCell ref="B11:B12"/>
    <mergeCell ref="C11:C12"/>
    <mergeCell ref="B13:B14"/>
    <mergeCell ref="C13:C14"/>
    <mergeCell ref="N21:P22"/>
    <mergeCell ref="J21:J22"/>
    <mergeCell ref="K21:K22"/>
    <mergeCell ref="L21:L22"/>
    <mergeCell ref="M21:M22"/>
    <mergeCell ref="F21:F22"/>
    <mergeCell ref="A13:A14"/>
    <mergeCell ref="D13:D14"/>
    <mergeCell ref="E13:E14"/>
    <mergeCell ref="G13:G14"/>
    <mergeCell ref="H13:H14"/>
    <mergeCell ref="I13:I14"/>
    <mergeCell ref="N13:P14"/>
    <mergeCell ref="J13:J14"/>
    <mergeCell ref="K13:K14"/>
    <mergeCell ref="L13:L14"/>
    <mergeCell ref="M13:M14"/>
    <mergeCell ref="G21:G22"/>
    <mergeCell ref="H21:H22"/>
    <mergeCell ref="I21:I22"/>
    <mergeCell ref="A21:A22"/>
    <mergeCell ref="D21:D22"/>
    <mergeCell ref="E21:E22"/>
    <mergeCell ref="N41:P42"/>
    <mergeCell ref="J41:J42"/>
    <mergeCell ref="K41:K42"/>
    <mergeCell ref="L41:L42"/>
    <mergeCell ref="M41:M42"/>
    <mergeCell ref="F41:F42"/>
    <mergeCell ref="A35:A36"/>
    <mergeCell ref="D35:D36"/>
    <mergeCell ref="E35:E36"/>
    <mergeCell ref="G35:G36"/>
    <mergeCell ref="H35:H36"/>
    <mergeCell ref="I35:I36"/>
    <mergeCell ref="N35:P36"/>
    <mergeCell ref="J35:J36"/>
    <mergeCell ref="K35:K36"/>
    <mergeCell ref="L35:L36"/>
    <mergeCell ref="M35:M36"/>
    <mergeCell ref="F35:F36"/>
    <mergeCell ref="A41:A42"/>
    <mergeCell ref="D41:D42"/>
    <mergeCell ref="E41:E42"/>
    <mergeCell ref="G41:G42"/>
    <mergeCell ref="H41:H42"/>
    <mergeCell ref="I41:I42"/>
    <mergeCell ref="N55:P56"/>
    <mergeCell ref="J55:J56"/>
    <mergeCell ref="K55:K56"/>
    <mergeCell ref="L55:L56"/>
    <mergeCell ref="M55:M56"/>
    <mergeCell ref="F55:F56"/>
    <mergeCell ref="A48:A49"/>
    <mergeCell ref="D48:D49"/>
    <mergeCell ref="E48:E49"/>
    <mergeCell ref="G48:G49"/>
    <mergeCell ref="H48:H49"/>
    <mergeCell ref="I48:I49"/>
    <mergeCell ref="N48:P49"/>
    <mergeCell ref="J48:J49"/>
    <mergeCell ref="K48:K49"/>
    <mergeCell ref="L48:L49"/>
    <mergeCell ref="M48:M49"/>
    <mergeCell ref="F48:F49"/>
    <mergeCell ref="B48:B49"/>
    <mergeCell ref="C48:C49"/>
    <mergeCell ref="A55:A56"/>
    <mergeCell ref="D55:D56"/>
    <mergeCell ref="E55:E56"/>
    <mergeCell ref="G55:G56"/>
    <mergeCell ref="N62:P63"/>
    <mergeCell ref="J62:J63"/>
    <mergeCell ref="K62:K63"/>
    <mergeCell ref="L62:L63"/>
    <mergeCell ref="M62:M63"/>
    <mergeCell ref="F62:F63"/>
    <mergeCell ref="G67:G68"/>
    <mergeCell ref="H67:H68"/>
    <mergeCell ref="I67:I68"/>
    <mergeCell ref="N74:P75"/>
    <mergeCell ref="J74:J75"/>
    <mergeCell ref="K74:K75"/>
    <mergeCell ref="L74:L75"/>
    <mergeCell ref="M74:M75"/>
    <mergeCell ref="F74:F75"/>
    <mergeCell ref="N67:P68"/>
    <mergeCell ref="J67:J68"/>
    <mergeCell ref="K67:K68"/>
    <mergeCell ref="L67:L68"/>
    <mergeCell ref="M67:M68"/>
    <mergeCell ref="F67:F68"/>
    <mergeCell ref="O112:P112"/>
    <mergeCell ref="N116:P116"/>
    <mergeCell ref="N117:P117"/>
    <mergeCell ref="A116:H116"/>
    <mergeCell ref="N84:P85"/>
    <mergeCell ref="J84:J85"/>
    <mergeCell ref="K84:K85"/>
    <mergeCell ref="L84:L85"/>
    <mergeCell ref="M84:M85"/>
    <mergeCell ref="F84:F85"/>
    <mergeCell ref="H91:H92"/>
    <mergeCell ref="I91:I92"/>
    <mergeCell ref="N91:P92"/>
    <mergeCell ref="J91:J92"/>
    <mergeCell ref="K91:K92"/>
    <mergeCell ref="L91:L92"/>
    <mergeCell ref="M91:M92"/>
    <mergeCell ref="F91:F92"/>
    <mergeCell ref="N106:P107"/>
    <mergeCell ref="J106:J107"/>
    <mergeCell ref="K106:K107"/>
    <mergeCell ref="L106:L107"/>
    <mergeCell ref="M106:M107"/>
    <mergeCell ref="A106:A107"/>
    <mergeCell ref="A230:A231"/>
    <mergeCell ref="I130:M130"/>
    <mergeCell ref="A131:A134"/>
    <mergeCell ref="D131:H132"/>
    <mergeCell ref="I131:J133"/>
    <mergeCell ref="K131:K133"/>
    <mergeCell ref="L131:M133"/>
    <mergeCell ref="D133:E133"/>
    <mergeCell ref="G133:H133"/>
    <mergeCell ref="M137:M139"/>
    <mergeCell ref="A137:A139"/>
    <mergeCell ref="D137:D139"/>
    <mergeCell ref="E137:E139"/>
    <mergeCell ref="G137:G139"/>
    <mergeCell ref="H137:H139"/>
    <mergeCell ref="L137:L139"/>
    <mergeCell ref="A191:A192"/>
    <mergeCell ref="A215:A216"/>
    <mergeCell ref="H106:H107"/>
    <mergeCell ref="I106:I107"/>
    <mergeCell ref="A117:H117"/>
    <mergeCell ref="A84:A85"/>
    <mergeCell ref="D84:D85"/>
    <mergeCell ref="E84:E85"/>
    <mergeCell ref="G84:G85"/>
    <mergeCell ref="H84:H85"/>
    <mergeCell ref="I84:I85"/>
    <mergeCell ref="E106:E107"/>
    <mergeCell ref="G106:G107"/>
    <mergeCell ref="A198:A199"/>
    <mergeCell ref="A208:A209"/>
    <mergeCell ref="A172:A173"/>
    <mergeCell ref="A179:A180"/>
    <mergeCell ref="A186:A187"/>
    <mergeCell ref="I137:I139"/>
    <mergeCell ref="A127:I129"/>
    <mergeCell ref="F106:F107"/>
    <mergeCell ref="B106:B107"/>
    <mergeCell ref="C106:C107"/>
    <mergeCell ref="B91:B92"/>
    <mergeCell ref="C91:C92"/>
    <mergeCell ref="A146:A147"/>
    <mergeCell ref="A159:A160"/>
    <mergeCell ref="A165:A166"/>
    <mergeCell ref="J137:J139"/>
    <mergeCell ref="K137:K139"/>
    <mergeCell ref="D106:D107"/>
    <mergeCell ref="A67:A68"/>
    <mergeCell ref="D67:D68"/>
    <mergeCell ref="E67:E68"/>
    <mergeCell ref="B67:B68"/>
    <mergeCell ref="C67:C68"/>
    <mergeCell ref="B74:B75"/>
    <mergeCell ref="C74:C75"/>
    <mergeCell ref="B84:B85"/>
    <mergeCell ref="C84:C85"/>
    <mergeCell ref="H55:H56"/>
    <mergeCell ref="I55:I56"/>
    <mergeCell ref="J127:M129"/>
    <mergeCell ref="A74:A75"/>
    <mergeCell ref="D74:D75"/>
    <mergeCell ref="E74:E75"/>
    <mergeCell ref="G74:G75"/>
    <mergeCell ref="H74:H75"/>
    <mergeCell ref="I74:I75"/>
    <mergeCell ref="A62:A63"/>
    <mergeCell ref="D62:D63"/>
    <mergeCell ref="E62:E63"/>
    <mergeCell ref="G62:G63"/>
    <mergeCell ref="H62:H63"/>
    <mergeCell ref="A91:A92"/>
    <mergeCell ref="D91:D92"/>
    <mergeCell ref="E91:E92"/>
    <mergeCell ref="G91:G92"/>
    <mergeCell ref="I62:I63"/>
  </mergeCells>
  <conditionalFormatting sqref="B11:M12 B13:F14 H13:M14 B15:M111">
    <cfRule type="expression" dxfId="0" priority="2">
      <formula>$Q$11</formula>
    </cfRule>
  </conditionalFormatting>
  <pageMargins left="0.7" right="0.7" top="0.75" bottom="0.75" header="0.3" footer="0.3"/>
  <pageSetup paperSize="9" orientation="portrait" horizontalDpi="200" verticalDpi="200" r:id="rId1"/>
  <ignoredErrors>
    <ignoredError sqref="G30:K30 L30:M3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2015-05-15T06:35:45Z</cp:lastPrinted>
  <dcterms:created xsi:type="dcterms:W3CDTF">2015-05-15T06:27:06Z</dcterms:created>
  <dcterms:modified xsi:type="dcterms:W3CDTF">2026-06-23T10:19:41Z</dcterms:modified>
</cp:coreProperties>
</file>