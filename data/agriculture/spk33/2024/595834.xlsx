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13_ncr:1_{1D9D6896-82A5-47AC-90F0-B8CBCBA4033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B12" i="1"/>
  <c r="C12" i="1"/>
  <c r="F20" i="1"/>
  <c r="D12" i="1"/>
  <c r="C29" i="1"/>
  <c r="D29" i="1"/>
  <c r="E29" i="1"/>
  <c r="F29" i="1"/>
  <c r="G29" i="1"/>
  <c r="H29" i="1"/>
  <c r="I29" i="1"/>
  <c r="B29" i="1"/>
  <c r="C20" i="1"/>
  <c r="D20" i="1"/>
  <c r="E20" i="1"/>
  <c r="G20" i="1"/>
  <c r="H20" i="1"/>
  <c r="I20" i="1"/>
  <c r="B20" i="1"/>
  <c r="E105" i="1"/>
  <c r="F105" i="1"/>
  <c r="G105" i="1"/>
  <c r="H105" i="1"/>
  <c r="I105" i="1"/>
  <c r="B105" i="1"/>
  <c r="C105" i="1"/>
  <c r="E90" i="1"/>
  <c r="F90" i="1"/>
  <c r="G90" i="1"/>
  <c r="H90" i="1"/>
  <c r="I90" i="1"/>
  <c r="B90" i="1"/>
  <c r="C90" i="1"/>
  <c r="E83" i="1"/>
  <c r="F83" i="1"/>
  <c r="G83" i="1"/>
  <c r="H83" i="1"/>
  <c r="I83" i="1"/>
  <c r="B83" i="1"/>
  <c r="C83" i="1"/>
  <c r="F73" i="1"/>
  <c r="G73" i="1"/>
  <c r="H73" i="1"/>
  <c r="I73" i="1"/>
  <c r="B73" i="1"/>
  <c r="C73" i="1"/>
  <c r="D73" i="1"/>
  <c r="C66" i="1"/>
  <c r="D66" i="1"/>
  <c r="E66" i="1"/>
  <c r="F66" i="1"/>
  <c r="G66" i="1"/>
  <c r="H66" i="1"/>
  <c r="I66" i="1"/>
  <c r="B66" i="1"/>
  <c r="C61" i="1"/>
  <c r="D61" i="1"/>
  <c r="E61" i="1"/>
  <c r="F61" i="1"/>
  <c r="G61" i="1"/>
  <c r="H61" i="1"/>
  <c r="I61" i="1"/>
  <c r="B61" i="1"/>
  <c r="C54" i="1"/>
  <c r="D54" i="1"/>
  <c r="E54" i="1"/>
  <c r="F54" i="1"/>
  <c r="G54" i="1"/>
  <c r="H54" i="1"/>
  <c r="I54" i="1"/>
  <c r="B54" i="1"/>
  <c r="C47" i="1"/>
  <c r="D47" i="1"/>
  <c r="E47" i="1"/>
  <c r="F47" i="1"/>
  <c r="G47" i="1"/>
  <c r="H47" i="1"/>
  <c r="I47" i="1"/>
  <c r="B47" i="1"/>
  <c r="C40" i="1"/>
  <c r="D40" i="1"/>
  <c r="E40" i="1"/>
  <c r="F40" i="1"/>
  <c r="G40" i="1"/>
  <c r="H40" i="1"/>
  <c r="I40" i="1"/>
  <c r="B40" i="1"/>
  <c r="C34" i="1"/>
  <c r="D34" i="1"/>
  <c r="E34" i="1"/>
  <c r="F34" i="1"/>
  <c r="G34" i="1"/>
  <c r="H34" i="1"/>
  <c r="I34" i="1"/>
  <c r="B34" i="1"/>
  <c r="E12" i="1"/>
  <c r="G12" i="1"/>
  <c r="H12" i="1"/>
  <c r="I12" i="1"/>
  <c r="D105" i="1"/>
  <c r="D90" i="1"/>
  <c r="D83" i="1"/>
  <c r="E73" i="1"/>
  <c r="D10" i="1" l="1"/>
  <c r="C10" i="1"/>
  <c r="I10" i="1"/>
  <c r="F10" i="1"/>
  <c r="H10" i="1"/>
  <c r="G10" i="1"/>
  <c r="E10" i="1"/>
  <c r="B10" i="1"/>
</calcChain>
</file>

<file path=xl/sharedStrings.xml><?xml version="1.0" encoding="utf-8"?>
<sst xmlns="http://schemas.openxmlformats.org/spreadsheetml/2006/main" count="432" uniqueCount="203">
  <si>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</si>
  <si>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</si>
  <si>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</si>
  <si>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</si>
  <si>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</si>
  <si>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</si>
  <si>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</si>
  <si>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</si>
  <si>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</si>
  <si>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</si>
  <si>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</si>
  <si>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</si>
  <si>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</si>
  <si>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</si>
  <si>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</si>
  <si>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</si>
  <si>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</si>
  <si>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</si>
  <si>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</si>
  <si>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</si>
  <si>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</si>
  <si>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</si>
  <si>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</si>
  <si>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</si>
  <si>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</si>
  <si>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</si>
  <si>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</si>
  <si>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</si>
  <si>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</si>
  <si>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</si>
  <si>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</si>
  <si>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</si>
  <si>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</si>
  <si>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</si>
  <si>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</si>
  <si>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</si>
  <si>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</si>
  <si>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</si>
  <si>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</si>
  <si>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</si>
  <si>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</si>
  <si>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</si>
  <si>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</si>
  <si>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</si>
  <si>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</si>
  <si>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</si>
  <si>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</si>
  <si>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</si>
  <si>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</si>
  <si>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</si>
  <si>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</si>
  <si>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</si>
  <si>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</si>
  <si>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</si>
  <si>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</si>
  <si>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</si>
  <si>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</si>
  <si>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</si>
  <si>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</si>
  <si>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</si>
  <si>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</si>
  <si>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</si>
  <si>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</si>
  <si>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</si>
  <si>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</si>
  <si>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</si>
  <si>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</si>
  <si>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</si>
  <si>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</si>
  <si>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</si>
  <si>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</si>
  <si>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</si>
  <si>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</si>
  <si>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</si>
  <si>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</si>
  <si>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</si>
  <si>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</si>
  <si>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</si>
  <si>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</si>
  <si>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</si>
  <si>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</si>
  <si>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</si>
  <si>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</si>
  <si>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</si>
  <si>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</si>
  <si>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</si>
  <si>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</si>
  <si>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</si>
  <si>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</si>
  <si>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</si>
  <si>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</si>
  <si>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</si>
  <si>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</si>
  <si>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</si>
  <si>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</si>
  <si>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</si>
  <si>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</si>
  <si>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</si>
  <si>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</si>
  <si>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</si>
  <si>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</si>
  <si>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</si>
  <si>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</si>
  <si>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</si>
  <si>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</si>
  <si>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</si>
  <si>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</si>
  <si>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</si>
  <si>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</si>
  <si>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</si>
  <si>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</si>
  <si>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</si>
  <si>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Περιφέρεια Δυτικής Μακεδονίας</t>
  </si>
  <si>
    <t>Region of Western Macedonia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</si>
  <si>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</si>
  <si>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</si>
  <si>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</si>
  <si>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</si>
  <si>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</si>
  <si>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</si>
  <si>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</si>
  <si>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</si>
  <si>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</si>
  <si>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</si>
  <si>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</si>
  <si>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</si>
  <si>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</si>
  <si>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</si>
  <si>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</si>
  <si>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</si>
  <si>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</si>
  <si>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</si>
  <si>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</si>
  <si>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</si>
  <si>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</si>
  <si>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</si>
  <si>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</si>
  <si>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</si>
  <si>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</si>
  <si>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</si>
  <si>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</si>
  <si>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</si>
  <si>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</si>
  <si>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</si>
  <si>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</si>
  <si>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</si>
  <si>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</si>
  <si>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</si>
  <si>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</si>
  <si>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</si>
  <si>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</si>
  <si>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</si>
  <si>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</si>
  <si>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</si>
  <si>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</si>
  <si>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</si>
  <si>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</si>
  <si>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</si>
  <si>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</si>
  <si>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</si>
  <si>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</si>
  <si>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</si>
  <si>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</si>
  <si>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</si>
  <si>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</si>
  <si>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</si>
  <si>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</si>
  <si>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</si>
  <si>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</si>
  <si>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</si>
  <si>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</si>
  <si>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</si>
  <si>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</si>
  <si>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</si>
  <si>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</si>
  <si>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</si>
  <si>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</si>
  <si>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</si>
  <si>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</si>
  <si>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</si>
  <si>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—</t>
  </si>
  <si>
    <t>In organized
poultry farms</t>
  </si>
  <si>
    <t>Local breed</t>
  </si>
  <si>
    <t>Συστηματικών
πτηνοτροφείων</t>
  </si>
  <si>
    <t>Χωρικής εκτροφής</t>
  </si>
  <si>
    <t>Geese</t>
  </si>
  <si>
    <t>Χήνες</t>
  </si>
  <si>
    <t>Ducks</t>
  </si>
  <si>
    <t>Πάπιες</t>
  </si>
  <si>
    <t>Turkeys</t>
  </si>
  <si>
    <t>Γαλοπούλες</t>
  </si>
  <si>
    <t>Rabbits</t>
  </si>
  <si>
    <t>Κουνέλια</t>
  </si>
  <si>
    <t>Εγχώριες</t>
  </si>
  <si>
    <t>Ευρωπαϊκές</t>
  </si>
  <si>
    <t>Hens</t>
  </si>
  <si>
    <t>Όρνιθες</t>
  </si>
  <si>
    <t>Beehives</t>
  </si>
  <si>
    <t>Κυψέλες μελισσών</t>
  </si>
  <si>
    <t>Πίνακας 4. Πουλερικά, κουνέλια (όλων των ηλικιών) και κυψέλες μελισσών στις 31.12.2024, κατά Περιφέρεια και Περιφερειακή Ενότητα</t>
  </si>
  <si>
    <t>Table 4. Poultry, rabbits (all ages) and beehoves on 31st December 2024, by Region and Regional Unities</t>
  </si>
  <si>
    <t>Local</t>
  </si>
  <si>
    <t>European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</si>
</sst>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3" fontId="0" fillId="0" borderId="0" xfId="0" applyNumberFormat="1"/>
    <xf numFmtId="49" fontId="3" fillId="0" borderId="0" xfId="0" applyNumberFormat="1" applyFont="1" applyAlignment="1">
      <alignment horizontal="left" wrapText="1" indent="2"/>
    </xf>
    <xf numFmtId="3" fontId="9" fillId="0" borderId="20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3" fontId="9" fillId="0" borderId="3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9" fillId="0" borderId="0" xfId="0" applyFont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9" fillId="0" borderId="20" xfId="0" applyFont="1" applyBorder="1" applyAlignment="1">
      <alignment horizontal="right" vertical="top"/>
    </xf>
    <xf numFmtId="49" fontId="4" fillId="0" borderId="0" xfId="0" applyNumberFormat="1" applyFont="1" applyAlignment="1" applyProtection="1">
      <alignment horizontal="left" vertical="center" wrapText="1" indent="2"/>
      <protection locked="0"/>
    </xf>
    <xf numFmtId="49" fontId="3" fillId="0" borderId="1" xfId="0" applyNumberFormat="1" applyFont="1" applyBorder="1" applyAlignment="1">
      <alignment horizontal="left" wrapText="1" indent="2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7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horizontal="right" vertical="center" wrapText="1"/>
    </xf>
    <xf numFmtId="3" fontId="2" fillId="2" borderId="27" xfId="0" applyNumberFormat="1" applyFont="1" applyFill="1" applyBorder="1" applyAlignment="1">
      <alignment horizontal="right" vertical="center" wrapText="1"/>
    </xf>
    <xf numFmtId="3" fontId="2" fillId="2" borderId="17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27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20" xfId="0" applyNumberFormat="1" applyFont="1" applyFill="1" applyBorder="1" applyAlignment="1">
      <alignment horizontal="right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 indent="1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0" fontId="3" fillId="0" borderId="34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6"/>
  <sheetViews>
    <sheetView showGridLines="0" tabSelected="1" zoomScaleNormal="100" workbookViewId="0">
      <selection activeCell="M28" sqref="M28"/>
    </sheetView>
  </sheetViews>
  <sheetFormatPr defaultRowHeight="14.4" x14ac:dyDescent="0.3"/>
  <cols>
    <col min="1" max="1" width="43.109375" bestFit="1" customWidth="1"/>
    <col min="2" max="2" width="14.109375" bestFit="1" customWidth="1"/>
    <col min="3" max="3" width="9.88671875" customWidth="1"/>
    <col min="4" max="4" width="8.21875" customWidth="1"/>
    <col min="5" max="5" width="7.5546875" customWidth="1"/>
    <col min="6" max="6" width="11.109375" customWidth="1"/>
    <col min="7" max="7" width="10.44140625" customWidth="1"/>
    <col min="8" max="8" width="9.88671875" bestFit="1" customWidth="1"/>
    <col min="9" max="9" width="13.44140625" bestFit="1" customWidth="1"/>
    <col min="10" max="10" width="9.6640625" customWidth="1"/>
    <col min="11" max="11" width="15.88671875" customWidth="1"/>
    <col min="12" max="12" width="10" customWidth="1"/>
    <col min="13" max="13" width="10.109375" customWidth="1"/>
    <col min="14" max="16" width="10.109375" bestFit="1" customWidth="1"/>
  </cols>
  <sheetData>
    <row r="1" spans="1:16" ht="8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  <c r="M1" s="4"/>
    </row>
    <row r="2" spans="1:16" ht="18" x14ac:dyDescent="0.3">
      <c r="A2" s="80" t="s">
        <v>199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4"/>
    </row>
    <row r="3" spans="1:16" ht="18" x14ac:dyDescent="0.3">
      <c r="A3" s="87" t="s">
        <v>200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4"/>
    </row>
    <row r="4" spans="1:16" ht="15" customHeight="1" thickBot="1" x14ac:dyDescent="0.35">
      <c r="A4" s="63" t="s">
        <v>111</v>
      </c>
      <c r="B4" s="64"/>
      <c r="C4" s="5"/>
      <c r="D4" s="5"/>
      <c r="E4" s="5"/>
      <c r="F4" s="5"/>
      <c r="G4" s="57"/>
      <c r="H4" s="57"/>
      <c r="I4" s="57"/>
      <c r="J4" s="62" t="s">
        <v>110</v>
      </c>
      <c r="K4" s="62"/>
      <c r="L4" s="62"/>
      <c r="M4" s="6"/>
    </row>
    <row r="5" spans="1:16" ht="14.4" customHeight="1" x14ac:dyDescent="0.3">
      <c r="A5" s="91" t="s">
        <v>0</v>
      </c>
      <c r="B5" s="65" t="s">
        <v>196</v>
      </c>
      <c r="C5" s="66"/>
      <c r="D5" s="73" t="s">
        <v>186</v>
      </c>
      <c r="E5" s="73" t="s">
        <v>188</v>
      </c>
      <c r="F5" s="73" t="s">
        <v>190</v>
      </c>
      <c r="G5" s="73" t="s">
        <v>192</v>
      </c>
      <c r="H5" s="58" t="s">
        <v>198</v>
      </c>
      <c r="I5" s="59"/>
      <c r="J5" s="45" t="s">
        <v>1</v>
      </c>
      <c r="K5" s="46"/>
      <c r="L5" s="46"/>
    </row>
    <row r="6" spans="1:16" x14ac:dyDescent="0.3">
      <c r="A6" s="92"/>
      <c r="B6" s="60" t="s">
        <v>183</v>
      </c>
      <c r="C6" s="67" t="s">
        <v>184</v>
      </c>
      <c r="D6" s="74"/>
      <c r="E6" s="74"/>
      <c r="F6" s="74"/>
      <c r="G6" s="74"/>
      <c r="H6" s="71" t="s">
        <v>193</v>
      </c>
      <c r="I6" s="69" t="s">
        <v>194</v>
      </c>
      <c r="J6" s="47"/>
      <c r="K6" s="48"/>
      <c r="L6" s="48"/>
    </row>
    <row r="7" spans="1:16" x14ac:dyDescent="0.3">
      <c r="A7" s="92"/>
      <c r="B7" s="61"/>
      <c r="C7" s="68"/>
      <c r="D7" s="75"/>
      <c r="E7" s="75"/>
      <c r="F7" s="75"/>
      <c r="G7" s="75"/>
      <c r="H7" s="72"/>
      <c r="I7" s="70"/>
      <c r="J7" s="47"/>
      <c r="K7" s="48"/>
      <c r="L7" s="48"/>
    </row>
    <row r="8" spans="1:16" x14ac:dyDescent="0.3">
      <c r="A8" s="92"/>
      <c r="B8" s="60" t="s">
        <v>195</v>
      </c>
      <c r="C8" s="71"/>
      <c r="D8" s="7"/>
      <c r="E8" s="7"/>
      <c r="F8" s="7"/>
      <c r="G8" s="7"/>
      <c r="H8" s="68" t="s">
        <v>197</v>
      </c>
      <c r="I8" s="86"/>
      <c r="J8" s="47"/>
      <c r="K8" s="48"/>
      <c r="L8" s="48"/>
    </row>
    <row r="9" spans="1:16" ht="30.75" customHeight="1" x14ac:dyDescent="0.3">
      <c r="A9" s="93"/>
      <c r="B9" s="44" t="s">
        <v>181</v>
      </c>
      <c r="C9" s="101" t="s">
        <v>182</v>
      </c>
      <c r="D9" s="7" t="s">
        <v>185</v>
      </c>
      <c r="E9" s="7" t="s">
        <v>187</v>
      </c>
      <c r="F9" s="7" t="s">
        <v>189</v>
      </c>
      <c r="G9" s="7" t="s">
        <v>191</v>
      </c>
      <c r="H9" s="8" t="s">
        <v>201</v>
      </c>
      <c r="I9" s="9" t="s">
        <v>202</v>
      </c>
      <c r="J9" s="49"/>
      <c r="K9" s="50"/>
      <c r="L9" s="50"/>
    </row>
    <row r="10" spans="1:16" x14ac:dyDescent="0.3">
      <c r="A10" s="76" t="s">
        <v>2</v>
      </c>
      <c r="B10" s="78">
        <f>SUM(B12,B20,B29,B34,B40,B47,B54,B61,B66,B73,B83,B90,B105)</f>
        <v>36262978</v>
      </c>
      <c r="C10" s="51">
        <f>SUM(C12,C20,C29,C34,C40,C47,C54,C61,C66,C73,C83,C90,C105)</f>
        <v>1957323</v>
      </c>
      <c r="D10" s="51">
        <f>SUM(D12,D20,D29,D34,D40,D47,D54,D61,D66,D73,D83,D90,D105)</f>
        <v>18332</v>
      </c>
      <c r="E10" s="51">
        <f t="shared" ref="E10:I10" si="0">SUM(E12,E20,E29,E34,E40,E47,E54,E61,E66,E73,E83,E90,E105)</f>
        <v>10805</v>
      </c>
      <c r="F10" s="51">
        <f t="shared" si="0"/>
        <v>458860</v>
      </c>
      <c r="G10" s="51">
        <f t="shared" si="0"/>
        <v>339689</v>
      </c>
      <c r="H10" s="53">
        <f t="shared" si="0"/>
        <v>3641</v>
      </c>
      <c r="I10" s="55">
        <f t="shared" si="0"/>
        <v>2157445</v>
      </c>
      <c r="J10" s="88" t="s">
        <v>3</v>
      </c>
      <c r="K10" s="88"/>
      <c r="L10" s="88"/>
    </row>
    <row r="11" spans="1:16" x14ac:dyDescent="0.3">
      <c r="A11" s="77"/>
      <c r="B11" s="79"/>
      <c r="C11" s="52"/>
      <c r="D11" s="52"/>
      <c r="E11" s="52"/>
      <c r="F11" s="52"/>
      <c r="G11" s="52"/>
      <c r="H11" s="54"/>
      <c r="I11" s="56"/>
      <c r="J11" s="85"/>
      <c r="K11" s="85"/>
      <c r="L11" s="85"/>
      <c r="O11" s="10"/>
      <c r="P11" s="10"/>
    </row>
    <row r="12" spans="1:16" x14ac:dyDescent="0.3">
      <c r="A12" s="77" t="s">
        <v>4</v>
      </c>
      <c r="B12" s="90">
        <f>SUM(B14:B19)</f>
        <v>1015590</v>
      </c>
      <c r="C12" s="83">
        <f>SUM(C14:C19)</f>
        <v>161929</v>
      </c>
      <c r="D12" s="83">
        <f>SUM(D14:D19)</f>
        <v>993</v>
      </c>
      <c r="E12" s="83">
        <f t="shared" ref="E12:I12" si="1">SUM(E14:E19)</f>
        <v>1104</v>
      </c>
      <c r="F12" s="83">
        <f>SUM(F14:F19)</f>
        <v>4736</v>
      </c>
      <c r="G12" s="83">
        <f t="shared" si="1"/>
        <v>416</v>
      </c>
      <c r="H12" s="84">
        <f t="shared" si="1"/>
        <v>0</v>
      </c>
      <c r="I12" s="89">
        <f t="shared" si="1"/>
        <v>149172</v>
      </c>
      <c r="J12" s="85" t="s">
        <v>5</v>
      </c>
      <c r="K12" s="85"/>
      <c r="L12" s="85"/>
      <c r="P12" s="10"/>
    </row>
    <row r="13" spans="1:16" x14ac:dyDescent="0.3">
      <c r="A13" s="77"/>
      <c r="B13" s="90"/>
      <c r="C13" s="83"/>
      <c r="D13" s="83"/>
      <c r="E13" s="83"/>
      <c r="F13" s="83"/>
      <c r="G13" s="83"/>
      <c r="H13" s="84"/>
      <c r="I13" s="89"/>
      <c r="J13" s="85"/>
      <c r="K13" s="85"/>
      <c r="L13" s="85"/>
    </row>
    <row r="14" spans="1:16" x14ac:dyDescent="0.3">
      <c r="A14" s="11" t="s">
        <v>114</v>
      </c>
      <c r="B14" s="12">
        <v>5800</v>
      </c>
      <c r="C14" s="13">
        <v>49696</v>
      </c>
      <c r="D14" s="14">
        <v>224</v>
      </c>
      <c r="E14" s="13">
        <v>189</v>
      </c>
      <c r="F14" s="14">
        <v>1444</v>
      </c>
      <c r="G14" s="14">
        <v>358</v>
      </c>
      <c r="H14" s="13" t="s">
        <v>180</v>
      </c>
      <c r="I14" s="15">
        <v>15739</v>
      </c>
      <c r="J14" s="16" t="s">
        <v>6</v>
      </c>
      <c r="K14" s="17"/>
      <c r="L14" s="17"/>
      <c r="O14" s="10"/>
    </row>
    <row r="15" spans="1:16" x14ac:dyDescent="0.3">
      <c r="A15" s="11" t="s">
        <v>115</v>
      </c>
      <c r="B15" s="12">
        <v>40750</v>
      </c>
      <c r="C15" s="13">
        <v>19276</v>
      </c>
      <c r="D15" s="14">
        <v>9</v>
      </c>
      <c r="E15" s="13" t="s">
        <v>180</v>
      </c>
      <c r="F15" s="14" t="s">
        <v>180</v>
      </c>
      <c r="G15" s="14" t="s">
        <v>180</v>
      </c>
      <c r="H15" s="18" t="s">
        <v>180</v>
      </c>
      <c r="I15" s="15">
        <v>22377</v>
      </c>
      <c r="J15" s="16" t="s">
        <v>7</v>
      </c>
      <c r="K15" s="17"/>
      <c r="L15" s="17"/>
    </row>
    <row r="16" spans="1:16" x14ac:dyDescent="0.3">
      <c r="A16" s="11" t="s">
        <v>116</v>
      </c>
      <c r="B16" s="12">
        <v>575600</v>
      </c>
      <c r="C16" s="13">
        <v>51002</v>
      </c>
      <c r="D16" s="14">
        <v>730</v>
      </c>
      <c r="E16" s="13">
        <v>865</v>
      </c>
      <c r="F16" s="14">
        <v>3242</v>
      </c>
      <c r="G16" s="14">
        <v>58</v>
      </c>
      <c r="H16" s="13" t="s">
        <v>180</v>
      </c>
      <c r="I16" s="15">
        <v>40492</v>
      </c>
      <c r="J16" s="16" t="s">
        <v>8</v>
      </c>
      <c r="K16" s="17"/>
      <c r="L16" s="17"/>
    </row>
    <row r="17" spans="1:14" x14ac:dyDescent="0.3">
      <c r="A17" s="11" t="s">
        <v>117</v>
      </c>
      <c r="B17" s="12" t="s">
        <v>180</v>
      </c>
      <c r="C17" s="13">
        <v>122</v>
      </c>
      <c r="D17" s="14" t="s">
        <v>180</v>
      </c>
      <c r="E17" s="18" t="s">
        <v>180</v>
      </c>
      <c r="F17" s="14" t="s">
        <v>180</v>
      </c>
      <c r="G17" s="19" t="s">
        <v>180</v>
      </c>
      <c r="H17" s="18" t="s">
        <v>180</v>
      </c>
      <c r="I17" s="15">
        <v>34240</v>
      </c>
      <c r="J17" s="16" t="s">
        <v>9</v>
      </c>
      <c r="K17" s="17"/>
      <c r="L17" s="17"/>
      <c r="M17" s="10"/>
      <c r="N17" s="10"/>
    </row>
    <row r="18" spans="1:14" x14ac:dyDescent="0.3">
      <c r="A18" s="11" t="s">
        <v>118</v>
      </c>
      <c r="B18" s="12">
        <v>50000</v>
      </c>
      <c r="C18" s="13">
        <v>13711</v>
      </c>
      <c r="D18" s="14" t="s">
        <v>180</v>
      </c>
      <c r="E18" s="13" t="s">
        <v>180</v>
      </c>
      <c r="F18" s="14" t="s">
        <v>180</v>
      </c>
      <c r="G18" s="14" t="s">
        <v>180</v>
      </c>
      <c r="H18" s="13" t="s">
        <v>180</v>
      </c>
      <c r="I18" s="15">
        <v>21320</v>
      </c>
      <c r="J18" s="16" t="s">
        <v>10</v>
      </c>
      <c r="K18" s="17"/>
      <c r="L18" s="17"/>
    </row>
    <row r="19" spans="1:14" x14ac:dyDescent="0.3">
      <c r="A19" s="11" t="s">
        <v>119</v>
      </c>
      <c r="B19" s="12">
        <v>343440</v>
      </c>
      <c r="C19" s="13">
        <v>28122</v>
      </c>
      <c r="D19" s="14">
        <v>30</v>
      </c>
      <c r="E19" s="13">
        <v>50</v>
      </c>
      <c r="F19" s="14">
        <v>50</v>
      </c>
      <c r="G19" s="14" t="s">
        <v>180</v>
      </c>
      <c r="H19" s="18" t="s">
        <v>180</v>
      </c>
      <c r="I19" s="15">
        <v>15004</v>
      </c>
      <c r="J19" s="16" t="s">
        <v>11</v>
      </c>
      <c r="K19" s="17"/>
      <c r="L19" s="17"/>
    </row>
    <row r="20" spans="1:14" x14ac:dyDescent="0.3">
      <c r="A20" s="77" t="s">
        <v>12</v>
      </c>
      <c r="B20" s="90">
        <f>SUM(B22:B28)</f>
        <v>7989143</v>
      </c>
      <c r="C20" s="83">
        <f t="shared" ref="C20:I20" si="2">SUM(C22:C28)</f>
        <v>158562</v>
      </c>
      <c r="D20" s="83">
        <f t="shared" si="2"/>
        <v>1750</v>
      </c>
      <c r="E20" s="83">
        <f t="shared" si="2"/>
        <v>371</v>
      </c>
      <c r="F20" s="83">
        <f>SUM(F22:F28)</f>
        <v>49093</v>
      </c>
      <c r="G20" s="83">
        <f t="shared" si="2"/>
        <v>8715</v>
      </c>
      <c r="H20" s="84">
        <f t="shared" si="2"/>
        <v>93</v>
      </c>
      <c r="I20" s="89">
        <f t="shared" si="2"/>
        <v>325819</v>
      </c>
      <c r="J20" s="82" t="s">
        <v>13</v>
      </c>
      <c r="K20" s="82"/>
      <c r="L20" s="82"/>
    </row>
    <row r="21" spans="1:14" x14ac:dyDescent="0.3">
      <c r="A21" s="77"/>
      <c r="B21" s="90"/>
      <c r="C21" s="83"/>
      <c r="D21" s="83"/>
      <c r="E21" s="83"/>
      <c r="F21" s="83"/>
      <c r="G21" s="83"/>
      <c r="H21" s="84"/>
      <c r="I21" s="89"/>
      <c r="J21" s="82"/>
      <c r="K21" s="82"/>
      <c r="L21" s="82"/>
    </row>
    <row r="22" spans="1:14" x14ac:dyDescent="0.3">
      <c r="A22" s="11" t="s">
        <v>120</v>
      </c>
      <c r="B22" s="12">
        <v>2022588</v>
      </c>
      <c r="C22" s="13">
        <v>14875</v>
      </c>
      <c r="D22" s="14" t="s">
        <v>180</v>
      </c>
      <c r="E22" s="13" t="s">
        <v>180</v>
      </c>
      <c r="F22" s="14">
        <v>43100</v>
      </c>
      <c r="G22" s="14">
        <v>384</v>
      </c>
      <c r="H22" s="18" t="s">
        <v>180</v>
      </c>
      <c r="I22" s="15">
        <v>57306</v>
      </c>
      <c r="J22" s="16" t="s">
        <v>14</v>
      </c>
      <c r="K22" s="17"/>
      <c r="L22" s="17"/>
    </row>
    <row r="23" spans="1:14" x14ac:dyDescent="0.3">
      <c r="A23" s="11" t="s">
        <v>121</v>
      </c>
      <c r="B23" s="12">
        <v>308900</v>
      </c>
      <c r="C23" s="13">
        <v>3840</v>
      </c>
      <c r="D23" s="14">
        <v>1598</v>
      </c>
      <c r="E23" s="13">
        <v>77</v>
      </c>
      <c r="F23" s="14">
        <v>235</v>
      </c>
      <c r="G23" s="14" t="s">
        <v>180</v>
      </c>
      <c r="H23" s="13" t="s">
        <v>180</v>
      </c>
      <c r="I23" s="15">
        <v>17532</v>
      </c>
      <c r="J23" s="16" t="s">
        <v>15</v>
      </c>
      <c r="K23" s="17"/>
      <c r="L23" s="17"/>
    </row>
    <row r="24" spans="1:14" x14ac:dyDescent="0.3">
      <c r="A24" s="11" t="s">
        <v>122</v>
      </c>
      <c r="B24" s="12">
        <v>669040</v>
      </c>
      <c r="C24" s="13">
        <v>7990</v>
      </c>
      <c r="D24" s="14" t="s">
        <v>180</v>
      </c>
      <c r="E24" s="18" t="s">
        <v>180</v>
      </c>
      <c r="F24" s="14" t="s">
        <v>180</v>
      </c>
      <c r="G24" s="14">
        <v>5</v>
      </c>
      <c r="H24" s="13">
        <v>93</v>
      </c>
      <c r="I24" s="15">
        <v>14674</v>
      </c>
      <c r="J24" s="16" t="s">
        <v>16</v>
      </c>
      <c r="K24" s="17"/>
      <c r="L24" s="17"/>
    </row>
    <row r="25" spans="1:14" x14ac:dyDescent="0.3">
      <c r="A25" s="11" t="s">
        <v>123</v>
      </c>
      <c r="B25" s="12">
        <v>147050</v>
      </c>
      <c r="C25" s="13">
        <v>52375</v>
      </c>
      <c r="D25" s="14">
        <v>56</v>
      </c>
      <c r="E25" s="13">
        <v>185</v>
      </c>
      <c r="F25" s="14">
        <v>164</v>
      </c>
      <c r="G25" s="14">
        <v>6703</v>
      </c>
      <c r="H25" s="18" t="s">
        <v>180</v>
      </c>
      <c r="I25" s="15">
        <v>48534</v>
      </c>
      <c r="J25" s="16" t="s">
        <v>17</v>
      </c>
      <c r="K25" s="17"/>
      <c r="L25" s="17"/>
    </row>
    <row r="26" spans="1:14" x14ac:dyDescent="0.3">
      <c r="A26" s="11" t="s">
        <v>124</v>
      </c>
      <c r="B26" s="12">
        <v>1776881</v>
      </c>
      <c r="C26" s="13">
        <v>48030</v>
      </c>
      <c r="D26" s="14">
        <v>27</v>
      </c>
      <c r="E26" s="13">
        <v>25</v>
      </c>
      <c r="F26" s="14">
        <v>50</v>
      </c>
      <c r="G26" s="14" t="s">
        <v>180</v>
      </c>
      <c r="H26" s="18" t="s">
        <v>180</v>
      </c>
      <c r="I26" s="15">
        <v>19787</v>
      </c>
      <c r="J26" s="16" t="s">
        <v>18</v>
      </c>
      <c r="K26" s="17"/>
      <c r="L26" s="17"/>
    </row>
    <row r="27" spans="1:14" x14ac:dyDescent="0.3">
      <c r="A27" s="11" t="s">
        <v>125</v>
      </c>
      <c r="B27" s="12">
        <v>1940904</v>
      </c>
      <c r="C27" s="13">
        <v>11870</v>
      </c>
      <c r="D27" s="14">
        <v>65</v>
      </c>
      <c r="E27" s="18">
        <v>80</v>
      </c>
      <c r="F27" s="14">
        <v>5544</v>
      </c>
      <c r="G27" s="14">
        <v>1623</v>
      </c>
      <c r="H27" s="13" t="s">
        <v>180</v>
      </c>
      <c r="I27" s="15">
        <v>40735</v>
      </c>
      <c r="J27" s="16" t="s">
        <v>19</v>
      </c>
      <c r="K27" s="17"/>
      <c r="L27" s="17"/>
    </row>
    <row r="28" spans="1:14" x14ac:dyDescent="0.3">
      <c r="A28" s="11" t="s">
        <v>126</v>
      </c>
      <c r="B28" s="12">
        <v>1123780</v>
      </c>
      <c r="C28" s="13">
        <v>19582</v>
      </c>
      <c r="D28" s="14">
        <v>4</v>
      </c>
      <c r="E28" s="18">
        <v>4</v>
      </c>
      <c r="F28" s="14" t="s">
        <v>180</v>
      </c>
      <c r="G28" s="14" t="s">
        <v>180</v>
      </c>
      <c r="H28" s="13" t="s">
        <v>180</v>
      </c>
      <c r="I28" s="15">
        <v>127251</v>
      </c>
      <c r="J28" s="16" t="s">
        <v>20</v>
      </c>
      <c r="K28" s="17"/>
      <c r="L28" s="17"/>
    </row>
    <row r="29" spans="1:14" ht="24.6" customHeight="1" x14ac:dyDescent="0.3">
      <c r="A29" s="20" t="s">
        <v>112</v>
      </c>
      <c r="B29" s="40">
        <f>SUM(B30:B33)</f>
        <v>68859</v>
      </c>
      <c r="C29" s="41">
        <f t="shared" ref="C29:I29" si="3">SUM(C30:C33)</f>
        <v>121849</v>
      </c>
      <c r="D29" s="41">
        <f t="shared" si="3"/>
        <v>23</v>
      </c>
      <c r="E29" s="41">
        <f t="shared" si="3"/>
        <v>75</v>
      </c>
      <c r="F29" s="41">
        <f t="shared" si="3"/>
        <v>144</v>
      </c>
      <c r="G29" s="41">
        <f t="shared" si="3"/>
        <v>479</v>
      </c>
      <c r="H29" s="42">
        <f t="shared" si="3"/>
        <v>0</v>
      </c>
      <c r="I29" s="43">
        <f t="shared" si="3"/>
        <v>56470</v>
      </c>
      <c r="J29" s="21" t="s">
        <v>113</v>
      </c>
      <c r="K29" s="17"/>
      <c r="L29" s="17"/>
    </row>
    <row r="30" spans="1:14" x14ac:dyDescent="0.3">
      <c r="A30" s="11" t="s">
        <v>127</v>
      </c>
      <c r="B30" s="12">
        <v>6910</v>
      </c>
      <c r="C30" s="13">
        <v>55186</v>
      </c>
      <c r="D30" s="14" t="s">
        <v>180</v>
      </c>
      <c r="E30" s="13">
        <v>50</v>
      </c>
      <c r="F30" s="14">
        <v>5</v>
      </c>
      <c r="G30" s="14">
        <v>229</v>
      </c>
      <c r="H30" s="13" t="s">
        <v>180</v>
      </c>
      <c r="I30" s="15">
        <v>25568</v>
      </c>
      <c r="J30" s="16" t="s">
        <v>21</v>
      </c>
      <c r="K30" s="17"/>
      <c r="L30" s="17"/>
    </row>
    <row r="31" spans="1:14" x14ac:dyDescent="0.3">
      <c r="A31" s="11" t="s">
        <v>128</v>
      </c>
      <c r="B31" s="12">
        <v>56000</v>
      </c>
      <c r="C31" s="13">
        <v>43710</v>
      </c>
      <c r="D31" s="14">
        <v>23</v>
      </c>
      <c r="E31" s="13">
        <v>25</v>
      </c>
      <c r="F31" s="14">
        <v>139</v>
      </c>
      <c r="G31" s="14" t="s">
        <v>180</v>
      </c>
      <c r="H31" s="18" t="s">
        <v>180</v>
      </c>
      <c r="I31" s="15">
        <v>12907</v>
      </c>
      <c r="J31" s="16" t="s">
        <v>22</v>
      </c>
      <c r="K31" s="17"/>
      <c r="L31" s="17"/>
    </row>
    <row r="32" spans="1:14" x14ac:dyDescent="0.3">
      <c r="A32" s="11" t="s">
        <v>129</v>
      </c>
      <c r="B32" s="22">
        <v>5949</v>
      </c>
      <c r="C32" s="13">
        <v>4384</v>
      </c>
      <c r="D32" s="19" t="s">
        <v>180</v>
      </c>
      <c r="E32" s="18" t="s">
        <v>180</v>
      </c>
      <c r="F32" s="19" t="s">
        <v>180</v>
      </c>
      <c r="G32" s="19">
        <v>250</v>
      </c>
      <c r="H32" s="18" t="s">
        <v>180</v>
      </c>
      <c r="I32" s="15">
        <v>9119</v>
      </c>
      <c r="J32" s="16" t="s">
        <v>23</v>
      </c>
      <c r="K32" s="17"/>
      <c r="L32" s="17"/>
    </row>
    <row r="33" spans="1:12" x14ac:dyDescent="0.3">
      <c r="A33" s="11" t="s">
        <v>130</v>
      </c>
      <c r="B33" s="22" t="s">
        <v>180</v>
      </c>
      <c r="C33" s="13">
        <v>18569</v>
      </c>
      <c r="D33" s="19" t="s">
        <v>180</v>
      </c>
      <c r="E33" s="13" t="s">
        <v>180</v>
      </c>
      <c r="F33" s="19" t="s">
        <v>180</v>
      </c>
      <c r="G33" s="14" t="s">
        <v>180</v>
      </c>
      <c r="H33" s="18" t="s">
        <v>180</v>
      </c>
      <c r="I33" s="15">
        <v>8876</v>
      </c>
      <c r="J33" s="16" t="s">
        <v>24</v>
      </c>
      <c r="K33" s="17"/>
      <c r="L33" s="17"/>
    </row>
    <row r="34" spans="1:12" x14ac:dyDescent="0.3">
      <c r="A34" s="77" t="s">
        <v>25</v>
      </c>
      <c r="B34" s="90">
        <f>SUM(B36:B39)</f>
        <v>16975900</v>
      </c>
      <c r="C34" s="83">
        <f t="shared" ref="C34:I34" si="4">SUM(C36:C39)</f>
        <v>154250</v>
      </c>
      <c r="D34" s="83">
        <f t="shared" si="4"/>
        <v>196</v>
      </c>
      <c r="E34" s="83">
        <f t="shared" si="4"/>
        <v>144</v>
      </c>
      <c r="F34" s="83">
        <f t="shared" si="4"/>
        <v>207232</v>
      </c>
      <c r="G34" s="83">
        <f t="shared" si="4"/>
        <v>1728</v>
      </c>
      <c r="H34" s="84">
        <f t="shared" si="4"/>
        <v>3389</v>
      </c>
      <c r="I34" s="89">
        <f t="shared" si="4"/>
        <v>94275</v>
      </c>
      <c r="J34" s="81" t="s">
        <v>26</v>
      </c>
      <c r="K34" s="81"/>
      <c r="L34" s="81"/>
    </row>
    <row r="35" spans="1:12" x14ac:dyDescent="0.3">
      <c r="A35" s="77"/>
      <c r="B35" s="90"/>
      <c r="C35" s="83"/>
      <c r="D35" s="83"/>
      <c r="E35" s="83"/>
      <c r="F35" s="83"/>
      <c r="G35" s="83"/>
      <c r="H35" s="84"/>
      <c r="I35" s="89"/>
      <c r="J35" s="81"/>
      <c r="K35" s="81"/>
      <c r="L35" s="81"/>
    </row>
    <row r="36" spans="1:12" x14ac:dyDescent="0.3">
      <c r="A36" s="11" t="s">
        <v>131</v>
      </c>
      <c r="B36" s="12">
        <v>10221355</v>
      </c>
      <c r="C36" s="13">
        <v>11300</v>
      </c>
      <c r="D36" s="14">
        <v>29</v>
      </c>
      <c r="E36" s="13">
        <v>2</v>
      </c>
      <c r="F36" s="14">
        <v>124025</v>
      </c>
      <c r="G36" s="14">
        <v>1000</v>
      </c>
      <c r="H36" s="13" t="s">
        <v>180</v>
      </c>
      <c r="I36" s="15">
        <v>28197</v>
      </c>
      <c r="J36" s="16" t="s">
        <v>27</v>
      </c>
      <c r="K36" s="17"/>
      <c r="L36" s="17"/>
    </row>
    <row r="37" spans="1:12" x14ac:dyDescent="0.3">
      <c r="A37" s="11" t="s">
        <v>132</v>
      </c>
      <c r="B37" s="12">
        <v>4999920</v>
      </c>
      <c r="C37" s="13">
        <v>118312</v>
      </c>
      <c r="D37" s="14" t="s">
        <v>180</v>
      </c>
      <c r="E37" s="13" t="s">
        <v>180</v>
      </c>
      <c r="F37" s="14">
        <v>80000</v>
      </c>
      <c r="G37" s="14" t="s">
        <v>180</v>
      </c>
      <c r="H37" s="18" t="s">
        <v>180</v>
      </c>
      <c r="I37" s="15">
        <v>35879</v>
      </c>
      <c r="J37" s="16" t="s">
        <v>28</v>
      </c>
      <c r="K37" s="17"/>
      <c r="L37" s="17"/>
    </row>
    <row r="38" spans="1:12" x14ac:dyDescent="0.3">
      <c r="A38" s="11" t="s">
        <v>133</v>
      </c>
      <c r="B38" s="12">
        <v>3600</v>
      </c>
      <c r="C38" s="13">
        <v>20061</v>
      </c>
      <c r="D38" s="14">
        <v>167</v>
      </c>
      <c r="E38" s="13">
        <v>142</v>
      </c>
      <c r="F38" s="14">
        <v>107</v>
      </c>
      <c r="G38" s="14">
        <v>38</v>
      </c>
      <c r="H38" s="13" t="s">
        <v>180</v>
      </c>
      <c r="I38" s="15">
        <v>20711</v>
      </c>
      <c r="J38" s="16" t="s">
        <v>29</v>
      </c>
      <c r="K38" s="17"/>
      <c r="L38" s="17"/>
    </row>
    <row r="39" spans="1:12" x14ac:dyDescent="0.3">
      <c r="A39" s="11" t="s">
        <v>134</v>
      </c>
      <c r="B39" s="12">
        <v>1751025</v>
      </c>
      <c r="C39" s="13">
        <v>4577</v>
      </c>
      <c r="D39" s="14" t="s">
        <v>180</v>
      </c>
      <c r="E39" s="18" t="s">
        <v>180</v>
      </c>
      <c r="F39" s="14">
        <v>3100</v>
      </c>
      <c r="G39" s="14">
        <v>690</v>
      </c>
      <c r="H39" s="13">
        <v>3389</v>
      </c>
      <c r="I39" s="15">
        <v>9488</v>
      </c>
      <c r="J39" s="16" t="s">
        <v>30</v>
      </c>
      <c r="K39" s="17"/>
      <c r="L39" s="17"/>
    </row>
    <row r="40" spans="1:12" x14ac:dyDescent="0.3">
      <c r="A40" s="77" t="s">
        <v>31</v>
      </c>
      <c r="B40" s="90">
        <f>SUM(B42:B46)</f>
        <v>365429</v>
      </c>
      <c r="C40" s="83">
        <f t="shared" ref="C40:I40" si="5">SUM(C42:C46)</f>
        <v>230981</v>
      </c>
      <c r="D40" s="83">
        <f t="shared" si="5"/>
        <v>275</v>
      </c>
      <c r="E40" s="83">
        <f t="shared" si="5"/>
        <v>461</v>
      </c>
      <c r="F40" s="83">
        <f t="shared" si="5"/>
        <v>129090</v>
      </c>
      <c r="G40" s="83">
        <f t="shared" si="5"/>
        <v>1444</v>
      </c>
      <c r="H40" s="84">
        <f t="shared" si="5"/>
        <v>25</v>
      </c>
      <c r="I40" s="89">
        <f t="shared" si="5"/>
        <v>276428</v>
      </c>
      <c r="J40" s="81" t="s">
        <v>32</v>
      </c>
      <c r="K40" s="81"/>
      <c r="L40" s="81"/>
    </row>
    <row r="41" spans="1:12" x14ac:dyDescent="0.3">
      <c r="A41" s="77"/>
      <c r="B41" s="90"/>
      <c r="C41" s="83"/>
      <c r="D41" s="83"/>
      <c r="E41" s="83"/>
      <c r="F41" s="83"/>
      <c r="G41" s="83"/>
      <c r="H41" s="84"/>
      <c r="I41" s="89"/>
      <c r="J41" s="81"/>
      <c r="K41" s="81"/>
      <c r="L41" s="81"/>
    </row>
    <row r="42" spans="1:12" x14ac:dyDescent="0.3">
      <c r="A42" s="11" t="s">
        <v>135</v>
      </c>
      <c r="B42" s="12">
        <v>310034</v>
      </c>
      <c r="C42" s="13">
        <v>16926</v>
      </c>
      <c r="D42" s="14" t="s">
        <v>180</v>
      </c>
      <c r="E42" s="13" t="s">
        <v>180</v>
      </c>
      <c r="F42" s="14">
        <v>63785</v>
      </c>
      <c r="G42" s="14">
        <v>70</v>
      </c>
      <c r="H42" s="13" t="s">
        <v>180</v>
      </c>
      <c r="I42" s="15">
        <v>96896</v>
      </c>
      <c r="J42" s="16" t="s">
        <v>33</v>
      </c>
      <c r="K42" s="17"/>
      <c r="L42" s="17"/>
    </row>
    <row r="43" spans="1:12" x14ac:dyDescent="0.3">
      <c r="A43" s="11" t="s">
        <v>136</v>
      </c>
      <c r="B43" s="12" t="s">
        <v>180</v>
      </c>
      <c r="C43" s="13">
        <v>87007</v>
      </c>
      <c r="D43" s="14">
        <v>222</v>
      </c>
      <c r="E43" s="13">
        <v>391</v>
      </c>
      <c r="F43" s="14">
        <v>1386</v>
      </c>
      <c r="G43" s="14">
        <v>664</v>
      </c>
      <c r="H43" s="13" t="s">
        <v>180</v>
      </c>
      <c r="I43" s="15">
        <v>89058</v>
      </c>
      <c r="J43" s="16" t="s">
        <v>34</v>
      </c>
      <c r="K43" s="17"/>
      <c r="L43" s="17"/>
    </row>
    <row r="44" spans="1:12" x14ac:dyDescent="0.3">
      <c r="A44" s="11" t="s">
        <v>137</v>
      </c>
      <c r="B44" s="12">
        <v>10220</v>
      </c>
      <c r="C44" s="13">
        <v>6223</v>
      </c>
      <c r="D44" s="14" t="s">
        <v>180</v>
      </c>
      <c r="E44" s="18" t="s">
        <v>180</v>
      </c>
      <c r="F44" s="14">
        <v>1100</v>
      </c>
      <c r="G44" s="19">
        <v>10</v>
      </c>
      <c r="H44" s="13" t="s">
        <v>180</v>
      </c>
      <c r="I44" s="15">
        <v>47579</v>
      </c>
      <c r="J44" s="16" t="s">
        <v>35</v>
      </c>
      <c r="K44" s="17"/>
      <c r="L44" s="17"/>
    </row>
    <row r="45" spans="1:12" x14ac:dyDescent="0.3">
      <c r="A45" s="11" t="s">
        <v>138</v>
      </c>
      <c r="B45" s="22" t="s">
        <v>180</v>
      </c>
      <c r="C45" s="13">
        <v>220</v>
      </c>
      <c r="D45" s="19" t="s">
        <v>180</v>
      </c>
      <c r="E45" s="18" t="s">
        <v>180</v>
      </c>
      <c r="F45" s="19" t="s">
        <v>180</v>
      </c>
      <c r="G45" s="19" t="s">
        <v>180</v>
      </c>
      <c r="H45" s="18" t="s">
        <v>180</v>
      </c>
      <c r="I45" s="15">
        <v>2579</v>
      </c>
      <c r="J45" s="16" t="s">
        <v>36</v>
      </c>
      <c r="K45" s="17"/>
      <c r="L45" s="17"/>
    </row>
    <row r="46" spans="1:12" x14ac:dyDescent="0.3">
      <c r="A46" s="11" t="s">
        <v>139</v>
      </c>
      <c r="B46" s="12">
        <v>45175</v>
      </c>
      <c r="C46" s="13">
        <v>120605</v>
      </c>
      <c r="D46" s="14">
        <v>53</v>
      </c>
      <c r="E46" s="13">
        <v>70</v>
      </c>
      <c r="F46" s="14">
        <v>62819</v>
      </c>
      <c r="G46" s="14">
        <v>700</v>
      </c>
      <c r="H46" s="13">
        <v>25</v>
      </c>
      <c r="I46" s="15">
        <v>40316</v>
      </c>
      <c r="J46" s="16" t="s">
        <v>37</v>
      </c>
      <c r="K46" s="17"/>
      <c r="L46" s="17"/>
    </row>
    <row r="47" spans="1:12" x14ac:dyDescent="0.3">
      <c r="A47" s="77" t="s">
        <v>38</v>
      </c>
      <c r="B47" s="90">
        <f>SUM(B49:B53)</f>
        <v>3450811</v>
      </c>
      <c r="C47" s="83">
        <f t="shared" ref="C47:I47" si="6">SUM(C49:C53)</f>
        <v>94872</v>
      </c>
      <c r="D47" s="83">
        <f t="shared" si="6"/>
        <v>273</v>
      </c>
      <c r="E47" s="83">
        <f t="shared" si="6"/>
        <v>176</v>
      </c>
      <c r="F47" s="83">
        <f t="shared" si="6"/>
        <v>1358</v>
      </c>
      <c r="G47" s="83">
        <f t="shared" si="6"/>
        <v>14608</v>
      </c>
      <c r="H47" s="84">
        <f t="shared" si="6"/>
        <v>0</v>
      </c>
      <c r="I47" s="89">
        <f t="shared" si="6"/>
        <v>183952</v>
      </c>
      <c r="J47" s="81" t="s">
        <v>39</v>
      </c>
      <c r="K47" s="81"/>
      <c r="L47" s="81"/>
    </row>
    <row r="48" spans="1:12" x14ac:dyDescent="0.3">
      <c r="A48" s="77"/>
      <c r="B48" s="90"/>
      <c r="C48" s="83"/>
      <c r="D48" s="83"/>
      <c r="E48" s="83"/>
      <c r="F48" s="83"/>
      <c r="G48" s="83"/>
      <c r="H48" s="84"/>
      <c r="I48" s="89"/>
      <c r="J48" s="81"/>
      <c r="K48" s="81"/>
      <c r="L48" s="81"/>
    </row>
    <row r="49" spans="1:12" x14ac:dyDescent="0.3">
      <c r="A49" s="11" t="s">
        <v>140</v>
      </c>
      <c r="B49" s="12">
        <v>20323</v>
      </c>
      <c r="C49" s="13">
        <v>51722</v>
      </c>
      <c r="D49" s="14">
        <v>46</v>
      </c>
      <c r="E49" s="13">
        <v>12</v>
      </c>
      <c r="F49" s="14">
        <v>1037</v>
      </c>
      <c r="G49" s="14">
        <v>11460</v>
      </c>
      <c r="H49" s="13" t="s">
        <v>180</v>
      </c>
      <c r="I49" s="15">
        <v>42771</v>
      </c>
      <c r="J49" s="16" t="s">
        <v>40</v>
      </c>
      <c r="K49" s="17"/>
      <c r="L49" s="17"/>
    </row>
    <row r="50" spans="1:12" x14ac:dyDescent="0.3">
      <c r="A50" s="11" t="s">
        <v>141</v>
      </c>
      <c r="B50" s="12">
        <v>1487884</v>
      </c>
      <c r="C50" s="13">
        <v>3840</v>
      </c>
      <c r="D50" s="14">
        <v>30</v>
      </c>
      <c r="E50" s="13">
        <v>30</v>
      </c>
      <c r="F50" s="14">
        <v>70</v>
      </c>
      <c r="G50" s="14" t="s">
        <v>180</v>
      </c>
      <c r="H50" s="13" t="s">
        <v>180</v>
      </c>
      <c r="I50" s="15">
        <v>21731</v>
      </c>
      <c r="J50" s="16" t="s">
        <v>41</v>
      </c>
      <c r="K50" s="17"/>
      <c r="L50" s="17"/>
    </row>
    <row r="51" spans="1:12" x14ac:dyDescent="0.3">
      <c r="A51" s="11" t="s">
        <v>142</v>
      </c>
      <c r="B51" s="12">
        <v>1889494</v>
      </c>
      <c r="C51" s="13">
        <v>21478</v>
      </c>
      <c r="D51" s="14" t="s">
        <v>180</v>
      </c>
      <c r="E51" s="13" t="s">
        <v>180</v>
      </c>
      <c r="F51" s="14" t="s">
        <v>180</v>
      </c>
      <c r="G51" s="14">
        <v>630</v>
      </c>
      <c r="H51" s="18" t="s">
        <v>180</v>
      </c>
      <c r="I51" s="15">
        <v>76526</v>
      </c>
      <c r="J51" s="16" t="s">
        <v>42</v>
      </c>
      <c r="K51" s="17"/>
      <c r="L51" s="17"/>
    </row>
    <row r="52" spans="1:12" x14ac:dyDescent="0.3">
      <c r="A52" s="11" t="s">
        <v>143</v>
      </c>
      <c r="B52" s="22">
        <v>170</v>
      </c>
      <c r="C52" s="13">
        <v>10785</v>
      </c>
      <c r="D52" s="19">
        <v>149</v>
      </c>
      <c r="E52" s="13">
        <v>73</v>
      </c>
      <c r="F52" s="19">
        <v>160</v>
      </c>
      <c r="G52" s="14">
        <v>1762</v>
      </c>
      <c r="H52" s="18" t="s">
        <v>180</v>
      </c>
      <c r="I52" s="15">
        <v>22379</v>
      </c>
      <c r="J52" s="16" t="s">
        <v>43</v>
      </c>
      <c r="K52" s="17"/>
      <c r="L52" s="17"/>
    </row>
    <row r="53" spans="1:12" x14ac:dyDescent="0.3">
      <c r="A53" s="11" t="s">
        <v>144</v>
      </c>
      <c r="B53" s="12">
        <v>52940</v>
      </c>
      <c r="C53" s="13">
        <v>7047</v>
      </c>
      <c r="D53" s="14">
        <v>48</v>
      </c>
      <c r="E53" s="13">
        <v>61</v>
      </c>
      <c r="F53" s="14">
        <v>91</v>
      </c>
      <c r="G53" s="14">
        <v>756</v>
      </c>
      <c r="H53" s="13" t="s">
        <v>180</v>
      </c>
      <c r="I53" s="15">
        <v>20545</v>
      </c>
      <c r="J53" s="16" t="s">
        <v>44</v>
      </c>
      <c r="K53" s="17"/>
      <c r="L53" s="17"/>
    </row>
    <row r="54" spans="1:12" x14ac:dyDescent="0.3">
      <c r="A54" s="77" t="s">
        <v>45</v>
      </c>
      <c r="B54" s="90">
        <f>SUM(B56:B60)</f>
        <v>800</v>
      </c>
      <c r="C54" s="83">
        <f t="shared" ref="C54:I54" si="7">SUM(C56:C60)</f>
        <v>45253</v>
      </c>
      <c r="D54" s="83">
        <f t="shared" si="7"/>
        <v>188</v>
      </c>
      <c r="E54" s="83">
        <f t="shared" si="7"/>
        <v>281</v>
      </c>
      <c r="F54" s="83">
        <f t="shared" si="7"/>
        <v>1402</v>
      </c>
      <c r="G54" s="83">
        <f t="shared" si="7"/>
        <v>16315</v>
      </c>
      <c r="H54" s="84">
        <f t="shared" si="7"/>
        <v>0</v>
      </c>
      <c r="I54" s="89">
        <f t="shared" si="7"/>
        <v>25630</v>
      </c>
      <c r="J54" s="81" t="s">
        <v>46</v>
      </c>
      <c r="K54" s="81"/>
      <c r="L54" s="81"/>
    </row>
    <row r="55" spans="1:12" x14ac:dyDescent="0.3">
      <c r="A55" s="77"/>
      <c r="B55" s="90"/>
      <c r="C55" s="83"/>
      <c r="D55" s="83"/>
      <c r="E55" s="83"/>
      <c r="F55" s="83"/>
      <c r="G55" s="83"/>
      <c r="H55" s="84"/>
      <c r="I55" s="89"/>
      <c r="J55" s="81"/>
      <c r="K55" s="81"/>
      <c r="L55" s="81"/>
    </row>
    <row r="56" spans="1:12" x14ac:dyDescent="0.3">
      <c r="A56" s="11" t="s">
        <v>145</v>
      </c>
      <c r="B56" s="12" t="s">
        <v>180</v>
      </c>
      <c r="C56" s="13">
        <v>6973</v>
      </c>
      <c r="D56" s="14">
        <v>86</v>
      </c>
      <c r="E56" s="13">
        <v>175</v>
      </c>
      <c r="F56" s="14">
        <v>640</v>
      </c>
      <c r="G56" s="14" t="s">
        <v>180</v>
      </c>
      <c r="H56" s="13" t="s">
        <v>180</v>
      </c>
      <c r="I56" s="15">
        <v>3422</v>
      </c>
      <c r="J56" s="16" t="s">
        <v>47</v>
      </c>
      <c r="K56" s="17"/>
      <c r="L56" s="17"/>
    </row>
    <row r="57" spans="1:12" x14ac:dyDescent="0.3">
      <c r="A57" s="11" t="s">
        <v>146</v>
      </c>
      <c r="B57" s="22" t="s">
        <v>180</v>
      </c>
      <c r="C57" s="13">
        <v>27520</v>
      </c>
      <c r="D57" s="19">
        <v>20</v>
      </c>
      <c r="E57" s="13">
        <v>38</v>
      </c>
      <c r="F57" s="19">
        <v>697</v>
      </c>
      <c r="G57" s="14">
        <v>16250</v>
      </c>
      <c r="H57" s="18" t="s">
        <v>180</v>
      </c>
      <c r="I57" s="15">
        <v>3542</v>
      </c>
      <c r="J57" s="16" t="s">
        <v>48</v>
      </c>
      <c r="K57" s="17"/>
      <c r="L57" s="17"/>
    </row>
    <row r="58" spans="1:12" x14ac:dyDescent="0.3">
      <c r="A58" s="11" t="s">
        <v>147</v>
      </c>
      <c r="B58" s="22" t="s">
        <v>180</v>
      </c>
      <c r="C58" s="13" t="s">
        <v>180</v>
      </c>
      <c r="D58" s="19" t="s">
        <v>180</v>
      </c>
      <c r="E58" s="18" t="s">
        <v>180</v>
      </c>
      <c r="F58" s="19" t="s">
        <v>180</v>
      </c>
      <c r="G58" s="14" t="s">
        <v>180</v>
      </c>
      <c r="H58" s="18" t="s">
        <v>180</v>
      </c>
      <c r="I58" s="15">
        <v>90</v>
      </c>
      <c r="J58" s="16" t="s">
        <v>49</v>
      </c>
      <c r="K58" s="17"/>
      <c r="L58" s="17"/>
    </row>
    <row r="59" spans="1:12" x14ac:dyDescent="0.3">
      <c r="A59" s="11" t="s">
        <v>148</v>
      </c>
      <c r="B59" s="22">
        <v>800</v>
      </c>
      <c r="C59" s="13">
        <v>4450</v>
      </c>
      <c r="D59" s="19">
        <v>10</v>
      </c>
      <c r="E59" s="13">
        <v>5</v>
      </c>
      <c r="F59" s="19">
        <v>30</v>
      </c>
      <c r="G59" s="14" t="s">
        <v>180</v>
      </c>
      <c r="H59" s="13" t="s">
        <v>180</v>
      </c>
      <c r="I59" s="15">
        <v>10448</v>
      </c>
      <c r="J59" s="16" t="s">
        <v>50</v>
      </c>
      <c r="K59" s="17"/>
      <c r="L59" s="17"/>
    </row>
    <row r="60" spans="1:12" x14ac:dyDescent="0.3">
      <c r="A60" s="11" t="s">
        <v>149</v>
      </c>
      <c r="B60" s="22" t="s">
        <v>180</v>
      </c>
      <c r="C60" s="13">
        <v>6310</v>
      </c>
      <c r="D60" s="19">
        <v>72</v>
      </c>
      <c r="E60" s="13">
        <v>63</v>
      </c>
      <c r="F60" s="19">
        <v>35</v>
      </c>
      <c r="G60" s="14">
        <v>65</v>
      </c>
      <c r="H60" s="18" t="s">
        <v>180</v>
      </c>
      <c r="I60" s="15">
        <v>8128</v>
      </c>
      <c r="J60" s="16" t="s">
        <v>51</v>
      </c>
      <c r="K60" s="17"/>
      <c r="L60" s="17"/>
    </row>
    <row r="61" spans="1:12" x14ac:dyDescent="0.3">
      <c r="A61" s="77" t="s">
        <v>52</v>
      </c>
      <c r="B61" s="90">
        <f>SUM(B63:B65)</f>
        <v>180635</v>
      </c>
      <c r="C61" s="83">
        <f t="shared" ref="C61:I61" si="8">SUM(C63:C65)</f>
        <v>364295</v>
      </c>
      <c r="D61" s="83">
        <f t="shared" si="8"/>
        <v>6477</v>
      </c>
      <c r="E61" s="83">
        <f t="shared" si="8"/>
        <v>4058</v>
      </c>
      <c r="F61" s="83">
        <f t="shared" si="8"/>
        <v>25702</v>
      </c>
      <c r="G61" s="83">
        <f t="shared" si="8"/>
        <v>27043</v>
      </c>
      <c r="H61" s="84">
        <f t="shared" si="8"/>
        <v>0</v>
      </c>
      <c r="I61" s="89">
        <f t="shared" si="8"/>
        <v>216959</v>
      </c>
      <c r="J61" s="81" t="s">
        <v>53</v>
      </c>
      <c r="K61" s="81"/>
      <c r="L61" s="81"/>
    </row>
    <row r="62" spans="1:12" x14ac:dyDescent="0.3">
      <c r="A62" s="77"/>
      <c r="B62" s="90"/>
      <c r="C62" s="83"/>
      <c r="D62" s="83"/>
      <c r="E62" s="83"/>
      <c r="F62" s="83"/>
      <c r="G62" s="83"/>
      <c r="H62" s="84"/>
      <c r="I62" s="89"/>
      <c r="J62" s="81"/>
      <c r="K62" s="81"/>
      <c r="L62" s="81"/>
    </row>
    <row r="63" spans="1:12" x14ac:dyDescent="0.3">
      <c r="A63" s="11" t="s">
        <v>150</v>
      </c>
      <c r="B63" s="12">
        <v>9300</v>
      </c>
      <c r="C63" s="13">
        <v>73916</v>
      </c>
      <c r="D63" s="14">
        <v>287</v>
      </c>
      <c r="E63" s="13">
        <v>204</v>
      </c>
      <c r="F63" s="14">
        <v>727</v>
      </c>
      <c r="G63" s="14">
        <v>8597</v>
      </c>
      <c r="H63" s="13" t="s">
        <v>180</v>
      </c>
      <c r="I63" s="15">
        <v>89926</v>
      </c>
      <c r="J63" s="16" t="s">
        <v>54</v>
      </c>
      <c r="K63" s="17"/>
      <c r="L63" s="17"/>
    </row>
    <row r="64" spans="1:12" x14ac:dyDescent="0.3">
      <c r="A64" s="11" t="s">
        <v>151</v>
      </c>
      <c r="B64" s="12">
        <v>20235</v>
      </c>
      <c r="C64" s="13">
        <v>235473</v>
      </c>
      <c r="D64" s="14">
        <v>2910</v>
      </c>
      <c r="E64" s="13">
        <v>1561</v>
      </c>
      <c r="F64" s="14">
        <v>195</v>
      </c>
      <c r="G64" s="14">
        <v>11310</v>
      </c>
      <c r="H64" s="13" t="s">
        <v>180</v>
      </c>
      <c r="I64" s="15">
        <v>96745</v>
      </c>
      <c r="J64" s="16" t="s">
        <v>55</v>
      </c>
      <c r="K64" s="17"/>
      <c r="L64" s="17"/>
    </row>
    <row r="65" spans="1:12" x14ac:dyDescent="0.3">
      <c r="A65" s="11" t="s">
        <v>152</v>
      </c>
      <c r="B65" s="12">
        <v>151100</v>
      </c>
      <c r="C65" s="13">
        <v>54906</v>
      </c>
      <c r="D65" s="14">
        <v>3280</v>
      </c>
      <c r="E65" s="13">
        <v>2293</v>
      </c>
      <c r="F65" s="14">
        <v>24780</v>
      </c>
      <c r="G65" s="14">
        <v>7136</v>
      </c>
      <c r="H65" s="13" t="s">
        <v>180</v>
      </c>
      <c r="I65" s="15">
        <v>30288</v>
      </c>
      <c r="J65" s="16" t="s">
        <v>56</v>
      </c>
      <c r="K65" s="17"/>
      <c r="L65" s="17"/>
    </row>
    <row r="66" spans="1:12" x14ac:dyDescent="0.3">
      <c r="A66" s="77" t="s">
        <v>57</v>
      </c>
      <c r="B66" s="90">
        <f>SUM(B68:B72)</f>
        <v>1113330</v>
      </c>
      <c r="C66" s="83">
        <f t="shared" ref="C66:I66" si="9">SUM(C68:C72)</f>
        <v>128329</v>
      </c>
      <c r="D66" s="83">
        <f t="shared" si="9"/>
        <v>165</v>
      </c>
      <c r="E66" s="83">
        <f t="shared" si="9"/>
        <v>343</v>
      </c>
      <c r="F66" s="83">
        <f t="shared" si="9"/>
        <v>7546</v>
      </c>
      <c r="G66" s="83">
        <f t="shared" si="9"/>
        <v>4061</v>
      </c>
      <c r="H66" s="84">
        <f t="shared" si="9"/>
        <v>0</v>
      </c>
      <c r="I66" s="89">
        <f t="shared" si="9"/>
        <v>200195</v>
      </c>
      <c r="J66" s="81" t="s">
        <v>58</v>
      </c>
      <c r="K66" s="81"/>
      <c r="L66" s="81"/>
    </row>
    <row r="67" spans="1:12" x14ac:dyDescent="0.3">
      <c r="A67" s="77"/>
      <c r="B67" s="90"/>
      <c r="C67" s="83"/>
      <c r="D67" s="83"/>
      <c r="E67" s="83"/>
      <c r="F67" s="83"/>
      <c r="G67" s="83"/>
      <c r="H67" s="84"/>
      <c r="I67" s="89"/>
      <c r="J67" s="81"/>
      <c r="K67" s="81"/>
      <c r="L67" s="81"/>
    </row>
    <row r="68" spans="1:12" x14ac:dyDescent="0.3">
      <c r="A68" s="11" t="s">
        <v>153</v>
      </c>
      <c r="B68" s="12">
        <v>200745</v>
      </c>
      <c r="C68" s="13">
        <v>18600</v>
      </c>
      <c r="D68" s="14" t="s">
        <v>180</v>
      </c>
      <c r="E68" s="18" t="s">
        <v>180</v>
      </c>
      <c r="F68" s="14" t="s">
        <v>180</v>
      </c>
      <c r="G68" s="14">
        <v>2832</v>
      </c>
      <c r="H68" s="18" t="s">
        <v>180</v>
      </c>
      <c r="I68" s="15">
        <v>52278</v>
      </c>
      <c r="J68" s="16" t="s">
        <v>59</v>
      </c>
      <c r="K68" s="17"/>
      <c r="L68" s="17"/>
    </row>
    <row r="69" spans="1:12" x14ac:dyDescent="0.3">
      <c r="A69" s="11" t="s">
        <v>154</v>
      </c>
      <c r="B69" s="12">
        <v>250820</v>
      </c>
      <c r="C69" s="13">
        <v>4811</v>
      </c>
      <c r="D69" s="14" t="s">
        <v>180</v>
      </c>
      <c r="E69" s="13" t="s">
        <v>180</v>
      </c>
      <c r="F69" s="14">
        <v>5950</v>
      </c>
      <c r="G69" s="14" t="s">
        <v>180</v>
      </c>
      <c r="H69" s="13" t="s">
        <v>180</v>
      </c>
      <c r="I69" s="15">
        <v>37092</v>
      </c>
      <c r="J69" s="16" t="s">
        <v>60</v>
      </c>
      <c r="K69" s="17"/>
      <c r="L69" s="17"/>
    </row>
    <row r="70" spans="1:12" x14ac:dyDescent="0.3">
      <c r="A70" s="11" t="s">
        <v>155</v>
      </c>
      <c r="B70" s="12">
        <v>449230</v>
      </c>
      <c r="C70" s="13">
        <v>5385</v>
      </c>
      <c r="D70" s="14">
        <v>30</v>
      </c>
      <c r="E70" s="13">
        <v>23</v>
      </c>
      <c r="F70" s="14">
        <v>360</v>
      </c>
      <c r="G70" s="14">
        <v>760</v>
      </c>
      <c r="H70" s="18" t="s">
        <v>180</v>
      </c>
      <c r="I70" s="15">
        <v>22256</v>
      </c>
      <c r="J70" s="16" t="s">
        <v>61</v>
      </c>
      <c r="K70" s="17"/>
      <c r="L70" s="17"/>
    </row>
    <row r="71" spans="1:12" x14ac:dyDescent="0.3">
      <c r="A71" s="11" t="s">
        <v>156</v>
      </c>
      <c r="B71" s="12">
        <v>212535</v>
      </c>
      <c r="C71" s="13">
        <v>34150</v>
      </c>
      <c r="D71" s="14" t="s">
        <v>180</v>
      </c>
      <c r="E71" s="13" t="s">
        <v>180</v>
      </c>
      <c r="F71" s="14">
        <v>20</v>
      </c>
      <c r="G71" s="14">
        <v>90</v>
      </c>
      <c r="H71" s="13" t="s">
        <v>180</v>
      </c>
      <c r="I71" s="15">
        <v>47118</v>
      </c>
      <c r="J71" s="16" t="s">
        <v>62</v>
      </c>
      <c r="K71" s="17"/>
      <c r="L71" s="17"/>
    </row>
    <row r="72" spans="1:12" x14ac:dyDescent="0.3">
      <c r="A72" s="11" t="s">
        <v>157</v>
      </c>
      <c r="B72" s="12" t="s">
        <v>180</v>
      </c>
      <c r="C72" s="13">
        <v>65383</v>
      </c>
      <c r="D72" s="14">
        <v>135</v>
      </c>
      <c r="E72" s="13">
        <v>320</v>
      </c>
      <c r="F72" s="14">
        <v>1216</v>
      </c>
      <c r="G72" s="14">
        <v>379</v>
      </c>
      <c r="H72" s="13" t="s">
        <v>180</v>
      </c>
      <c r="I72" s="15">
        <v>41451</v>
      </c>
      <c r="J72" s="16" t="s">
        <v>63</v>
      </c>
      <c r="K72" s="17"/>
      <c r="L72" s="17"/>
    </row>
    <row r="73" spans="1:12" x14ac:dyDescent="0.3">
      <c r="A73" s="77" t="s">
        <v>64</v>
      </c>
      <c r="B73" s="90">
        <f t="shared" ref="B73:I73" si="10">SUM(B75:B82)</f>
        <v>4407331</v>
      </c>
      <c r="C73" s="83">
        <f t="shared" si="10"/>
        <v>2820</v>
      </c>
      <c r="D73" s="83">
        <f t="shared" si="10"/>
        <v>407</v>
      </c>
      <c r="E73" s="83">
        <f t="shared" si="10"/>
        <v>417</v>
      </c>
      <c r="F73" s="83">
        <f t="shared" si="10"/>
        <v>24972</v>
      </c>
      <c r="G73" s="83">
        <f t="shared" si="10"/>
        <v>0</v>
      </c>
      <c r="H73" s="84">
        <f t="shared" si="10"/>
        <v>0</v>
      </c>
      <c r="I73" s="89">
        <f t="shared" si="10"/>
        <v>33448</v>
      </c>
      <c r="J73" s="81" t="s">
        <v>65</v>
      </c>
      <c r="K73" s="81"/>
      <c r="L73" s="81"/>
    </row>
    <row r="74" spans="1:12" x14ac:dyDescent="0.3">
      <c r="A74" s="77"/>
      <c r="B74" s="90"/>
      <c r="C74" s="83"/>
      <c r="D74" s="83"/>
      <c r="E74" s="83"/>
      <c r="F74" s="83"/>
      <c r="G74" s="83"/>
      <c r="H74" s="84"/>
      <c r="I74" s="89"/>
      <c r="J74" s="81"/>
      <c r="K74" s="81"/>
      <c r="L74" s="81"/>
    </row>
    <row r="75" spans="1:12" x14ac:dyDescent="0.3">
      <c r="A75" s="23" t="s">
        <v>66</v>
      </c>
      <c r="B75" s="12" t="s">
        <v>180</v>
      </c>
      <c r="C75" s="13" t="s">
        <v>180</v>
      </c>
      <c r="D75" s="14" t="s">
        <v>180</v>
      </c>
      <c r="E75" s="13" t="s">
        <v>180</v>
      </c>
      <c r="F75" s="14" t="s">
        <v>180</v>
      </c>
      <c r="G75" s="14" t="s">
        <v>180</v>
      </c>
      <c r="H75" s="13" t="s">
        <v>180</v>
      </c>
      <c r="I75" s="15" t="s">
        <v>180</v>
      </c>
      <c r="J75" s="16" t="s">
        <v>67</v>
      </c>
      <c r="K75" s="17"/>
      <c r="L75" s="17"/>
    </row>
    <row r="76" spans="1:12" x14ac:dyDescent="0.3">
      <c r="A76" s="23" t="s">
        <v>68</v>
      </c>
      <c r="B76" s="22" t="s">
        <v>180</v>
      </c>
      <c r="C76" s="13" t="s">
        <v>180</v>
      </c>
      <c r="D76" s="19" t="s">
        <v>180</v>
      </c>
      <c r="E76" s="18" t="s">
        <v>180</v>
      </c>
      <c r="F76" s="19" t="s">
        <v>180</v>
      </c>
      <c r="G76" s="19" t="s">
        <v>180</v>
      </c>
      <c r="H76" s="13" t="s">
        <v>180</v>
      </c>
      <c r="I76" s="15">
        <v>1329</v>
      </c>
      <c r="J76" s="16" t="s">
        <v>69</v>
      </c>
      <c r="K76" s="17"/>
      <c r="L76" s="17"/>
    </row>
    <row r="77" spans="1:12" x14ac:dyDescent="0.3">
      <c r="A77" s="23" t="s">
        <v>70</v>
      </c>
      <c r="B77" s="22" t="s">
        <v>180</v>
      </c>
      <c r="C77" s="13" t="s">
        <v>180</v>
      </c>
      <c r="D77" s="19" t="s">
        <v>180</v>
      </c>
      <c r="E77" s="18" t="s">
        <v>180</v>
      </c>
      <c r="F77" s="19" t="s">
        <v>180</v>
      </c>
      <c r="G77" s="19" t="s">
        <v>180</v>
      </c>
      <c r="H77" s="13" t="s">
        <v>180</v>
      </c>
      <c r="I77" s="15">
        <v>182</v>
      </c>
      <c r="J77" s="16" t="s">
        <v>71</v>
      </c>
      <c r="K77" s="17"/>
      <c r="L77" s="17"/>
    </row>
    <row r="78" spans="1:12" x14ac:dyDescent="0.3">
      <c r="A78" s="23" t="s">
        <v>72</v>
      </c>
      <c r="B78" s="22" t="s">
        <v>180</v>
      </c>
      <c r="C78" s="13" t="s">
        <v>180</v>
      </c>
      <c r="D78" s="19" t="s">
        <v>180</v>
      </c>
      <c r="E78" s="18" t="s">
        <v>180</v>
      </c>
      <c r="F78" s="19" t="s">
        <v>180</v>
      </c>
      <c r="G78" s="19" t="s">
        <v>180</v>
      </c>
      <c r="H78" s="13" t="s">
        <v>180</v>
      </c>
      <c r="I78" s="15" t="s">
        <v>180</v>
      </c>
      <c r="J78" s="16" t="s">
        <v>73</v>
      </c>
      <c r="K78" s="17"/>
      <c r="L78" s="17"/>
    </row>
    <row r="79" spans="1:12" x14ac:dyDescent="0.3">
      <c r="A79" s="23" t="s">
        <v>74</v>
      </c>
      <c r="B79" s="12">
        <v>756248</v>
      </c>
      <c r="C79" s="13">
        <v>1000</v>
      </c>
      <c r="D79" s="14">
        <v>126</v>
      </c>
      <c r="E79" s="18">
        <v>286</v>
      </c>
      <c r="F79" s="14">
        <v>72</v>
      </c>
      <c r="G79" s="14" t="s">
        <v>180</v>
      </c>
      <c r="H79" s="13" t="s">
        <v>180</v>
      </c>
      <c r="I79" s="15">
        <v>15920</v>
      </c>
      <c r="J79" s="16" t="s">
        <v>75</v>
      </c>
      <c r="K79" s="17"/>
      <c r="L79" s="17"/>
    </row>
    <row r="80" spans="1:12" x14ac:dyDescent="0.3">
      <c r="A80" s="23" t="s">
        <v>76</v>
      </c>
      <c r="B80" s="12">
        <v>3643710</v>
      </c>
      <c r="C80" s="13" t="s">
        <v>180</v>
      </c>
      <c r="D80" s="14">
        <v>280</v>
      </c>
      <c r="E80" s="13">
        <v>130</v>
      </c>
      <c r="F80" s="14">
        <v>24900</v>
      </c>
      <c r="G80" s="14" t="s">
        <v>180</v>
      </c>
      <c r="H80" s="18" t="s">
        <v>180</v>
      </c>
      <c r="I80" s="15">
        <v>7745</v>
      </c>
      <c r="J80" s="16" t="s">
        <v>77</v>
      </c>
      <c r="K80" s="17"/>
      <c r="L80" s="17"/>
    </row>
    <row r="81" spans="1:12" x14ac:dyDescent="0.3">
      <c r="A81" s="23" t="s">
        <v>78</v>
      </c>
      <c r="B81" s="22" t="s">
        <v>180</v>
      </c>
      <c r="C81" s="13" t="s">
        <v>180</v>
      </c>
      <c r="D81" s="19" t="s">
        <v>180</v>
      </c>
      <c r="E81" s="18" t="s">
        <v>180</v>
      </c>
      <c r="F81" s="19" t="s">
        <v>180</v>
      </c>
      <c r="G81" s="19" t="s">
        <v>180</v>
      </c>
      <c r="H81" s="18" t="s">
        <v>180</v>
      </c>
      <c r="I81" s="15" t="s">
        <v>180</v>
      </c>
      <c r="J81" s="16" t="s">
        <v>79</v>
      </c>
      <c r="K81" s="17"/>
      <c r="L81" s="17"/>
    </row>
    <row r="82" spans="1:12" x14ac:dyDescent="0.3">
      <c r="A82" s="23" t="s">
        <v>80</v>
      </c>
      <c r="B82" s="12">
        <v>7373</v>
      </c>
      <c r="C82" s="13">
        <v>1820</v>
      </c>
      <c r="D82" s="14">
        <v>1</v>
      </c>
      <c r="E82" s="13">
        <v>1</v>
      </c>
      <c r="F82" s="14" t="s">
        <v>180</v>
      </c>
      <c r="G82" s="14" t="s">
        <v>180</v>
      </c>
      <c r="H82" s="18" t="s">
        <v>180</v>
      </c>
      <c r="I82" s="15">
        <v>8272</v>
      </c>
      <c r="J82" s="16" t="s">
        <v>81</v>
      </c>
      <c r="K82" s="17"/>
      <c r="L82" s="17"/>
    </row>
    <row r="83" spans="1:12" x14ac:dyDescent="0.3">
      <c r="A83" s="77" t="s">
        <v>82</v>
      </c>
      <c r="B83" s="90">
        <f t="shared" ref="B83:I83" si="11">SUM(B85:B89)</f>
        <v>166220</v>
      </c>
      <c r="C83" s="83">
        <f t="shared" si="11"/>
        <v>41407</v>
      </c>
      <c r="D83" s="83">
        <f t="shared" si="11"/>
        <v>383</v>
      </c>
      <c r="E83" s="83">
        <f t="shared" si="11"/>
        <v>393</v>
      </c>
      <c r="F83" s="83">
        <f t="shared" si="11"/>
        <v>694</v>
      </c>
      <c r="G83" s="83">
        <f t="shared" si="11"/>
        <v>3849</v>
      </c>
      <c r="H83" s="84">
        <f t="shared" si="11"/>
        <v>43</v>
      </c>
      <c r="I83" s="89">
        <f t="shared" si="11"/>
        <v>48908</v>
      </c>
      <c r="J83" s="81" t="s">
        <v>83</v>
      </c>
      <c r="K83" s="81"/>
      <c r="L83" s="81"/>
    </row>
    <row r="84" spans="1:12" x14ac:dyDescent="0.3">
      <c r="A84" s="77"/>
      <c r="B84" s="90"/>
      <c r="C84" s="83"/>
      <c r="D84" s="83"/>
      <c r="E84" s="83"/>
      <c r="F84" s="83"/>
      <c r="G84" s="83"/>
      <c r="H84" s="84"/>
      <c r="I84" s="89"/>
      <c r="J84" s="81"/>
      <c r="K84" s="81"/>
      <c r="L84" s="81"/>
    </row>
    <row r="85" spans="1:12" x14ac:dyDescent="0.3">
      <c r="A85" s="11" t="s">
        <v>158</v>
      </c>
      <c r="B85" s="12">
        <v>128500</v>
      </c>
      <c r="C85" s="13">
        <v>21234</v>
      </c>
      <c r="D85" s="14">
        <v>373</v>
      </c>
      <c r="E85" s="13">
        <v>368</v>
      </c>
      <c r="F85" s="14">
        <v>477</v>
      </c>
      <c r="G85" s="14">
        <v>302</v>
      </c>
      <c r="H85" s="13" t="s">
        <v>180</v>
      </c>
      <c r="I85" s="15">
        <v>15088</v>
      </c>
      <c r="J85" s="16" t="s">
        <v>84</v>
      </c>
      <c r="K85" s="17"/>
      <c r="L85" s="17"/>
    </row>
    <row r="86" spans="1:12" x14ac:dyDescent="0.3">
      <c r="A86" s="11" t="s">
        <v>159</v>
      </c>
      <c r="B86" s="22" t="s">
        <v>180</v>
      </c>
      <c r="C86" s="13">
        <v>11600</v>
      </c>
      <c r="D86" s="19" t="s">
        <v>180</v>
      </c>
      <c r="E86" s="18" t="s">
        <v>180</v>
      </c>
      <c r="F86" s="19">
        <v>75</v>
      </c>
      <c r="G86" s="14">
        <v>3200</v>
      </c>
      <c r="H86" s="13">
        <v>43</v>
      </c>
      <c r="I86" s="15">
        <v>9173</v>
      </c>
      <c r="J86" s="16" t="s">
        <v>85</v>
      </c>
      <c r="K86" s="17"/>
      <c r="L86" s="17"/>
    </row>
    <row r="87" spans="1:12" x14ac:dyDescent="0.3">
      <c r="A87" s="11" t="s">
        <v>160</v>
      </c>
      <c r="B87" s="22">
        <v>3500</v>
      </c>
      <c r="C87" s="13">
        <v>2688</v>
      </c>
      <c r="D87" s="19" t="s">
        <v>180</v>
      </c>
      <c r="E87" s="13" t="s">
        <v>180</v>
      </c>
      <c r="F87" s="19" t="s">
        <v>180</v>
      </c>
      <c r="G87" s="14" t="s">
        <v>180</v>
      </c>
      <c r="H87" s="18" t="s">
        <v>180</v>
      </c>
      <c r="I87" s="15">
        <v>6461</v>
      </c>
      <c r="J87" s="16" t="s">
        <v>86</v>
      </c>
      <c r="K87" s="17"/>
      <c r="L87" s="17"/>
    </row>
    <row r="88" spans="1:12" x14ac:dyDescent="0.3">
      <c r="A88" s="11" t="s">
        <v>161</v>
      </c>
      <c r="B88" s="22" t="s">
        <v>180</v>
      </c>
      <c r="C88" s="13">
        <v>4510</v>
      </c>
      <c r="D88" s="19">
        <v>10</v>
      </c>
      <c r="E88" s="18">
        <v>25</v>
      </c>
      <c r="F88" s="19">
        <v>142</v>
      </c>
      <c r="G88" s="14">
        <v>347</v>
      </c>
      <c r="H88" s="18" t="s">
        <v>180</v>
      </c>
      <c r="I88" s="15">
        <v>9404</v>
      </c>
      <c r="J88" s="16" t="s">
        <v>87</v>
      </c>
      <c r="K88" s="17"/>
      <c r="L88" s="17"/>
    </row>
    <row r="89" spans="1:12" x14ac:dyDescent="0.3">
      <c r="A89" s="11" t="s">
        <v>162</v>
      </c>
      <c r="B89" s="12">
        <v>34220</v>
      </c>
      <c r="C89" s="13">
        <v>1375</v>
      </c>
      <c r="D89" s="14" t="s">
        <v>180</v>
      </c>
      <c r="E89" s="13" t="s">
        <v>180</v>
      </c>
      <c r="F89" s="14" t="s">
        <v>180</v>
      </c>
      <c r="G89" s="14" t="s">
        <v>180</v>
      </c>
      <c r="H89" s="18" t="s">
        <v>180</v>
      </c>
      <c r="I89" s="15">
        <v>8782</v>
      </c>
      <c r="J89" s="16" t="s">
        <v>88</v>
      </c>
      <c r="K89" s="17"/>
      <c r="L89" s="17"/>
    </row>
    <row r="90" spans="1:12" x14ac:dyDescent="0.3">
      <c r="A90" s="77" t="s">
        <v>89</v>
      </c>
      <c r="B90" s="90">
        <f t="shared" ref="B90:I90" si="12">SUM(B92:B104)</f>
        <v>171620</v>
      </c>
      <c r="C90" s="83">
        <f t="shared" si="12"/>
        <v>102303</v>
      </c>
      <c r="D90" s="83">
        <f t="shared" si="12"/>
        <v>611</v>
      </c>
      <c r="E90" s="83">
        <f t="shared" si="12"/>
        <v>683</v>
      </c>
      <c r="F90" s="83">
        <f t="shared" si="12"/>
        <v>2613</v>
      </c>
      <c r="G90" s="83">
        <f t="shared" si="12"/>
        <v>9711</v>
      </c>
      <c r="H90" s="84">
        <f t="shared" si="12"/>
        <v>91</v>
      </c>
      <c r="I90" s="89">
        <f t="shared" si="12"/>
        <v>72541</v>
      </c>
      <c r="J90" s="81" t="s">
        <v>90</v>
      </c>
      <c r="K90" s="81"/>
      <c r="L90" s="81"/>
    </row>
    <row r="91" spans="1:12" x14ac:dyDescent="0.3">
      <c r="A91" s="77"/>
      <c r="B91" s="90"/>
      <c r="C91" s="83"/>
      <c r="D91" s="83"/>
      <c r="E91" s="83"/>
      <c r="F91" s="83"/>
      <c r="G91" s="83"/>
      <c r="H91" s="84"/>
      <c r="I91" s="89"/>
      <c r="J91" s="81"/>
      <c r="K91" s="81"/>
      <c r="L91" s="81"/>
    </row>
    <row r="92" spans="1:12" x14ac:dyDescent="0.3">
      <c r="A92" s="11" t="s">
        <v>163</v>
      </c>
      <c r="B92" s="12" t="s">
        <v>180</v>
      </c>
      <c r="C92" s="13">
        <v>2824</v>
      </c>
      <c r="D92" s="14">
        <v>8</v>
      </c>
      <c r="E92" s="13">
        <v>23</v>
      </c>
      <c r="F92" s="14">
        <v>37</v>
      </c>
      <c r="G92" s="14">
        <v>301</v>
      </c>
      <c r="H92" s="13" t="s">
        <v>180</v>
      </c>
      <c r="I92" s="15">
        <v>1360</v>
      </c>
      <c r="J92" s="16" t="s">
        <v>91</v>
      </c>
      <c r="K92" s="17"/>
      <c r="L92" s="17"/>
    </row>
    <row r="93" spans="1:12" x14ac:dyDescent="0.3">
      <c r="A93" s="11" t="s">
        <v>164</v>
      </c>
      <c r="B93" s="22" t="s">
        <v>180</v>
      </c>
      <c r="C93" s="13">
        <v>15800</v>
      </c>
      <c r="D93" s="19">
        <v>280</v>
      </c>
      <c r="E93" s="13">
        <v>224</v>
      </c>
      <c r="F93" s="19">
        <v>49</v>
      </c>
      <c r="G93" s="14">
        <v>335</v>
      </c>
      <c r="H93" s="13">
        <v>56</v>
      </c>
      <c r="I93" s="15">
        <v>3694</v>
      </c>
      <c r="J93" s="16" t="s">
        <v>92</v>
      </c>
      <c r="K93" s="17"/>
      <c r="L93" s="17"/>
    </row>
    <row r="94" spans="1:12" x14ac:dyDescent="0.3">
      <c r="A94" s="11" t="s">
        <v>165</v>
      </c>
      <c r="B94" s="22" t="s">
        <v>180</v>
      </c>
      <c r="C94" s="13">
        <v>9330</v>
      </c>
      <c r="D94" s="19">
        <v>21</v>
      </c>
      <c r="E94" s="13">
        <v>29</v>
      </c>
      <c r="F94" s="19">
        <v>74</v>
      </c>
      <c r="G94" s="14">
        <v>695</v>
      </c>
      <c r="H94" s="13" t="s">
        <v>180</v>
      </c>
      <c r="I94" s="15">
        <v>5713</v>
      </c>
      <c r="J94" s="16" t="s">
        <v>93</v>
      </c>
      <c r="K94" s="17"/>
      <c r="L94" s="17"/>
    </row>
    <row r="95" spans="1:12" x14ac:dyDescent="0.3">
      <c r="A95" s="11" t="s">
        <v>166</v>
      </c>
      <c r="B95" s="12">
        <v>10000</v>
      </c>
      <c r="C95" s="13">
        <v>4285</v>
      </c>
      <c r="D95" s="14" t="s">
        <v>180</v>
      </c>
      <c r="E95" s="13">
        <v>15</v>
      </c>
      <c r="F95" s="14">
        <v>160</v>
      </c>
      <c r="G95" s="14">
        <v>210</v>
      </c>
      <c r="H95" s="18" t="s">
        <v>180</v>
      </c>
      <c r="I95" s="15">
        <v>11001</v>
      </c>
      <c r="J95" s="16" t="s">
        <v>94</v>
      </c>
      <c r="K95" s="17"/>
      <c r="L95" s="17"/>
    </row>
    <row r="96" spans="1:12" x14ac:dyDescent="0.3">
      <c r="A96" s="11" t="s">
        <v>167</v>
      </c>
      <c r="B96" s="22" t="s">
        <v>180</v>
      </c>
      <c r="C96" s="13" t="s">
        <v>180</v>
      </c>
      <c r="D96" s="19" t="s">
        <v>180</v>
      </c>
      <c r="E96" s="18" t="s">
        <v>180</v>
      </c>
      <c r="F96" s="19" t="s">
        <v>180</v>
      </c>
      <c r="G96" s="14" t="s">
        <v>180</v>
      </c>
      <c r="H96" s="18" t="s">
        <v>180</v>
      </c>
      <c r="I96" s="15">
        <v>3930</v>
      </c>
      <c r="J96" s="16" t="s">
        <v>95</v>
      </c>
      <c r="K96" s="17"/>
      <c r="L96" s="17"/>
    </row>
    <row r="97" spans="1:12" x14ac:dyDescent="0.3">
      <c r="A97" s="11" t="s">
        <v>168</v>
      </c>
      <c r="B97" s="22" t="s">
        <v>180</v>
      </c>
      <c r="C97" s="13">
        <v>782</v>
      </c>
      <c r="D97" s="19" t="s">
        <v>180</v>
      </c>
      <c r="E97" s="13" t="s">
        <v>180</v>
      </c>
      <c r="F97" s="19" t="s">
        <v>180</v>
      </c>
      <c r="G97" s="14" t="s">
        <v>180</v>
      </c>
      <c r="H97" s="13" t="s">
        <v>180</v>
      </c>
      <c r="I97" s="15">
        <v>3395</v>
      </c>
      <c r="J97" s="16" t="s">
        <v>96</v>
      </c>
      <c r="K97" s="17"/>
      <c r="L97" s="17"/>
    </row>
    <row r="98" spans="1:12" x14ac:dyDescent="0.3">
      <c r="A98" s="11" t="s">
        <v>169</v>
      </c>
      <c r="B98" s="12" t="s">
        <v>180</v>
      </c>
      <c r="C98" s="13" t="s">
        <v>180</v>
      </c>
      <c r="D98" s="14" t="s">
        <v>180</v>
      </c>
      <c r="E98" s="18" t="s">
        <v>180</v>
      </c>
      <c r="F98" s="14" t="s">
        <v>180</v>
      </c>
      <c r="G98" s="14">
        <v>285</v>
      </c>
      <c r="H98" s="18" t="s">
        <v>180</v>
      </c>
      <c r="I98" s="15">
        <v>16175</v>
      </c>
      <c r="J98" s="16" t="s">
        <v>97</v>
      </c>
      <c r="K98" s="17"/>
      <c r="L98" s="17"/>
    </row>
    <row r="99" spans="1:12" x14ac:dyDescent="0.3">
      <c r="A99" s="11" t="s">
        <v>170</v>
      </c>
      <c r="B99" s="22" t="s">
        <v>180</v>
      </c>
      <c r="C99" s="13">
        <v>10891</v>
      </c>
      <c r="D99" s="19">
        <v>42</v>
      </c>
      <c r="E99" s="13">
        <v>50</v>
      </c>
      <c r="F99" s="19">
        <v>328</v>
      </c>
      <c r="G99" s="14">
        <v>357</v>
      </c>
      <c r="H99" s="13" t="s">
        <v>180</v>
      </c>
      <c r="I99" s="15">
        <v>2485</v>
      </c>
      <c r="J99" s="16" t="s">
        <v>98</v>
      </c>
      <c r="K99" s="17"/>
      <c r="L99" s="17"/>
    </row>
    <row r="100" spans="1:12" x14ac:dyDescent="0.3">
      <c r="A100" s="11" t="s">
        <v>171</v>
      </c>
      <c r="B100" s="22" t="s">
        <v>180</v>
      </c>
      <c r="C100" s="13">
        <v>359</v>
      </c>
      <c r="D100" s="19" t="s">
        <v>180</v>
      </c>
      <c r="E100" s="18" t="s">
        <v>180</v>
      </c>
      <c r="F100" s="19" t="s">
        <v>180</v>
      </c>
      <c r="G100" s="14" t="s">
        <v>180</v>
      </c>
      <c r="H100" s="18" t="s">
        <v>180</v>
      </c>
      <c r="I100" s="15">
        <v>13</v>
      </c>
      <c r="J100" s="16" t="s">
        <v>99</v>
      </c>
      <c r="K100" s="17"/>
      <c r="L100" s="17"/>
    </row>
    <row r="101" spans="1:12" x14ac:dyDescent="0.3">
      <c r="A101" s="11" t="s">
        <v>172</v>
      </c>
      <c r="B101" s="22">
        <v>1340</v>
      </c>
      <c r="C101" s="13">
        <v>43200</v>
      </c>
      <c r="D101" s="19">
        <v>250</v>
      </c>
      <c r="E101" s="13">
        <v>237</v>
      </c>
      <c r="F101" s="19">
        <v>1765</v>
      </c>
      <c r="G101" s="14">
        <v>6670</v>
      </c>
      <c r="H101" s="13" t="s">
        <v>180</v>
      </c>
      <c r="I101" s="15">
        <v>5795</v>
      </c>
      <c r="J101" s="16" t="s">
        <v>100</v>
      </c>
      <c r="K101" s="17"/>
      <c r="L101" s="17"/>
    </row>
    <row r="102" spans="1:12" x14ac:dyDescent="0.3">
      <c r="A102" s="11" t="s">
        <v>173</v>
      </c>
      <c r="B102" s="22" t="s">
        <v>180</v>
      </c>
      <c r="C102" s="13">
        <v>2421</v>
      </c>
      <c r="D102" s="19">
        <v>10</v>
      </c>
      <c r="E102" s="13" t="s">
        <v>180</v>
      </c>
      <c r="F102" s="19">
        <v>200</v>
      </c>
      <c r="G102" s="14">
        <v>650</v>
      </c>
      <c r="H102" s="13">
        <v>35</v>
      </c>
      <c r="I102" s="15">
        <v>1110</v>
      </c>
      <c r="J102" s="16" t="s">
        <v>101</v>
      </c>
      <c r="K102" s="17"/>
      <c r="L102" s="17"/>
    </row>
    <row r="103" spans="1:12" x14ac:dyDescent="0.3">
      <c r="A103" s="11" t="s">
        <v>174</v>
      </c>
      <c r="B103" s="12">
        <v>160280</v>
      </c>
      <c r="C103" s="13">
        <v>8888</v>
      </c>
      <c r="D103" s="14" t="s">
        <v>180</v>
      </c>
      <c r="E103" s="13" t="s">
        <v>180</v>
      </c>
      <c r="F103" s="14" t="s">
        <v>180</v>
      </c>
      <c r="G103" s="14" t="s">
        <v>180</v>
      </c>
      <c r="H103" s="18" t="s">
        <v>180</v>
      </c>
      <c r="I103" s="15">
        <v>15550</v>
      </c>
      <c r="J103" s="16" t="s">
        <v>102</v>
      </c>
      <c r="K103" s="17"/>
      <c r="L103" s="17"/>
    </row>
    <row r="104" spans="1:12" x14ac:dyDescent="0.3">
      <c r="A104" s="11" t="s">
        <v>175</v>
      </c>
      <c r="B104" s="22" t="s">
        <v>180</v>
      </c>
      <c r="C104" s="13">
        <v>3523</v>
      </c>
      <c r="D104" s="19" t="s">
        <v>180</v>
      </c>
      <c r="E104" s="13">
        <v>105</v>
      </c>
      <c r="F104" s="19" t="s">
        <v>180</v>
      </c>
      <c r="G104" s="14">
        <v>208</v>
      </c>
      <c r="H104" s="18" t="s">
        <v>180</v>
      </c>
      <c r="I104" s="15">
        <v>2320</v>
      </c>
      <c r="J104" s="16" t="s">
        <v>103</v>
      </c>
      <c r="K104" s="17"/>
      <c r="L104" s="17"/>
    </row>
    <row r="105" spans="1:12" x14ac:dyDescent="0.3">
      <c r="A105" s="77" t="s">
        <v>104</v>
      </c>
      <c r="B105" s="90">
        <f t="shared" ref="B105:I105" si="13">SUM(B107:B110)</f>
        <v>357310</v>
      </c>
      <c r="C105" s="83">
        <f t="shared" si="13"/>
        <v>350473</v>
      </c>
      <c r="D105" s="83">
        <f t="shared" si="13"/>
        <v>6591</v>
      </c>
      <c r="E105" s="83">
        <f t="shared" si="13"/>
        <v>2299</v>
      </c>
      <c r="F105" s="83">
        <f t="shared" si="13"/>
        <v>4278</v>
      </c>
      <c r="G105" s="83">
        <f t="shared" si="13"/>
        <v>251320</v>
      </c>
      <c r="H105" s="84">
        <f t="shared" si="13"/>
        <v>0</v>
      </c>
      <c r="I105" s="89">
        <f t="shared" si="13"/>
        <v>473648</v>
      </c>
      <c r="J105" s="81" t="s">
        <v>105</v>
      </c>
      <c r="K105" s="81"/>
      <c r="L105" s="81"/>
    </row>
    <row r="106" spans="1:12" x14ac:dyDescent="0.3">
      <c r="A106" s="77"/>
      <c r="B106" s="90"/>
      <c r="C106" s="83"/>
      <c r="D106" s="83"/>
      <c r="E106" s="83"/>
      <c r="F106" s="83"/>
      <c r="G106" s="83"/>
      <c r="H106" s="84"/>
      <c r="I106" s="89"/>
      <c r="J106" s="81"/>
      <c r="K106" s="81"/>
      <c r="L106" s="81"/>
    </row>
    <row r="107" spans="1:12" x14ac:dyDescent="0.3">
      <c r="A107" s="11" t="s">
        <v>176</v>
      </c>
      <c r="B107" s="12">
        <v>83430</v>
      </c>
      <c r="C107" s="13">
        <v>141337</v>
      </c>
      <c r="D107" s="14">
        <v>1022</v>
      </c>
      <c r="E107" s="13">
        <v>1053</v>
      </c>
      <c r="F107" s="14">
        <v>982</v>
      </c>
      <c r="G107" s="14">
        <v>114489</v>
      </c>
      <c r="H107" s="13" t="s">
        <v>180</v>
      </c>
      <c r="I107" s="15">
        <v>229375</v>
      </c>
      <c r="J107" s="16" t="s">
        <v>106</v>
      </c>
      <c r="K107" s="17"/>
      <c r="L107" s="17"/>
    </row>
    <row r="108" spans="1:12" x14ac:dyDescent="0.3">
      <c r="A108" s="11" t="s">
        <v>177</v>
      </c>
      <c r="B108" s="22">
        <v>1550</v>
      </c>
      <c r="C108" s="13">
        <v>15171</v>
      </c>
      <c r="D108" s="19" t="s">
        <v>180</v>
      </c>
      <c r="E108" s="18" t="s">
        <v>180</v>
      </c>
      <c r="F108" s="19" t="s">
        <v>180</v>
      </c>
      <c r="G108" s="14">
        <v>4619</v>
      </c>
      <c r="H108" s="13" t="s">
        <v>180</v>
      </c>
      <c r="I108" s="15">
        <v>25004</v>
      </c>
      <c r="J108" s="16" t="s">
        <v>107</v>
      </c>
      <c r="K108" s="17"/>
      <c r="L108" s="17"/>
    </row>
    <row r="109" spans="1:12" x14ac:dyDescent="0.3">
      <c r="A109" s="11" t="s">
        <v>178</v>
      </c>
      <c r="B109" s="12">
        <v>237530</v>
      </c>
      <c r="C109" s="13">
        <v>28726</v>
      </c>
      <c r="D109" s="14">
        <v>5569</v>
      </c>
      <c r="E109" s="13">
        <v>1246</v>
      </c>
      <c r="F109" s="14">
        <v>3296</v>
      </c>
      <c r="G109" s="14">
        <v>46244</v>
      </c>
      <c r="H109" s="13" t="s">
        <v>180</v>
      </c>
      <c r="I109" s="15">
        <v>81879</v>
      </c>
      <c r="J109" s="16" t="s">
        <v>108</v>
      </c>
      <c r="K109" s="17"/>
      <c r="L109" s="17"/>
    </row>
    <row r="110" spans="1:12" ht="15" thickBot="1" x14ac:dyDescent="0.35">
      <c r="A110" s="24" t="s">
        <v>179</v>
      </c>
      <c r="B110" s="25">
        <v>34800</v>
      </c>
      <c r="C110" s="26">
        <v>165239</v>
      </c>
      <c r="D110" s="27" t="s">
        <v>180</v>
      </c>
      <c r="E110" s="26" t="s">
        <v>180</v>
      </c>
      <c r="F110" s="27" t="s">
        <v>180</v>
      </c>
      <c r="G110" s="27">
        <v>85968</v>
      </c>
      <c r="H110" s="26" t="s">
        <v>180</v>
      </c>
      <c r="I110" s="28">
        <v>137390</v>
      </c>
      <c r="J110" s="29" t="s">
        <v>109</v>
      </c>
      <c r="K110" s="30"/>
      <c r="L110" s="30"/>
    </row>
    <row r="111" spans="1:12" x14ac:dyDescent="0.3">
      <c r="A111" s="31"/>
      <c r="I111" s="4"/>
      <c r="K111" s="94"/>
      <c r="L111" s="94"/>
    </row>
    <row r="112" spans="1:12" x14ac:dyDescent="0.3">
      <c r="A112" s="32"/>
      <c r="I112" s="33"/>
      <c r="J112" s="32"/>
      <c r="K112" s="32"/>
      <c r="L112" s="32"/>
    </row>
    <row r="113" spans="1:12" ht="10.199999999999999" customHeight="1" x14ac:dyDescent="0.3">
      <c r="A113" s="34"/>
      <c r="B113" s="35"/>
      <c r="C113" s="35"/>
      <c r="D113" s="35"/>
      <c r="E113" s="35"/>
      <c r="J113" s="35"/>
      <c r="K113" s="35"/>
      <c r="L113" s="35"/>
    </row>
    <row r="114" spans="1:12" ht="10.199999999999999" customHeight="1" x14ac:dyDescent="0.3">
      <c r="A114" s="34"/>
      <c r="B114" s="35"/>
      <c r="C114" s="35"/>
      <c r="D114" s="35"/>
      <c r="E114" s="35"/>
      <c r="J114" s="35"/>
      <c r="K114" s="35"/>
      <c r="L114" s="35"/>
    </row>
    <row r="115" spans="1:12" ht="10.199999999999999" customHeight="1" x14ac:dyDescent="0.3">
      <c r="A115" s="95"/>
      <c r="B115" s="95"/>
      <c r="C115" s="95"/>
      <c r="D115" s="95"/>
      <c r="E115" s="95"/>
      <c r="J115" s="95"/>
      <c r="K115" s="95"/>
      <c r="L115" s="95"/>
    </row>
    <row r="116" spans="1:12" x14ac:dyDescent="0.3">
      <c r="A116" s="95"/>
      <c r="B116" s="95"/>
      <c r="C116" s="95"/>
      <c r="D116" s="95"/>
      <c r="E116" s="95"/>
      <c r="J116" s="95"/>
      <c r="K116" s="95"/>
      <c r="L116" s="95"/>
    </row>
    <row r="125" spans="1:12" x14ac:dyDescent="0.3">
      <c r="A125" s="36"/>
    </row>
    <row r="126" spans="1:12" x14ac:dyDescent="0.3">
      <c r="A126" s="99"/>
      <c r="B126" s="99"/>
      <c r="C126" s="99"/>
      <c r="D126" s="99"/>
      <c r="E126" s="99"/>
      <c r="F126" s="99"/>
      <c r="G126" s="94"/>
      <c r="H126" s="94"/>
      <c r="I126" s="94"/>
    </row>
    <row r="127" spans="1:12" x14ac:dyDescent="0.3">
      <c r="A127" s="99"/>
      <c r="B127" s="99"/>
      <c r="C127" s="99"/>
      <c r="D127" s="99"/>
      <c r="E127" s="99"/>
      <c r="F127" s="99"/>
      <c r="G127" s="94"/>
      <c r="H127" s="94"/>
      <c r="I127" s="94"/>
    </row>
    <row r="128" spans="1:12" x14ac:dyDescent="0.3">
      <c r="A128" s="99"/>
      <c r="B128" s="99"/>
      <c r="C128" s="99"/>
      <c r="D128" s="99"/>
      <c r="E128" s="99"/>
      <c r="F128" s="99"/>
      <c r="G128" s="94"/>
      <c r="H128" s="94"/>
      <c r="I128" s="94"/>
    </row>
    <row r="129" spans="1:9" x14ac:dyDescent="0.3">
      <c r="A129" s="36"/>
      <c r="F129" s="57"/>
      <c r="G129" s="57"/>
      <c r="H129" s="57"/>
      <c r="I129" s="57"/>
    </row>
    <row r="130" spans="1:9" x14ac:dyDescent="0.3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x14ac:dyDescent="0.3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x14ac:dyDescent="0.3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x14ac:dyDescent="0.3">
      <c r="A133" s="97"/>
      <c r="B133" s="37"/>
      <c r="C133" s="37"/>
      <c r="D133" s="37"/>
      <c r="E133" s="37"/>
      <c r="F133" s="37"/>
      <c r="G133" s="37"/>
      <c r="H133" s="37"/>
      <c r="I133" s="37"/>
    </row>
    <row r="134" spans="1:9" x14ac:dyDescent="0.3">
      <c r="A134" s="38"/>
    </row>
    <row r="135" spans="1:9" x14ac:dyDescent="0.3">
      <c r="A135" s="39"/>
    </row>
    <row r="136" spans="1:9" x14ac:dyDescent="0.3">
      <c r="A136" s="100"/>
      <c r="B136" s="98"/>
      <c r="C136" s="98"/>
      <c r="D136" s="98"/>
      <c r="E136" s="98"/>
      <c r="F136" s="98"/>
      <c r="G136" s="98"/>
      <c r="H136" s="98"/>
      <c r="I136" s="98"/>
    </row>
    <row r="137" spans="1:9" x14ac:dyDescent="0.3">
      <c r="A137" s="100"/>
      <c r="B137" s="98"/>
      <c r="C137" s="98"/>
      <c r="D137" s="98"/>
      <c r="E137" s="98"/>
      <c r="F137" s="98"/>
      <c r="G137" s="98"/>
      <c r="H137" s="98"/>
      <c r="I137" s="98"/>
    </row>
    <row r="138" spans="1:9" x14ac:dyDescent="0.3">
      <c r="A138" s="100"/>
      <c r="B138" s="98"/>
      <c r="C138" s="98"/>
      <c r="D138" s="98"/>
      <c r="E138" s="98"/>
      <c r="F138" s="98"/>
      <c r="G138" s="98"/>
      <c r="H138" s="98"/>
      <c r="I138" s="98"/>
    </row>
    <row r="139" spans="1:9" x14ac:dyDescent="0.3">
      <c r="A139" s="39"/>
      <c r="F139" s="6"/>
      <c r="G139" s="6"/>
    </row>
    <row r="140" spans="1:9" x14ac:dyDescent="0.3">
      <c r="A140" s="39"/>
      <c r="F140" s="6"/>
      <c r="G140" s="6"/>
    </row>
    <row r="141" spans="1:9" x14ac:dyDescent="0.3">
      <c r="A141" s="39"/>
      <c r="F141" s="6"/>
      <c r="G141" s="6"/>
    </row>
    <row r="142" spans="1:9" x14ac:dyDescent="0.3">
      <c r="A142" s="39"/>
      <c r="F142" s="6"/>
      <c r="G142" s="6"/>
    </row>
    <row r="143" spans="1:9" x14ac:dyDescent="0.3">
      <c r="A143" s="39"/>
      <c r="F143" s="6"/>
      <c r="G143" s="6"/>
    </row>
    <row r="144" spans="1:9" x14ac:dyDescent="0.3">
      <c r="A144" s="39"/>
      <c r="F144" s="6"/>
      <c r="G144" s="6"/>
    </row>
    <row r="145" spans="1:7" x14ac:dyDescent="0.3">
      <c r="A145" s="100"/>
    </row>
    <row r="146" spans="1:7" x14ac:dyDescent="0.3">
      <c r="A146" s="100"/>
    </row>
    <row r="147" spans="1:7" x14ac:dyDescent="0.3">
      <c r="A147" s="39"/>
      <c r="F147" s="6"/>
      <c r="G147" s="6"/>
    </row>
    <row r="148" spans="1:7" x14ac:dyDescent="0.3">
      <c r="A148" s="39"/>
      <c r="F148" s="6"/>
      <c r="G148" s="6"/>
    </row>
    <row r="149" spans="1:7" x14ac:dyDescent="0.3">
      <c r="A149" s="39"/>
      <c r="F149" s="6"/>
      <c r="G149" s="6"/>
    </row>
    <row r="150" spans="1:7" x14ac:dyDescent="0.3">
      <c r="A150" s="39"/>
      <c r="F150" s="6"/>
      <c r="G150" s="6"/>
    </row>
    <row r="151" spans="1:7" x14ac:dyDescent="0.3">
      <c r="A151" s="39"/>
      <c r="F151" s="6"/>
      <c r="G151" s="6"/>
    </row>
    <row r="152" spans="1:7" x14ac:dyDescent="0.3">
      <c r="A152" s="39"/>
      <c r="F152" s="6"/>
      <c r="G152" s="6"/>
    </row>
    <row r="153" spans="1:7" x14ac:dyDescent="0.3">
      <c r="A153" s="39"/>
      <c r="F153" s="6"/>
      <c r="G153" s="6"/>
    </row>
    <row r="154" spans="1:7" x14ac:dyDescent="0.3">
      <c r="A154" s="39"/>
      <c r="F154" s="6"/>
      <c r="G154" s="6"/>
    </row>
    <row r="155" spans="1:7" x14ac:dyDescent="0.3">
      <c r="A155" s="39"/>
      <c r="F155" s="6"/>
      <c r="G155" s="6"/>
    </row>
    <row r="156" spans="1:7" x14ac:dyDescent="0.3">
      <c r="A156" s="39"/>
      <c r="F156" s="6"/>
      <c r="G156" s="6"/>
    </row>
    <row r="157" spans="1:7" x14ac:dyDescent="0.3">
      <c r="A157" s="39"/>
      <c r="F157" s="6"/>
      <c r="G157" s="6"/>
    </row>
    <row r="158" spans="1:7" x14ac:dyDescent="0.3">
      <c r="A158" s="96"/>
    </row>
    <row r="159" spans="1:7" x14ac:dyDescent="0.3">
      <c r="A159" s="96"/>
    </row>
    <row r="160" spans="1:7" x14ac:dyDescent="0.3">
      <c r="A160" s="39"/>
      <c r="F160" s="6"/>
      <c r="G160" s="6"/>
    </row>
    <row r="161" spans="1:7" x14ac:dyDescent="0.3">
      <c r="A161" s="39"/>
      <c r="F161" s="6"/>
      <c r="G161" s="6"/>
    </row>
    <row r="162" spans="1:7" x14ac:dyDescent="0.3">
      <c r="A162" s="39"/>
      <c r="F162" s="6"/>
      <c r="G162" s="6"/>
    </row>
    <row r="163" spans="1:7" x14ac:dyDescent="0.3">
      <c r="A163" s="39"/>
      <c r="F163" s="6"/>
      <c r="G163" s="6"/>
    </row>
    <row r="164" spans="1:7" x14ac:dyDescent="0.3">
      <c r="A164" s="96"/>
    </row>
    <row r="165" spans="1:7" x14ac:dyDescent="0.3">
      <c r="A165" s="96"/>
    </row>
    <row r="166" spans="1:7" x14ac:dyDescent="0.3">
      <c r="A166" s="39"/>
      <c r="F166" s="6"/>
      <c r="G166" s="6"/>
    </row>
    <row r="167" spans="1:7" x14ac:dyDescent="0.3">
      <c r="A167" s="39"/>
      <c r="F167" s="6"/>
      <c r="G167" s="6"/>
    </row>
    <row r="168" spans="1:7" x14ac:dyDescent="0.3">
      <c r="A168" s="39"/>
      <c r="F168" s="6"/>
      <c r="G168" s="6"/>
    </row>
    <row r="169" spans="1:7" x14ac:dyDescent="0.3">
      <c r="A169" s="39"/>
      <c r="F169" s="6"/>
      <c r="G169" s="6"/>
    </row>
    <row r="170" spans="1:7" x14ac:dyDescent="0.3">
      <c r="A170" s="39"/>
      <c r="F170" s="6"/>
      <c r="G170" s="6"/>
    </row>
    <row r="171" spans="1:7" x14ac:dyDescent="0.3">
      <c r="A171" s="96"/>
    </row>
    <row r="172" spans="1:7" x14ac:dyDescent="0.3">
      <c r="A172" s="96"/>
    </row>
    <row r="173" spans="1:7" x14ac:dyDescent="0.3">
      <c r="A173" s="39"/>
      <c r="F173" s="6"/>
      <c r="G173" s="6"/>
    </row>
    <row r="174" spans="1:7" x14ac:dyDescent="0.3">
      <c r="A174" s="39"/>
      <c r="F174" s="6"/>
      <c r="G174" s="6"/>
    </row>
    <row r="175" spans="1:7" x14ac:dyDescent="0.3">
      <c r="A175" s="39"/>
      <c r="F175" s="6"/>
      <c r="G175" s="6"/>
    </row>
    <row r="176" spans="1:7" x14ac:dyDescent="0.3">
      <c r="A176" s="39"/>
      <c r="F176" s="6"/>
      <c r="G176" s="6"/>
    </row>
    <row r="177" spans="1:7" x14ac:dyDescent="0.3">
      <c r="A177" s="39"/>
      <c r="F177" s="6"/>
      <c r="G177" s="6"/>
    </row>
    <row r="178" spans="1:7" x14ac:dyDescent="0.3">
      <c r="A178" s="96"/>
    </row>
    <row r="179" spans="1:7" x14ac:dyDescent="0.3">
      <c r="A179" s="96"/>
    </row>
    <row r="180" spans="1:7" x14ac:dyDescent="0.3">
      <c r="A180" s="39"/>
      <c r="F180" s="6"/>
      <c r="G180" s="6"/>
    </row>
    <row r="181" spans="1:7" x14ac:dyDescent="0.3">
      <c r="A181" s="39"/>
      <c r="F181" s="6"/>
      <c r="G181" s="6"/>
    </row>
    <row r="182" spans="1:7" x14ac:dyDescent="0.3">
      <c r="A182" s="39"/>
      <c r="F182" s="6"/>
      <c r="G182" s="6"/>
    </row>
    <row r="183" spans="1:7" x14ac:dyDescent="0.3">
      <c r="A183" s="39"/>
      <c r="F183" s="6"/>
      <c r="G183" s="6"/>
    </row>
    <row r="184" spans="1:7" x14ac:dyDescent="0.3">
      <c r="A184" s="39"/>
      <c r="F184" s="6"/>
      <c r="G184" s="6"/>
    </row>
    <row r="185" spans="1:7" x14ac:dyDescent="0.3">
      <c r="A185" s="96"/>
    </row>
    <row r="186" spans="1:7" x14ac:dyDescent="0.3">
      <c r="A186" s="96"/>
    </row>
    <row r="187" spans="1:7" x14ac:dyDescent="0.3">
      <c r="A187" s="39"/>
      <c r="F187" s="6"/>
      <c r="G187" s="6"/>
    </row>
    <row r="188" spans="1:7" x14ac:dyDescent="0.3">
      <c r="A188" s="39"/>
      <c r="F188" s="6"/>
      <c r="G188" s="6"/>
    </row>
    <row r="189" spans="1:7" x14ac:dyDescent="0.3">
      <c r="A189" s="39"/>
      <c r="F189" s="6"/>
      <c r="G189" s="6"/>
    </row>
    <row r="190" spans="1:7" x14ac:dyDescent="0.3">
      <c r="A190" s="96"/>
    </row>
    <row r="191" spans="1:7" x14ac:dyDescent="0.3">
      <c r="A191" s="96"/>
    </row>
    <row r="192" spans="1:7" x14ac:dyDescent="0.3">
      <c r="A192" s="39"/>
      <c r="F192" s="6"/>
      <c r="G192" s="6"/>
    </row>
    <row r="193" spans="1:7" x14ac:dyDescent="0.3">
      <c r="A193" s="39"/>
      <c r="F193" s="6"/>
      <c r="G193" s="6"/>
    </row>
    <row r="194" spans="1:7" x14ac:dyDescent="0.3">
      <c r="A194" s="39"/>
      <c r="F194" s="6"/>
      <c r="G194" s="6"/>
    </row>
    <row r="195" spans="1:7" x14ac:dyDescent="0.3">
      <c r="A195" s="39"/>
      <c r="F195" s="6"/>
      <c r="G195" s="6"/>
    </row>
    <row r="196" spans="1:7" x14ac:dyDescent="0.3">
      <c r="A196" s="39"/>
      <c r="F196" s="6"/>
      <c r="G196" s="6"/>
    </row>
    <row r="197" spans="1:7" x14ac:dyDescent="0.3">
      <c r="A197" s="96"/>
    </row>
    <row r="198" spans="1:7" x14ac:dyDescent="0.3">
      <c r="A198" s="96"/>
    </row>
    <row r="199" spans="1:7" x14ac:dyDescent="0.3">
      <c r="A199" s="39"/>
      <c r="F199" s="6"/>
      <c r="G199" s="6"/>
    </row>
    <row r="200" spans="1:7" x14ac:dyDescent="0.3">
      <c r="A200" s="39"/>
      <c r="F200" s="6"/>
      <c r="G200" s="6"/>
    </row>
    <row r="201" spans="1:7" x14ac:dyDescent="0.3">
      <c r="A201" s="39"/>
      <c r="F201" s="6"/>
      <c r="G201" s="6"/>
    </row>
    <row r="202" spans="1:7" x14ac:dyDescent="0.3">
      <c r="A202" s="39"/>
      <c r="F202" s="6"/>
      <c r="G202" s="6"/>
    </row>
    <row r="203" spans="1:7" x14ac:dyDescent="0.3">
      <c r="A203" s="39"/>
      <c r="F203" s="6"/>
      <c r="G203" s="6"/>
    </row>
    <row r="204" spans="1:7" x14ac:dyDescent="0.3">
      <c r="A204" s="39"/>
      <c r="F204" s="6"/>
      <c r="G204" s="6"/>
    </row>
    <row r="205" spans="1:7" x14ac:dyDescent="0.3">
      <c r="A205" s="39"/>
      <c r="F205" s="6"/>
      <c r="G205" s="6"/>
    </row>
    <row r="206" spans="1:7" x14ac:dyDescent="0.3">
      <c r="A206" s="39"/>
      <c r="F206" s="6"/>
      <c r="G206" s="6"/>
    </row>
    <row r="207" spans="1:7" x14ac:dyDescent="0.3">
      <c r="A207" s="96"/>
    </row>
    <row r="208" spans="1:7" x14ac:dyDescent="0.3">
      <c r="A208" s="96"/>
    </row>
    <row r="209" spans="1:7" x14ac:dyDescent="0.3">
      <c r="A209" s="39"/>
      <c r="F209" s="6"/>
      <c r="G209" s="6"/>
    </row>
    <row r="210" spans="1:7" x14ac:dyDescent="0.3">
      <c r="A210" s="39"/>
      <c r="F210" s="6"/>
      <c r="G210" s="6"/>
    </row>
    <row r="211" spans="1:7" x14ac:dyDescent="0.3">
      <c r="A211" s="39"/>
      <c r="F211" s="6"/>
      <c r="G211" s="6"/>
    </row>
    <row r="212" spans="1:7" x14ac:dyDescent="0.3">
      <c r="A212" s="39"/>
      <c r="F212" s="6"/>
      <c r="G212" s="6"/>
    </row>
    <row r="213" spans="1:7" x14ac:dyDescent="0.3">
      <c r="A213" s="39"/>
      <c r="F213" s="6"/>
      <c r="G213" s="6"/>
    </row>
    <row r="214" spans="1:7" x14ac:dyDescent="0.3">
      <c r="A214" s="96"/>
    </row>
    <row r="215" spans="1:7" x14ac:dyDescent="0.3">
      <c r="A215" s="96"/>
    </row>
    <row r="216" spans="1:7" x14ac:dyDescent="0.3">
      <c r="A216" s="39"/>
      <c r="F216" s="6"/>
      <c r="G216" s="6"/>
    </row>
    <row r="217" spans="1:7" x14ac:dyDescent="0.3">
      <c r="A217" s="39"/>
      <c r="F217" s="6"/>
      <c r="G217" s="6"/>
    </row>
    <row r="218" spans="1:7" x14ac:dyDescent="0.3">
      <c r="A218" s="39"/>
      <c r="F218" s="6"/>
      <c r="G218" s="6"/>
    </row>
    <row r="219" spans="1:7" x14ac:dyDescent="0.3">
      <c r="A219" s="39"/>
      <c r="F219" s="6"/>
      <c r="G219" s="6"/>
    </row>
    <row r="220" spans="1:7" x14ac:dyDescent="0.3">
      <c r="A220" s="39"/>
      <c r="F220" s="6"/>
      <c r="G220" s="6"/>
    </row>
    <row r="221" spans="1:7" x14ac:dyDescent="0.3">
      <c r="A221" s="39"/>
      <c r="F221" s="6"/>
      <c r="G221" s="6"/>
    </row>
    <row r="222" spans="1:7" x14ac:dyDescent="0.3">
      <c r="A222" s="39"/>
      <c r="F222" s="6"/>
      <c r="G222" s="6"/>
    </row>
    <row r="223" spans="1:7" x14ac:dyDescent="0.3">
      <c r="A223" s="39"/>
      <c r="F223" s="6"/>
      <c r="G223" s="6"/>
    </row>
    <row r="224" spans="1:7" x14ac:dyDescent="0.3">
      <c r="A224" s="39"/>
      <c r="F224" s="6"/>
      <c r="G224" s="6"/>
    </row>
    <row r="225" spans="1:7" x14ac:dyDescent="0.3">
      <c r="A225" s="39"/>
      <c r="F225" s="6"/>
      <c r="G225" s="6"/>
    </row>
    <row r="226" spans="1:7" x14ac:dyDescent="0.3">
      <c r="A226" s="39"/>
      <c r="F226" s="6"/>
      <c r="G226" s="6"/>
    </row>
    <row r="227" spans="1:7" x14ac:dyDescent="0.3">
      <c r="A227" s="39"/>
      <c r="F227" s="6"/>
      <c r="G227" s="6"/>
    </row>
    <row r="228" spans="1:7" x14ac:dyDescent="0.3">
      <c r="A228" s="39"/>
      <c r="F228" s="6"/>
      <c r="G228" s="6"/>
    </row>
    <row r="229" spans="1:7" x14ac:dyDescent="0.3">
      <c r="A229" s="96"/>
    </row>
    <row r="230" spans="1:7" x14ac:dyDescent="0.3">
      <c r="A230" s="96"/>
    </row>
    <row r="231" spans="1:7" x14ac:dyDescent="0.3">
      <c r="A231" s="39"/>
      <c r="F231" s="6"/>
      <c r="G231" s="6"/>
    </row>
    <row r="232" spans="1:7" x14ac:dyDescent="0.3">
      <c r="A232" s="39"/>
      <c r="F232" s="6"/>
      <c r="G232" s="6"/>
    </row>
    <row r="233" spans="1:7" x14ac:dyDescent="0.3">
      <c r="A233" s="39"/>
      <c r="F233" s="6"/>
      <c r="G233" s="6"/>
    </row>
    <row r="234" spans="1:7" x14ac:dyDescent="0.3">
      <c r="A234" s="39"/>
      <c r="F234" s="6"/>
      <c r="G234" s="6"/>
    </row>
    <row r="235" spans="1:7" x14ac:dyDescent="0.3">
      <c r="A235" s="39"/>
    </row>
    <row r="236" spans="1:7" x14ac:dyDescent="0.3">
      <c r="A236" s="39"/>
    </row>
  </sheetData>
  <mergeCells count="183">
    <mergeCell ref="D73:D74"/>
    <mergeCell ref="E73:E74"/>
    <mergeCell ref="I40:I41"/>
    <mergeCell ref="H136:H138"/>
    <mergeCell ref="H54:H55"/>
    <mergeCell ref="H47:H48"/>
    <mergeCell ref="A12:A13"/>
    <mergeCell ref="D40:D41"/>
    <mergeCell ref="A47:A48"/>
    <mergeCell ref="B47:B48"/>
    <mergeCell ref="C47:C48"/>
    <mergeCell ref="D47:D48"/>
    <mergeCell ref="A54:A55"/>
    <mergeCell ref="B54:B55"/>
    <mergeCell ref="C54:C55"/>
    <mergeCell ref="D54:D55"/>
    <mergeCell ref="B34:B35"/>
    <mergeCell ref="F136:F138"/>
    <mergeCell ref="G40:G41"/>
    <mergeCell ref="A40:A41"/>
    <mergeCell ref="B40:B41"/>
    <mergeCell ref="C40:C41"/>
    <mergeCell ref="H105:H106"/>
    <mergeCell ref="C61:C62"/>
    <mergeCell ref="D61:D62"/>
    <mergeCell ref="G47:G48"/>
    <mergeCell ref="B12:B13"/>
    <mergeCell ref="A197:A198"/>
    <mergeCell ref="G61:G62"/>
    <mergeCell ref="D132:E132"/>
    <mergeCell ref="A158:A159"/>
    <mergeCell ref="A164:A165"/>
    <mergeCell ref="A171:A172"/>
    <mergeCell ref="A145:A146"/>
    <mergeCell ref="A136:A138"/>
    <mergeCell ref="B136:B138"/>
    <mergeCell ref="C136:C138"/>
    <mergeCell ref="D136:D138"/>
    <mergeCell ref="E136:E138"/>
    <mergeCell ref="A105:A106"/>
    <mergeCell ref="B105:B106"/>
    <mergeCell ref="C105:C106"/>
    <mergeCell ref="D105:D106"/>
    <mergeCell ref="E105:E106"/>
    <mergeCell ref="A73:A74"/>
    <mergeCell ref="B73:B74"/>
    <mergeCell ref="A61:A62"/>
    <mergeCell ref="B61:B62"/>
    <mergeCell ref="F105:F106"/>
    <mergeCell ref="G105:G106"/>
    <mergeCell ref="C73:C74"/>
    <mergeCell ref="A229:A230"/>
    <mergeCell ref="A185:A186"/>
    <mergeCell ref="A190:A191"/>
    <mergeCell ref="H66:H67"/>
    <mergeCell ref="A130:A133"/>
    <mergeCell ref="B130:E131"/>
    <mergeCell ref="F130:G132"/>
    <mergeCell ref="A207:A208"/>
    <mergeCell ref="H90:H91"/>
    <mergeCell ref="F73:F74"/>
    <mergeCell ref="G73:G74"/>
    <mergeCell ref="H73:H74"/>
    <mergeCell ref="A178:A179"/>
    <mergeCell ref="G136:G138"/>
    <mergeCell ref="A126:F128"/>
    <mergeCell ref="G126:I128"/>
    <mergeCell ref="H130:I132"/>
    <mergeCell ref="B132:C132"/>
    <mergeCell ref="A214:A215"/>
    <mergeCell ref="I136:I138"/>
    <mergeCell ref="A66:A67"/>
    <mergeCell ref="B66:B67"/>
    <mergeCell ref="C66:C67"/>
    <mergeCell ref="D66:D67"/>
    <mergeCell ref="K111:L111"/>
    <mergeCell ref="A115:E115"/>
    <mergeCell ref="J115:L115"/>
    <mergeCell ref="A116:E116"/>
    <mergeCell ref="J116:L116"/>
    <mergeCell ref="F129:I129"/>
    <mergeCell ref="I105:I106"/>
    <mergeCell ref="J105:L106"/>
    <mergeCell ref="A83:A84"/>
    <mergeCell ref="B83:B84"/>
    <mergeCell ref="C83:C84"/>
    <mergeCell ref="D83:D84"/>
    <mergeCell ref="E83:E84"/>
    <mergeCell ref="F83:F84"/>
    <mergeCell ref="G83:G84"/>
    <mergeCell ref="H83:H84"/>
    <mergeCell ref="J83:L84"/>
    <mergeCell ref="A90:A91"/>
    <mergeCell ref="B90:B91"/>
    <mergeCell ref="C90:C91"/>
    <mergeCell ref="D90:D91"/>
    <mergeCell ref="E90:E91"/>
    <mergeCell ref="F90:F91"/>
    <mergeCell ref="G90:G91"/>
    <mergeCell ref="J90:L91"/>
    <mergeCell ref="I61:I62"/>
    <mergeCell ref="J61:L62"/>
    <mergeCell ref="E66:E67"/>
    <mergeCell ref="F66:F67"/>
    <mergeCell ref="G66:G67"/>
    <mergeCell ref="J66:L67"/>
    <mergeCell ref="I83:I84"/>
    <mergeCell ref="J73:L74"/>
    <mergeCell ref="H61:H62"/>
    <mergeCell ref="E61:E62"/>
    <mergeCell ref="F61:F62"/>
    <mergeCell ref="I73:I74"/>
    <mergeCell ref="I90:I91"/>
    <mergeCell ref="I66:I67"/>
    <mergeCell ref="A3:L3"/>
    <mergeCell ref="J10:L11"/>
    <mergeCell ref="J54:L55"/>
    <mergeCell ref="F54:F55"/>
    <mergeCell ref="G54:G55"/>
    <mergeCell ref="F47:F48"/>
    <mergeCell ref="I54:I55"/>
    <mergeCell ref="E47:E48"/>
    <mergeCell ref="J47:L48"/>
    <mergeCell ref="E54:E55"/>
    <mergeCell ref="H40:H41"/>
    <mergeCell ref="F40:F41"/>
    <mergeCell ref="I34:I35"/>
    <mergeCell ref="A20:A21"/>
    <mergeCell ref="B20:B21"/>
    <mergeCell ref="I47:I48"/>
    <mergeCell ref="I20:I21"/>
    <mergeCell ref="I12:I13"/>
    <mergeCell ref="H12:H13"/>
    <mergeCell ref="A34:A35"/>
    <mergeCell ref="E40:E41"/>
    <mergeCell ref="E10:E11"/>
    <mergeCell ref="D10:D11"/>
    <mergeCell ref="A5:A9"/>
    <mergeCell ref="A2:L2"/>
    <mergeCell ref="J40:L41"/>
    <mergeCell ref="J20:L21"/>
    <mergeCell ref="C34:C35"/>
    <mergeCell ref="D34:D35"/>
    <mergeCell ref="E34:E35"/>
    <mergeCell ref="J34:L35"/>
    <mergeCell ref="F34:F35"/>
    <mergeCell ref="G34:G35"/>
    <mergeCell ref="H34:H35"/>
    <mergeCell ref="C12:C13"/>
    <mergeCell ref="D12:D13"/>
    <mergeCell ref="E12:E13"/>
    <mergeCell ref="F12:F13"/>
    <mergeCell ref="G12:G13"/>
    <mergeCell ref="J12:L13"/>
    <mergeCell ref="C20:C21"/>
    <mergeCell ref="D20:D21"/>
    <mergeCell ref="E20:E21"/>
    <mergeCell ref="F20:F21"/>
    <mergeCell ref="G20:G21"/>
    <mergeCell ref="H20:H21"/>
    <mergeCell ref="J5:L9"/>
    <mergeCell ref="F10:F11"/>
    <mergeCell ref="G10:G11"/>
    <mergeCell ref="H10:H11"/>
    <mergeCell ref="I10:I11"/>
    <mergeCell ref="G4:I4"/>
    <mergeCell ref="H5:I5"/>
    <mergeCell ref="B6:B7"/>
    <mergeCell ref="J4:L4"/>
    <mergeCell ref="A4:B4"/>
    <mergeCell ref="B5:C5"/>
    <mergeCell ref="C6:C7"/>
    <mergeCell ref="I6:I7"/>
    <mergeCell ref="H6:H7"/>
    <mergeCell ref="G5:G7"/>
    <mergeCell ref="F5:F7"/>
    <mergeCell ref="D5:D7"/>
    <mergeCell ref="E5:E7"/>
    <mergeCell ref="A10:A11"/>
    <mergeCell ref="B10:B11"/>
    <mergeCell ref="C10:C11"/>
    <mergeCell ref="B8:C8"/>
    <mergeCell ref="H8:I8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2026-06-24T07:57:08Z</dcterms:modified>
</cp:coreProperties>
</file>