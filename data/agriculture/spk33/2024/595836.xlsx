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DB2CC2FD-542F-479B-B513-F42B0431D4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10" i="1" l="1"/>
  <c r="B109" i="1"/>
  <c r="B108" i="1"/>
  <c r="B107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85" i="1"/>
  <c r="B82" i="1"/>
  <c r="B81" i="1"/>
  <c r="B80" i="1"/>
  <c r="B79" i="1"/>
  <c r="B78" i="1"/>
  <c r="B77" i="1"/>
  <c r="B76" i="1"/>
  <c r="B75" i="1"/>
  <c r="B73" i="1" s="1"/>
  <c r="B72" i="1"/>
  <c r="B71" i="1"/>
  <c r="B70" i="1"/>
  <c r="B69" i="1"/>
  <c r="B68" i="1"/>
  <c r="B65" i="1"/>
  <c r="B64" i="1"/>
  <c r="B63" i="1"/>
  <c r="B61" i="1" s="1"/>
  <c r="B60" i="1"/>
  <c r="B59" i="1"/>
  <c r="B58" i="1"/>
  <c r="B57" i="1"/>
  <c r="B56" i="1"/>
  <c r="B54" i="1" s="1"/>
  <c r="B53" i="1"/>
  <c r="B52" i="1"/>
  <c r="B51" i="1"/>
  <c r="B50" i="1"/>
  <c r="B49" i="1"/>
  <c r="B47" i="1" s="1"/>
  <c r="B46" i="1"/>
  <c r="B45" i="1"/>
  <c r="B44" i="1"/>
  <c r="B43" i="1"/>
  <c r="B42" i="1"/>
  <c r="B40" i="1" s="1"/>
  <c r="B39" i="1"/>
  <c r="B38" i="1"/>
  <c r="B37" i="1"/>
  <c r="B36" i="1"/>
  <c r="B34" i="1" s="1"/>
  <c r="B33" i="1"/>
  <c r="B32" i="1"/>
  <c r="B31" i="1"/>
  <c r="B30" i="1"/>
  <c r="B29" i="1" s="1"/>
  <c r="B28" i="1"/>
  <c r="B27" i="1"/>
  <c r="B26" i="1"/>
  <c r="B25" i="1"/>
  <c r="B24" i="1"/>
  <c r="B23" i="1"/>
  <c r="B22" i="1"/>
  <c r="B14" i="1"/>
  <c r="B12" i="1" s="1"/>
  <c r="B19" i="1"/>
  <c r="B18" i="1"/>
  <c r="B17" i="1"/>
  <c r="B15" i="1"/>
  <c r="G12" i="1"/>
  <c r="B83" i="1" l="1"/>
  <c r="B105" i="1"/>
  <c r="B90" i="1"/>
  <c r="B66" i="1"/>
  <c r="B20" i="1"/>
  <c r="B10" i="1"/>
  <c r="F36" i="1" l="1"/>
  <c r="J39" i="1"/>
  <c r="J38" i="1"/>
  <c r="J37" i="1"/>
  <c r="J36" i="1"/>
  <c r="F30" i="1"/>
  <c r="J33" i="1"/>
  <c r="J32" i="1"/>
  <c r="J31" i="1"/>
  <c r="J30" i="1"/>
  <c r="D29" i="1"/>
  <c r="D34" i="1"/>
  <c r="D40" i="1"/>
  <c r="D47" i="1"/>
  <c r="D54" i="1"/>
  <c r="D61" i="1"/>
  <c r="D66" i="1"/>
  <c r="D73" i="1"/>
  <c r="D83" i="1"/>
  <c r="D90" i="1"/>
  <c r="D105" i="1"/>
  <c r="D20" i="1"/>
  <c r="D12" i="1"/>
  <c r="D10" i="1" l="1"/>
  <c r="J14" i="1"/>
  <c r="F14" i="1"/>
  <c r="J16" i="1"/>
  <c r="F16" i="1"/>
  <c r="F82" i="1"/>
  <c r="F81" i="1"/>
  <c r="F80" i="1"/>
  <c r="F79" i="1"/>
  <c r="F78" i="1"/>
  <c r="F77" i="1"/>
  <c r="F76" i="1"/>
  <c r="F75" i="1"/>
  <c r="F15" i="1" l="1"/>
  <c r="C66" i="1"/>
  <c r="E66" i="1"/>
  <c r="J110" i="1" l="1"/>
  <c r="J109" i="1"/>
  <c r="J108" i="1"/>
  <c r="J107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89" i="1"/>
  <c r="J88" i="1"/>
  <c r="J87" i="1"/>
  <c r="J86" i="1"/>
  <c r="J85" i="1"/>
  <c r="J82" i="1"/>
  <c r="J81" i="1"/>
  <c r="J80" i="1"/>
  <c r="J79" i="1"/>
  <c r="J78" i="1"/>
  <c r="J77" i="1"/>
  <c r="J76" i="1"/>
  <c r="J75" i="1"/>
  <c r="J72" i="1"/>
  <c r="J71" i="1"/>
  <c r="J70" i="1"/>
  <c r="J69" i="1"/>
  <c r="J68" i="1"/>
  <c r="J65" i="1"/>
  <c r="J64" i="1"/>
  <c r="J63" i="1"/>
  <c r="J60" i="1"/>
  <c r="J59" i="1"/>
  <c r="J58" i="1"/>
  <c r="J57" i="1"/>
  <c r="J56" i="1"/>
  <c r="J53" i="1"/>
  <c r="J52" i="1"/>
  <c r="J51" i="1"/>
  <c r="J50" i="1"/>
  <c r="J49" i="1"/>
  <c r="J46" i="1"/>
  <c r="J45" i="1"/>
  <c r="J44" i="1"/>
  <c r="J43" i="1"/>
  <c r="J42" i="1"/>
  <c r="J28" i="1"/>
  <c r="J27" i="1"/>
  <c r="J26" i="1"/>
  <c r="J25" i="1"/>
  <c r="J24" i="1"/>
  <c r="J23" i="1"/>
  <c r="J22" i="1"/>
  <c r="J19" i="1"/>
  <c r="J18" i="1"/>
  <c r="J17" i="1"/>
  <c r="J15" i="1"/>
  <c r="J12" i="1" l="1"/>
  <c r="J105" i="1"/>
  <c r="J90" i="1"/>
  <c r="J83" i="1"/>
  <c r="J73" i="1"/>
  <c r="J66" i="1"/>
  <c r="J61" i="1"/>
  <c r="J54" i="1"/>
  <c r="J47" i="1"/>
  <c r="J40" i="1"/>
  <c r="J34" i="1"/>
  <c r="J29" i="1"/>
  <c r="J20" i="1"/>
  <c r="C20" i="1"/>
  <c r="C12" i="1"/>
  <c r="M105" i="1"/>
  <c r="L105" i="1"/>
  <c r="K105" i="1"/>
  <c r="I105" i="1"/>
  <c r="H105" i="1"/>
  <c r="G105" i="1"/>
  <c r="M90" i="1"/>
  <c r="L90" i="1"/>
  <c r="K90" i="1"/>
  <c r="I90" i="1"/>
  <c r="H90" i="1"/>
  <c r="G90" i="1"/>
  <c r="M83" i="1"/>
  <c r="L83" i="1"/>
  <c r="K83" i="1"/>
  <c r="I83" i="1"/>
  <c r="H83" i="1"/>
  <c r="G83" i="1"/>
  <c r="M73" i="1"/>
  <c r="L73" i="1"/>
  <c r="K73" i="1"/>
  <c r="I73" i="1"/>
  <c r="H73" i="1"/>
  <c r="G73" i="1"/>
  <c r="M66" i="1"/>
  <c r="L66" i="1"/>
  <c r="K66" i="1"/>
  <c r="I66" i="1"/>
  <c r="H66" i="1"/>
  <c r="G66" i="1"/>
  <c r="M61" i="1"/>
  <c r="L61" i="1"/>
  <c r="K61" i="1"/>
  <c r="I61" i="1"/>
  <c r="H61" i="1"/>
  <c r="G61" i="1"/>
  <c r="M54" i="1"/>
  <c r="L54" i="1"/>
  <c r="K54" i="1"/>
  <c r="I54" i="1"/>
  <c r="H54" i="1"/>
  <c r="G54" i="1"/>
  <c r="M47" i="1"/>
  <c r="L47" i="1"/>
  <c r="K47" i="1"/>
  <c r="I47" i="1"/>
  <c r="H47" i="1"/>
  <c r="G47" i="1"/>
  <c r="M40" i="1"/>
  <c r="L40" i="1"/>
  <c r="K40" i="1"/>
  <c r="I40" i="1"/>
  <c r="H40" i="1"/>
  <c r="G40" i="1"/>
  <c r="M34" i="1"/>
  <c r="L34" i="1"/>
  <c r="K34" i="1"/>
  <c r="I34" i="1"/>
  <c r="H34" i="1"/>
  <c r="G34" i="1"/>
  <c r="M29" i="1"/>
  <c r="L29" i="1"/>
  <c r="K29" i="1"/>
  <c r="H29" i="1"/>
  <c r="I29" i="1"/>
  <c r="G29" i="1"/>
  <c r="M20" i="1"/>
  <c r="L20" i="1"/>
  <c r="K20" i="1"/>
  <c r="H20" i="1"/>
  <c r="I20" i="1"/>
  <c r="G20" i="1"/>
  <c r="M12" i="1"/>
  <c r="L12" i="1"/>
  <c r="K12" i="1"/>
  <c r="H12" i="1"/>
  <c r="I12" i="1"/>
  <c r="F110" i="1"/>
  <c r="F109" i="1"/>
  <c r="F108" i="1"/>
  <c r="F107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89" i="1"/>
  <c r="F88" i="1"/>
  <c r="F87" i="1"/>
  <c r="F86" i="1"/>
  <c r="F85" i="1"/>
  <c r="F72" i="1"/>
  <c r="F71" i="1"/>
  <c r="F70" i="1"/>
  <c r="F69" i="1"/>
  <c r="F68" i="1"/>
  <c r="F65" i="1"/>
  <c r="F64" i="1"/>
  <c r="F63" i="1"/>
  <c r="F60" i="1"/>
  <c r="F59" i="1"/>
  <c r="F58" i="1"/>
  <c r="F57" i="1"/>
  <c r="F56" i="1"/>
  <c r="F53" i="1"/>
  <c r="F52" i="1"/>
  <c r="F51" i="1"/>
  <c r="F50" i="1"/>
  <c r="F49" i="1"/>
  <c r="F46" i="1"/>
  <c r="F45" i="1"/>
  <c r="F44" i="1"/>
  <c r="F43" i="1"/>
  <c r="F42" i="1"/>
  <c r="F39" i="1"/>
  <c r="F38" i="1"/>
  <c r="F37" i="1"/>
  <c r="F33" i="1"/>
  <c r="F32" i="1"/>
  <c r="F31" i="1"/>
  <c r="F28" i="1"/>
  <c r="F27" i="1"/>
  <c r="F26" i="1"/>
  <c r="F25" i="1"/>
  <c r="F24" i="1"/>
  <c r="F23" i="1"/>
  <c r="F22" i="1"/>
  <c r="F19" i="1"/>
  <c r="F18" i="1"/>
  <c r="F17" i="1"/>
  <c r="E105" i="1"/>
  <c r="C105" i="1"/>
  <c r="E90" i="1"/>
  <c r="C90" i="1"/>
  <c r="E83" i="1"/>
  <c r="C83" i="1"/>
  <c r="E73" i="1"/>
  <c r="C73" i="1"/>
  <c r="E61" i="1"/>
  <c r="C61" i="1"/>
  <c r="E54" i="1"/>
  <c r="C54" i="1"/>
  <c r="E40" i="1"/>
  <c r="E34" i="1"/>
  <c r="E47" i="1"/>
  <c r="C47" i="1"/>
  <c r="C40" i="1"/>
  <c r="C34" i="1"/>
  <c r="E29" i="1"/>
  <c r="C29" i="1"/>
  <c r="E20" i="1"/>
  <c r="E12" i="1"/>
  <c r="F12" i="1" l="1"/>
  <c r="G10" i="1"/>
  <c r="C10" i="1"/>
  <c r="E10" i="1"/>
  <c r="F29" i="1"/>
  <c r="F34" i="1"/>
  <c r="F40" i="1"/>
  <c r="F54" i="1"/>
  <c r="F66" i="1"/>
  <c r="F90" i="1"/>
  <c r="F20" i="1"/>
  <c r="F47" i="1"/>
  <c r="F61" i="1"/>
  <c r="F73" i="1"/>
  <c r="F83" i="1"/>
  <c r="F105" i="1"/>
  <c r="J10" i="1"/>
  <c r="M10" i="1"/>
  <c r="H10" i="1"/>
  <c r="K10" i="1"/>
  <c r="L10" i="1"/>
  <c r="I10" i="1"/>
  <c r="F10" i="1" l="1"/>
</calcChain>
</file>

<file path=xl/sharedStrings.xml><?xml version="1.0" encoding="utf-8"?>
<sst xmlns="http://schemas.openxmlformats.org/spreadsheetml/2006/main" count="508" uniqueCount="207">
  <si>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</si>
  <si>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</si>
  <si>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</si>
  <si>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</si>
  <si>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</si>
  <si>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</si>
  <si>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</si>
  <si>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</si>
  <si>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</si>
  <si>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</si>
  <si>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</si>
  <si>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</si>
  <si>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</si>
  <si>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</si>
  <si>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</si>
  <si>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</si>
  <si>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</si>
  <si>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</si>
  <si>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</si>
  <si>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</si>
  <si>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</si>
  <si>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</si>
  <si>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</si>
  <si>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</si>
  <si>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</si>
  <si>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</si>
  <si>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</si>
  <si>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</si>
  <si>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</si>
  <si>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</si>
  <si>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</si>
  <si>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</si>
  <si>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</si>
  <si>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</si>
  <si>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</si>
  <si>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</si>
  <si>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</si>
  <si>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</si>
  <si>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</si>
  <si>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</si>
  <si>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</si>
  <si>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</si>
  <si>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</si>
  <si>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</si>
  <si>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</si>
  <si>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</si>
  <si>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</si>
  <si>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</si>
  <si>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</si>
  <si>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</si>
  <si>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</si>
  <si>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</si>
  <si>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</si>
  <si>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</si>
  <si>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</si>
  <si>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</si>
  <si>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</si>
  <si>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</si>
  <si>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</si>
  <si>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</si>
  <si>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</si>
  <si>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</si>
  <si>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</si>
  <si>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</si>
  <si>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</si>
  <si>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</si>
  <si>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</si>
  <si>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</si>
  <si>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</si>
  <si>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</si>
  <si>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</si>
  <si>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</si>
  <si>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</si>
  <si>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</si>
  <si>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</si>
  <si>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</si>
  <si>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</si>
  <si>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</si>
  <si>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</si>
  <si>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</si>
  <si>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</si>
  <si>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</si>
  <si>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</si>
  <si>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</si>
  <si>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</si>
  <si>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</si>
  <si>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</si>
  <si>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</si>
  <si>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</si>
  <si>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</si>
  <si>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</si>
  <si>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</si>
  <si>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</si>
  <si>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</si>
  <si>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</si>
  <si>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</si>
  <si>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</si>
  <si>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</si>
  <si>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</si>
  <si>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</si>
  <si>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</si>
  <si>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</si>
  <si>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</si>
  <si>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</si>
  <si>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</si>
  <si>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</si>
  <si>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</si>
  <si>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</si>
  <si>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</si>
  <si>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</si>
  <si>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</si>
  <si>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</si>
  <si>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</si>
  <si>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</si>
  <si>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</si>
  <si>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</si>
  <si>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</si>
  <si>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</si>
  <si>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</si>
  <si>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</si>
  <si>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</si>
  <si>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</si>
  <si>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</si>
  <si>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</si>
  <si>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</si>
  <si>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</si>
  <si>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</si>
  <si>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</si>
  <si>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</si>
  <si>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</si>
  <si>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</si>
  <si>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</si>
  <si>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</si>
  <si>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</si>
  <si>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</si>
  <si>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</si>
  <si>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</si>
  <si>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</si>
  <si>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</si>
  <si>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</si>
  <si>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</si>
  <si>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</si>
  <si>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</si>
  <si>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</si>
  <si>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</si>
  <si>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</si>
  <si>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</si>
  <si>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</si>
  <si>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</si>
  <si>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</si>
  <si>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</si>
  <si>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</si>
  <si>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</si>
  <si>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</si>
  <si>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</si>
  <si>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</si>
  <si>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</si>
  <si>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</si>
  <si>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</si>
  <si>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</si>
  <si>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</si>
  <si>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</si>
  <si>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</si>
  <si>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</si>
  <si>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</si>
  <si>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</si>
  <si>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</si>
  <si>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</si>
  <si>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</si>
  <si>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</si>
  <si>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</si>
  <si>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</si>
  <si>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</si>
  <si>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</si>
  <si>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</si>
  <si>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</si>
  <si>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</si>
  <si>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</si>
  <si>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</si>
  <si>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</si>
  <si>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Αίγες
Goats</t>
  </si>
  <si>
    <t>Πρόβατα
Sheep</t>
  </si>
  <si>
    <t>―</t>
  </si>
  <si>
    <t>Cows for milk production</t>
  </si>
  <si>
    <t>Αγελάδες γαλακτοπαραγωγής</t>
  </si>
  <si>
    <t>Other cows for the production of bovine for fattening, slaughter, etc</t>
  </si>
  <si>
    <t>Αγελάδες για παραγωγή βοοειδών πάχυνσης, για σφαγή κλπ</t>
  </si>
  <si>
    <t>Buffaloes</t>
  </si>
  <si>
    <t>Βουβάλια</t>
  </si>
  <si>
    <t>Total</t>
  </si>
  <si>
    <t>Σύνολο</t>
  </si>
  <si>
    <t>Domestic</t>
  </si>
  <si>
    <t>In flock</t>
  </si>
  <si>
    <t>Nomadic</t>
  </si>
  <si>
    <t>Οικόσιτα</t>
  </si>
  <si>
    <t>Κοπαδιάρικα</t>
  </si>
  <si>
    <t>Νομαδικά</t>
  </si>
  <si>
    <t>Οικόσιτες</t>
  </si>
  <si>
    <t>Κοπαδιάρικες</t>
  </si>
  <si>
    <t>Νομαδικές</t>
  </si>
  <si>
    <t>Βοοειδή</t>
  </si>
  <si>
    <t>Bovine animals</t>
  </si>
  <si>
    <t>Sheep</t>
  </si>
  <si>
    <t>Goats</t>
  </si>
  <si>
    <t>—</t>
  </si>
  <si>
    <t>Πίνακας 6β. Ζώα που αρμέχτηκαν όλο το έτος 2024, κατά Περιφέρεια και Περιφερειακή Ενότητα</t>
  </si>
  <si>
    <t>Table 6b. Animals milked during 2024,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</si>
</sst>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3" fontId="2" fillId="0" borderId="5" xfId="0" applyNumberFormat="1" applyFont="1" applyBorder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17" xfId="0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21" xfId="0" applyNumberFormat="1" applyFont="1" applyBorder="1" applyAlignment="1">
      <alignment horizontal="right" vertical="top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6" xfId="0" applyNumberFormat="1" applyFont="1" applyFill="1" applyBorder="1" applyAlignment="1">
      <alignment horizontal="right" vertical="center"/>
    </xf>
    <xf numFmtId="3" fontId="4" fillId="2" borderId="20" xfId="0" quotePrefix="1" applyNumberFormat="1" applyFont="1" applyFill="1" applyBorder="1" applyAlignment="1">
      <alignment horizontal="right"/>
    </xf>
    <xf numFmtId="3" fontId="3" fillId="2" borderId="20" xfId="0" applyNumberFormat="1" applyFont="1" applyFill="1" applyBorder="1" applyAlignment="1">
      <alignment horizontal="right" vertical="center"/>
    </xf>
    <xf numFmtId="3" fontId="4" fillId="2" borderId="36" xfId="0" quotePrefix="1" applyNumberFormat="1" applyFont="1" applyFill="1" applyBorder="1" applyAlignment="1">
      <alignment horizontal="right"/>
    </xf>
    <xf numFmtId="3" fontId="4" fillId="2" borderId="3" xfId="0" quotePrefix="1" applyNumberFormat="1" applyFont="1" applyFill="1" applyBorder="1" applyAlignment="1">
      <alignment horizontal="right"/>
    </xf>
    <xf numFmtId="3" fontId="4" fillId="2" borderId="4" xfId="0" quotePrefix="1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49" fontId="3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3" fillId="2" borderId="7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3" fontId="3" fillId="2" borderId="8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3" fontId="3" fillId="2" borderId="16" xfId="0" applyNumberFormat="1" applyFont="1" applyFill="1" applyBorder="1" applyAlignment="1">
      <alignment horizontal="right" vertical="center"/>
    </xf>
    <xf numFmtId="3" fontId="6" fillId="2" borderId="16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17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49" fontId="6" fillId="0" borderId="0" xfId="0" applyNumberFormat="1" applyFont="1" applyAlignment="1">
      <alignment horizontal="left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3" fontId="3" fillId="2" borderId="20" xfId="0" applyNumberFormat="1" applyFont="1" applyFill="1" applyBorder="1" applyAlignment="1">
      <alignment horizontal="right" vertical="center"/>
    </xf>
    <xf numFmtId="3" fontId="3" fillId="2" borderId="35" xfId="0" applyNumberFormat="1" applyFont="1" applyFill="1" applyBorder="1" applyAlignment="1">
      <alignment horizontal="right" vertical="center" wrapText="1"/>
    </xf>
    <xf numFmtId="3" fontId="3" fillId="2" borderId="20" xfId="0" applyNumberFormat="1" applyFont="1" applyFill="1" applyBorder="1" applyAlignment="1">
      <alignment horizontal="right" vertical="center" wrapText="1"/>
    </xf>
    <xf numFmtId="3" fontId="6" fillId="2" borderId="20" xfId="0" applyNumberFormat="1" applyFont="1" applyFill="1" applyBorder="1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"/>
  <sheetViews>
    <sheetView showGridLines="0" tabSelected="1" zoomScaleNormal="100" workbookViewId="0">
      <selection activeCell="H7" sqref="H7:H8"/>
    </sheetView>
  </sheetViews>
  <sheetFormatPr defaultRowHeight="14.4" x14ac:dyDescent="0.3"/>
  <cols>
    <col min="1" max="1" width="43.109375" style="5" bestFit="1" customWidth="1"/>
    <col min="2" max="2" width="7.5546875" style="5" bestFit="1" customWidth="1"/>
    <col min="3" max="3" width="17.44140625" style="5" bestFit="1" customWidth="1"/>
    <col min="4" max="4" width="18.33203125" style="5" bestFit="1" customWidth="1"/>
    <col min="5" max="6" width="9.109375" style="5" bestFit="1" customWidth="1"/>
    <col min="7" max="7" width="8.6640625" style="5" bestFit="1" customWidth="1"/>
    <col min="8" max="8" width="11.5546875" style="5" bestFit="1" customWidth="1"/>
    <col min="9" max="9" width="9.21875" style="5" bestFit="1" customWidth="1"/>
    <col min="10" max="10" width="9.109375" style="5" bestFit="1" customWidth="1"/>
    <col min="11" max="11" width="9" style="5" bestFit="1" customWidth="1"/>
    <col min="12" max="12" width="12.109375" style="5" bestFit="1" customWidth="1"/>
    <col min="13" max="13" width="9.77734375" style="5" bestFit="1" customWidth="1"/>
    <col min="14" max="14" width="26.77734375" style="5" bestFit="1" customWidth="1"/>
    <col min="15" max="15" width="9.33203125" style="5" customWidth="1"/>
    <col min="16" max="16" width="18" style="5" customWidth="1"/>
    <col min="17" max="17" width="8.44140625" style="5" customWidth="1"/>
    <col min="18" max="16384" width="8.88671875" style="5"/>
  </cols>
  <sheetData>
    <row r="1" spans="1:1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4"/>
    </row>
    <row r="2" spans="1:17" s="29" customFormat="1" ht="18" x14ac:dyDescent="0.35">
      <c r="C2" s="67" t="s">
        <v>205</v>
      </c>
      <c r="D2" s="67"/>
      <c r="E2" s="67"/>
      <c r="F2" s="67"/>
      <c r="G2" s="67"/>
      <c r="H2" s="67"/>
      <c r="I2" s="67"/>
      <c r="J2" s="67"/>
      <c r="K2" s="67"/>
      <c r="L2" s="67"/>
      <c r="M2" s="30"/>
      <c r="N2" s="30"/>
      <c r="O2" s="30"/>
      <c r="P2" s="30"/>
      <c r="Q2" s="31"/>
    </row>
    <row r="3" spans="1:17" s="29" customFormat="1" ht="18" x14ac:dyDescent="0.35">
      <c r="A3" s="32"/>
      <c r="B3" s="32"/>
      <c r="C3" s="67" t="s">
        <v>206</v>
      </c>
      <c r="D3" s="67"/>
      <c r="E3" s="67"/>
      <c r="F3" s="67"/>
      <c r="G3" s="67"/>
      <c r="H3" s="67"/>
      <c r="I3" s="67"/>
      <c r="J3" s="67"/>
      <c r="K3" s="67"/>
      <c r="L3" s="67"/>
      <c r="M3" s="32"/>
      <c r="N3" s="32"/>
      <c r="O3" s="32"/>
      <c r="P3" s="32"/>
      <c r="Q3" s="31"/>
    </row>
    <row r="4" spans="1:17" ht="15" thickBot="1" x14ac:dyDescent="0.3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4"/>
      <c r="L4" s="64"/>
      <c r="M4" s="64"/>
      <c r="N4" s="7"/>
      <c r="O4" s="64" t="s">
        <v>1</v>
      </c>
      <c r="P4" s="64"/>
      <c r="Q4" s="8"/>
    </row>
    <row r="5" spans="1:17" ht="14.4" customHeight="1" x14ac:dyDescent="0.3">
      <c r="A5" s="90" t="s">
        <v>2</v>
      </c>
      <c r="B5" s="121" t="s">
        <v>200</v>
      </c>
      <c r="C5" s="81"/>
      <c r="D5" s="81"/>
      <c r="E5" s="82"/>
      <c r="F5" s="80" t="s">
        <v>181</v>
      </c>
      <c r="G5" s="81"/>
      <c r="H5" s="81"/>
      <c r="I5" s="82"/>
      <c r="J5" s="81" t="s">
        <v>180</v>
      </c>
      <c r="K5" s="81"/>
      <c r="L5" s="81"/>
      <c r="M5" s="83"/>
      <c r="N5" s="93" t="s">
        <v>3</v>
      </c>
      <c r="O5" s="90"/>
      <c r="P5" s="90"/>
    </row>
    <row r="6" spans="1:17" ht="15" customHeight="1" x14ac:dyDescent="0.3">
      <c r="A6" s="91"/>
      <c r="B6" s="122" t="s">
        <v>201</v>
      </c>
      <c r="C6" s="117"/>
      <c r="D6" s="117"/>
      <c r="E6" s="119"/>
      <c r="F6" s="116" t="s">
        <v>202</v>
      </c>
      <c r="G6" s="117"/>
      <c r="H6" s="117"/>
      <c r="I6" s="119"/>
      <c r="J6" s="116" t="s">
        <v>203</v>
      </c>
      <c r="K6" s="117"/>
      <c r="L6" s="117"/>
      <c r="M6" s="118"/>
      <c r="N6" s="94"/>
      <c r="O6" s="91"/>
      <c r="P6" s="91"/>
    </row>
    <row r="7" spans="1:17" ht="52.8" customHeight="1" x14ac:dyDescent="0.3">
      <c r="A7" s="91"/>
      <c r="B7" s="94" t="s">
        <v>190</v>
      </c>
      <c r="C7" s="120" t="s">
        <v>184</v>
      </c>
      <c r="D7" s="120" t="s">
        <v>186</v>
      </c>
      <c r="E7" s="120" t="s">
        <v>188</v>
      </c>
      <c r="F7" s="84" t="s">
        <v>190</v>
      </c>
      <c r="G7" s="76" t="s">
        <v>194</v>
      </c>
      <c r="H7" s="76" t="s">
        <v>195</v>
      </c>
      <c r="I7" s="76" t="s">
        <v>196</v>
      </c>
      <c r="J7" s="86" t="s">
        <v>190</v>
      </c>
      <c r="K7" s="76" t="s">
        <v>197</v>
      </c>
      <c r="L7" s="76" t="s">
        <v>198</v>
      </c>
      <c r="M7" s="78" t="s">
        <v>199</v>
      </c>
      <c r="N7" s="94"/>
      <c r="O7" s="91"/>
      <c r="P7" s="91"/>
    </row>
    <row r="8" spans="1:17" x14ac:dyDescent="0.3">
      <c r="A8" s="91"/>
      <c r="B8" s="95"/>
      <c r="C8" s="77"/>
      <c r="D8" s="77"/>
      <c r="E8" s="77"/>
      <c r="F8" s="85"/>
      <c r="G8" s="77"/>
      <c r="H8" s="77"/>
      <c r="I8" s="77"/>
      <c r="J8" s="87"/>
      <c r="K8" s="77"/>
      <c r="L8" s="77"/>
      <c r="M8" s="79"/>
      <c r="N8" s="94"/>
      <c r="O8" s="91"/>
      <c r="P8" s="91"/>
    </row>
    <row r="9" spans="1:17" ht="60.6" customHeight="1" x14ac:dyDescent="0.3">
      <c r="A9" s="92"/>
      <c r="B9" s="39" t="s">
        <v>189</v>
      </c>
      <c r="C9" s="33" t="s">
        <v>183</v>
      </c>
      <c r="D9" s="33" t="s">
        <v>185</v>
      </c>
      <c r="E9" s="35" t="s">
        <v>187</v>
      </c>
      <c r="F9" s="37" t="s">
        <v>189</v>
      </c>
      <c r="G9" s="23" t="s">
        <v>191</v>
      </c>
      <c r="H9" s="33" t="s">
        <v>192</v>
      </c>
      <c r="I9" s="38" t="s">
        <v>193</v>
      </c>
      <c r="J9" s="34" t="s">
        <v>189</v>
      </c>
      <c r="K9" s="23" t="s">
        <v>191</v>
      </c>
      <c r="L9" s="33" t="s">
        <v>192</v>
      </c>
      <c r="M9" s="36" t="s">
        <v>193</v>
      </c>
      <c r="N9" s="95"/>
      <c r="O9" s="92"/>
      <c r="P9" s="92"/>
    </row>
    <row r="10" spans="1:17" x14ac:dyDescent="0.3">
      <c r="A10" s="65" t="s">
        <v>4</v>
      </c>
      <c r="B10" s="124">
        <f t="shared" ref="B10:G10" si="0">SUM(B12,B20,B29,B34,B40,B47,B54,B61,B66,B73,B83,B90,B105)</f>
        <v>107083</v>
      </c>
      <c r="C10" s="70">
        <f t="shared" si="0"/>
        <v>102010</v>
      </c>
      <c r="D10" s="70">
        <f t="shared" si="0"/>
        <v>3496</v>
      </c>
      <c r="E10" s="88">
        <f t="shared" si="0"/>
        <v>1577</v>
      </c>
      <c r="F10" s="70">
        <f t="shared" si="0"/>
        <v>6254403</v>
      </c>
      <c r="G10" s="72">
        <f t="shared" si="0"/>
        <v>112803</v>
      </c>
      <c r="H10" s="70">
        <f t="shared" ref="H10:M10" si="1">SUM(H12,H20,H29,H34,H40,H47,H54,H61,H66,H73,H83,H90,H105)</f>
        <v>6063559</v>
      </c>
      <c r="I10" s="72">
        <f t="shared" si="1"/>
        <v>78041</v>
      </c>
      <c r="J10" s="70">
        <f>SUM(J12,J20,J29,J34,J40,J47,J54,J61,J66,J73,J83,J90,J105)</f>
        <v>2269668</v>
      </c>
      <c r="K10" s="72">
        <f t="shared" si="1"/>
        <v>76524</v>
      </c>
      <c r="L10" s="70">
        <f t="shared" si="1"/>
        <v>2154074</v>
      </c>
      <c r="M10" s="74">
        <f t="shared" si="1"/>
        <v>39070</v>
      </c>
      <c r="N10" s="68" t="s">
        <v>5</v>
      </c>
      <c r="O10" s="68"/>
      <c r="P10" s="68"/>
    </row>
    <row r="11" spans="1:17" x14ac:dyDescent="0.3">
      <c r="A11" s="66"/>
      <c r="B11" s="125"/>
      <c r="C11" s="71"/>
      <c r="D11" s="71"/>
      <c r="E11" s="89"/>
      <c r="F11" s="71"/>
      <c r="G11" s="73"/>
      <c r="H11" s="71"/>
      <c r="I11" s="73"/>
      <c r="J11" s="71"/>
      <c r="K11" s="73"/>
      <c r="L11" s="71"/>
      <c r="M11" s="75"/>
      <c r="N11" s="69"/>
      <c r="O11" s="69"/>
      <c r="P11" s="69"/>
    </row>
    <row r="12" spans="1:17" x14ac:dyDescent="0.3">
      <c r="A12" s="106" t="s">
        <v>6</v>
      </c>
      <c r="B12" s="126">
        <f>SUM(B14:B19)</f>
        <v>16810</v>
      </c>
      <c r="C12" s="100">
        <f>SUM(C14:C19)</f>
        <v>16017</v>
      </c>
      <c r="D12" s="100">
        <f>SUM(D14:D19)</f>
        <v>791</v>
      </c>
      <c r="E12" s="105">
        <f t="shared" ref="E12" si="2">SUM(E14:E19)</f>
        <v>2</v>
      </c>
      <c r="F12" s="100">
        <f>SUM(F14:F19)</f>
        <v>317616</v>
      </c>
      <c r="G12" s="104">
        <f>SUM(G14:G19)</f>
        <v>7235</v>
      </c>
      <c r="H12" s="100">
        <f t="shared" ref="H12:I12" si="3">SUM(H14:H19)</f>
        <v>310381</v>
      </c>
      <c r="I12" s="104">
        <f t="shared" si="3"/>
        <v>0</v>
      </c>
      <c r="J12" s="100">
        <f>SUM(J14:J19)</f>
        <v>205199</v>
      </c>
      <c r="K12" s="104">
        <f t="shared" ref="K12:M12" si="4">SUM(K14:K19)</f>
        <v>5752</v>
      </c>
      <c r="L12" s="100">
        <f t="shared" si="4"/>
        <v>199447</v>
      </c>
      <c r="M12" s="103">
        <f t="shared" si="4"/>
        <v>0</v>
      </c>
      <c r="N12" s="69" t="s">
        <v>7</v>
      </c>
      <c r="O12" s="69"/>
      <c r="P12" s="69"/>
    </row>
    <row r="13" spans="1:17" x14ac:dyDescent="0.3">
      <c r="A13" s="106"/>
      <c r="B13" s="126"/>
      <c r="C13" s="100"/>
      <c r="D13" s="100"/>
      <c r="E13" s="105"/>
      <c r="F13" s="100"/>
      <c r="G13" s="104"/>
      <c r="H13" s="100"/>
      <c r="I13" s="104"/>
      <c r="J13" s="100"/>
      <c r="K13" s="104"/>
      <c r="L13" s="100"/>
      <c r="M13" s="103"/>
      <c r="N13" s="69"/>
      <c r="O13" s="69"/>
      <c r="P13" s="69"/>
    </row>
    <row r="14" spans="1:17" x14ac:dyDescent="0.3">
      <c r="A14" s="9" t="s">
        <v>112</v>
      </c>
      <c r="B14" s="57">
        <f>SUM(C14:E14)</f>
        <v>3361</v>
      </c>
      <c r="C14" s="40">
        <v>2606</v>
      </c>
      <c r="D14" s="40">
        <v>753</v>
      </c>
      <c r="E14" s="41">
        <v>2</v>
      </c>
      <c r="F14" s="60">
        <f>SUM(G14:I14)</f>
        <v>72660</v>
      </c>
      <c r="G14" s="42">
        <v>104</v>
      </c>
      <c r="H14" s="43">
        <v>72556</v>
      </c>
      <c r="I14" s="1" t="s">
        <v>204</v>
      </c>
      <c r="J14" s="62">
        <f>SUM(K14:M14)</f>
        <v>48187</v>
      </c>
      <c r="K14" s="43">
        <v>126</v>
      </c>
      <c r="L14" s="42">
        <v>48061</v>
      </c>
      <c r="M14" s="44" t="s">
        <v>204</v>
      </c>
      <c r="N14" s="10" t="s">
        <v>8</v>
      </c>
      <c r="O14" s="11"/>
      <c r="P14" s="11"/>
    </row>
    <row r="15" spans="1:17" x14ac:dyDescent="0.3">
      <c r="A15" s="9" t="s">
        <v>113</v>
      </c>
      <c r="B15" s="57">
        <f>SUM(C15:E15)</f>
        <v>1766</v>
      </c>
      <c r="C15" s="40">
        <v>1757</v>
      </c>
      <c r="D15" s="40">
        <v>9</v>
      </c>
      <c r="E15" s="41" t="s">
        <v>204</v>
      </c>
      <c r="F15" s="60">
        <f>SUM(G15:I15)</f>
        <v>63482</v>
      </c>
      <c r="G15" s="42">
        <v>1800</v>
      </c>
      <c r="H15" s="43">
        <v>61682</v>
      </c>
      <c r="I15" s="1" t="s">
        <v>204</v>
      </c>
      <c r="J15" s="62">
        <f t="shared" ref="J15:J19" si="5">SUM(K15:M15)</f>
        <v>32304</v>
      </c>
      <c r="K15" s="43">
        <v>15</v>
      </c>
      <c r="L15" s="42">
        <v>32289</v>
      </c>
      <c r="M15" s="44" t="s">
        <v>204</v>
      </c>
      <c r="N15" s="10" t="s">
        <v>9</v>
      </c>
      <c r="O15" s="11"/>
      <c r="P15" s="11"/>
    </row>
    <row r="16" spans="1:17" x14ac:dyDescent="0.3">
      <c r="A16" s="9" t="s">
        <v>114</v>
      </c>
      <c r="B16" s="57">
        <f>SUM(C16:E16)</f>
        <v>3248</v>
      </c>
      <c r="C16" s="40">
        <v>3236</v>
      </c>
      <c r="D16" s="40">
        <v>12</v>
      </c>
      <c r="E16" s="45" t="s">
        <v>204</v>
      </c>
      <c r="F16" s="60">
        <f>SUM(G16:I16)</f>
        <v>48156</v>
      </c>
      <c r="G16" s="42">
        <v>5331</v>
      </c>
      <c r="H16" s="43">
        <v>42825</v>
      </c>
      <c r="I16" s="1" t="s">
        <v>204</v>
      </c>
      <c r="J16" s="62">
        <f>SUM(K16:M16)</f>
        <v>26844</v>
      </c>
      <c r="K16" s="43">
        <v>5606</v>
      </c>
      <c r="L16" s="42">
        <v>21238</v>
      </c>
      <c r="M16" s="44" t="s">
        <v>204</v>
      </c>
      <c r="N16" s="10" t="s">
        <v>10</v>
      </c>
      <c r="O16" s="11"/>
      <c r="P16" s="11"/>
    </row>
    <row r="17" spans="1:16" x14ac:dyDescent="0.3">
      <c r="A17" s="9" t="s">
        <v>115</v>
      </c>
      <c r="B17" s="57">
        <f t="shared" ref="B17:B19" si="6">SUM(C17:E17)</f>
        <v>0</v>
      </c>
      <c r="C17" s="40" t="s">
        <v>204</v>
      </c>
      <c r="D17" s="40" t="s">
        <v>204</v>
      </c>
      <c r="E17" s="41" t="s">
        <v>204</v>
      </c>
      <c r="F17" s="60">
        <f t="shared" ref="F17:F19" si="7">SUM(G17:I17)</f>
        <v>17921</v>
      </c>
      <c r="G17" s="42" t="s">
        <v>204</v>
      </c>
      <c r="H17" s="43">
        <v>17921</v>
      </c>
      <c r="I17" s="1" t="s">
        <v>204</v>
      </c>
      <c r="J17" s="62">
        <f t="shared" si="5"/>
        <v>14580</v>
      </c>
      <c r="K17" s="43" t="s">
        <v>204</v>
      </c>
      <c r="L17" s="42">
        <v>14580</v>
      </c>
      <c r="M17" s="44" t="s">
        <v>204</v>
      </c>
      <c r="N17" s="10" t="s">
        <v>11</v>
      </c>
      <c r="O17" s="11"/>
      <c r="P17" s="11"/>
    </row>
    <row r="18" spans="1:16" x14ac:dyDescent="0.3">
      <c r="A18" s="9" t="s">
        <v>116</v>
      </c>
      <c r="B18" s="57">
        <f t="shared" si="6"/>
        <v>1402</v>
      </c>
      <c r="C18" s="40">
        <v>1393</v>
      </c>
      <c r="D18" s="40">
        <v>9</v>
      </c>
      <c r="E18" s="41" t="s">
        <v>204</v>
      </c>
      <c r="F18" s="60">
        <f t="shared" si="7"/>
        <v>46848</v>
      </c>
      <c r="G18" s="42" t="s">
        <v>204</v>
      </c>
      <c r="H18" s="43">
        <v>46848</v>
      </c>
      <c r="I18" s="1" t="s">
        <v>204</v>
      </c>
      <c r="J18" s="62">
        <f t="shared" si="5"/>
        <v>42728</v>
      </c>
      <c r="K18" s="43">
        <v>5</v>
      </c>
      <c r="L18" s="42">
        <v>42723</v>
      </c>
      <c r="M18" s="44" t="s">
        <v>204</v>
      </c>
      <c r="N18" s="10" t="s">
        <v>12</v>
      </c>
      <c r="O18" s="11"/>
      <c r="P18" s="11"/>
    </row>
    <row r="19" spans="1:16" x14ac:dyDescent="0.3">
      <c r="A19" s="9" t="s">
        <v>117</v>
      </c>
      <c r="B19" s="57">
        <f t="shared" si="6"/>
        <v>7033</v>
      </c>
      <c r="C19" s="40">
        <v>7025</v>
      </c>
      <c r="D19" s="40">
        <v>8</v>
      </c>
      <c r="E19" s="41" t="s">
        <v>204</v>
      </c>
      <c r="F19" s="60">
        <f t="shared" si="7"/>
        <v>68549</v>
      </c>
      <c r="G19" s="1" t="s">
        <v>204</v>
      </c>
      <c r="H19" s="43">
        <v>68549</v>
      </c>
      <c r="I19" s="1" t="s">
        <v>204</v>
      </c>
      <c r="J19" s="62">
        <f t="shared" si="5"/>
        <v>40556</v>
      </c>
      <c r="K19" s="43" t="s">
        <v>204</v>
      </c>
      <c r="L19" s="42">
        <v>40556</v>
      </c>
      <c r="M19" s="44" t="s">
        <v>204</v>
      </c>
      <c r="N19" s="10" t="s">
        <v>13</v>
      </c>
      <c r="O19" s="11"/>
      <c r="P19" s="11"/>
    </row>
    <row r="20" spans="1:16" x14ac:dyDescent="0.3">
      <c r="A20" s="106" t="s">
        <v>14</v>
      </c>
      <c r="B20" s="123">
        <f>SUM(B22:B28)</f>
        <v>44977</v>
      </c>
      <c r="C20" s="97">
        <f>SUM(C22:C28)</f>
        <v>43311</v>
      </c>
      <c r="D20" s="97">
        <f>SUM(D22:D28)</f>
        <v>91</v>
      </c>
      <c r="E20" s="99">
        <f t="shared" ref="E20" si="8">SUM(E22:E28)</f>
        <v>1575</v>
      </c>
      <c r="F20" s="97">
        <f>SUM(F22:F28)</f>
        <v>507378</v>
      </c>
      <c r="G20" s="98">
        <f>SUM(G22:G28)</f>
        <v>834</v>
      </c>
      <c r="H20" s="97">
        <f t="shared" ref="H20:J20" si="9">SUM(H22:H28)</f>
        <v>506544</v>
      </c>
      <c r="I20" s="98">
        <f t="shared" si="9"/>
        <v>0</v>
      </c>
      <c r="J20" s="97">
        <f t="shared" si="9"/>
        <v>287586</v>
      </c>
      <c r="K20" s="98">
        <f t="shared" ref="K20:M20" si="10">SUM(K22:K28)</f>
        <v>352</v>
      </c>
      <c r="L20" s="97">
        <f t="shared" si="10"/>
        <v>287234</v>
      </c>
      <c r="M20" s="102">
        <f t="shared" si="10"/>
        <v>0</v>
      </c>
      <c r="N20" s="101" t="s">
        <v>15</v>
      </c>
      <c r="O20" s="101"/>
      <c r="P20" s="101"/>
    </row>
    <row r="21" spans="1:16" x14ac:dyDescent="0.3">
      <c r="A21" s="106"/>
      <c r="B21" s="123"/>
      <c r="C21" s="97"/>
      <c r="D21" s="97"/>
      <c r="E21" s="99"/>
      <c r="F21" s="97"/>
      <c r="G21" s="98"/>
      <c r="H21" s="97"/>
      <c r="I21" s="98"/>
      <c r="J21" s="97"/>
      <c r="K21" s="98"/>
      <c r="L21" s="97"/>
      <c r="M21" s="102"/>
      <c r="N21" s="101"/>
      <c r="O21" s="101"/>
      <c r="P21" s="101"/>
    </row>
    <row r="22" spans="1:16" x14ac:dyDescent="0.3">
      <c r="A22" s="9" t="s">
        <v>118</v>
      </c>
      <c r="B22" s="57">
        <f t="shared" ref="B22:B28" si="11">SUM(C22:E22)</f>
        <v>21837</v>
      </c>
      <c r="C22" s="40">
        <v>21817</v>
      </c>
      <c r="D22" s="40">
        <v>20</v>
      </c>
      <c r="E22" s="45" t="s">
        <v>204</v>
      </c>
      <c r="F22" s="60">
        <f t="shared" ref="F22:F28" si="12">SUM(G22:I22)</f>
        <v>97355</v>
      </c>
      <c r="G22" s="42" t="s">
        <v>204</v>
      </c>
      <c r="H22" s="43">
        <v>97355</v>
      </c>
      <c r="I22" s="1" t="s">
        <v>204</v>
      </c>
      <c r="J22" s="62">
        <f t="shared" ref="J22:J33" si="13">SUM(K22:M22)</f>
        <v>75327</v>
      </c>
      <c r="K22" s="43" t="s">
        <v>204</v>
      </c>
      <c r="L22" s="42">
        <v>75327</v>
      </c>
      <c r="M22" s="44" t="s">
        <v>204</v>
      </c>
      <c r="N22" s="10" t="s">
        <v>16</v>
      </c>
      <c r="O22" s="11"/>
      <c r="P22" s="11"/>
    </row>
    <row r="23" spans="1:16" x14ac:dyDescent="0.3">
      <c r="A23" s="9" t="s">
        <v>119</v>
      </c>
      <c r="B23" s="57">
        <f t="shared" si="11"/>
        <v>1114</v>
      </c>
      <c r="C23" s="40">
        <v>1103</v>
      </c>
      <c r="D23" s="40">
        <v>11</v>
      </c>
      <c r="E23" s="41" t="s">
        <v>204</v>
      </c>
      <c r="F23" s="60">
        <f t="shared" si="12"/>
        <v>25163</v>
      </c>
      <c r="G23" s="42">
        <v>22</v>
      </c>
      <c r="H23" s="43">
        <v>25141</v>
      </c>
      <c r="I23" s="42" t="s">
        <v>204</v>
      </c>
      <c r="J23" s="62">
        <f t="shared" si="13"/>
        <v>11145</v>
      </c>
      <c r="K23" s="43">
        <v>24</v>
      </c>
      <c r="L23" s="42">
        <v>11121</v>
      </c>
      <c r="M23" s="44" t="s">
        <v>204</v>
      </c>
      <c r="N23" s="10" t="s">
        <v>17</v>
      </c>
      <c r="O23" s="11"/>
      <c r="P23" s="11"/>
    </row>
    <row r="24" spans="1:16" x14ac:dyDescent="0.3">
      <c r="A24" s="9" t="s">
        <v>120</v>
      </c>
      <c r="B24" s="57">
        <f t="shared" si="11"/>
        <v>6998</v>
      </c>
      <c r="C24" s="40">
        <v>6989</v>
      </c>
      <c r="D24" s="40">
        <v>9</v>
      </c>
      <c r="E24" s="41" t="s">
        <v>204</v>
      </c>
      <c r="F24" s="60">
        <f t="shared" si="12"/>
        <v>73176</v>
      </c>
      <c r="G24" s="1" t="s">
        <v>204</v>
      </c>
      <c r="H24" s="43">
        <v>73176</v>
      </c>
      <c r="I24" s="1" t="s">
        <v>204</v>
      </c>
      <c r="J24" s="62">
        <f t="shared" si="13"/>
        <v>30808</v>
      </c>
      <c r="K24" s="43" t="s">
        <v>204</v>
      </c>
      <c r="L24" s="42">
        <v>30808</v>
      </c>
      <c r="M24" s="44" t="s">
        <v>204</v>
      </c>
      <c r="N24" s="10" t="s">
        <v>18</v>
      </c>
      <c r="O24" s="11"/>
      <c r="P24" s="11"/>
    </row>
    <row r="25" spans="1:16" x14ac:dyDescent="0.3">
      <c r="A25" s="9" t="s">
        <v>121</v>
      </c>
      <c r="B25" s="57">
        <f t="shared" si="11"/>
        <v>2356</v>
      </c>
      <c r="C25" s="40">
        <v>2346</v>
      </c>
      <c r="D25" s="40">
        <v>10</v>
      </c>
      <c r="E25" s="41" t="s">
        <v>204</v>
      </c>
      <c r="F25" s="60">
        <f t="shared" si="12"/>
        <v>69126</v>
      </c>
      <c r="G25" s="42">
        <v>201</v>
      </c>
      <c r="H25" s="43">
        <v>68925</v>
      </c>
      <c r="I25" s="1" t="s">
        <v>204</v>
      </c>
      <c r="J25" s="62">
        <f t="shared" si="13"/>
        <v>28741</v>
      </c>
      <c r="K25" s="43">
        <v>207</v>
      </c>
      <c r="L25" s="42">
        <v>28534</v>
      </c>
      <c r="M25" s="44" t="s">
        <v>204</v>
      </c>
      <c r="N25" s="10" t="s">
        <v>19</v>
      </c>
      <c r="O25" s="11"/>
      <c r="P25" s="11"/>
    </row>
    <row r="26" spans="1:16" x14ac:dyDescent="0.3">
      <c r="A26" s="9" t="s">
        <v>122</v>
      </c>
      <c r="B26" s="57">
        <f t="shared" si="11"/>
        <v>2197</v>
      </c>
      <c r="C26" s="40">
        <v>2188</v>
      </c>
      <c r="D26" s="40">
        <v>9</v>
      </c>
      <c r="E26" s="41" t="s">
        <v>204</v>
      </c>
      <c r="F26" s="60">
        <f t="shared" si="12"/>
        <v>73014</v>
      </c>
      <c r="G26" s="42">
        <v>584</v>
      </c>
      <c r="H26" s="43">
        <v>72430</v>
      </c>
      <c r="I26" s="42" t="s">
        <v>204</v>
      </c>
      <c r="J26" s="62">
        <f t="shared" si="13"/>
        <v>32009</v>
      </c>
      <c r="K26" s="43">
        <v>120</v>
      </c>
      <c r="L26" s="42">
        <v>31889</v>
      </c>
      <c r="M26" s="44" t="s">
        <v>204</v>
      </c>
      <c r="N26" s="10" t="s">
        <v>20</v>
      </c>
      <c r="O26" s="11"/>
      <c r="P26" s="11"/>
    </row>
    <row r="27" spans="1:16" x14ac:dyDescent="0.3">
      <c r="A27" s="9" t="s">
        <v>123</v>
      </c>
      <c r="B27" s="57">
        <f t="shared" si="11"/>
        <v>10040</v>
      </c>
      <c r="C27" s="40">
        <v>8445</v>
      </c>
      <c r="D27" s="40">
        <v>20</v>
      </c>
      <c r="E27" s="45">
        <v>1575</v>
      </c>
      <c r="F27" s="60">
        <f t="shared" si="12"/>
        <v>134125</v>
      </c>
      <c r="G27" s="42">
        <v>27</v>
      </c>
      <c r="H27" s="43">
        <v>134098</v>
      </c>
      <c r="I27" s="1" t="s">
        <v>204</v>
      </c>
      <c r="J27" s="62">
        <f t="shared" si="13"/>
        <v>67490</v>
      </c>
      <c r="K27" s="43">
        <v>1</v>
      </c>
      <c r="L27" s="42">
        <v>67489</v>
      </c>
      <c r="M27" s="44" t="s">
        <v>204</v>
      </c>
      <c r="N27" s="10" t="s">
        <v>21</v>
      </c>
      <c r="O27" s="11"/>
      <c r="P27" s="11"/>
    </row>
    <row r="28" spans="1:16" x14ac:dyDescent="0.3">
      <c r="A28" s="9" t="s">
        <v>124</v>
      </c>
      <c r="B28" s="57">
        <f t="shared" si="11"/>
        <v>435</v>
      </c>
      <c r="C28" s="40">
        <v>423</v>
      </c>
      <c r="D28" s="40">
        <v>12</v>
      </c>
      <c r="E28" s="41" t="s">
        <v>204</v>
      </c>
      <c r="F28" s="60">
        <f t="shared" si="12"/>
        <v>35419</v>
      </c>
      <c r="G28" s="42" t="s">
        <v>204</v>
      </c>
      <c r="H28" s="43">
        <v>35419</v>
      </c>
      <c r="I28" s="1" t="s">
        <v>204</v>
      </c>
      <c r="J28" s="62">
        <f t="shared" si="13"/>
        <v>42066</v>
      </c>
      <c r="K28" s="43" t="s">
        <v>204</v>
      </c>
      <c r="L28" s="42">
        <v>42066</v>
      </c>
      <c r="M28" s="44" t="s">
        <v>204</v>
      </c>
      <c r="N28" s="10" t="s">
        <v>22</v>
      </c>
      <c r="O28" s="11"/>
      <c r="P28" s="11"/>
    </row>
    <row r="29" spans="1:16" ht="29.4" customHeight="1" x14ac:dyDescent="0.3">
      <c r="A29" s="12" t="s">
        <v>179</v>
      </c>
      <c r="B29" s="58">
        <f>SUM(B30:B33)</f>
        <v>4577</v>
      </c>
      <c r="C29" s="53">
        <f>SUM(C30:C33)</f>
        <v>4543</v>
      </c>
      <c r="D29" s="53">
        <f>SUM(D30:D33)</f>
        <v>34</v>
      </c>
      <c r="E29" s="54">
        <f t="shared" ref="E29" si="14">SUM(E30:E33)</f>
        <v>0</v>
      </c>
      <c r="F29" s="53">
        <f>SUM(F30:F33)</f>
        <v>286600</v>
      </c>
      <c r="G29" s="55">
        <f>SUM(G30:G33)</f>
        <v>274</v>
      </c>
      <c r="H29" s="53">
        <f t="shared" ref="H29:I29" si="15">SUM(H30:H33)</f>
        <v>286326</v>
      </c>
      <c r="I29" s="55">
        <f t="shared" si="15"/>
        <v>0</v>
      </c>
      <c r="J29" s="53">
        <f t="shared" ref="J29:K29" si="16">SUM(J30:J33)</f>
        <v>97018</v>
      </c>
      <c r="K29" s="55">
        <f t="shared" si="16"/>
        <v>181</v>
      </c>
      <c r="L29" s="53">
        <f t="shared" ref="L29" si="17">SUM(L30:L33)</f>
        <v>96837</v>
      </c>
      <c r="M29" s="56">
        <f t="shared" ref="M29" si="18">SUM(M30:M33)</f>
        <v>0</v>
      </c>
      <c r="N29" s="13" t="s">
        <v>178</v>
      </c>
      <c r="O29" s="11"/>
      <c r="P29" s="11"/>
    </row>
    <row r="30" spans="1:16" x14ac:dyDescent="0.3">
      <c r="A30" s="9" t="s">
        <v>125</v>
      </c>
      <c r="B30" s="57">
        <f>SUM(C30:E30)</f>
        <v>1870</v>
      </c>
      <c r="C30" s="43">
        <v>1870</v>
      </c>
      <c r="D30" s="43" t="s">
        <v>204</v>
      </c>
      <c r="E30" s="1" t="s">
        <v>204</v>
      </c>
      <c r="F30" s="60">
        <f>SUM(G30:I30)</f>
        <v>101490</v>
      </c>
      <c r="G30" s="42">
        <v>20</v>
      </c>
      <c r="H30" s="43">
        <v>101470</v>
      </c>
      <c r="I30" s="1" t="s">
        <v>204</v>
      </c>
      <c r="J30" s="62">
        <f t="shared" si="13"/>
        <v>37175</v>
      </c>
      <c r="K30" s="43" t="s">
        <v>204</v>
      </c>
      <c r="L30" s="42">
        <v>37175</v>
      </c>
      <c r="M30" s="44" t="s">
        <v>204</v>
      </c>
      <c r="N30" s="10" t="s">
        <v>23</v>
      </c>
      <c r="O30" s="11"/>
      <c r="P30" s="11"/>
    </row>
    <row r="31" spans="1:16" x14ac:dyDescent="0.3">
      <c r="A31" s="9" t="s">
        <v>126</v>
      </c>
      <c r="B31" s="57">
        <f t="shared" ref="B31:B33" si="19">SUM(C31:E31)</f>
        <v>607</v>
      </c>
      <c r="C31" s="43">
        <v>595</v>
      </c>
      <c r="D31" s="43">
        <v>12</v>
      </c>
      <c r="E31" s="1" t="s">
        <v>204</v>
      </c>
      <c r="F31" s="60">
        <f t="shared" ref="F31:F33" si="20">SUM(G31:I31)</f>
        <v>64081</v>
      </c>
      <c r="G31" s="42" t="s">
        <v>204</v>
      </c>
      <c r="H31" s="43">
        <v>64081</v>
      </c>
      <c r="I31" s="1" t="s">
        <v>204</v>
      </c>
      <c r="J31" s="62">
        <f t="shared" si="13"/>
        <v>30919</v>
      </c>
      <c r="K31" s="43" t="s">
        <v>204</v>
      </c>
      <c r="L31" s="42">
        <v>30919</v>
      </c>
      <c r="M31" s="44" t="s">
        <v>204</v>
      </c>
      <c r="N31" s="10" t="s">
        <v>24</v>
      </c>
      <c r="O31" s="11"/>
      <c r="P31" s="11"/>
    </row>
    <row r="32" spans="1:16" x14ac:dyDescent="0.3">
      <c r="A32" s="9" t="s">
        <v>127</v>
      </c>
      <c r="B32" s="57">
        <f t="shared" si="19"/>
        <v>34</v>
      </c>
      <c r="C32" s="43">
        <v>21</v>
      </c>
      <c r="D32" s="43">
        <v>13</v>
      </c>
      <c r="E32" s="1" t="s">
        <v>204</v>
      </c>
      <c r="F32" s="60">
        <f t="shared" si="20"/>
        <v>45441</v>
      </c>
      <c r="G32" s="42">
        <v>254</v>
      </c>
      <c r="H32" s="43">
        <v>45187</v>
      </c>
      <c r="I32" s="1" t="s">
        <v>204</v>
      </c>
      <c r="J32" s="62">
        <f t="shared" si="13"/>
        <v>9247</v>
      </c>
      <c r="K32" s="43">
        <v>181</v>
      </c>
      <c r="L32" s="42">
        <v>9066</v>
      </c>
      <c r="M32" s="44" t="s">
        <v>204</v>
      </c>
      <c r="N32" s="10" t="s">
        <v>25</v>
      </c>
      <c r="O32" s="11"/>
      <c r="P32" s="11"/>
    </row>
    <row r="33" spans="1:16" x14ac:dyDescent="0.3">
      <c r="A33" s="9" t="s">
        <v>128</v>
      </c>
      <c r="B33" s="57">
        <f t="shared" si="19"/>
        <v>2066</v>
      </c>
      <c r="C33" s="43">
        <v>2057</v>
      </c>
      <c r="D33" s="43">
        <v>9</v>
      </c>
      <c r="E33" s="1" t="s">
        <v>204</v>
      </c>
      <c r="F33" s="60">
        <f t="shared" si="20"/>
        <v>75588</v>
      </c>
      <c r="G33" s="42" t="s">
        <v>204</v>
      </c>
      <c r="H33" s="43">
        <v>75588</v>
      </c>
      <c r="I33" s="1" t="s">
        <v>204</v>
      </c>
      <c r="J33" s="62">
        <f t="shared" si="13"/>
        <v>19677</v>
      </c>
      <c r="K33" s="43" t="s">
        <v>204</v>
      </c>
      <c r="L33" s="42">
        <v>19677</v>
      </c>
      <c r="M33" s="44" t="s">
        <v>204</v>
      </c>
      <c r="N33" s="10" t="s">
        <v>26</v>
      </c>
      <c r="O33" s="11"/>
      <c r="P33" s="11"/>
    </row>
    <row r="34" spans="1:16" x14ac:dyDescent="0.3">
      <c r="A34" s="106" t="s">
        <v>27</v>
      </c>
      <c r="B34" s="123">
        <f>SUM(B36:B39)</f>
        <v>3851</v>
      </c>
      <c r="C34" s="97">
        <f>SUM(C36:C39)</f>
        <v>3839</v>
      </c>
      <c r="D34" s="97">
        <f>SUM(D36:D39)</f>
        <v>12</v>
      </c>
      <c r="E34" s="99">
        <f t="shared" ref="E34" si="21">SUM(E36:E39)</f>
        <v>0</v>
      </c>
      <c r="F34" s="97">
        <f>SUM(F36:F39)</f>
        <v>344791</v>
      </c>
      <c r="G34" s="98">
        <f>SUM(G36:G39)</f>
        <v>11849</v>
      </c>
      <c r="H34" s="97">
        <f t="shared" ref="H34:J34" si="22">SUM(H36:H39)</f>
        <v>329450</v>
      </c>
      <c r="I34" s="98">
        <f t="shared" si="22"/>
        <v>3492</v>
      </c>
      <c r="J34" s="97">
        <f t="shared" si="22"/>
        <v>81227</v>
      </c>
      <c r="K34" s="98">
        <f t="shared" ref="K34:M34" si="23">SUM(K36:K39)</f>
        <v>2089</v>
      </c>
      <c r="L34" s="97">
        <f t="shared" si="23"/>
        <v>76725</v>
      </c>
      <c r="M34" s="102">
        <f t="shared" si="23"/>
        <v>2413</v>
      </c>
      <c r="N34" s="96" t="s">
        <v>28</v>
      </c>
      <c r="O34" s="96"/>
      <c r="P34" s="96"/>
    </row>
    <row r="35" spans="1:16" x14ac:dyDescent="0.3">
      <c r="A35" s="106"/>
      <c r="B35" s="123"/>
      <c r="C35" s="97"/>
      <c r="D35" s="97"/>
      <c r="E35" s="99"/>
      <c r="F35" s="97"/>
      <c r="G35" s="98"/>
      <c r="H35" s="97"/>
      <c r="I35" s="98"/>
      <c r="J35" s="97"/>
      <c r="K35" s="98"/>
      <c r="L35" s="97"/>
      <c r="M35" s="102"/>
      <c r="N35" s="96"/>
      <c r="O35" s="96"/>
      <c r="P35" s="96"/>
    </row>
    <row r="36" spans="1:16" x14ac:dyDescent="0.3">
      <c r="A36" s="9" t="s">
        <v>129</v>
      </c>
      <c r="B36" s="57">
        <f>SUM(C36:E36)</f>
        <v>1406</v>
      </c>
      <c r="C36" s="43">
        <v>1405</v>
      </c>
      <c r="D36" s="43">
        <v>1</v>
      </c>
      <c r="E36" s="1" t="s">
        <v>204</v>
      </c>
      <c r="F36" s="60">
        <f>SUM(G36:I36)</f>
        <v>119648</v>
      </c>
      <c r="G36" s="42">
        <v>11692</v>
      </c>
      <c r="H36" s="43">
        <v>107956</v>
      </c>
      <c r="I36" s="42" t="s">
        <v>204</v>
      </c>
      <c r="J36" s="62">
        <f t="shared" ref="J36:J39" si="24">SUM(K36:M36)</f>
        <v>23781</v>
      </c>
      <c r="K36" s="43">
        <v>1987</v>
      </c>
      <c r="L36" s="42">
        <v>21726</v>
      </c>
      <c r="M36" s="44">
        <v>68</v>
      </c>
      <c r="N36" s="10" t="s">
        <v>29</v>
      </c>
      <c r="O36" s="11"/>
      <c r="P36" s="11"/>
    </row>
    <row r="37" spans="1:16" x14ac:dyDescent="0.3">
      <c r="A37" s="9" t="s">
        <v>130</v>
      </c>
      <c r="B37" s="57">
        <f t="shared" ref="B37:B39" si="25">SUM(C37:E37)</f>
        <v>782</v>
      </c>
      <c r="C37" s="43">
        <v>781</v>
      </c>
      <c r="D37" s="43">
        <v>1</v>
      </c>
      <c r="E37" s="1" t="s">
        <v>204</v>
      </c>
      <c r="F37" s="60">
        <f t="shared" ref="F37:F39" si="26">SUM(G37:I37)</f>
        <v>87477</v>
      </c>
      <c r="G37" s="1">
        <v>45</v>
      </c>
      <c r="H37" s="43">
        <v>87432</v>
      </c>
      <c r="I37" s="42" t="s">
        <v>204</v>
      </c>
      <c r="J37" s="62">
        <f t="shared" si="24"/>
        <v>10036</v>
      </c>
      <c r="K37" s="43" t="s">
        <v>204</v>
      </c>
      <c r="L37" s="42">
        <v>10036</v>
      </c>
      <c r="M37" s="44" t="s">
        <v>204</v>
      </c>
      <c r="N37" s="10" t="s">
        <v>30</v>
      </c>
      <c r="O37" s="11"/>
      <c r="P37" s="11"/>
    </row>
    <row r="38" spans="1:16" x14ac:dyDescent="0.3">
      <c r="A38" s="9" t="s">
        <v>131</v>
      </c>
      <c r="B38" s="57">
        <f t="shared" si="25"/>
        <v>104</v>
      </c>
      <c r="C38" s="43">
        <v>94</v>
      </c>
      <c r="D38" s="43">
        <v>10</v>
      </c>
      <c r="E38" s="1" t="s">
        <v>204</v>
      </c>
      <c r="F38" s="60">
        <f t="shared" si="26"/>
        <v>69210</v>
      </c>
      <c r="G38" s="42">
        <v>112</v>
      </c>
      <c r="H38" s="43">
        <v>66446</v>
      </c>
      <c r="I38" s="42">
        <v>2652</v>
      </c>
      <c r="J38" s="62">
        <f t="shared" si="24"/>
        <v>28050</v>
      </c>
      <c r="K38" s="43">
        <v>84</v>
      </c>
      <c r="L38" s="42">
        <v>25621</v>
      </c>
      <c r="M38" s="44">
        <v>2345</v>
      </c>
      <c r="N38" s="10" t="s">
        <v>31</v>
      </c>
      <c r="O38" s="11"/>
      <c r="P38" s="11"/>
    </row>
    <row r="39" spans="1:16" x14ac:dyDescent="0.3">
      <c r="A39" s="9" t="s">
        <v>132</v>
      </c>
      <c r="B39" s="57">
        <f t="shared" si="25"/>
        <v>1559</v>
      </c>
      <c r="C39" s="43">
        <v>1559</v>
      </c>
      <c r="D39" s="43" t="s">
        <v>204</v>
      </c>
      <c r="E39" s="1" t="s">
        <v>204</v>
      </c>
      <c r="F39" s="60">
        <f t="shared" si="26"/>
        <v>68456</v>
      </c>
      <c r="G39" s="42" t="s">
        <v>204</v>
      </c>
      <c r="H39" s="43">
        <v>67616</v>
      </c>
      <c r="I39" s="1">
        <v>840</v>
      </c>
      <c r="J39" s="62">
        <f t="shared" si="24"/>
        <v>19360</v>
      </c>
      <c r="K39" s="43">
        <v>18</v>
      </c>
      <c r="L39" s="42">
        <v>19342</v>
      </c>
      <c r="M39" s="44" t="s">
        <v>204</v>
      </c>
      <c r="N39" s="10" t="s">
        <v>32</v>
      </c>
      <c r="O39" s="11"/>
      <c r="P39" s="11"/>
    </row>
    <row r="40" spans="1:16" x14ac:dyDescent="0.3">
      <c r="A40" s="106" t="s">
        <v>33</v>
      </c>
      <c r="B40" s="123">
        <f>SUM(B42:B46)</f>
        <v>15808</v>
      </c>
      <c r="C40" s="97">
        <f>SUM(C42:C46)</f>
        <v>15442</v>
      </c>
      <c r="D40" s="97">
        <f>SUM(D42:D46)</f>
        <v>366</v>
      </c>
      <c r="E40" s="99">
        <f t="shared" ref="E40" si="27">SUM(E42:E46)</f>
        <v>0</v>
      </c>
      <c r="F40" s="97">
        <f>SUM(F42:F46)</f>
        <v>914232</v>
      </c>
      <c r="G40" s="98">
        <f>SUM(G42:G46)</f>
        <v>770</v>
      </c>
      <c r="H40" s="97">
        <f t="shared" ref="H40:J40" si="28">SUM(H42:H46)</f>
        <v>899904</v>
      </c>
      <c r="I40" s="98">
        <f t="shared" si="28"/>
        <v>13558</v>
      </c>
      <c r="J40" s="97">
        <f t="shared" si="28"/>
        <v>244273</v>
      </c>
      <c r="K40" s="98">
        <f t="shared" ref="K40:M40" si="29">SUM(K42:K46)</f>
        <v>514</v>
      </c>
      <c r="L40" s="97">
        <f t="shared" si="29"/>
        <v>238973</v>
      </c>
      <c r="M40" s="102">
        <f t="shared" si="29"/>
        <v>4786</v>
      </c>
      <c r="N40" s="96" t="s">
        <v>34</v>
      </c>
      <c r="O40" s="96"/>
      <c r="P40" s="96"/>
    </row>
    <row r="41" spans="1:16" x14ac:dyDescent="0.3">
      <c r="A41" s="106"/>
      <c r="B41" s="123"/>
      <c r="C41" s="97"/>
      <c r="D41" s="97"/>
      <c r="E41" s="99"/>
      <c r="F41" s="97"/>
      <c r="G41" s="98"/>
      <c r="H41" s="97"/>
      <c r="I41" s="98"/>
      <c r="J41" s="97"/>
      <c r="K41" s="98"/>
      <c r="L41" s="97"/>
      <c r="M41" s="102"/>
      <c r="N41" s="96"/>
      <c r="O41" s="96"/>
      <c r="P41" s="96"/>
    </row>
    <row r="42" spans="1:16" x14ac:dyDescent="0.3">
      <c r="A42" s="9" t="s">
        <v>133</v>
      </c>
      <c r="B42" s="57">
        <f>SUM(C42:E42)</f>
        <v>11691</v>
      </c>
      <c r="C42" s="43">
        <v>11350</v>
      </c>
      <c r="D42" s="43">
        <v>341</v>
      </c>
      <c r="E42" s="1" t="s">
        <v>204</v>
      </c>
      <c r="F42" s="60">
        <f t="shared" ref="F42:F46" si="30">SUM(G42:I42)</f>
        <v>536139</v>
      </c>
      <c r="G42" s="42" t="s">
        <v>204</v>
      </c>
      <c r="H42" s="43">
        <v>536139</v>
      </c>
      <c r="I42" s="42" t="s">
        <v>204</v>
      </c>
      <c r="J42" s="62">
        <f t="shared" ref="J42:J46" si="31">SUM(K42:M42)</f>
        <v>126778</v>
      </c>
      <c r="K42" s="43">
        <v>1</v>
      </c>
      <c r="L42" s="42">
        <v>126777</v>
      </c>
      <c r="M42" s="44" t="s">
        <v>204</v>
      </c>
      <c r="N42" s="10" t="s">
        <v>35</v>
      </c>
      <c r="O42" s="11"/>
      <c r="P42" s="11"/>
    </row>
    <row r="43" spans="1:16" x14ac:dyDescent="0.3">
      <c r="A43" s="9" t="s">
        <v>134</v>
      </c>
      <c r="B43" s="57">
        <f t="shared" ref="B43:B46" si="32">SUM(C43:E43)</f>
        <v>1070</v>
      </c>
      <c r="C43" s="5">
        <v>1058</v>
      </c>
      <c r="D43" s="43">
        <v>12</v>
      </c>
      <c r="E43" s="1" t="s">
        <v>204</v>
      </c>
      <c r="F43" s="60">
        <f t="shared" si="30"/>
        <v>108505</v>
      </c>
      <c r="G43" s="42">
        <v>25</v>
      </c>
      <c r="H43" s="43">
        <v>106830</v>
      </c>
      <c r="I43" s="42">
        <v>1650</v>
      </c>
      <c r="J43" s="62">
        <f t="shared" si="31"/>
        <v>14377</v>
      </c>
      <c r="K43" s="43" t="s">
        <v>204</v>
      </c>
      <c r="L43" s="42">
        <v>13872</v>
      </c>
      <c r="M43" s="44">
        <v>505</v>
      </c>
      <c r="N43" s="10" t="s">
        <v>36</v>
      </c>
      <c r="O43" s="11"/>
      <c r="P43" s="11"/>
    </row>
    <row r="44" spans="1:16" x14ac:dyDescent="0.3">
      <c r="A44" s="9" t="s">
        <v>135</v>
      </c>
      <c r="B44" s="57">
        <f t="shared" si="32"/>
        <v>626</v>
      </c>
      <c r="C44" s="43">
        <v>613</v>
      </c>
      <c r="D44" s="43">
        <v>13</v>
      </c>
      <c r="E44" s="1" t="s">
        <v>204</v>
      </c>
      <c r="F44" s="60">
        <f t="shared" si="30"/>
        <v>103187</v>
      </c>
      <c r="G44" s="42">
        <v>5</v>
      </c>
      <c r="H44" s="43">
        <v>103182</v>
      </c>
      <c r="I44" s="1" t="s">
        <v>204</v>
      </c>
      <c r="J44" s="62">
        <f t="shared" si="31"/>
        <v>38528</v>
      </c>
      <c r="K44" s="43">
        <v>10</v>
      </c>
      <c r="L44" s="42">
        <v>38518</v>
      </c>
      <c r="M44" s="44" t="s">
        <v>204</v>
      </c>
      <c r="N44" s="10" t="s">
        <v>37</v>
      </c>
      <c r="O44" s="11"/>
      <c r="P44" s="11"/>
    </row>
    <row r="45" spans="1:16" x14ac:dyDescent="0.3">
      <c r="A45" s="9" t="s">
        <v>136</v>
      </c>
      <c r="B45" s="57">
        <f t="shared" si="32"/>
        <v>2</v>
      </c>
      <c r="C45" s="46">
        <v>2</v>
      </c>
      <c r="D45" s="46" t="s">
        <v>204</v>
      </c>
      <c r="E45" s="1" t="s">
        <v>204</v>
      </c>
      <c r="F45" s="60">
        <f t="shared" si="30"/>
        <v>430</v>
      </c>
      <c r="G45" s="42" t="s">
        <v>204</v>
      </c>
      <c r="H45" s="46">
        <v>430</v>
      </c>
      <c r="I45" s="1" t="s">
        <v>204</v>
      </c>
      <c r="J45" s="62">
        <f t="shared" si="31"/>
        <v>5214</v>
      </c>
      <c r="K45" s="46">
        <v>8</v>
      </c>
      <c r="L45" s="42">
        <v>5206</v>
      </c>
      <c r="M45" s="47" t="s">
        <v>204</v>
      </c>
      <c r="N45" s="10" t="s">
        <v>38</v>
      </c>
      <c r="O45" s="11"/>
      <c r="P45" s="11"/>
    </row>
    <row r="46" spans="1:16" x14ac:dyDescent="0.3">
      <c r="A46" s="9" t="s">
        <v>137</v>
      </c>
      <c r="B46" s="57">
        <f t="shared" si="32"/>
        <v>2419</v>
      </c>
      <c r="C46" s="43">
        <v>2419</v>
      </c>
      <c r="D46" s="43" t="s">
        <v>204</v>
      </c>
      <c r="E46" s="42" t="s">
        <v>204</v>
      </c>
      <c r="F46" s="60">
        <f t="shared" si="30"/>
        <v>165971</v>
      </c>
      <c r="G46" s="42">
        <v>740</v>
      </c>
      <c r="H46" s="43">
        <v>153323</v>
      </c>
      <c r="I46" s="42">
        <v>11908</v>
      </c>
      <c r="J46" s="62">
        <f t="shared" si="31"/>
        <v>59376</v>
      </c>
      <c r="K46" s="43">
        <v>495</v>
      </c>
      <c r="L46" s="42">
        <v>54600</v>
      </c>
      <c r="M46" s="44">
        <v>4281</v>
      </c>
      <c r="N46" s="10" t="s">
        <v>39</v>
      </c>
      <c r="O46" s="11"/>
      <c r="P46" s="11"/>
    </row>
    <row r="47" spans="1:16" x14ac:dyDescent="0.3">
      <c r="A47" s="106" t="s">
        <v>40</v>
      </c>
      <c r="B47" s="123">
        <f t="shared" ref="B47:G47" si="33">SUM(B49:B53)</f>
        <v>5121</v>
      </c>
      <c r="C47" s="97">
        <f t="shared" si="33"/>
        <v>5084</v>
      </c>
      <c r="D47" s="97">
        <f t="shared" si="33"/>
        <v>37</v>
      </c>
      <c r="E47" s="99">
        <f t="shared" si="33"/>
        <v>0</v>
      </c>
      <c r="F47" s="97">
        <f t="shared" si="33"/>
        <v>357298</v>
      </c>
      <c r="G47" s="98">
        <f t="shared" si="33"/>
        <v>4505</v>
      </c>
      <c r="H47" s="97">
        <f t="shared" ref="H47:J47" si="34">SUM(H49:H53)</f>
        <v>328610</v>
      </c>
      <c r="I47" s="98">
        <f t="shared" si="34"/>
        <v>24183</v>
      </c>
      <c r="J47" s="97">
        <f t="shared" si="34"/>
        <v>165322</v>
      </c>
      <c r="K47" s="98">
        <f t="shared" ref="K47:M47" si="35">SUM(K49:K53)</f>
        <v>3045</v>
      </c>
      <c r="L47" s="97">
        <f t="shared" si="35"/>
        <v>155983</v>
      </c>
      <c r="M47" s="102">
        <f t="shared" si="35"/>
        <v>6294</v>
      </c>
      <c r="N47" s="96" t="s">
        <v>41</v>
      </c>
      <c r="O47" s="96"/>
      <c r="P47" s="96"/>
    </row>
    <row r="48" spans="1:16" x14ac:dyDescent="0.3">
      <c r="A48" s="106"/>
      <c r="B48" s="123"/>
      <c r="C48" s="97"/>
      <c r="D48" s="97"/>
      <c r="E48" s="99"/>
      <c r="F48" s="97"/>
      <c r="G48" s="98"/>
      <c r="H48" s="97"/>
      <c r="I48" s="98"/>
      <c r="J48" s="97"/>
      <c r="K48" s="98"/>
      <c r="L48" s="97"/>
      <c r="M48" s="102"/>
      <c r="N48" s="96"/>
      <c r="O48" s="96"/>
      <c r="P48" s="96"/>
    </row>
    <row r="49" spans="1:16" x14ac:dyDescent="0.3">
      <c r="A49" s="9" t="s">
        <v>138</v>
      </c>
      <c r="B49" s="57">
        <f t="shared" ref="B49:B53" si="36">SUM(C49:E49)</f>
        <v>2254</v>
      </c>
      <c r="C49" s="43">
        <v>2229</v>
      </c>
      <c r="D49" s="43">
        <v>25</v>
      </c>
      <c r="E49" s="1" t="s">
        <v>204</v>
      </c>
      <c r="F49" s="60">
        <f t="shared" ref="F49:F53" si="37">SUM(G49:I49)</f>
        <v>135805</v>
      </c>
      <c r="G49" s="42">
        <v>3271</v>
      </c>
      <c r="H49" s="43">
        <v>110172</v>
      </c>
      <c r="I49" s="42">
        <v>22362</v>
      </c>
      <c r="J49" s="62">
        <f t="shared" ref="J49:J53" si="38">SUM(K49:M49)</f>
        <v>49402</v>
      </c>
      <c r="K49" s="43">
        <v>1970</v>
      </c>
      <c r="L49" s="42">
        <v>41138</v>
      </c>
      <c r="M49" s="44">
        <v>6294</v>
      </c>
      <c r="N49" s="10" t="s">
        <v>42</v>
      </c>
      <c r="O49" s="11"/>
      <c r="P49" s="11"/>
    </row>
    <row r="50" spans="1:16" x14ac:dyDescent="0.3">
      <c r="A50" s="9" t="s">
        <v>139</v>
      </c>
      <c r="B50" s="57">
        <f t="shared" si="36"/>
        <v>2364</v>
      </c>
      <c r="C50" s="43">
        <v>2364</v>
      </c>
      <c r="D50" s="43" t="s">
        <v>204</v>
      </c>
      <c r="E50" s="1" t="s">
        <v>204</v>
      </c>
      <c r="F50" s="60">
        <f t="shared" si="37"/>
        <v>63701</v>
      </c>
      <c r="G50" s="42">
        <v>493</v>
      </c>
      <c r="H50" s="43">
        <v>61387</v>
      </c>
      <c r="I50" s="42">
        <v>1821</v>
      </c>
      <c r="J50" s="62">
        <f t="shared" si="38"/>
        <v>28519</v>
      </c>
      <c r="K50" s="43">
        <v>298</v>
      </c>
      <c r="L50" s="42">
        <v>28221</v>
      </c>
      <c r="M50" s="44" t="s">
        <v>204</v>
      </c>
      <c r="N50" s="10" t="s">
        <v>43</v>
      </c>
      <c r="O50" s="11"/>
      <c r="P50" s="11"/>
    </row>
    <row r="51" spans="1:16" x14ac:dyDescent="0.3">
      <c r="A51" s="9" t="s">
        <v>140</v>
      </c>
      <c r="B51" s="57">
        <f t="shared" si="36"/>
        <v>211</v>
      </c>
      <c r="C51" s="43">
        <v>211</v>
      </c>
      <c r="D51" s="43" t="s">
        <v>204</v>
      </c>
      <c r="E51" s="1" t="s">
        <v>204</v>
      </c>
      <c r="F51" s="60">
        <f t="shared" si="37"/>
        <v>100743</v>
      </c>
      <c r="G51" s="42">
        <v>66</v>
      </c>
      <c r="H51" s="43">
        <v>100677</v>
      </c>
      <c r="I51" s="42" t="s">
        <v>204</v>
      </c>
      <c r="J51" s="62">
        <f t="shared" si="38"/>
        <v>51549</v>
      </c>
      <c r="K51" s="43">
        <v>86</v>
      </c>
      <c r="L51" s="42">
        <v>51463</v>
      </c>
      <c r="M51" s="44" t="s">
        <v>204</v>
      </c>
      <c r="N51" s="10" t="s">
        <v>44</v>
      </c>
      <c r="O51" s="11"/>
      <c r="P51" s="11"/>
    </row>
    <row r="52" spans="1:16" x14ac:dyDescent="0.3">
      <c r="A52" s="9" t="s">
        <v>141</v>
      </c>
      <c r="B52" s="57">
        <f t="shared" si="36"/>
        <v>9</v>
      </c>
      <c r="C52" s="43">
        <v>9</v>
      </c>
      <c r="D52" s="43" t="s">
        <v>204</v>
      </c>
      <c r="E52" s="1" t="s">
        <v>204</v>
      </c>
      <c r="F52" s="60">
        <f t="shared" si="37"/>
        <v>22074</v>
      </c>
      <c r="G52" s="42">
        <v>330</v>
      </c>
      <c r="H52" s="43">
        <v>21744</v>
      </c>
      <c r="I52" s="1" t="s">
        <v>204</v>
      </c>
      <c r="J52" s="62">
        <f t="shared" si="38"/>
        <v>13938</v>
      </c>
      <c r="K52" s="43">
        <v>488</v>
      </c>
      <c r="L52" s="42">
        <v>13450</v>
      </c>
      <c r="M52" s="44" t="s">
        <v>204</v>
      </c>
      <c r="N52" s="10" t="s">
        <v>45</v>
      </c>
      <c r="O52" s="11"/>
      <c r="P52" s="11"/>
    </row>
    <row r="53" spans="1:16" x14ac:dyDescent="0.3">
      <c r="A53" s="9" t="s">
        <v>142</v>
      </c>
      <c r="B53" s="57">
        <f t="shared" si="36"/>
        <v>283</v>
      </c>
      <c r="C53" s="43">
        <v>271</v>
      </c>
      <c r="D53" s="43">
        <v>12</v>
      </c>
      <c r="E53" s="1" t="s">
        <v>204</v>
      </c>
      <c r="F53" s="60">
        <f t="shared" si="37"/>
        <v>34975</v>
      </c>
      <c r="G53" s="42">
        <v>345</v>
      </c>
      <c r="H53" s="43">
        <v>34630</v>
      </c>
      <c r="I53" s="42" t="s">
        <v>204</v>
      </c>
      <c r="J53" s="62">
        <f t="shared" si="38"/>
        <v>21914</v>
      </c>
      <c r="K53" s="43">
        <v>203</v>
      </c>
      <c r="L53" s="42">
        <v>21711</v>
      </c>
      <c r="M53" s="44" t="s">
        <v>204</v>
      </c>
      <c r="N53" s="10" t="s">
        <v>46</v>
      </c>
      <c r="O53" s="11"/>
      <c r="P53" s="11"/>
    </row>
    <row r="54" spans="1:16" x14ac:dyDescent="0.3">
      <c r="A54" s="106" t="s">
        <v>47</v>
      </c>
      <c r="B54" s="123">
        <f>SUM(B56:B60)</f>
        <v>163</v>
      </c>
      <c r="C54" s="97">
        <f>SUM(C56:C60)</f>
        <v>158</v>
      </c>
      <c r="D54" s="97">
        <f>SUM(D56:D60)</f>
        <v>5</v>
      </c>
      <c r="E54" s="99">
        <f t="shared" ref="E54" si="39">SUM(E56:E60)</f>
        <v>0</v>
      </c>
      <c r="F54" s="97">
        <f>SUM(F56:F60)</f>
        <v>67702</v>
      </c>
      <c r="G54" s="98">
        <f>SUM(G56:G60)</f>
        <v>1704</v>
      </c>
      <c r="H54" s="97">
        <f t="shared" ref="H54:J54" si="40">SUM(H56:H60)</f>
        <v>65998</v>
      </c>
      <c r="I54" s="98">
        <f t="shared" si="40"/>
        <v>0</v>
      </c>
      <c r="J54" s="97">
        <f t="shared" si="40"/>
        <v>52803</v>
      </c>
      <c r="K54" s="98">
        <f t="shared" ref="K54:M54" si="41">SUM(K56:K60)</f>
        <v>1786</v>
      </c>
      <c r="L54" s="97">
        <f t="shared" si="41"/>
        <v>51017</v>
      </c>
      <c r="M54" s="102">
        <f t="shared" si="41"/>
        <v>0</v>
      </c>
      <c r="N54" s="96" t="s">
        <v>48</v>
      </c>
      <c r="O54" s="96"/>
      <c r="P54" s="96"/>
    </row>
    <row r="55" spans="1:16" x14ac:dyDescent="0.3">
      <c r="A55" s="106"/>
      <c r="B55" s="123"/>
      <c r="C55" s="97"/>
      <c r="D55" s="97"/>
      <c r="E55" s="99"/>
      <c r="F55" s="97"/>
      <c r="G55" s="98"/>
      <c r="H55" s="97"/>
      <c r="I55" s="98"/>
      <c r="J55" s="97"/>
      <c r="K55" s="98"/>
      <c r="L55" s="97"/>
      <c r="M55" s="102"/>
      <c r="N55" s="96"/>
      <c r="O55" s="96"/>
      <c r="P55" s="96"/>
    </row>
    <row r="56" spans="1:16" x14ac:dyDescent="0.3">
      <c r="A56" s="9" t="s">
        <v>143</v>
      </c>
      <c r="B56" s="57">
        <f t="shared" ref="B56:B60" si="42">SUM(C56:E56)</f>
        <v>107</v>
      </c>
      <c r="C56" s="43">
        <v>102</v>
      </c>
      <c r="D56" s="43">
        <v>5</v>
      </c>
      <c r="E56" s="1" t="s">
        <v>204</v>
      </c>
      <c r="F56" s="60">
        <f t="shared" ref="F56:F60" si="43">SUM(G56:I56)</f>
        <v>2875</v>
      </c>
      <c r="G56" s="42">
        <v>205</v>
      </c>
      <c r="H56" s="43">
        <v>2670</v>
      </c>
      <c r="I56" s="1" t="s">
        <v>204</v>
      </c>
      <c r="J56" s="62">
        <f t="shared" ref="J56:J60" si="44">SUM(K56:M56)</f>
        <v>1126</v>
      </c>
      <c r="K56" s="43">
        <v>117</v>
      </c>
      <c r="L56" s="42">
        <v>1009</v>
      </c>
      <c r="M56" s="44" t="s">
        <v>204</v>
      </c>
      <c r="N56" s="10" t="s">
        <v>49</v>
      </c>
      <c r="O56" s="11"/>
      <c r="P56" s="11"/>
    </row>
    <row r="57" spans="1:16" x14ac:dyDescent="0.3">
      <c r="A57" s="9" t="s">
        <v>144</v>
      </c>
      <c r="B57" s="57">
        <f t="shared" si="42"/>
        <v>45</v>
      </c>
      <c r="C57" s="43">
        <v>45</v>
      </c>
      <c r="D57" s="43" t="s">
        <v>204</v>
      </c>
      <c r="E57" s="1" t="s">
        <v>204</v>
      </c>
      <c r="F57" s="60">
        <f t="shared" si="43"/>
        <v>3541</v>
      </c>
      <c r="G57" s="42">
        <v>1399</v>
      </c>
      <c r="H57" s="43">
        <v>2142</v>
      </c>
      <c r="I57" s="1" t="s">
        <v>204</v>
      </c>
      <c r="J57" s="62">
        <f t="shared" si="44"/>
        <v>3448</v>
      </c>
      <c r="K57" s="43">
        <v>1601</v>
      </c>
      <c r="L57" s="42">
        <v>1847</v>
      </c>
      <c r="M57" s="44" t="s">
        <v>204</v>
      </c>
      <c r="N57" s="10" t="s">
        <v>50</v>
      </c>
      <c r="O57" s="11"/>
      <c r="P57" s="11"/>
    </row>
    <row r="58" spans="1:16" x14ac:dyDescent="0.3">
      <c r="A58" s="9" t="s">
        <v>145</v>
      </c>
      <c r="B58" s="57">
        <f t="shared" si="42"/>
        <v>0</v>
      </c>
      <c r="C58" s="43" t="s">
        <v>204</v>
      </c>
      <c r="D58" s="43" t="s">
        <v>204</v>
      </c>
      <c r="E58" s="1" t="s">
        <v>204</v>
      </c>
      <c r="F58" s="60">
        <f t="shared" si="43"/>
        <v>2875</v>
      </c>
      <c r="G58" s="42" t="s">
        <v>204</v>
      </c>
      <c r="H58" s="43">
        <v>2875</v>
      </c>
      <c r="I58" s="1" t="s">
        <v>204</v>
      </c>
      <c r="J58" s="62">
        <f t="shared" si="44"/>
        <v>4200</v>
      </c>
      <c r="K58" s="43" t="s">
        <v>204</v>
      </c>
      <c r="L58" s="42">
        <v>4200</v>
      </c>
      <c r="M58" s="44" t="s">
        <v>204</v>
      </c>
      <c r="N58" s="10" t="s">
        <v>51</v>
      </c>
      <c r="O58" s="11"/>
      <c r="P58" s="11"/>
    </row>
    <row r="59" spans="1:16" x14ac:dyDescent="0.3">
      <c r="A59" s="9" t="s">
        <v>146</v>
      </c>
      <c r="B59" s="57">
        <f t="shared" si="42"/>
        <v>11</v>
      </c>
      <c r="C59" s="43">
        <v>11</v>
      </c>
      <c r="D59" s="43" t="s">
        <v>204</v>
      </c>
      <c r="E59" s="1" t="s">
        <v>204</v>
      </c>
      <c r="F59" s="60">
        <f t="shared" si="43"/>
        <v>57647</v>
      </c>
      <c r="G59" s="42" t="s">
        <v>204</v>
      </c>
      <c r="H59" s="43">
        <v>57647</v>
      </c>
      <c r="I59" s="1" t="s">
        <v>204</v>
      </c>
      <c r="J59" s="62">
        <f t="shared" si="44"/>
        <v>43402</v>
      </c>
      <c r="K59" s="43" t="s">
        <v>204</v>
      </c>
      <c r="L59" s="42">
        <v>43402</v>
      </c>
      <c r="M59" s="44" t="s">
        <v>204</v>
      </c>
      <c r="N59" s="10" t="s">
        <v>52</v>
      </c>
      <c r="O59" s="11"/>
      <c r="P59" s="11"/>
    </row>
    <row r="60" spans="1:16" x14ac:dyDescent="0.3">
      <c r="A60" s="9" t="s">
        <v>147</v>
      </c>
      <c r="B60" s="57">
        <f t="shared" si="42"/>
        <v>0</v>
      </c>
      <c r="C60" s="43" t="s">
        <v>204</v>
      </c>
      <c r="D60" s="43" t="s">
        <v>204</v>
      </c>
      <c r="E60" s="1" t="s">
        <v>204</v>
      </c>
      <c r="F60" s="60">
        <f t="shared" si="43"/>
        <v>764</v>
      </c>
      <c r="G60" s="42">
        <v>100</v>
      </c>
      <c r="H60" s="43">
        <v>664</v>
      </c>
      <c r="I60" s="1" t="s">
        <v>204</v>
      </c>
      <c r="J60" s="62">
        <f t="shared" si="44"/>
        <v>627</v>
      </c>
      <c r="K60" s="43">
        <v>68</v>
      </c>
      <c r="L60" s="42">
        <v>559</v>
      </c>
      <c r="M60" s="44" t="s">
        <v>204</v>
      </c>
      <c r="N60" s="10" t="s">
        <v>53</v>
      </c>
      <c r="O60" s="11"/>
      <c r="P60" s="11"/>
    </row>
    <row r="61" spans="1:16" x14ac:dyDescent="0.3">
      <c r="A61" s="106" t="s">
        <v>54</v>
      </c>
      <c r="B61" s="123">
        <f>SUM(B63:B65)</f>
        <v>7855</v>
      </c>
      <c r="C61" s="97">
        <f>SUM(C63:C65)</f>
        <v>5843</v>
      </c>
      <c r="D61" s="97">
        <f>SUM(D63:D65)</f>
        <v>2012</v>
      </c>
      <c r="E61" s="99">
        <f t="shared" ref="E61" si="45">SUM(E63:E65)</f>
        <v>0</v>
      </c>
      <c r="F61" s="97">
        <f>SUM(F63:F65)</f>
        <v>1057181</v>
      </c>
      <c r="G61" s="98">
        <f>SUM(G63:G65)</f>
        <v>42719</v>
      </c>
      <c r="H61" s="97">
        <f t="shared" ref="H61:J61" si="46">SUM(H63:H65)</f>
        <v>1010957</v>
      </c>
      <c r="I61" s="98">
        <f t="shared" si="46"/>
        <v>3505</v>
      </c>
      <c r="J61" s="97">
        <f t="shared" si="46"/>
        <v>310610</v>
      </c>
      <c r="K61" s="98">
        <f t="shared" ref="K61:M61" si="47">SUM(K63:K65)</f>
        <v>22825</v>
      </c>
      <c r="L61" s="97">
        <f t="shared" si="47"/>
        <v>284204</v>
      </c>
      <c r="M61" s="102">
        <f t="shared" si="47"/>
        <v>3581</v>
      </c>
      <c r="N61" s="96" t="s">
        <v>55</v>
      </c>
      <c r="O61" s="96"/>
      <c r="P61" s="96"/>
    </row>
    <row r="62" spans="1:16" x14ac:dyDescent="0.3">
      <c r="A62" s="106"/>
      <c r="B62" s="123"/>
      <c r="C62" s="97"/>
      <c r="D62" s="97"/>
      <c r="E62" s="99"/>
      <c r="F62" s="97"/>
      <c r="G62" s="98"/>
      <c r="H62" s="97"/>
      <c r="I62" s="98"/>
      <c r="J62" s="97"/>
      <c r="K62" s="98"/>
      <c r="L62" s="97"/>
      <c r="M62" s="102"/>
      <c r="N62" s="96"/>
      <c r="O62" s="96"/>
      <c r="P62" s="96"/>
    </row>
    <row r="63" spans="1:16" x14ac:dyDescent="0.3">
      <c r="A63" s="9" t="s">
        <v>148</v>
      </c>
      <c r="B63" s="57">
        <f t="shared" ref="B63:B65" si="48">SUM(C63:E63)</f>
        <v>4478</v>
      </c>
      <c r="C63" s="43">
        <v>2466</v>
      </c>
      <c r="D63" s="43">
        <v>2012</v>
      </c>
      <c r="E63" s="1" t="s">
        <v>204</v>
      </c>
      <c r="F63" s="60">
        <f t="shared" ref="F63:F65" si="49">SUM(G63:I63)</f>
        <v>220538</v>
      </c>
      <c r="G63" s="42">
        <v>5190</v>
      </c>
      <c r="H63" s="43">
        <v>215348</v>
      </c>
      <c r="I63" s="42" t="s">
        <v>204</v>
      </c>
      <c r="J63" s="62">
        <f t="shared" ref="J63:J65" si="50">SUM(K63:M63)</f>
        <v>107977</v>
      </c>
      <c r="K63" s="43">
        <v>2391</v>
      </c>
      <c r="L63" s="42">
        <v>105475</v>
      </c>
      <c r="M63" s="44">
        <v>111</v>
      </c>
      <c r="N63" s="10" t="s">
        <v>56</v>
      </c>
      <c r="O63" s="11"/>
      <c r="P63" s="11"/>
    </row>
    <row r="64" spans="1:16" x14ac:dyDescent="0.3">
      <c r="A64" s="9" t="s">
        <v>149</v>
      </c>
      <c r="B64" s="57">
        <f t="shared" si="48"/>
        <v>619</v>
      </c>
      <c r="C64" s="46">
        <v>619</v>
      </c>
      <c r="D64" s="46" t="s">
        <v>204</v>
      </c>
      <c r="E64" s="1" t="s">
        <v>204</v>
      </c>
      <c r="F64" s="60">
        <f t="shared" si="49"/>
        <v>560699</v>
      </c>
      <c r="G64" s="42">
        <v>33144</v>
      </c>
      <c r="H64" s="43">
        <v>524050</v>
      </c>
      <c r="I64" s="42">
        <v>3505</v>
      </c>
      <c r="J64" s="62">
        <f t="shared" si="50"/>
        <v>165568</v>
      </c>
      <c r="K64" s="43">
        <v>17898</v>
      </c>
      <c r="L64" s="42">
        <v>144200</v>
      </c>
      <c r="M64" s="44">
        <v>3470</v>
      </c>
      <c r="N64" s="10" t="s">
        <v>57</v>
      </c>
      <c r="O64" s="11"/>
      <c r="P64" s="11"/>
    </row>
    <row r="65" spans="1:16" x14ac:dyDescent="0.3">
      <c r="A65" s="9" t="s">
        <v>150</v>
      </c>
      <c r="B65" s="57">
        <f t="shared" si="48"/>
        <v>2758</v>
      </c>
      <c r="C65" s="43">
        <v>2758</v>
      </c>
      <c r="D65" s="43" t="s">
        <v>204</v>
      </c>
      <c r="E65" s="1" t="s">
        <v>204</v>
      </c>
      <c r="F65" s="60">
        <f t="shared" si="49"/>
        <v>275944</v>
      </c>
      <c r="G65" s="42">
        <v>4385</v>
      </c>
      <c r="H65" s="43">
        <v>271559</v>
      </c>
      <c r="I65" s="1" t="s">
        <v>204</v>
      </c>
      <c r="J65" s="62">
        <f t="shared" si="50"/>
        <v>37065</v>
      </c>
      <c r="K65" s="43">
        <v>2536</v>
      </c>
      <c r="L65" s="42">
        <v>34529</v>
      </c>
      <c r="M65" s="44" t="s">
        <v>204</v>
      </c>
      <c r="N65" s="10" t="s">
        <v>58</v>
      </c>
      <c r="O65" s="11"/>
      <c r="P65" s="11"/>
    </row>
    <row r="66" spans="1:16" x14ac:dyDescent="0.3">
      <c r="A66" s="106" t="s">
        <v>59</v>
      </c>
      <c r="B66" s="123">
        <f>SUM(B68:B72)</f>
        <v>1264</v>
      </c>
      <c r="C66" s="97">
        <f>SUM(C68:C72)</f>
        <v>1214</v>
      </c>
      <c r="D66" s="97">
        <f>SUM(D68:D72)</f>
        <v>50</v>
      </c>
      <c r="E66" s="99">
        <f t="shared" ref="E66" si="51">SUM(E68:E72)</f>
        <v>0</v>
      </c>
      <c r="F66" s="97">
        <f>SUM(F68:F72)</f>
        <v>265840</v>
      </c>
      <c r="G66" s="98">
        <f>SUM(G68:G72)</f>
        <v>6303</v>
      </c>
      <c r="H66" s="97">
        <f t="shared" ref="H66:J66" si="52">SUM(H68:H72)</f>
        <v>255267</v>
      </c>
      <c r="I66" s="98">
        <f t="shared" si="52"/>
        <v>4270</v>
      </c>
      <c r="J66" s="97">
        <f t="shared" si="52"/>
        <v>253070</v>
      </c>
      <c r="K66" s="98">
        <f t="shared" ref="K66:M66" si="53">SUM(K68:K72)</f>
        <v>2888</v>
      </c>
      <c r="L66" s="97">
        <f t="shared" si="53"/>
        <v>239974</v>
      </c>
      <c r="M66" s="102">
        <f t="shared" si="53"/>
        <v>10208</v>
      </c>
      <c r="N66" s="96" t="s">
        <v>60</v>
      </c>
      <c r="O66" s="96"/>
      <c r="P66" s="96"/>
    </row>
    <row r="67" spans="1:16" x14ac:dyDescent="0.3">
      <c r="A67" s="106"/>
      <c r="B67" s="123"/>
      <c r="C67" s="97"/>
      <c r="D67" s="97"/>
      <c r="E67" s="99"/>
      <c r="F67" s="97"/>
      <c r="G67" s="98"/>
      <c r="H67" s="97"/>
      <c r="I67" s="98"/>
      <c r="J67" s="97"/>
      <c r="K67" s="98"/>
      <c r="L67" s="97"/>
      <c r="M67" s="102"/>
      <c r="N67" s="96"/>
      <c r="O67" s="96"/>
      <c r="P67" s="96"/>
    </row>
    <row r="68" spans="1:16" x14ac:dyDescent="0.3">
      <c r="A68" s="9" t="s">
        <v>151</v>
      </c>
      <c r="B68" s="57">
        <f t="shared" ref="B68:B72" si="54">SUM(C68:E68)</f>
        <v>104</v>
      </c>
      <c r="C68" s="43">
        <v>104</v>
      </c>
      <c r="D68" s="43" t="s">
        <v>204</v>
      </c>
      <c r="E68" s="1" t="s">
        <v>204</v>
      </c>
      <c r="F68" s="60">
        <f t="shared" ref="F68:F72" si="55">SUM(G68:I68)</f>
        <v>86240</v>
      </c>
      <c r="G68" s="42">
        <v>1019</v>
      </c>
      <c r="H68" s="43">
        <v>85221</v>
      </c>
      <c r="I68" s="1" t="s">
        <v>204</v>
      </c>
      <c r="J68" s="62">
        <f t="shared" ref="J68:J72" si="56">SUM(K68:M68)</f>
        <v>59248</v>
      </c>
      <c r="K68" s="43">
        <v>548</v>
      </c>
      <c r="L68" s="42">
        <v>58700</v>
      </c>
      <c r="M68" s="44" t="s">
        <v>204</v>
      </c>
      <c r="N68" s="10" t="s">
        <v>61</v>
      </c>
      <c r="O68" s="11"/>
      <c r="P68" s="11"/>
    </row>
    <row r="69" spans="1:16" x14ac:dyDescent="0.3">
      <c r="A69" s="9" t="s">
        <v>152</v>
      </c>
      <c r="B69" s="57">
        <f t="shared" si="54"/>
        <v>427</v>
      </c>
      <c r="C69" s="43">
        <v>424</v>
      </c>
      <c r="D69" s="43">
        <v>3</v>
      </c>
      <c r="E69" s="1" t="s">
        <v>204</v>
      </c>
      <c r="F69" s="60">
        <f t="shared" si="55"/>
        <v>45067</v>
      </c>
      <c r="G69" s="42">
        <v>1485</v>
      </c>
      <c r="H69" s="43">
        <v>39312</v>
      </c>
      <c r="I69" s="42">
        <v>4270</v>
      </c>
      <c r="J69" s="62">
        <f t="shared" si="56"/>
        <v>53279</v>
      </c>
      <c r="K69" s="43">
        <v>1415</v>
      </c>
      <c r="L69" s="42">
        <v>41656</v>
      </c>
      <c r="M69" s="44">
        <v>10208</v>
      </c>
      <c r="N69" s="10" t="s">
        <v>62</v>
      </c>
      <c r="O69" s="11"/>
      <c r="P69" s="11"/>
    </row>
    <row r="70" spans="1:16" x14ac:dyDescent="0.3">
      <c r="A70" s="9" t="s">
        <v>153</v>
      </c>
      <c r="B70" s="57">
        <f t="shared" si="54"/>
        <v>209</v>
      </c>
      <c r="C70" s="43">
        <v>205</v>
      </c>
      <c r="D70" s="43">
        <v>4</v>
      </c>
      <c r="E70" s="1" t="s">
        <v>204</v>
      </c>
      <c r="F70" s="60">
        <f t="shared" si="55"/>
        <v>44031</v>
      </c>
      <c r="G70" s="42">
        <v>42</v>
      </c>
      <c r="H70" s="43">
        <v>43989</v>
      </c>
      <c r="I70" s="42" t="s">
        <v>204</v>
      </c>
      <c r="J70" s="62">
        <f t="shared" si="56"/>
        <v>38812</v>
      </c>
      <c r="K70" s="43">
        <v>41</v>
      </c>
      <c r="L70" s="42">
        <v>38771</v>
      </c>
      <c r="M70" s="44" t="s">
        <v>204</v>
      </c>
      <c r="N70" s="10" t="s">
        <v>63</v>
      </c>
      <c r="O70" s="11"/>
      <c r="P70" s="11"/>
    </row>
    <row r="71" spans="1:16" x14ac:dyDescent="0.3">
      <c r="A71" s="9" t="s">
        <v>154</v>
      </c>
      <c r="B71" s="57">
        <f t="shared" si="54"/>
        <v>388</v>
      </c>
      <c r="C71" s="43">
        <v>374</v>
      </c>
      <c r="D71" s="43">
        <v>14</v>
      </c>
      <c r="E71" s="1" t="s">
        <v>204</v>
      </c>
      <c r="F71" s="60">
        <f t="shared" si="55"/>
        <v>43211</v>
      </c>
      <c r="G71" s="42">
        <v>44</v>
      </c>
      <c r="H71" s="43">
        <v>43167</v>
      </c>
      <c r="I71" s="42" t="s">
        <v>204</v>
      </c>
      <c r="J71" s="62">
        <f t="shared" si="56"/>
        <v>80895</v>
      </c>
      <c r="K71" s="43">
        <v>82</v>
      </c>
      <c r="L71" s="42">
        <v>80813</v>
      </c>
      <c r="M71" s="44" t="s">
        <v>204</v>
      </c>
      <c r="N71" s="10" t="s">
        <v>64</v>
      </c>
      <c r="O71" s="11"/>
      <c r="P71" s="11"/>
    </row>
    <row r="72" spans="1:16" x14ac:dyDescent="0.3">
      <c r="A72" s="9" t="s">
        <v>155</v>
      </c>
      <c r="B72" s="57">
        <f t="shared" si="54"/>
        <v>136</v>
      </c>
      <c r="C72" s="43">
        <v>107</v>
      </c>
      <c r="D72" s="43">
        <v>29</v>
      </c>
      <c r="E72" s="1" t="s">
        <v>204</v>
      </c>
      <c r="F72" s="60">
        <f t="shared" si="55"/>
        <v>47291</v>
      </c>
      <c r="G72" s="42">
        <v>3713</v>
      </c>
      <c r="H72" s="43">
        <v>43578</v>
      </c>
      <c r="I72" s="42" t="s">
        <v>204</v>
      </c>
      <c r="J72" s="62">
        <f t="shared" si="56"/>
        <v>20836</v>
      </c>
      <c r="K72" s="43">
        <v>802</v>
      </c>
      <c r="L72" s="42">
        <v>20034</v>
      </c>
      <c r="M72" s="44" t="s">
        <v>204</v>
      </c>
      <c r="N72" s="10" t="s">
        <v>65</v>
      </c>
      <c r="O72" s="11"/>
      <c r="P72" s="11"/>
    </row>
    <row r="73" spans="1:16" x14ac:dyDescent="0.3">
      <c r="A73" s="106" t="s">
        <v>66</v>
      </c>
      <c r="B73" s="123">
        <f>SUM(B75:B82)</f>
        <v>1517</v>
      </c>
      <c r="C73" s="97">
        <f>SUM(C75:C82)</f>
        <v>1516</v>
      </c>
      <c r="D73" s="97">
        <f>SUM(D75:D82)</f>
        <v>1</v>
      </c>
      <c r="E73" s="99">
        <f t="shared" ref="E73" si="57">SUM(E75:E82)</f>
        <v>0</v>
      </c>
      <c r="F73" s="97">
        <f>SUM(F75:F82)</f>
        <v>48716</v>
      </c>
      <c r="G73" s="98">
        <f>SUM(G75:G82)</f>
        <v>210</v>
      </c>
      <c r="H73" s="97">
        <f t="shared" ref="H73:J73" si="58">SUM(H75:H82)</f>
        <v>48506</v>
      </c>
      <c r="I73" s="98">
        <f t="shared" si="58"/>
        <v>0</v>
      </c>
      <c r="J73" s="97">
        <f t="shared" si="58"/>
        <v>22489</v>
      </c>
      <c r="K73" s="98">
        <f t="shared" ref="K73:M73" si="59">SUM(K75:K82)</f>
        <v>496</v>
      </c>
      <c r="L73" s="97">
        <f t="shared" si="59"/>
        <v>21993</v>
      </c>
      <c r="M73" s="102">
        <f t="shared" si="59"/>
        <v>0</v>
      </c>
      <c r="N73" s="96" t="s">
        <v>67</v>
      </c>
      <c r="O73" s="96"/>
      <c r="P73" s="96"/>
    </row>
    <row r="74" spans="1:16" x14ac:dyDescent="0.3">
      <c r="A74" s="106"/>
      <c r="B74" s="123"/>
      <c r="C74" s="97"/>
      <c r="D74" s="97"/>
      <c r="E74" s="99"/>
      <c r="F74" s="97"/>
      <c r="G74" s="98"/>
      <c r="H74" s="97"/>
      <c r="I74" s="98"/>
      <c r="J74" s="97"/>
      <c r="K74" s="98"/>
      <c r="L74" s="97"/>
      <c r="M74" s="102"/>
      <c r="N74" s="96"/>
      <c r="O74" s="96"/>
      <c r="P74" s="96"/>
    </row>
    <row r="75" spans="1:16" x14ac:dyDescent="0.3">
      <c r="A75" s="14" t="s">
        <v>68</v>
      </c>
      <c r="B75" s="57">
        <f t="shared" ref="B75:B82" si="60">SUM(C75:E75)</f>
        <v>0</v>
      </c>
      <c r="C75" s="43" t="s">
        <v>204</v>
      </c>
      <c r="D75" s="43" t="s">
        <v>204</v>
      </c>
      <c r="E75" s="48" t="s">
        <v>204</v>
      </c>
      <c r="F75" s="60">
        <f t="shared" ref="F75:F82" si="61">SUM(G75:I75)</f>
        <v>0</v>
      </c>
      <c r="G75" s="42" t="s">
        <v>204</v>
      </c>
      <c r="H75" s="43" t="s">
        <v>204</v>
      </c>
      <c r="I75" s="43" t="s">
        <v>204</v>
      </c>
      <c r="J75" s="62">
        <f t="shared" ref="J75:J82" si="62">SUM(K75:M75)</f>
        <v>0</v>
      </c>
      <c r="K75" s="43" t="s">
        <v>204</v>
      </c>
      <c r="L75" s="42" t="s">
        <v>204</v>
      </c>
      <c r="M75" s="44" t="s">
        <v>204</v>
      </c>
      <c r="N75" s="10" t="s">
        <v>69</v>
      </c>
      <c r="O75" s="11"/>
      <c r="P75" s="11"/>
    </row>
    <row r="76" spans="1:16" x14ac:dyDescent="0.3">
      <c r="A76" s="14" t="s">
        <v>70</v>
      </c>
      <c r="B76" s="57">
        <f t="shared" si="60"/>
        <v>0</v>
      </c>
      <c r="C76" s="46" t="s">
        <v>204</v>
      </c>
      <c r="D76" s="46" t="s">
        <v>204</v>
      </c>
      <c r="E76" s="48" t="s">
        <v>204</v>
      </c>
      <c r="F76" s="60">
        <f t="shared" si="61"/>
        <v>15</v>
      </c>
      <c r="G76" s="42" t="s">
        <v>204</v>
      </c>
      <c r="H76" s="46">
        <v>15</v>
      </c>
      <c r="I76" s="46" t="s">
        <v>204</v>
      </c>
      <c r="J76" s="62">
        <f t="shared" si="62"/>
        <v>270</v>
      </c>
      <c r="K76" s="46" t="s">
        <v>204</v>
      </c>
      <c r="L76" s="42">
        <v>270</v>
      </c>
      <c r="M76" s="47" t="s">
        <v>204</v>
      </c>
      <c r="N76" s="10" t="s">
        <v>71</v>
      </c>
      <c r="O76" s="11"/>
      <c r="P76" s="11"/>
    </row>
    <row r="77" spans="1:16" x14ac:dyDescent="0.3">
      <c r="A77" s="14" t="s">
        <v>72</v>
      </c>
      <c r="B77" s="57">
        <f t="shared" si="60"/>
        <v>0</v>
      </c>
      <c r="C77" s="46" t="s">
        <v>204</v>
      </c>
      <c r="D77" s="46" t="s">
        <v>204</v>
      </c>
      <c r="E77" s="48" t="s">
        <v>204</v>
      </c>
      <c r="F77" s="60">
        <f t="shared" si="61"/>
        <v>0</v>
      </c>
      <c r="G77" s="1" t="s">
        <v>204</v>
      </c>
      <c r="H77" s="46" t="s">
        <v>204</v>
      </c>
      <c r="I77" s="46" t="s">
        <v>204</v>
      </c>
      <c r="J77" s="62">
        <f t="shared" si="62"/>
        <v>0</v>
      </c>
      <c r="K77" s="46" t="s">
        <v>204</v>
      </c>
      <c r="L77" s="1" t="s">
        <v>204</v>
      </c>
      <c r="M77" s="47" t="s">
        <v>204</v>
      </c>
      <c r="N77" s="10" t="s">
        <v>73</v>
      </c>
      <c r="O77" s="11"/>
      <c r="P77" s="11"/>
    </row>
    <row r="78" spans="1:16" x14ac:dyDescent="0.3">
      <c r="A78" s="14" t="s">
        <v>74</v>
      </c>
      <c r="B78" s="57">
        <f t="shared" si="60"/>
        <v>0</v>
      </c>
      <c r="C78" s="46" t="s">
        <v>204</v>
      </c>
      <c r="D78" s="46" t="s">
        <v>204</v>
      </c>
      <c r="E78" s="48" t="s">
        <v>204</v>
      </c>
      <c r="F78" s="60">
        <f t="shared" si="61"/>
        <v>0</v>
      </c>
      <c r="G78" s="1" t="s">
        <v>204</v>
      </c>
      <c r="H78" s="46" t="s">
        <v>204</v>
      </c>
      <c r="I78" s="46" t="s">
        <v>204</v>
      </c>
      <c r="J78" s="62">
        <f t="shared" si="62"/>
        <v>0</v>
      </c>
      <c r="K78" s="46" t="s">
        <v>204</v>
      </c>
      <c r="L78" s="1" t="s">
        <v>204</v>
      </c>
      <c r="M78" s="47" t="s">
        <v>204</v>
      </c>
      <c r="N78" s="10" t="s">
        <v>75</v>
      </c>
      <c r="O78" s="11"/>
      <c r="P78" s="11"/>
    </row>
    <row r="79" spans="1:16" x14ac:dyDescent="0.3">
      <c r="A79" s="14" t="s">
        <v>76</v>
      </c>
      <c r="B79" s="57">
        <f t="shared" si="60"/>
        <v>28</v>
      </c>
      <c r="C79" s="43">
        <v>27</v>
      </c>
      <c r="D79" s="43">
        <v>1</v>
      </c>
      <c r="E79" s="48" t="s">
        <v>204</v>
      </c>
      <c r="F79" s="60">
        <f t="shared" si="61"/>
        <v>24183</v>
      </c>
      <c r="G79" s="42">
        <v>208</v>
      </c>
      <c r="H79" s="43">
        <v>23975</v>
      </c>
      <c r="I79" s="43" t="s">
        <v>204</v>
      </c>
      <c r="J79" s="62">
        <f t="shared" si="62"/>
        <v>10459</v>
      </c>
      <c r="K79" s="43">
        <v>466</v>
      </c>
      <c r="L79" s="42">
        <v>9993</v>
      </c>
      <c r="M79" s="44" t="s">
        <v>204</v>
      </c>
      <c r="N79" s="10" t="s">
        <v>77</v>
      </c>
      <c r="O79" s="11"/>
      <c r="P79" s="11"/>
    </row>
    <row r="80" spans="1:16" x14ac:dyDescent="0.3">
      <c r="A80" s="14" t="s">
        <v>78</v>
      </c>
      <c r="B80" s="57">
        <f t="shared" si="60"/>
        <v>1087</v>
      </c>
      <c r="C80" s="43">
        <v>1087</v>
      </c>
      <c r="D80" s="43" t="s">
        <v>204</v>
      </c>
      <c r="E80" s="48" t="s">
        <v>204</v>
      </c>
      <c r="F80" s="60">
        <f t="shared" si="61"/>
        <v>20113</v>
      </c>
      <c r="G80" s="42">
        <v>2</v>
      </c>
      <c r="H80" s="43">
        <v>20111</v>
      </c>
      <c r="I80" s="46" t="s">
        <v>204</v>
      </c>
      <c r="J80" s="62">
        <f t="shared" si="62"/>
        <v>8030</v>
      </c>
      <c r="K80" s="43">
        <v>10</v>
      </c>
      <c r="L80" s="42">
        <v>8020</v>
      </c>
      <c r="M80" s="44" t="s">
        <v>204</v>
      </c>
      <c r="N80" s="10" t="s">
        <v>79</v>
      </c>
      <c r="O80" s="11"/>
      <c r="P80" s="11"/>
    </row>
    <row r="81" spans="1:16" x14ac:dyDescent="0.3">
      <c r="A81" s="14" t="s">
        <v>80</v>
      </c>
      <c r="B81" s="57">
        <f t="shared" si="60"/>
        <v>0</v>
      </c>
      <c r="C81" s="43" t="s">
        <v>204</v>
      </c>
      <c r="D81" s="43" t="s">
        <v>204</v>
      </c>
      <c r="E81" s="48" t="s">
        <v>204</v>
      </c>
      <c r="F81" s="60">
        <f t="shared" si="61"/>
        <v>0</v>
      </c>
      <c r="G81" s="42" t="s">
        <v>204</v>
      </c>
      <c r="H81" s="43" t="s">
        <v>204</v>
      </c>
      <c r="I81" s="46" t="s">
        <v>204</v>
      </c>
      <c r="J81" s="62">
        <f t="shared" si="62"/>
        <v>0</v>
      </c>
      <c r="K81" s="43" t="s">
        <v>204</v>
      </c>
      <c r="L81" s="42" t="s">
        <v>204</v>
      </c>
      <c r="M81" s="44" t="s">
        <v>204</v>
      </c>
      <c r="N81" s="10" t="s">
        <v>81</v>
      </c>
      <c r="O81" s="11"/>
      <c r="P81" s="11"/>
    </row>
    <row r="82" spans="1:16" x14ac:dyDescent="0.3">
      <c r="A82" s="14" t="s">
        <v>82</v>
      </c>
      <c r="B82" s="57">
        <f t="shared" si="60"/>
        <v>402</v>
      </c>
      <c r="C82" s="43">
        <v>402</v>
      </c>
      <c r="D82" s="43" t="s">
        <v>204</v>
      </c>
      <c r="E82" s="48" t="s">
        <v>204</v>
      </c>
      <c r="F82" s="60">
        <f t="shared" si="61"/>
        <v>4405</v>
      </c>
      <c r="G82" s="42" t="s">
        <v>204</v>
      </c>
      <c r="H82" s="43">
        <v>4405</v>
      </c>
      <c r="I82" s="46" t="s">
        <v>204</v>
      </c>
      <c r="J82" s="62">
        <f t="shared" si="62"/>
        <v>3730</v>
      </c>
      <c r="K82" s="43">
        <v>20</v>
      </c>
      <c r="L82" s="42">
        <v>3710</v>
      </c>
      <c r="M82" s="44" t="s">
        <v>204</v>
      </c>
      <c r="N82" s="10" t="s">
        <v>83</v>
      </c>
      <c r="O82" s="11"/>
      <c r="P82" s="11"/>
    </row>
    <row r="83" spans="1:16" x14ac:dyDescent="0.3">
      <c r="A83" s="106" t="s">
        <v>84</v>
      </c>
      <c r="B83" s="123">
        <f>SUM(B85:B89)</f>
        <v>411</v>
      </c>
      <c r="C83" s="97">
        <f>SUM(C85:C89)</f>
        <v>329</v>
      </c>
      <c r="D83" s="97">
        <f>SUM(D85:D89)</f>
        <v>82</v>
      </c>
      <c r="E83" s="99">
        <f t="shared" ref="E83" si="63">SUM(E85:E89)</f>
        <v>0</v>
      </c>
      <c r="F83" s="97">
        <f>SUM(F85:F89)</f>
        <v>393319</v>
      </c>
      <c r="G83" s="98">
        <f>SUM(G85:G89)</f>
        <v>1666</v>
      </c>
      <c r="H83" s="97">
        <f t="shared" ref="H83:J83" si="64">SUM(H85:H89)</f>
        <v>391523</v>
      </c>
      <c r="I83" s="98">
        <f t="shared" si="64"/>
        <v>130</v>
      </c>
      <c r="J83" s="97">
        <f t="shared" si="64"/>
        <v>50482</v>
      </c>
      <c r="K83" s="98">
        <f t="shared" ref="K83:M83" si="65">SUM(K85:K89)</f>
        <v>3578</v>
      </c>
      <c r="L83" s="97">
        <f t="shared" si="65"/>
        <v>44463</v>
      </c>
      <c r="M83" s="102">
        <f t="shared" si="65"/>
        <v>2441</v>
      </c>
      <c r="N83" s="96" t="s">
        <v>85</v>
      </c>
      <c r="O83" s="96"/>
      <c r="P83" s="96"/>
    </row>
    <row r="84" spans="1:16" x14ac:dyDescent="0.3">
      <c r="A84" s="106"/>
      <c r="B84" s="123"/>
      <c r="C84" s="97"/>
      <c r="D84" s="97"/>
      <c r="E84" s="99"/>
      <c r="F84" s="97"/>
      <c r="G84" s="98"/>
      <c r="H84" s="97"/>
      <c r="I84" s="98"/>
      <c r="J84" s="97"/>
      <c r="K84" s="98"/>
      <c r="L84" s="97"/>
      <c r="M84" s="102"/>
      <c r="N84" s="96"/>
      <c r="O84" s="96"/>
      <c r="P84" s="96"/>
    </row>
    <row r="85" spans="1:16" x14ac:dyDescent="0.3">
      <c r="A85" s="9" t="s">
        <v>156</v>
      </c>
      <c r="B85" s="57">
        <f t="shared" ref="B85:B89" si="66">SUM(C85:E85)</f>
        <v>58</v>
      </c>
      <c r="C85" s="43">
        <v>3</v>
      </c>
      <c r="D85" s="43">
        <v>55</v>
      </c>
      <c r="E85" s="1" t="s">
        <v>204</v>
      </c>
      <c r="F85" s="60">
        <f t="shared" ref="F85:F89" si="67">SUM(G85:I85)</f>
        <v>329137</v>
      </c>
      <c r="G85" s="42">
        <v>244</v>
      </c>
      <c r="H85" s="43">
        <v>328893</v>
      </c>
      <c r="I85" s="46" t="s">
        <v>204</v>
      </c>
      <c r="J85" s="62">
        <f t="shared" ref="J85:J89" si="68">SUM(K85:M85)</f>
        <v>22883</v>
      </c>
      <c r="K85" s="43">
        <v>677</v>
      </c>
      <c r="L85" s="42">
        <v>22206</v>
      </c>
      <c r="M85" s="44" t="s">
        <v>204</v>
      </c>
      <c r="N85" s="10" t="s">
        <v>86</v>
      </c>
      <c r="O85" s="11"/>
      <c r="P85" s="11"/>
    </row>
    <row r="86" spans="1:16" x14ac:dyDescent="0.3">
      <c r="A86" s="9" t="s">
        <v>157</v>
      </c>
      <c r="B86" s="57">
        <f t="shared" si="66"/>
        <v>23</v>
      </c>
      <c r="C86" s="43">
        <v>20</v>
      </c>
      <c r="D86" s="43">
        <v>3</v>
      </c>
      <c r="E86" s="1" t="s">
        <v>204</v>
      </c>
      <c r="F86" s="60">
        <f t="shared" si="67"/>
        <v>2435</v>
      </c>
      <c r="G86" s="42">
        <v>1365</v>
      </c>
      <c r="H86" s="43">
        <v>1070</v>
      </c>
      <c r="I86" s="46" t="s">
        <v>204</v>
      </c>
      <c r="J86" s="62">
        <f t="shared" si="68"/>
        <v>5405</v>
      </c>
      <c r="K86" s="43">
        <v>2825</v>
      </c>
      <c r="L86" s="42">
        <v>2580</v>
      </c>
      <c r="M86" s="44" t="s">
        <v>204</v>
      </c>
      <c r="N86" s="10" t="s">
        <v>87</v>
      </c>
      <c r="O86" s="11"/>
      <c r="P86" s="11"/>
    </row>
    <row r="87" spans="1:16" x14ac:dyDescent="0.3">
      <c r="A87" s="9" t="s">
        <v>158</v>
      </c>
      <c r="B87" s="57">
        <f t="shared" si="66"/>
        <v>59</v>
      </c>
      <c r="C87" s="43">
        <v>43</v>
      </c>
      <c r="D87" s="43">
        <v>16</v>
      </c>
      <c r="E87" s="1" t="s">
        <v>204</v>
      </c>
      <c r="F87" s="60">
        <f t="shared" si="67"/>
        <v>59480</v>
      </c>
      <c r="G87" s="42" t="s">
        <v>204</v>
      </c>
      <c r="H87" s="43">
        <v>59480</v>
      </c>
      <c r="I87" s="46" t="s">
        <v>204</v>
      </c>
      <c r="J87" s="62">
        <f t="shared" si="68"/>
        <v>6026</v>
      </c>
      <c r="K87" s="43" t="s">
        <v>204</v>
      </c>
      <c r="L87" s="42">
        <v>6026</v>
      </c>
      <c r="M87" s="44" t="s">
        <v>204</v>
      </c>
      <c r="N87" s="10" t="s">
        <v>88</v>
      </c>
      <c r="O87" s="11"/>
      <c r="P87" s="11"/>
    </row>
    <row r="88" spans="1:16" x14ac:dyDescent="0.3">
      <c r="A88" s="9" t="s">
        <v>159</v>
      </c>
      <c r="B88" s="57">
        <f t="shared" si="66"/>
        <v>4</v>
      </c>
      <c r="C88" s="43">
        <v>1</v>
      </c>
      <c r="D88" s="43">
        <v>3</v>
      </c>
      <c r="E88" s="1" t="s">
        <v>204</v>
      </c>
      <c r="F88" s="60">
        <f t="shared" si="67"/>
        <v>574</v>
      </c>
      <c r="G88" s="42">
        <v>47</v>
      </c>
      <c r="H88" s="43">
        <v>527</v>
      </c>
      <c r="I88" s="46" t="s">
        <v>204</v>
      </c>
      <c r="J88" s="62">
        <f t="shared" si="68"/>
        <v>3016</v>
      </c>
      <c r="K88" s="43">
        <v>71</v>
      </c>
      <c r="L88" s="42">
        <v>2945</v>
      </c>
      <c r="M88" s="44" t="s">
        <v>204</v>
      </c>
      <c r="N88" s="10" t="s">
        <v>89</v>
      </c>
      <c r="O88" s="11"/>
      <c r="P88" s="11"/>
    </row>
    <row r="89" spans="1:16" x14ac:dyDescent="0.3">
      <c r="A89" s="9" t="s">
        <v>160</v>
      </c>
      <c r="B89" s="57">
        <f t="shared" si="66"/>
        <v>267</v>
      </c>
      <c r="C89" s="43">
        <v>262</v>
      </c>
      <c r="D89" s="43">
        <v>5</v>
      </c>
      <c r="E89" s="1" t="s">
        <v>204</v>
      </c>
      <c r="F89" s="60">
        <f t="shared" si="67"/>
        <v>1693</v>
      </c>
      <c r="G89" s="42">
        <v>10</v>
      </c>
      <c r="H89" s="43">
        <v>1553</v>
      </c>
      <c r="I89" s="43">
        <v>130</v>
      </c>
      <c r="J89" s="62">
        <f t="shared" si="68"/>
        <v>13152</v>
      </c>
      <c r="K89" s="43">
        <v>5</v>
      </c>
      <c r="L89" s="42">
        <v>10706</v>
      </c>
      <c r="M89" s="44">
        <v>2441</v>
      </c>
      <c r="N89" s="10" t="s">
        <v>90</v>
      </c>
      <c r="O89" s="11"/>
      <c r="P89" s="11"/>
    </row>
    <row r="90" spans="1:16" x14ac:dyDescent="0.3">
      <c r="A90" s="106" t="s">
        <v>91</v>
      </c>
      <c r="B90" s="123">
        <f>SUM(B92:B104)</f>
        <v>4339</v>
      </c>
      <c r="C90" s="97">
        <f>SUM(C92:C104)</f>
        <v>4331</v>
      </c>
      <c r="D90" s="97">
        <f>SUM(D92:D104)</f>
        <v>8</v>
      </c>
      <c r="E90" s="99">
        <f t="shared" ref="E90" si="69">SUM(E92:E104)</f>
        <v>0</v>
      </c>
      <c r="F90" s="97">
        <f>SUM(F92:F104)</f>
        <v>119364</v>
      </c>
      <c r="G90" s="98">
        <f>SUM(G92:G104)</f>
        <v>20010</v>
      </c>
      <c r="H90" s="97">
        <f t="shared" ref="H90:J90" si="70">SUM(H92:H104)</f>
        <v>99354</v>
      </c>
      <c r="I90" s="98">
        <f t="shared" si="70"/>
        <v>0</v>
      </c>
      <c r="J90" s="97">
        <f t="shared" si="70"/>
        <v>130513</v>
      </c>
      <c r="K90" s="98">
        <f t="shared" ref="K90:M90" si="71">SUM(K92:K104)</f>
        <v>19071</v>
      </c>
      <c r="L90" s="97">
        <f t="shared" si="71"/>
        <v>111442</v>
      </c>
      <c r="M90" s="102">
        <f t="shared" si="71"/>
        <v>0</v>
      </c>
      <c r="N90" s="96" t="s">
        <v>92</v>
      </c>
      <c r="O90" s="96"/>
      <c r="P90" s="96"/>
    </row>
    <row r="91" spans="1:16" x14ac:dyDescent="0.3">
      <c r="A91" s="106"/>
      <c r="B91" s="123"/>
      <c r="C91" s="97"/>
      <c r="D91" s="97"/>
      <c r="E91" s="99"/>
      <c r="F91" s="97"/>
      <c r="G91" s="98"/>
      <c r="H91" s="97"/>
      <c r="I91" s="98"/>
      <c r="J91" s="97"/>
      <c r="K91" s="98"/>
      <c r="L91" s="97"/>
      <c r="M91" s="102"/>
      <c r="N91" s="96"/>
      <c r="O91" s="96"/>
      <c r="P91" s="96"/>
    </row>
    <row r="92" spans="1:16" x14ac:dyDescent="0.3">
      <c r="A92" s="9" t="s">
        <v>161</v>
      </c>
      <c r="B92" s="57">
        <f t="shared" ref="B92:B104" si="72">SUM(C92:E92)</f>
        <v>59</v>
      </c>
      <c r="C92" s="43">
        <v>59</v>
      </c>
      <c r="D92" s="43" t="s">
        <v>204</v>
      </c>
      <c r="E92" s="1" t="s">
        <v>204</v>
      </c>
      <c r="F92" s="60">
        <f t="shared" ref="F92:F104" si="73">SUM(G92:I92)</f>
        <v>919</v>
      </c>
      <c r="G92" s="42">
        <v>733</v>
      </c>
      <c r="H92" s="43">
        <v>186</v>
      </c>
      <c r="I92" s="46" t="s">
        <v>204</v>
      </c>
      <c r="J92" s="62">
        <f t="shared" ref="J92:J104" si="74">SUM(K92:M92)</f>
        <v>749</v>
      </c>
      <c r="K92" s="43">
        <v>749</v>
      </c>
      <c r="L92" s="42" t="s">
        <v>204</v>
      </c>
      <c r="M92" s="44" t="s">
        <v>204</v>
      </c>
      <c r="N92" s="10" t="s">
        <v>93</v>
      </c>
      <c r="O92" s="11"/>
      <c r="P92" s="11"/>
    </row>
    <row r="93" spans="1:16" x14ac:dyDescent="0.3">
      <c r="A93" s="9" t="s">
        <v>162</v>
      </c>
      <c r="B93" s="57">
        <f t="shared" si="72"/>
        <v>239</v>
      </c>
      <c r="C93" s="43">
        <v>239</v>
      </c>
      <c r="D93" s="43" t="s">
        <v>204</v>
      </c>
      <c r="E93" s="1" t="s">
        <v>204</v>
      </c>
      <c r="F93" s="60">
        <f t="shared" si="73"/>
        <v>1911</v>
      </c>
      <c r="G93" s="42">
        <v>556</v>
      </c>
      <c r="H93" s="43">
        <v>1355</v>
      </c>
      <c r="I93" s="46" t="s">
        <v>204</v>
      </c>
      <c r="J93" s="62">
        <f t="shared" si="74"/>
        <v>1939</v>
      </c>
      <c r="K93" s="43">
        <v>510</v>
      </c>
      <c r="L93" s="42">
        <v>1429</v>
      </c>
      <c r="M93" s="44" t="s">
        <v>204</v>
      </c>
      <c r="N93" s="10" t="s">
        <v>94</v>
      </c>
      <c r="O93" s="11"/>
      <c r="P93" s="11"/>
    </row>
    <row r="94" spans="1:16" x14ac:dyDescent="0.3">
      <c r="A94" s="9" t="s">
        <v>163</v>
      </c>
      <c r="B94" s="57">
        <f t="shared" si="72"/>
        <v>106</v>
      </c>
      <c r="C94" s="43">
        <v>104</v>
      </c>
      <c r="D94" s="43">
        <v>2</v>
      </c>
      <c r="E94" s="1" t="s">
        <v>204</v>
      </c>
      <c r="F94" s="60">
        <f t="shared" si="73"/>
        <v>680</v>
      </c>
      <c r="G94" s="42">
        <v>161</v>
      </c>
      <c r="H94" s="43">
        <v>519</v>
      </c>
      <c r="I94" s="46" t="s">
        <v>204</v>
      </c>
      <c r="J94" s="62">
        <f t="shared" si="74"/>
        <v>4769</v>
      </c>
      <c r="K94" s="43">
        <v>999</v>
      </c>
      <c r="L94" s="42">
        <v>3770</v>
      </c>
      <c r="M94" s="44" t="s">
        <v>204</v>
      </c>
      <c r="N94" s="10" t="s">
        <v>95</v>
      </c>
      <c r="O94" s="11"/>
      <c r="P94" s="11"/>
    </row>
    <row r="95" spans="1:16" x14ac:dyDescent="0.3">
      <c r="A95" s="9" t="s">
        <v>164</v>
      </c>
      <c r="B95" s="57">
        <f t="shared" si="72"/>
        <v>105</v>
      </c>
      <c r="C95" s="43">
        <v>103</v>
      </c>
      <c r="D95" s="43">
        <v>2</v>
      </c>
      <c r="E95" s="1" t="s">
        <v>204</v>
      </c>
      <c r="F95" s="60">
        <f t="shared" si="73"/>
        <v>5575</v>
      </c>
      <c r="G95" s="42">
        <v>1355</v>
      </c>
      <c r="H95" s="43">
        <v>4220</v>
      </c>
      <c r="I95" s="46" t="s">
        <v>204</v>
      </c>
      <c r="J95" s="62">
        <f t="shared" si="74"/>
        <v>14875</v>
      </c>
      <c r="K95" s="43">
        <v>3575</v>
      </c>
      <c r="L95" s="42">
        <v>11300</v>
      </c>
      <c r="M95" s="44" t="s">
        <v>204</v>
      </c>
      <c r="N95" s="10" t="s">
        <v>96</v>
      </c>
      <c r="O95" s="11"/>
      <c r="P95" s="11"/>
    </row>
    <row r="96" spans="1:16" x14ac:dyDescent="0.3">
      <c r="A96" s="9" t="s">
        <v>165</v>
      </c>
      <c r="B96" s="57">
        <f t="shared" si="72"/>
        <v>0</v>
      </c>
      <c r="C96" s="43" t="s">
        <v>204</v>
      </c>
      <c r="D96" s="43" t="s">
        <v>204</v>
      </c>
      <c r="E96" s="1" t="s">
        <v>204</v>
      </c>
      <c r="F96" s="60">
        <f t="shared" si="73"/>
        <v>5690</v>
      </c>
      <c r="G96" s="1">
        <v>540</v>
      </c>
      <c r="H96" s="43">
        <v>5150</v>
      </c>
      <c r="I96" s="46" t="s">
        <v>204</v>
      </c>
      <c r="J96" s="62">
        <f t="shared" si="74"/>
        <v>3410</v>
      </c>
      <c r="K96" s="43">
        <v>315</v>
      </c>
      <c r="L96" s="42">
        <v>3095</v>
      </c>
      <c r="M96" s="44" t="s">
        <v>204</v>
      </c>
      <c r="N96" s="10" t="s">
        <v>97</v>
      </c>
      <c r="O96" s="11"/>
      <c r="P96" s="11"/>
    </row>
    <row r="97" spans="1:16" x14ac:dyDescent="0.3">
      <c r="A97" s="9" t="s">
        <v>166</v>
      </c>
      <c r="B97" s="57">
        <f t="shared" si="72"/>
        <v>15</v>
      </c>
      <c r="C97" s="43">
        <v>15</v>
      </c>
      <c r="D97" s="43" t="s">
        <v>204</v>
      </c>
      <c r="E97" s="1" t="s">
        <v>204</v>
      </c>
      <c r="F97" s="60">
        <f t="shared" si="73"/>
        <v>9573</v>
      </c>
      <c r="G97" s="42">
        <v>8449</v>
      </c>
      <c r="H97" s="43">
        <v>1124</v>
      </c>
      <c r="I97" s="46" t="s">
        <v>204</v>
      </c>
      <c r="J97" s="62">
        <f t="shared" si="74"/>
        <v>6668</v>
      </c>
      <c r="K97" s="43">
        <v>6668</v>
      </c>
      <c r="L97" s="42" t="s">
        <v>204</v>
      </c>
      <c r="M97" s="44" t="s">
        <v>204</v>
      </c>
      <c r="N97" s="10" t="s">
        <v>98</v>
      </c>
      <c r="O97" s="11"/>
      <c r="P97" s="11"/>
    </row>
    <row r="98" spans="1:16" x14ac:dyDescent="0.3">
      <c r="A98" s="9" t="s">
        <v>167</v>
      </c>
      <c r="B98" s="57">
        <f t="shared" si="72"/>
        <v>66</v>
      </c>
      <c r="C98" s="43">
        <v>66</v>
      </c>
      <c r="D98" s="43" t="s">
        <v>204</v>
      </c>
      <c r="E98" s="1" t="s">
        <v>204</v>
      </c>
      <c r="F98" s="60">
        <f t="shared" si="73"/>
        <v>5965</v>
      </c>
      <c r="G98" s="42">
        <v>525</v>
      </c>
      <c r="H98" s="43">
        <v>5440</v>
      </c>
      <c r="I98" s="46" t="s">
        <v>204</v>
      </c>
      <c r="J98" s="62">
        <f t="shared" si="74"/>
        <v>8190</v>
      </c>
      <c r="K98" s="43">
        <v>1270</v>
      </c>
      <c r="L98" s="42">
        <v>6920</v>
      </c>
      <c r="M98" s="44" t="s">
        <v>204</v>
      </c>
      <c r="N98" s="10" t="s">
        <v>99</v>
      </c>
      <c r="O98" s="11"/>
      <c r="P98" s="11"/>
    </row>
    <row r="99" spans="1:16" x14ac:dyDescent="0.3">
      <c r="A99" s="9" t="s">
        <v>168</v>
      </c>
      <c r="B99" s="57">
        <f t="shared" si="72"/>
        <v>70</v>
      </c>
      <c r="C99" s="43">
        <v>69</v>
      </c>
      <c r="D99" s="43">
        <v>1</v>
      </c>
      <c r="E99" s="1" t="s">
        <v>204</v>
      </c>
      <c r="F99" s="60">
        <f t="shared" si="73"/>
        <v>2702</v>
      </c>
      <c r="G99" s="42">
        <v>452</v>
      </c>
      <c r="H99" s="43">
        <v>2250</v>
      </c>
      <c r="I99" s="46" t="s">
        <v>204</v>
      </c>
      <c r="J99" s="62">
        <f t="shared" si="74"/>
        <v>6133</v>
      </c>
      <c r="K99" s="43">
        <v>603</v>
      </c>
      <c r="L99" s="42">
        <v>5530</v>
      </c>
      <c r="M99" s="44" t="s">
        <v>204</v>
      </c>
      <c r="N99" s="10" t="s">
        <v>100</v>
      </c>
      <c r="O99" s="11"/>
      <c r="P99" s="11"/>
    </row>
    <row r="100" spans="1:16" x14ac:dyDescent="0.3">
      <c r="A100" s="9" t="s">
        <v>169</v>
      </c>
      <c r="B100" s="57">
        <f t="shared" si="72"/>
        <v>118</v>
      </c>
      <c r="C100" s="43">
        <v>118</v>
      </c>
      <c r="D100" s="43" t="s">
        <v>204</v>
      </c>
      <c r="E100" s="1" t="s">
        <v>204</v>
      </c>
      <c r="F100" s="60">
        <f t="shared" si="73"/>
        <v>1981</v>
      </c>
      <c r="G100" s="42">
        <v>1428</v>
      </c>
      <c r="H100" s="43">
        <v>553</v>
      </c>
      <c r="I100" s="46" t="s">
        <v>204</v>
      </c>
      <c r="J100" s="62">
        <f t="shared" si="74"/>
        <v>668</v>
      </c>
      <c r="K100" s="43">
        <v>668</v>
      </c>
      <c r="L100" s="42" t="s">
        <v>204</v>
      </c>
      <c r="M100" s="44" t="s">
        <v>204</v>
      </c>
      <c r="N100" s="10" t="s">
        <v>101</v>
      </c>
      <c r="O100" s="11"/>
      <c r="P100" s="11"/>
    </row>
    <row r="101" spans="1:16" x14ac:dyDescent="0.3">
      <c r="A101" s="9" t="s">
        <v>170</v>
      </c>
      <c r="B101" s="57">
        <f t="shared" si="72"/>
        <v>3074</v>
      </c>
      <c r="C101" s="43">
        <v>3074</v>
      </c>
      <c r="D101" s="43" t="s">
        <v>204</v>
      </c>
      <c r="E101" s="1" t="s">
        <v>204</v>
      </c>
      <c r="F101" s="60">
        <f t="shared" si="73"/>
        <v>57534</v>
      </c>
      <c r="G101" s="42" t="s">
        <v>204</v>
      </c>
      <c r="H101" s="43">
        <v>57534</v>
      </c>
      <c r="I101" s="46" t="s">
        <v>204</v>
      </c>
      <c r="J101" s="62">
        <f t="shared" si="74"/>
        <v>48605</v>
      </c>
      <c r="K101" s="43" t="s">
        <v>204</v>
      </c>
      <c r="L101" s="42">
        <v>48605</v>
      </c>
      <c r="M101" s="44" t="s">
        <v>204</v>
      </c>
      <c r="N101" s="10" t="s">
        <v>102</v>
      </c>
      <c r="O101" s="11"/>
      <c r="P101" s="11"/>
    </row>
    <row r="102" spans="1:16" x14ac:dyDescent="0.3">
      <c r="A102" s="9" t="s">
        <v>171</v>
      </c>
      <c r="B102" s="57">
        <f t="shared" si="72"/>
        <v>72</v>
      </c>
      <c r="C102" s="43">
        <v>70</v>
      </c>
      <c r="D102" s="43">
        <v>2</v>
      </c>
      <c r="E102" s="1" t="s">
        <v>204</v>
      </c>
      <c r="F102" s="60">
        <f t="shared" si="73"/>
        <v>1688</v>
      </c>
      <c r="G102" s="42">
        <v>134</v>
      </c>
      <c r="H102" s="43">
        <v>1554</v>
      </c>
      <c r="I102" s="46" t="s">
        <v>204</v>
      </c>
      <c r="J102" s="62">
        <f t="shared" si="74"/>
        <v>1686</v>
      </c>
      <c r="K102" s="43">
        <v>258</v>
      </c>
      <c r="L102" s="42">
        <v>1428</v>
      </c>
      <c r="M102" s="44" t="s">
        <v>204</v>
      </c>
      <c r="N102" s="10" t="s">
        <v>103</v>
      </c>
      <c r="O102" s="11"/>
      <c r="P102" s="11"/>
    </row>
    <row r="103" spans="1:16" x14ac:dyDescent="0.3">
      <c r="A103" s="9" t="s">
        <v>172</v>
      </c>
      <c r="B103" s="57">
        <f t="shared" si="72"/>
        <v>334</v>
      </c>
      <c r="C103" s="43">
        <v>333</v>
      </c>
      <c r="D103" s="43">
        <v>1</v>
      </c>
      <c r="E103" s="1" t="s">
        <v>204</v>
      </c>
      <c r="F103" s="60">
        <f t="shared" si="73"/>
        <v>17888</v>
      </c>
      <c r="G103" s="42" t="s">
        <v>204</v>
      </c>
      <c r="H103" s="43">
        <v>17888</v>
      </c>
      <c r="I103" s="46" t="s">
        <v>204</v>
      </c>
      <c r="J103" s="62">
        <f t="shared" si="74"/>
        <v>29365</v>
      </c>
      <c r="K103" s="43" t="s">
        <v>204</v>
      </c>
      <c r="L103" s="42">
        <v>29365</v>
      </c>
      <c r="M103" s="44" t="s">
        <v>204</v>
      </c>
      <c r="N103" s="10" t="s">
        <v>104</v>
      </c>
      <c r="O103" s="11"/>
      <c r="P103" s="11"/>
    </row>
    <row r="104" spans="1:16" x14ac:dyDescent="0.3">
      <c r="A104" s="9" t="s">
        <v>173</v>
      </c>
      <c r="B104" s="57">
        <f t="shared" si="72"/>
        <v>81</v>
      </c>
      <c r="C104" s="43">
        <v>81</v>
      </c>
      <c r="D104" s="43" t="s">
        <v>204</v>
      </c>
      <c r="E104" s="1" t="s">
        <v>204</v>
      </c>
      <c r="F104" s="60">
        <f t="shared" si="73"/>
        <v>7258</v>
      </c>
      <c r="G104" s="1">
        <v>5677</v>
      </c>
      <c r="H104" s="43">
        <v>1581</v>
      </c>
      <c r="I104" s="46" t="s">
        <v>204</v>
      </c>
      <c r="J104" s="62">
        <f t="shared" si="74"/>
        <v>3456</v>
      </c>
      <c r="K104" s="43">
        <v>3456</v>
      </c>
      <c r="L104" s="42" t="s">
        <v>204</v>
      </c>
      <c r="M104" s="44" t="s">
        <v>204</v>
      </c>
      <c r="N104" s="10" t="s">
        <v>105</v>
      </c>
      <c r="O104" s="11"/>
      <c r="P104" s="11"/>
    </row>
    <row r="105" spans="1:16" x14ac:dyDescent="0.3">
      <c r="A105" s="106" t="s">
        <v>106</v>
      </c>
      <c r="B105" s="123">
        <f>SUM(B107:B110)</f>
        <v>390</v>
      </c>
      <c r="C105" s="97">
        <f>SUM(C107:C110)</f>
        <v>383</v>
      </c>
      <c r="D105" s="97">
        <f>SUM(D107:D110)</f>
        <v>7</v>
      </c>
      <c r="E105" s="99">
        <f t="shared" ref="E105" si="75">SUM(E107:E110)</f>
        <v>0</v>
      </c>
      <c r="F105" s="97">
        <f>SUM(F107:F110)</f>
        <v>1574366</v>
      </c>
      <c r="G105" s="98">
        <f>SUM(G107:G110)</f>
        <v>14724</v>
      </c>
      <c r="H105" s="97">
        <f t="shared" ref="H105:J105" si="76">SUM(H107:H110)</f>
        <v>1530739</v>
      </c>
      <c r="I105" s="98">
        <f t="shared" si="76"/>
        <v>28903</v>
      </c>
      <c r="J105" s="97">
        <f t="shared" si="76"/>
        <v>369076</v>
      </c>
      <c r="K105" s="98">
        <f t="shared" ref="K105:M105" si="77">SUM(K107:K110)</f>
        <v>13947</v>
      </c>
      <c r="L105" s="97">
        <f t="shared" si="77"/>
        <v>345782</v>
      </c>
      <c r="M105" s="102">
        <f t="shared" si="77"/>
        <v>9347</v>
      </c>
      <c r="N105" s="96" t="s">
        <v>107</v>
      </c>
      <c r="O105" s="96"/>
      <c r="P105" s="96"/>
    </row>
    <row r="106" spans="1:16" x14ac:dyDescent="0.3">
      <c r="A106" s="106"/>
      <c r="B106" s="123"/>
      <c r="C106" s="97"/>
      <c r="D106" s="97"/>
      <c r="E106" s="99"/>
      <c r="F106" s="97"/>
      <c r="G106" s="98"/>
      <c r="H106" s="97"/>
      <c r="I106" s="98"/>
      <c r="J106" s="97"/>
      <c r="K106" s="98"/>
      <c r="L106" s="97"/>
      <c r="M106" s="102"/>
      <c r="N106" s="96"/>
      <c r="O106" s="96"/>
      <c r="P106" s="96"/>
    </row>
    <row r="107" spans="1:16" x14ac:dyDescent="0.3">
      <c r="A107" s="9" t="s">
        <v>174</v>
      </c>
      <c r="B107" s="57">
        <f t="shared" ref="B107:B110" si="78">SUM(C107:E107)</f>
        <v>117</v>
      </c>
      <c r="C107" s="43">
        <v>117</v>
      </c>
      <c r="D107" s="43" t="s">
        <v>204</v>
      </c>
      <c r="E107" s="1" t="s">
        <v>204</v>
      </c>
      <c r="F107" s="60">
        <f t="shared" ref="F107:F110" si="79">SUM(G107:I107)</f>
        <v>588817</v>
      </c>
      <c r="G107" s="42">
        <v>9328</v>
      </c>
      <c r="H107" s="43">
        <v>579489</v>
      </c>
      <c r="I107" s="43" t="s">
        <v>204</v>
      </c>
      <c r="J107" s="62">
        <f t="shared" ref="J107:J110" si="80">SUM(K107:M107)</f>
        <v>140593</v>
      </c>
      <c r="K107" s="43">
        <v>8918</v>
      </c>
      <c r="L107" s="42">
        <v>131675</v>
      </c>
      <c r="M107" s="44" t="s">
        <v>204</v>
      </c>
      <c r="N107" s="10" t="s">
        <v>108</v>
      </c>
      <c r="O107" s="11"/>
      <c r="P107" s="11"/>
    </row>
    <row r="108" spans="1:16" x14ac:dyDescent="0.3">
      <c r="A108" s="9" t="s">
        <v>175</v>
      </c>
      <c r="B108" s="57">
        <f t="shared" si="78"/>
        <v>0</v>
      </c>
      <c r="C108" s="46" t="s">
        <v>204</v>
      </c>
      <c r="D108" s="46" t="s">
        <v>204</v>
      </c>
      <c r="E108" s="1" t="s">
        <v>204</v>
      </c>
      <c r="F108" s="60">
        <f t="shared" si="79"/>
        <v>27016</v>
      </c>
      <c r="G108" s="42">
        <v>78</v>
      </c>
      <c r="H108" s="46">
        <v>23750</v>
      </c>
      <c r="I108" s="43">
        <v>3188</v>
      </c>
      <c r="J108" s="62">
        <f t="shared" si="80"/>
        <v>10635</v>
      </c>
      <c r="K108" s="46">
        <v>160</v>
      </c>
      <c r="L108" s="42">
        <v>7395</v>
      </c>
      <c r="M108" s="47">
        <v>3080</v>
      </c>
      <c r="N108" s="10" t="s">
        <v>109</v>
      </c>
      <c r="O108" s="11"/>
      <c r="P108" s="11"/>
    </row>
    <row r="109" spans="1:16" x14ac:dyDescent="0.3">
      <c r="A109" s="9" t="s">
        <v>176</v>
      </c>
      <c r="B109" s="57">
        <f t="shared" si="78"/>
        <v>213</v>
      </c>
      <c r="C109" s="43">
        <v>206</v>
      </c>
      <c r="D109" s="43">
        <v>7</v>
      </c>
      <c r="E109" s="1" t="s">
        <v>204</v>
      </c>
      <c r="F109" s="60">
        <f t="shared" si="79"/>
        <v>571733</v>
      </c>
      <c r="G109" s="42">
        <v>4290</v>
      </c>
      <c r="H109" s="43">
        <v>541728</v>
      </c>
      <c r="I109" s="43">
        <v>25715</v>
      </c>
      <c r="J109" s="62">
        <f t="shared" si="80"/>
        <v>111932</v>
      </c>
      <c r="K109" s="43">
        <v>3868</v>
      </c>
      <c r="L109" s="42">
        <v>101797</v>
      </c>
      <c r="M109" s="44">
        <v>6267</v>
      </c>
      <c r="N109" s="10" t="s">
        <v>110</v>
      </c>
      <c r="O109" s="11"/>
      <c r="P109" s="11"/>
    </row>
    <row r="110" spans="1:16" ht="15" thickBot="1" x14ac:dyDescent="0.35">
      <c r="A110" s="15" t="s">
        <v>177</v>
      </c>
      <c r="B110" s="59">
        <f t="shared" si="78"/>
        <v>60</v>
      </c>
      <c r="C110" s="49">
        <v>60</v>
      </c>
      <c r="D110" s="49" t="s">
        <v>204</v>
      </c>
      <c r="E110" s="50" t="s">
        <v>204</v>
      </c>
      <c r="F110" s="61">
        <f t="shared" si="79"/>
        <v>386800</v>
      </c>
      <c r="G110" s="51">
        <v>1028</v>
      </c>
      <c r="H110" s="49">
        <v>385772</v>
      </c>
      <c r="I110" s="49" t="s">
        <v>204</v>
      </c>
      <c r="J110" s="63">
        <f t="shared" si="80"/>
        <v>105916</v>
      </c>
      <c r="K110" s="49">
        <v>1001</v>
      </c>
      <c r="L110" s="51">
        <v>104915</v>
      </c>
      <c r="M110" s="52" t="s">
        <v>204</v>
      </c>
      <c r="N110" s="16" t="s">
        <v>111</v>
      </c>
      <c r="O110" s="17"/>
      <c r="P110" s="17"/>
    </row>
    <row r="111" spans="1:16" x14ac:dyDescent="0.3">
      <c r="A111" s="18"/>
      <c r="B111" s="19"/>
      <c r="C111" s="19"/>
      <c r="D111" s="19"/>
      <c r="E111" s="19"/>
      <c r="O111" s="107"/>
      <c r="P111" s="107"/>
    </row>
    <row r="112" spans="1:16" x14ac:dyDescent="0.3">
      <c r="A112" s="19"/>
      <c r="B112" s="19"/>
      <c r="C112" s="19"/>
      <c r="D112" s="19"/>
      <c r="E112" s="19"/>
      <c r="N112" s="19"/>
      <c r="O112" s="19"/>
      <c r="P112" s="19"/>
    </row>
    <row r="113" spans="1:16" x14ac:dyDescent="0.3">
      <c r="A113" s="20"/>
      <c r="B113" s="20"/>
      <c r="C113" s="20"/>
      <c r="D113" s="20"/>
      <c r="E113" s="20"/>
      <c r="F113" s="21"/>
      <c r="G113" s="21"/>
      <c r="H113" s="21"/>
      <c r="I113" s="21"/>
      <c r="N113" s="21"/>
      <c r="O113" s="21"/>
      <c r="P113" s="21"/>
    </row>
    <row r="114" spans="1:16" x14ac:dyDescent="0.3">
      <c r="A114" s="20"/>
      <c r="B114" s="20"/>
      <c r="C114" s="20"/>
      <c r="D114" s="20"/>
      <c r="E114" s="20"/>
      <c r="F114" s="21"/>
      <c r="G114" s="21"/>
      <c r="H114" s="21"/>
      <c r="I114" s="21"/>
      <c r="N114" s="21"/>
      <c r="O114" s="21"/>
      <c r="P114" s="21"/>
    </row>
    <row r="115" spans="1:16" x14ac:dyDescent="0.3">
      <c r="A115" s="108"/>
      <c r="B115" s="108"/>
      <c r="C115" s="108"/>
      <c r="D115" s="108"/>
      <c r="E115" s="108"/>
      <c r="F115" s="108"/>
      <c r="G115" s="108"/>
      <c r="H115" s="108"/>
      <c r="I115" s="108"/>
      <c r="L115" s="1" t="s">
        <v>182</v>
      </c>
      <c r="N115" s="108"/>
      <c r="O115" s="108"/>
      <c r="P115" s="108"/>
    </row>
    <row r="116" spans="1:16" x14ac:dyDescent="0.3">
      <c r="A116" s="108"/>
      <c r="B116" s="108"/>
      <c r="C116" s="108"/>
      <c r="D116" s="108"/>
      <c r="E116" s="108"/>
      <c r="F116" s="108"/>
      <c r="G116" s="108"/>
      <c r="H116" s="108"/>
      <c r="I116" s="108"/>
      <c r="N116" s="108"/>
      <c r="O116" s="108"/>
      <c r="P116" s="108"/>
    </row>
    <row r="125" spans="1:16" x14ac:dyDescent="0.3">
      <c r="A125" s="22"/>
      <c r="B125" s="22"/>
      <c r="C125" s="22"/>
      <c r="D125" s="22"/>
      <c r="E125" s="22"/>
    </row>
    <row r="126" spans="1:16" x14ac:dyDescent="0.3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3"/>
      <c r="L126" s="113"/>
      <c r="M126" s="113"/>
    </row>
    <row r="127" spans="1:16" x14ac:dyDescent="0.3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3"/>
      <c r="L127" s="113"/>
      <c r="M127" s="113"/>
    </row>
    <row r="128" spans="1:16" x14ac:dyDescent="0.3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3"/>
      <c r="L128" s="113"/>
      <c r="M128" s="113"/>
    </row>
    <row r="129" spans="1:13" x14ac:dyDescent="0.3">
      <c r="A129" s="22"/>
      <c r="B129" s="22"/>
      <c r="C129" s="22"/>
      <c r="D129" s="22"/>
      <c r="E129" s="22"/>
      <c r="J129" s="114"/>
      <c r="K129" s="114"/>
      <c r="L129" s="114"/>
      <c r="M129" s="114"/>
    </row>
    <row r="130" spans="1:13" x14ac:dyDescent="0.3">
      <c r="A130" s="111"/>
      <c r="B130" s="23"/>
      <c r="C130" s="23"/>
      <c r="D130" s="23"/>
      <c r="E130" s="23"/>
      <c r="F130" s="111"/>
      <c r="G130" s="111"/>
      <c r="H130" s="111"/>
      <c r="I130" s="111"/>
      <c r="J130" s="111"/>
      <c r="K130" s="111"/>
      <c r="L130" s="111"/>
      <c r="M130" s="111"/>
    </row>
    <row r="131" spans="1:13" x14ac:dyDescent="0.3">
      <c r="A131" s="111"/>
      <c r="B131" s="23"/>
      <c r="C131" s="23"/>
      <c r="D131" s="23"/>
      <c r="E131" s="23"/>
      <c r="F131" s="111"/>
      <c r="G131" s="111"/>
      <c r="H131" s="111"/>
      <c r="I131" s="111"/>
      <c r="J131" s="111"/>
      <c r="K131" s="111"/>
      <c r="L131" s="111"/>
      <c r="M131" s="111"/>
    </row>
    <row r="132" spans="1:13" x14ac:dyDescent="0.3">
      <c r="A132" s="111"/>
      <c r="B132" s="23"/>
      <c r="C132" s="23"/>
      <c r="D132" s="23"/>
      <c r="E132" s="23"/>
      <c r="F132" s="111"/>
      <c r="G132" s="111"/>
      <c r="H132" s="111"/>
      <c r="I132" s="111"/>
      <c r="J132" s="111"/>
      <c r="K132" s="111"/>
      <c r="L132" s="111"/>
      <c r="M132" s="111"/>
    </row>
    <row r="133" spans="1:13" x14ac:dyDescent="0.3">
      <c r="A133" s="111"/>
      <c r="B133" s="23"/>
      <c r="C133" s="23"/>
      <c r="D133" s="23"/>
      <c r="E133" s="23"/>
      <c r="F133" s="24"/>
      <c r="G133" s="24"/>
      <c r="H133" s="24"/>
      <c r="I133" s="24"/>
      <c r="J133" s="24"/>
      <c r="K133" s="24"/>
      <c r="L133" s="24"/>
      <c r="M133" s="24"/>
    </row>
    <row r="134" spans="1:13" x14ac:dyDescent="0.3">
      <c r="A134" s="25"/>
      <c r="B134" s="25"/>
      <c r="C134" s="25"/>
      <c r="D134" s="25"/>
      <c r="E134" s="25"/>
    </row>
    <row r="135" spans="1:13" x14ac:dyDescent="0.3">
      <c r="A135" s="26"/>
      <c r="B135" s="26"/>
      <c r="C135" s="26"/>
      <c r="D135" s="26"/>
      <c r="E135" s="26"/>
    </row>
    <row r="136" spans="1:13" x14ac:dyDescent="0.3">
      <c r="A136" s="110"/>
      <c r="B136" s="27"/>
      <c r="C136" s="27"/>
      <c r="D136" s="27"/>
      <c r="E136" s="27"/>
      <c r="F136" s="109"/>
      <c r="G136" s="109"/>
      <c r="H136" s="109"/>
      <c r="I136" s="109"/>
      <c r="J136" s="109"/>
      <c r="K136" s="109"/>
      <c r="L136" s="109"/>
      <c r="M136" s="109"/>
    </row>
    <row r="137" spans="1:13" x14ac:dyDescent="0.3">
      <c r="A137" s="110"/>
      <c r="B137" s="27"/>
      <c r="C137" s="27"/>
      <c r="D137" s="27"/>
      <c r="E137" s="27"/>
      <c r="F137" s="109"/>
      <c r="G137" s="109"/>
      <c r="H137" s="109"/>
      <c r="I137" s="109"/>
      <c r="J137" s="109"/>
      <c r="K137" s="109"/>
      <c r="L137" s="109"/>
      <c r="M137" s="109"/>
    </row>
    <row r="138" spans="1:13" x14ac:dyDescent="0.3">
      <c r="A138" s="110"/>
      <c r="B138" s="27"/>
      <c r="C138" s="27"/>
      <c r="D138" s="27"/>
      <c r="E138" s="27"/>
      <c r="F138" s="109"/>
      <c r="G138" s="109"/>
      <c r="H138" s="109"/>
      <c r="I138" s="109"/>
      <c r="J138" s="109"/>
      <c r="K138" s="109"/>
      <c r="L138" s="109"/>
      <c r="M138" s="109"/>
    </row>
    <row r="139" spans="1:13" x14ac:dyDescent="0.3">
      <c r="A139" s="26"/>
      <c r="B139" s="26"/>
      <c r="C139" s="26"/>
      <c r="D139" s="26"/>
      <c r="E139" s="26"/>
      <c r="J139" s="8"/>
      <c r="K139" s="8"/>
    </row>
    <row r="140" spans="1:13" x14ac:dyDescent="0.3">
      <c r="A140" s="26"/>
      <c r="B140" s="26"/>
      <c r="C140" s="26"/>
      <c r="D140" s="26"/>
      <c r="E140" s="26"/>
      <c r="J140" s="8"/>
      <c r="K140" s="8"/>
    </row>
    <row r="141" spans="1:13" x14ac:dyDescent="0.3">
      <c r="A141" s="26"/>
      <c r="B141" s="26"/>
      <c r="C141" s="26"/>
      <c r="D141" s="26"/>
      <c r="E141" s="26"/>
      <c r="J141" s="8"/>
      <c r="K141" s="8"/>
    </row>
    <row r="142" spans="1:13" x14ac:dyDescent="0.3">
      <c r="A142" s="26"/>
      <c r="B142" s="26"/>
      <c r="C142" s="26"/>
      <c r="D142" s="26"/>
      <c r="E142" s="26"/>
      <c r="J142" s="8"/>
      <c r="K142" s="8"/>
    </row>
    <row r="143" spans="1:13" x14ac:dyDescent="0.3">
      <c r="A143" s="26"/>
      <c r="B143" s="26"/>
      <c r="C143" s="26"/>
      <c r="D143" s="26"/>
      <c r="E143" s="26"/>
      <c r="J143" s="8"/>
      <c r="K143" s="8"/>
    </row>
    <row r="144" spans="1:13" x14ac:dyDescent="0.3">
      <c r="A144" s="26"/>
      <c r="B144" s="26"/>
      <c r="C144" s="26"/>
      <c r="D144" s="26"/>
      <c r="E144" s="26"/>
      <c r="J144" s="8"/>
      <c r="K144" s="8"/>
    </row>
    <row r="145" spans="1:11" x14ac:dyDescent="0.3">
      <c r="A145" s="110"/>
      <c r="B145" s="27"/>
      <c r="C145" s="27"/>
      <c r="D145" s="27"/>
      <c r="E145" s="27"/>
    </row>
    <row r="146" spans="1:11" x14ac:dyDescent="0.3">
      <c r="A146" s="110"/>
      <c r="B146" s="27"/>
      <c r="C146" s="27"/>
      <c r="D146" s="27"/>
      <c r="E146" s="27"/>
    </row>
    <row r="147" spans="1:11" x14ac:dyDescent="0.3">
      <c r="A147" s="26"/>
      <c r="B147" s="26"/>
      <c r="C147" s="26"/>
      <c r="D147" s="26"/>
      <c r="E147" s="26"/>
      <c r="J147" s="8"/>
      <c r="K147" s="8"/>
    </row>
    <row r="148" spans="1:11" x14ac:dyDescent="0.3">
      <c r="A148" s="26"/>
      <c r="B148" s="26"/>
      <c r="C148" s="26"/>
      <c r="D148" s="26"/>
      <c r="E148" s="26"/>
      <c r="J148" s="8"/>
      <c r="K148" s="8"/>
    </row>
    <row r="149" spans="1:11" x14ac:dyDescent="0.3">
      <c r="A149" s="26"/>
      <c r="B149" s="26"/>
      <c r="C149" s="26"/>
      <c r="D149" s="26"/>
      <c r="E149" s="26"/>
      <c r="J149" s="8"/>
      <c r="K149" s="8"/>
    </row>
    <row r="150" spans="1:11" x14ac:dyDescent="0.3">
      <c r="A150" s="26"/>
      <c r="B150" s="26"/>
      <c r="C150" s="26"/>
      <c r="D150" s="26"/>
      <c r="E150" s="26"/>
      <c r="J150" s="8"/>
      <c r="K150" s="8"/>
    </row>
    <row r="151" spans="1:11" x14ac:dyDescent="0.3">
      <c r="A151" s="26"/>
      <c r="B151" s="26"/>
      <c r="C151" s="26"/>
      <c r="D151" s="26"/>
      <c r="E151" s="26"/>
      <c r="J151" s="8"/>
      <c r="K151" s="8"/>
    </row>
    <row r="152" spans="1:11" x14ac:dyDescent="0.3">
      <c r="A152" s="26"/>
      <c r="B152" s="26"/>
      <c r="C152" s="26"/>
      <c r="D152" s="26"/>
      <c r="E152" s="26"/>
      <c r="J152" s="8"/>
      <c r="K152" s="8"/>
    </row>
    <row r="153" spans="1:11" x14ac:dyDescent="0.3">
      <c r="A153" s="26"/>
      <c r="B153" s="26"/>
      <c r="C153" s="26"/>
      <c r="D153" s="26"/>
      <c r="E153" s="26"/>
      <c r="J153" s="8"/>
      <c r="K153" s="8"/>
    </row>
    <row r="154" spans="1:11" x14ac:dyDescent="0.3">
      <c r="A154" s="26"/>
      <c r="B154" s="26"/>
      <c r="C154" s="26"/>
      <c r="D154" s="26"/>
      <c r="E154" s="26"/>
      <c r="J154" s="8"/>
      <c r="K154" s="8"/>
    </row>
    <row r="155" spans="1:11" x14ac:dyDescent="0.3">
      <c r="A155" s="26"/>
      <c r="B155" s="26"/>
      <c r="C155" s="26"/>
      <c r="D155" s="26"/>
      <c r="E155" s="26"/>
      <c r="J155" s="8"/>
      <c r="K155" s="8"/>
    </row>
    <row r="156" spans="1:11" x14ac:dyDescent="0.3">
      <c r="A156" s="26"/>
      <c r="B156" s="26"/>
      <c r="C156" s="26"/>
      <c r="D156" s="26"/>
      <c r="E156" s="26"/>
      <c r="J156" s="8"/>
      <c r="K156" s="8"/>
    </row>
    <row r="157" spans="1:11" x14ac:dyDescent="0.3">
      <c r="A157" s="26"/>
      <c r="B157" s="26"/>
      <c r="C157" s="26"/>
      <c r="D157" s="26"/>
      <c r="E157" s="26"/>
      <c r="J157" s="8"/>
      <c r="K157" s="8"/>
    </row>
    <row r="158" spans="1:11" x14ac:dyDescent="0.3">
      <c r="A158" s="115"/>
      <c r="B158" s="28"/>
      <c r="C158" s="28"/>
      <c r="D158" s="28"/>
      <c r="E158" s="28"/>
    </row>
    <row r="159" spans="1:11" x14ac:dyDescent="0.3">
      <c r="A159" s="115"/>
      <c r="B159" s="28"/>
      <c r="C159" s="28"/>
      <c r="D159" s="28"/>
      <c r="E159" s="28"/>
    </row>
    <row r="160" spans="1:11" x14ac:dyDescent="0.3">
      <c r="A160" s="26"/>
      <c r="B160" s="26"/>
      <c r="C160" s="26"/>
      <c r="D160" s="26"/>
      <c r="E160" s="26"/>
      <c r="J160" s="8"/>
      <c r="K160" s="8"/>
    </row>
    <row r="161" spans="1:11" x14ac:dyDescent="0.3">
      <c r="A161" s="26"/>
      <c r="B161" s="26"/>
      <c r="C161" s="26"/>
      <c r="D161" s="26"/>
      <c r="E161" s="26"/>
      <c r="J161" s="8"/>
      <c r="K161" s="8"/>
    </row>
    <row r="162" spans="1:11" x14ac:dyDescent="0.3">
      <c r="A162" s="26"/>
      <c r="B162" s="26"/>
      <c r="C162" s="26"/>
      <c r="D162" s="26"/>
      <c r="E162" s="26"/>
      <c r="J162" s="8"/>
      <c r="K162" s="8"/>
    </row>
    <row r="163" spans="1:11" x14ac:dyDescent="0.3">
      <c r="A163" s="26"/>
      <c r="B163" s="26"/>
      <c r="C163" s="26"/>
      <c r="D163" s="26"/>
      <c r="E163" s="26"/>
      <c r="J163" s="8"/>
      <c r="K163" s="8"/>
    </row>
    <row r="164" spans="1:11" x14ac:dyDescent="0.3">
      <c r="A164" s="115"/>
      <c r="B164" s="28"/>
      <c r="C164" s="28"/>
      <c r="D164" s="28"/>
      <c r="E164" s="28"/>
    </row>
    <row r="165" spans="1:11" x14ac:dyDescent="0.3">
      <c r="A165" s="115"/>
      <c r="B165" s="28"/>
      <c r="C165" s="28"/>
      <c r="D165" s="28"/>
      <c r="E165" s="28"/>
    </row>
    <row r="166" spans="1:11" x14ac:dyDescent="0.3">
      <c r="A166" s="26"/>
      <c r="B166" s="26"/>
      <c r="C166" s="26"/>
      <c r="D166" s="26"/>
      <c r="E166" s="26"/>
      <c r="J166" s="8"/>
      <c r="K166" s="8"/>
    </row>
    <row r="167" spans="1:11" x14ac:dyDescent="0.3">
      <c r="A167" s="26"/>
      <c r="B167" s="26"/>
      <c r="C167" s="26"/>
      <c r="D167" s="26"/>
      <c r="E167" s="26"/>
      <c r="J167" s="8"/>
      <c r="K167" s="8"/>
    </row>
    <row r="168" spans="1:11" x14ac:dyDescent="0.3">
      <c r="A168" s="26"/>
      <c r="B168" s="26"/>
      <c r="C168" s="26"/>
      <c r="D168" s="26"/>
      <c r="E168" s="26"/>
      <c r="J168" s="8"/>
      <c r="K168" s="8"/>
    </row>
    <row r="169" spans="1:11" x14ac:dyDescent="0.3">
      <c r="A169" s="26"/>
      <c r="B169" s="26"/>
      <c r="C169" s="26"/>
      <c r="D169" s="26"/>
      <c r="E169" s="26"/>
      <c r="J169" s="8"/>
      <c r="K169" s="8"/>
    </row>
    <row r="170" spans="1:11" x14ac:dyDescent="0.3">
      <c r="A170" s="26"/>
      <c r="B170" s="26"/>
      <c r="C170" s="26"/>
      <c r="D170" s="26"/>
      <c r="E170" s="26"/>
      <c r="J170" s="8"/>
      <c r="K170" s="8"/>
    </row>
    <row r="171" spans="1:11" x14ac:dyDescent="0.3">
      <c r="A171" s="115"/>
      <c r="B171" s="28"/>
      <c r="C171" s="28"/>
      <c r="D171" s="28"/>
      <c r="E171" s="28"/>
    </row>
    <row r="172" spans="1:11" x14ac:dyDescent="0.3">
      <c r="A172" s="115"/>
      <c r="B172" s="28"/>
      <c r="C172" s="28"/>
      <c r="D172" s="28"/>
      <c r="E172" s="28"/>
    </row>
    <row r="173" spans="1:11" x14ac:dyDescent="0.3">
      <c r="A173" s="26"/>
      <c r="B173" s="26"/>
      <c r="C173" s="26"/>
      <c r="D173" s="26"/>
      <c r="E173" s="26"/>
      <c r="J173" s="8"/>
      <c r="K173" s="8"/>
    </row>
    <row r="174" spans="1:11" x14ac:dyDescent="0.3">
      <c r="A174" s="26"/>
      <c r="B174" s="26"/>
      <c r="C174" s="26"/>
      <c r="D174" s="26"/>
      <c r="E174" s="26"/>
      <c r="J174" s="8"/>
      <c r="K174" s="8"/>
    </row>
    <row r="175" spans="1:11" x14ac:dyDescent="0.3">
      <c r="A175" s="26"/>
      <c r="B175" s="26"/>
      <c r="C175" s="26"/>
      <c r="D175" s="26"/>
      <c r="E175" s="26"/>
      <c r="J175" s="8"/>
      <c r="K175" s="8"/>
    </row>
    <row r="176" spans="1:11" x14ac:dyDescent="0.3">
      <c r="A176" s="26"/>
      <c r="B176" s="26"/>
      <c r="C176" s="26"/>
      <c r="D176" s="26"/>
      <c r="E176" s="26"/>
      <c r="J176" s="8"/>
      <c r="K176" s="8"/>
    </row>
    <row r="177" spans="1:11" x14ac:dyDescent="0.3">
      <c r="A177" s="26"/>
      <c r="B177" s="26"/>
      <c r="C177" s="26"/>
      <c r="D177" s="26"/>
      <c r="E177" s="26"/>
      <c r="J177" s="8"/>
      <c r="K177" s="8"/>
    </row>
    <row r="178" spans="1:11" x14ac:dyDescent="0.3">
      <c r="A178" s="115"/>
      <c r="B178" s="28"/>
      <c r="C178" s="28"/>
      <c r="D178" s="28"/>
      <c r="E178" s="28"/>
    </row>
    <row r="179" spans="1:11" x14ac:dyDescent="0.3">
      <c r="A179" s="115"/>
      <c r="B179" s="28"/>
      <c r="C179" s="28"/>
      <c r="D179" s="28"/>
      <c r="E179" s="28"/>
    </row>
    <row r="180" spans="1:11" x14ac:dyDescent="0.3">
      <c r="A180" s="26"/>
      <c r="B180" s="26"/>
      <c r="C180" s="26"/>
      <c r="D180" s="26"/>
      <c r="E180" s="26"/>
      <c r="J180" s="8"/>
      <c r="K180" s="8"/>
    </row>
    <row r="181" spans="1:11" x14ac:dyDescent="0.3">
      <c r="A181" s="26"/>
      <c r="B181" s="26"/>
      <c r="C181" s="26"/>
      <c r="D181" s="26"/>
      <c r="E181" s="26"/>
      <c r="J181" s="8"/>
      <c r="K181" s="8"/>
    </row>
    <row r="182" spans="1:11" x14ac:dyDescent="0.3">
      <c r="A182" s="26"/>
      <c r="B182" s="26"/>
      <c r="C182" s="26"/>
      <c r="D182" s="26"/>
      <c r="E182" s="26"/>
      <c r="J182" s="8"/>
      <c r="K182" s="8"/>
    </row>
    <row r="183" spans="1:11" x14ac:dyDescent="0.3">
      <c r="A183" s="26"/>
      <c r="B183" s="26"/>
      <c r="C183" s="26"/>
      <c r="D183" s="26"/>
      <c r="E183" s="26"/>
      <c r="J183" s="8"/>
      <c r="K183" s="8"/>
    </row>
    <row r="184" spans="1:11" x14ac:dyDescent="0.3">
      <c r="A184" s="26"/>
      <c r="B184" s="26"/>
      <c r="C184" s="26"/>
      <c r="D184" s="26"/>
      <c r="E184" s="26"/>
      <c r="J184" s="8"/>
      <c r="K184" s="8"/>
    </row>
    <row r="185" spans="1:11" x14ac:dyDescent="0.3">
      <c r="A185" s="115"/>
      <c r="B185" s="28"/>
      <c r="C185" s="28"/>
      <c r="D185" s="28"/>
      <c r="E185" s="28"/>
    </row>
    <row r="186" spans="1:11" x14ac:dyDescent="0.3">
      <c r="A186" s="115"/>
      <c r="B186" s="28"/>
      <c r="C186" s="28"/>
      <c r="D186" s="28"/>
      <c r="E186" s="28"/>
    </row>
    <row r="187" spans="1:11" x14ac:dyDescent="0.3">
      <c r="A187" s="26"/>
      <c r="B187" s="26"/>
      <c r="C187" s="26"/>
      <c r="D187" s="26"/>
      <c r="E187" s="26"/>
      <c r="J187" s="8"/>
      <c r="K187" s="8"/>
    </row>
    <row r="188" spans="1:11" x14ac:dyDescent="0.3">
      <c r="A188" s="26"/>
      <c r="B188" s="26"/>
      <c r="C188" s="26"/>
      <c r="D188" s="26"/>
      <c r="E188" s="26"/>
      <c r="J188" s="8"/>
      <c r="K188" s="8"/>
    </row>
    <row r="189" spans="1:11" x14ac:dyDescent="0.3">
      <c r="A189" s="26"/>
      <c r="B189" s="26"/>
      <c r="C189" s="26"/>
      <c r="D189" s="26"/>
      <c r="E189" s="26"/>
      <c r="J189" s="8"/>
      <c r="K189" s="8"/>
    </row>
    <row r="190" spans="1:11" x14ac:dyDescent="0.3">
      <c r="A190" s="115"/>
      <c r="B190" s="28"/>
      <c r="C190" s="28"/>
      <c r="D190" s="28"/>
      <c r="E190" s="28"/>
    </row>
    <row r="191" spans="1:11" x14ac:dyDescent="0.3">
      <c r="A191" s="115"/>
      <c r="B191" s="28"/>
      <c r="C191" s="28"/>
      <c r="D191" s="28"/>
      <c r="E191" s="28"/>
    </row>
    <row r="192" spans="1:11" x14ac:dyDescent="0.3">
      <c r="A192" s="26"/>
      <c r="B192" s="26"/>
      <c r="C192" s="26"/>
      <c r="D192" s="26"/>
      <c r="E192" s="26"/>
      <c r="J192" s="8"/>
      <c r="K192" s="8"/>
    </row>
    <row r="193" spans="1:11" x14ac:dyDescent="0.3">
      <c r="A193" s="26"/>
      <c r="B193" s="26"/>
      <c r="C193" s="26"/>
      <c r="D193" s="26"/>
      <c r="E193" s="26"/>
      <c r="J193" s="8"/>
      <c r="K193" s="8"/>
    </row>
    <row r="194" spans="1:11" x14ac:dyDescent="0.3">
      <c r="A194" s="26"/>
      <c r="B194" s="26"/>
      <c r="C194" s="26"/>
      <c r="D194" s="26"/>
      <c r="E194" s="26"/>
      <c r="J194" s="8"/>
      <c r="K194" s="8"/>
    </row>
    <row r="195" spans="1:11" x14ac:dyDescent="0.3">
      <c r="A195" s="26"/>
      <c r="B195" s="26"/>
      <c r="C195" s="26"/>
      <c r="D195" s="26"/>
      <c r="E195" s="26"/>
      <c r="J195" s="8"/>
      <c r="K195" s="8"/>
    </row>
    <row r="196" spans="1:11" x14ac:dyDescent="0.3">
      <c r="A196" s="26"/>
      <c r="B196" s="26"/>
      <c r="C196" s="26"/>
      <c r="D196" s="26"/>
      <c r="E196" s="26"/>
      <c r="J196" s="8"/>
      <c r="K196" s="8"/>
    </row>
    <row r="197" spans="1:11" x14ac:dyDescent="0.3">
      <c r="A197" s="115"/>
      <c r="B197" s="28"/>
      <c r="C197" s="28"/>
      <c r="D197" s="28"/>
      <c r="E197" s="28"/>
    </row>
    <row r="198" spans="1:11" x14ac:dyDescent="0.3">
      <c r="A198" s="115"/>
      <c r="B198" s="28"/>
      <c r="C198" s="28"/>
      <c r="D198" s="28"/>
      <c r="E198" s="28"/>
    </row>
    <row r="199" spans="1:11" x14ac:dyDescent="0.3">
      <c r="A199" s="26"/>
      <c r="B199" s="26"/>
      <c r="C199" s="26"/>
      <c r="D199" s="26"/>
      <c r="E199" s="26"/>
      <c r="J199" s="8"/>
      <c r="K199" s="8"/>
    </row>
    <row r="200" spans="1:11" x14ac:dyDescent="0.3">
      <c r="A200" s="26"/>
      <c r="B200" s="26"/>
      <c r="C200" s="26"/>
      <c r="D200" s="26"/>
      <c r="E200" s="26"/>
      <c r="J200" s="8"/>
      <c r="K200" s="8"/>
    </row>
    <row r="201" spans="1:11" x14ac:dyDescent="0.3">
      <c r="A201" s="26"/>
      <c r="B201" s="26"/>
      <c r="C201" s="26"/>
      <c r="D201" s="26"/>
      <c r="E201" s="26"/>
      <c r="J201" s="8"/>
      <c r="K201" s="8"/>
    </row>
    <row r="202" spans="1:11" x14ac:dyDescent="0.3">
      <c r="A202" s="26"/>
      <c r="B202" s="26"/>
      <c r="C202" s="26"/>
      <c r="D202" s="26"/>
      <c r="E202" s="26"/>
      <c r="J202" s="8"/>
      <c r="K202" s="8"/>
    </row>
    <row r="203" spans="1:11" x14ac:dyDescent="0.3">
      <c r="A203" s="26"/>
      <c r="B203" s="26"/>
      <c r="C203" s="26"/>
      <c r="D203" s="26"/>
      <c r="E203" s="26"/>
      <c r="J203" s="8"/>
      <c r="K203" s="8"/>
    </row>
    <row r="204" spans="1:11" x14ac:dyDescent="0.3">
      <c r="A204" s="26"/>
      <c r="B204" s="26"/>
      <c r="C204" s="26"/>
      <c r="D204" s="26"/>
      <c r="E204" s="26"/>
      <c r="J204" s="8"/>
      <c r="K204" s="8"/>
    </row>
    <row r="205" spans="1:11" x14ac:dyDescent="0.3">
      <c r="A205" s="26"/>
      <c r="B205" s="26"/>
      <c r="C205" s="26"/>
      <c r="D205" s="26"/>
      <c r="E205" s="26"/>
      <c r="J205" s="8"/>
      <c r="K205" s="8"/>
    </row>
    <row r="206" spans="1:11" x14ac:dyDescent="0.3">
      <c r="A206" s="26"/>
      <c r="B206" s="26"/>
      <c r="C206" s="26"/>
      <c r="D206" s="26"/>
      <c r="E206" s="26"/>
      <c r="J206" s="8"/>
      <c r="K206" s="8"/>
    </row>
    <row r="207" spans="1:11" x14ac:dyDescent="0.3">
      <c r="A207" s="115"/>
      <c r="B207" s="28"/>
      <c r="C207" s="28"/>
      <c r="D207" s="28"/>
      <c r="E207" s="28"/>
    </row>
    <row r="208" spans="1:11" x14ac:dyDescent="0.3">
      <c r="A208" s="115"/>
      <c r="B208" s="28"/>
      <c r="C208" s="28"/>
      <c r="D208" s="28"/>
      <c r="E208" s="28"/>
    </row>
    <row r="209" spans="1:11" x14ac:dyDescent="0.3">
      <c r="A209" s="26"/>
      <c r="B209" s="26"/>
      <c r="C209" s="26"/>
      <c r="D209" s="26"/>
      <c r="E209" s="26"/>
      <c r="J209" s="8"/>
      <c r="K209" s="8"/>
    </row>
    <row r="210" spans="1:11" x14ac:dyDescent="0.3">
      <c r="A210" s="26"/>
      <c r="B210" s="26"/>
      <c r="C210" s="26"/>
      <c r="D210" s="26"/>
      <c r="E210" s="26"/>
      <c r="J210" s="8"/>
      <c r="K210" s="8"/>
    </row>
    <row r="211" spans="1:11" x14ac:dyDescent="0.3">
      <c r="A211" s="26"/>
      <c r="B211" s="26"/>
      <c r="C211" s="26"/>
      <c r="D211" s="26"/>
      <c r="E211" s="26"/>
      <c r="J211" s="8"/>
      <c r="K211" s="8"/>
    </row>
    <row r="212" spans="1:11" x14ac:dyDescent="0.3">
      <c r="A212" s="26"/>
      <c r="B212" s="26"/>
      <c r="C212" s="26"/>
      <c r="D212" s="26"/>
      <c r="E212" s="26"/>
      <c r="J212" s="8"/>
      <c r="K212" s="8"/>
    </row>
    <row r="213" spans="1:11" x14ac:dyDescent="0.3">
      <c r="A213" s="26"/>
      <c r="B213" s="26"/>
      <c r="C213" s="26"/>
      <c r="D213" s="26"/>
      <c r="E213" s="26"/>
      <c r="J213" s="8"/>
      <c r="K213" s="8"/>
    </row>
    <row r="214" spans="1:11" x14ac:dyDescent="0.3">
      <c r="A214" s="115"/>
      <c r="B214" s="28"/>
      <c r="C214" s="28"/>
      <c r="D214" s="28"/>
      <c r="E214" s="28"/>
    </row>
    <row r="215" spans="1:11" x14ac:dyDescent="0.3">
      <c r="A215" s="115"/>
      <c r="B215" s="28"/>
      <c r="C215" s="28"/>
      <c r="D215" s="28"/>
      <c r="E215" s="28"/>
    </row>
    <row r="216" spans="1:11" x14ac:dyDescent="0.3">
      <c r="A216" s="26"/>
      <c r="B216" s="26"/>
      <c r="C216" s="26"/>
      <c r="D216" s="26"/>
      <c r="E216" s="26"/>
      <c r="J216" s="8"/>
      <c r="K216" s="8"/>
    </row>
    <row r="217" spans="1:11" x14ac:dyDescent="0.3">
      <c r="A217" s="26"/>
      <c r="B217" s="26"/>
      <c r="C217" s="26"/>
      <c r="D217" s="26"/>
      <c r="E217" s="26"/>
      <c r="J217" s="8"/>
      <c r="K217" s="8"/>
    </row>
    <row r="218" spans="1:11" x14ac:dyDescent="0.3">
      <c r="A218" s="26"/>
      <c r="B218" s="26"/>
      <c r="C218" s="26"/>
      <c r="D218" s="26"/>
      <c r="E218" s="26"/>
      <c r="J218" s="8"/>
      <c r="K218" s="8"/>
    </row>
    <row r="219" spans="1:11" x14ac:dyDescent="0.3">
      <c r="A219" s="26"/>
      <c r="B219" s="26"/>
      <c r="C219" s="26"/>
      <c r="D219" s="26"/>
      <c r="E219" s="26"/>
      <c r="J219" s="8"/>
      <c r="K219" s="8"/>
    </row>
    <row r="220" spans="1:11" x14ac:dyDescent="0.3">
      <c r="A220" s="26"/>
      <c r="B220" s="26"/>
      <c r="C220" s="26"/>
      <c r="D220" s="26"/>
      <c r="E220" s="26"/>
      <c r="J220" s="8"/>
      <c r="K220" s="8"/>
    </row>
    <row r="221" spans="1:11" x14ac:dyDescent="0.3">
      <c r="A221" s="26"/>
      <c r="B221" s="26"/>
      <c r="C221" s="26"/>
      <c r="D221" s="26"/>
      <c r="E221" s="26"/>
      <c r="J221" s="8"/>
      <c r="K221" s="8"/>
    </row>
    <row r="222" spans="1:11" x14ac:dyDescent="0.3">
      <c r="A222" s="26"/>
      <c r="B222" s="26"/>
      <c r="C222" s="26"/>
      <c r="D222" s="26"/>
      <c r="E222" s="26"/>
      <c r="J222" s="8"/>
      <c r="K222" s="8"/>
    </row>
    <row r="223" spans="1:11" x14ac:dyDescent="0.3">
      <c r="A223" s="26"/>
      <c r="B223" s="26"/>
      <c r="C223" s="26"/>
      <c r="D223" s="26"/>
      <c r="E223" s="26"/>
      <c r="J223" s="8"/>
      <c r="K223" s="8"/>
    </row>
    <row r="224" spans="1:11" x14ac:dyDescent="0.3">
      <c r="A224" s="26"/>
      <c r="B224" s="26"/>
      <c r="C224" s="26"/>
      <c r="D224" s="26"/>
      <c r="E224" s="26"/>
      <c r="J224" s="8"/>
      <c r="K224" s="8"/>
    </row>
    <row r="225" spans="1:11" x14ac:dyDescent="0.3">
      <c r="A225" s="26"/>
      <c r="B225" s="26"/>
      <c r="C225" s="26"/>
      <c r="D225" s="26"/>
      <c r="E225" s="26"/>
      <c r="J225" s="8"/>
      <c r="K225" s="8"/>
    </row>
    <row r="226" spans="1:11" x14ac:dyDescent="0.3">
      <c r="A226" s="26"/>
      <c r="B226" s="26"/>
      <c r="C226" s="26"/>
      <c r="D226" s="26"/>
      <c r="E226" s="26"/>
      <c r="J226" s="8"/>
      <c r="K226" s="8"/>
    </row>
    <row r="227" spans="1:11" x14ac:dyDescent="0.3">
      <c r="A227" s="26"/>
      <c r="B227" s="26"/>
      <c r="C227" s="26"/>
      <c r="D227" s="26"/>
      <c r="E227" s="26"/>
      <c r="J227" s="8"/>
      <c r="K227" s="8"/>
    </row>
    <row r="228" spans="1:11" x14ac:dyDescent="0.3">
      <c r="A228" s="26"/>
      <c r="B228" s="26"/>
      <c r="C228" s="26"/>
      <c r="D228" s="26"/>
      <c r="E228" s="26"/>
      <c r="J228" s="8"/>
      <c r="K228" s="8"/>
    </row>
    <row r="229" spans="1:11" x14ac:dyDescent="0.3">
      <c r="A229" s="115"/>
      <c r="B229" s="28"/>
      <c r="C229" s="28"/>
      <c r="D229" s="28"/>
      <c r="E229" s="28"/>
    </row>
    <row r="230" spans="1:11" x14ac:dyDescent="0.3">
      <c r="A230" s="115"/>
      <c r="B230" s="28"/>
      <c r="C230" s="28"/>
      <c r="D230" s="28"/>
      <c r="E230" s="28"/>
    </row>
    <row r="231" spans="1:11" x14ac:dyDescent="0.3">
      <c r="A231" s="26"/>
      <c r="B231" s="26"/>
      <c r="C231" s="26"/>
      <c r="D231" s="26"/>
      <c r="E231" s="26"/>
      <c r="J231" s="8"/>
      <c r="K231" s="8"/>
    </row>
    <row r="232" spans="1:11" x14ac:dyDescent="0.3">
      <c r="A232" s="26"/>
      <c r="B232" s="26"/>
      <c r="C232" s="26"/>
      <c r="D232" s="26"/>
      <c r="E232" s="26"/>
      <c r="J232" s="8"/>
      <c r="K232" s="8"/>
    </row>
    <row r="233" spans="1:11" x14ac:dyDescent="0.3">
      <c r="A233" s="26"/>
      <c r="B233" s="26"/>
      <c r="C233" s="26"/>
      <c r="D233" s="26"/>
      <c r="E233" s="26"/>
      <c r="J233" s="8"/>
      <c r="K233" s="8"/>
    </row>
    <row r="234" spans="1:11" x14ac:dyDescent="0.3">
      <c r="A234" s="26"/>
      <c r="B234" s="26"/>
      <c r="C234" s="26"/>
      <c r="D234" s="26"/>
      <c r="E234" s="26"/>
      <c r="J234" s="8"/>
      <c r="K234" s="8"/>
    </row>
    <row r="235" spans="1:11" x14ac:dyDescent="0.3">
      <c r="A235" s="26"/>
      <c r="B235" s="26"/>
      <c r="C235" s="26"/>
      <c r="D235" s="26"/>
      <c r="E235" s="26"/>
    </row>
    <row r="236" spans="1:11" x14ac:dyDescent="0.3">
      <c r="A236" s="26"/>
      <c r="B236" s="26"/>
      <c r="C236" s="26"/>
      <c r="D236" s="26"/>
      <c r="E236" s="26"/>
    </row>
  </sheetData>
  <mergeCells count="240">
    <mergeCell ref="B10:B11"/>
    <mergeCell ref="B12:B13"/>
    <mergeCell ref="B20:B21"/>
    <mergeCell ref="B34:B35"/>
    <mergeCell ref="B40:B41"/>
    <mergeCell ref="B47:B48"/>
    <mergeCell ref="B54:B55"/>
    <mergeCell ref="B61:B62"/>
    <mergeCell ref="B66:B67"/>
    <mergeCell ref="J6:M6"/>
    <mergeCell ref="F6:I6"/>
    <mergeCell ref="C7:C8"/>
    <mergeCell ref="D7:D8"/>
    <mergeCell ref="E7:E8"/>
    <mergeCell ref="B5:E5"/>
    <mergeCell ref="B6:E6"/>
    <mergeCell ref="B73:B74"/>
    <mergeCell ref="B83:B84"/>
    <mergeCell ref="F40:F41"/>
    <mergeCell ref="C40:C41"/>
    <mergeCell ref="M20:M21"/>
    <mergeCell ref="C34:C35"/>
    <mergeCell ref="C10:C11"/>
    <mergeCell ref="F10:F11"/>
    <mergeCell ref="G10:G11"/>
    <mergeCell ref="H10:H11"/>
    <mergeCell ref="I10:I11"/>
    <mergeCell ref="D10:D11"/>
    <mergeCell ref="E66:E67"/>
    <mergeCell ref="E73:E74"/>
    <mergeCell ref="E47:E48"/>
    <mergeCell ref="E61:E62"/>
    <mergeCell ref="D47:D48"/>
    <mergeCell ref="A12:A13"/>
    <mergeCell ref="K40:K41"/>
    <mergeCell ref="L40:L41"/>
    <mergeCell ref="M40:M41"/>
    <mergeCell ref="E40:E41"/>
    <mergeCell ref="G40:G41"/>
    <mergeCell ref="H40:H41"/>
    <mergeCell ref="I40:I41"/>
    <mergeCell ref="J40:J41"/>
    <mergeCell ref="G12:G13"/>
    <mergeCell ref="L20:L21"/>
    <mergeCell ref="H12:H13"/>
    <mergeCell ref="I12:I13"/>
    <mergeCell ref="J12:J13"/>
    <mergeCell ref="C12:C13"/>
    <mergeCell ref="D12:D13"/>
    <mergeCell ref="D20:D21"/>
    <mergeCell ref="D34:D35"/>
    <mergeCell ref="D40:D41"/>
    <mergeCell ref="A207:A208"/>
    <mergeCell ref="C105:C106"/>
    <mergeCell ref="A214:A215"/>
    <mergeCell ref="A229:A230"/>
    <mergeCell ref="A185:A186"/>
    <mergeCell ref="A190:A191"/>
    <mergeCell ref="A197:A198"/>
    <mergeCell ref="A171:A172"/>
    <mergeCell ref="A178:A179"/>
    <mergeCell ref="A158:A159"/>
    <mergeCell ref="A164:A165"/>
    <mergeCell ref="B105:B106"/>
    <mergeCell ref="J130:K132"/>
    <mergeCell ref="L130:M132"/>
    <mergeCell ref="F132:G132"/>
    <mergeCell ref="H132:I132"/>
    <mergeCell ref="L66:L67"/>
    <mergeCell ref="M66:M67"/>
    <mergeCell ref="L47:L48"/>
    <mergeCell ref="M47:M48"/>
    <mergeCell ref="M54:M55"/>
    <mergeCell ref="A126:J128"/>
    <mergeCell ref="K126:M128"/>
    <mergeCell ref="J129:M129"/>
    <mergeCell ref="A130:A133"/>
    <mergeCell ref="F130:I131"/>
    <mergeCell ref="A83:A84"/>
    <mergeCell ref="G105:G106"/>
    <mergeCell ref="H105:H106"/>
    <mergeCell ref="M73:M74"/>
    <mergeCell ref="K90:K91"/>
    <mergeCell ref="J83:J84"/>
    <mergeCell ref="K83:K84"/>
    <mergeCell ref="H90:H91"/>
    <mergeCell ref="I90:I91"/>
    <mergeCell ref="J90:J91"/>
    <mergeCell ref="K136:K138"/>
    <mergeCell ref="L136:L138"/>
    <mergeCell ref="A145:A146"/>
    <mergeCell ref="J136:J138"/>
    <mergeCell ref="F136:F138"/>
    <mergeCell ref="G136:G138"/>
    <mergeCell ref="H136:H138"/>
    <mergeCell ref="I136:I138"/>
    <mergeCell ref="M136:M138"/>
    <mergeCell ref="A136:A138"/>
    <mergeCell ref="A116:I116"/>
    <mergeCell ref="N116:P116"/>
    <mergeCell ref="E34:E35"/>
    <mergeCell ref="C90:C91"/>
    <mergeCell ref="N83:P84"/>
    <mergeCell ref="A90:A91"/>
    <mergeCell ref="F90:F91"/>
    <mergeCell ref="J105:J106"/>
    <mergeCell ref="K105:K106"/>
    <mergeCell ref="L105:L106"/>
    <mergeCell ref="I105:I106"/>
    <mergeCell ref="N105:P106"/>
    <mergeCell ref="M105:M106"/>
    <mergeCell ref="L90:L91"/>
    <mergeCell ref="M90:M91"/>
    <mergeCell ref="N90:P91"/>
    <mergeCell ref="G90:G91"/>
    <mergeCell ref="C83:C84"/>
    <mergeCell ref="B90:B91"/>
    <mergeCell ref="A34:A35"/>
    <mergeCell ref="C20:C21"/>
    <mergeCell ref="A20:A21"/>
    <mergeCell ref="A40:A41"/>
    <mergeCell ref="C73:C74"/>
    <mergeCell ref="C66:C67"/>
    <mergeCell ref="O111:P111"/>
    <mergeCell ref="A115:I115"/>
    <mergeCell ref="N115:P115"/>
    <mergeCell ref="E105:E106"/>
    <mergeCell ref="A105:A106"/>
    <mergeCell ref="F105:F106"/>
    <mergeCell ref="D61:D62"/>
    <mergeCell ref="D66:D67"/>
    <mergeCell ref="D73:D74"/>
    <mergeCell ref="F83:F84"/>
    <mergeCell ref="G83:G84"/>
    <mergeCell ref="H83:H84"/>
    <mergeCell ref="I83:I84"/>
    <mergeCell ref="E83:E84"/>
    <mergeCell ref="A73:A74"/>
    <mergeCell ref="A66:A67"/>
    <mergeCell ref="A61:A62"/>
    <mergeCell ref="C61:C62"/>
    <mergeCell ref="L83:L84"/>
    <mergeCell ref="M83:M84"/>
    <mergeCell ref="E90:E91"/>
    <mergeCell ref="D105:D106"/>
    <mergeCell ref="D83:D84"/>
    <mergeCell ref="D90:D91"/>
    <mergeCell ref="N73:P74"/>
    <mergeCell ref="J73:J74"/>
    <mergeCell ref="K73:K74"/>
    <mergeCell ref="L73:L74"/>
    <mergeCell ref="F73:F74"/>
    <mergeCell ref="G73:G74"/>
    <mergeCell ref="H73:H74"/>
    <mergeCell ref="I73:I74"/>
    <mergeCell ref="N61:P62"/>
    <mergeCell ref="F66:F67"/>
    <mergeCell ref="G66:G67"/>
    <mergeCell ref="H66:H67"/>
    <mergeCell ref="I66:I67"/>
    <mergeCell ref="J66:J67"/>
    <mergeCell ref="K66:K67"/>
    <mergeCell ref="F61:F62"/>
    <mergeCell ref="N66:P67"/>
    <mergeCell ref="K61:K62"/>
    <mergeCell ref="L61:L62"/>
    <mergeCell ref="M61:M62"/>
    <mergeCell ref="G61:G62"/>
    <mergeCell ref="H61:H62"/>
    <mergeCell ref="I61:I62"/>
    <mergeCell ref="J61:J62"/>
    <mergeCell ref="N47:P48"/>
    <mergeCell ref="A54:A55"/>
    <mergeCell ref="F54:F55"/>
    <mergeCell ref="G54:G55"/>
    <mergeCell ref="H54:H55"/>
    <mergeCell ref="I54:I55"/>
    <mergeCell ref="N54:P55"/>
    <mergeCell ref="J54:J55"/>
    <mergeCell ref="K54:K55"/>
    <mergeCell ref="L54:L55"/>
    <mergeCell ref="C54:C55"/>
    <mergeCell ref="E54:E55"/>
    <mergeCell ref="A47:A48"/>
    <mergeCell ref="F47:F48"/>
    <mergeCell ref="G47:G48"/>
    <mergeCell ref="H47:H48"/>
    <mergeCell ref="I47:I48"/>
    <mergeCell ref="J47:J48"/>
    <mergeCell ref="K47:K48"/>
    <mergeCell ref="C47:C48"/>
    <mergeCell ref="D54:D55"/>
    <mergeCell ref="N40:P41"/>
    <mergeCell ref="F20:F21"/>
    <mergeCell ref="G20:G21"/>
    <mergeCell ref="H20:H21"/>
    <mergeCell ref="I20:I21"/>
    <mergeCell ref="J20:J21"/>
    <mergeCell ref="E20:E21"/>
    <mergeCell ref="F12:F13"/>
    <mergeCell ref="N20:P21"/>
    <mergeCell ref="F34:F35"/>
    <mergeCell ref="G34:G35"/>
    <mergeCell ref="H34:H35"/>
    <mergeCell ref="I34:I35"/>
    <mergeCell ref="N34:P35"/>
    <mergeCell ref="J34:J35"/>
    <mergeCell ref="K34:K35"/>
    <mergeCell ref="L34:L35"/>
    <mergeCell ref="M34:M35"/>
    <mergeCell ref="N12:P13"/>
    <mergeCell ref="K20:K21"/>
    <mergeCell ref="M12:M13"/>
    <mergeCell ref="K12:K13"/>
    <mergeCell ref="L12:L13"/>
    <mergeCell ref="E12:E13"/>
    <mergeCell ref="K4:M4"/>
    <mergeCell ref="A10:A11"/>
    <mergeCell ref="C2:L2"/>
    <mergeCell ref="C3:L3"/>
    <mergeCell ref="N10:P11"/>
    <mergeCell ref="J10:J11"/>
    <mergeCell ref="K10:K11"/>
    <mergeCell ref="L10:L11"/>
    <mergeCell ref="M10:M11"/>
    <mergeCell ref="L7:L8"/>
    <mergeCell ref="M7:M8"/>
    <mergeCell ref="O4:P4"/>
    <mergeCell ref="F5:I5"/>
    <mergeCell ref="J5:M5"/>
    <mergeCell ref="F7:F8"/>
    <mergeCell ref="G7:G8"/>
    <mergeCell ref="H7:H8"/>
    <mergeCell ref="I7:I8"/>
    <mergeCell ref="J7:J8"/>
    <mergeCell ref="K7:K8"/>
    <mergeCell ref="E10:E11"/>
    <mergeCell ref="A5:A9"/>
    <mergeCell ref="N5:P9"/>
    <mergeCell ref="B7:B8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17:F19 G13:I13 K12:M13 F22:F28 G20:I21 F31:F33 G29:I29 F37:F39 G34:I35 F42:F46 G40:I41 F49:F53 G47:I48 F56:F60 G54:I55 F63:F65 G61:I62 F68:F72 G66:I67 G73:I74 F85:F89 G83:I84 F92:F104 G90:I91 F107:F110 G105:I106 K20:M21 K29:M29 K34:M35 K40:M41 K47:M48 K54:M55 K61:M62 K66:M67 K73:M74 K83:M84 K90:M91 K105:M106 H12:I12" formula="1"/>
    <ignoredError sqref="E29 E40:E41 E54:E55 E83:E84 E105:E106 E90:E91 E73:E74 E61:E62 E47:E48 E34:E35 C34:C35 C47:C48 C61:C62 C73:C74 C90:C91 C105:C106 C83:C84 C54:C55 C40:C41 C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2026-06-23T12:01:04Z</dcterms:modified>
</cp:coreProperties>
</file>