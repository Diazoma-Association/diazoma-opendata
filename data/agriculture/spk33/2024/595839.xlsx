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542DF333-6691-4ADB-9343-DE4B55E56EC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4" i="1" l="1"/>
  <c r="O89" i="1"/>
  <c r="O82" i="1"/>
  <c r="O72" i="1"/>
  <c r="O65" i="1"/>
  <c r="O60" i="1"/>
  <c r="O53" i="1"/>
  <c r="O46" i="1"/>
  <c r="O39" i="1"/>
  <c r="O33" i="1"/>
  <c r="O28" i="1"/>
  <c r="O19" i="1"/>
  <c r="O11" i="1"/>
  <c r="B11" i="1"/>
  <c r="O9" i="1" l="1"/>
  <c r="B19" i="1"/>
  <c r="C28" i="1"/>
  <c r="D28" i="1"/>
  <c r="E28" i="1"/>
  <c r="F28" i="1"/>
  <c r="G28" i="1"/>
  <c r="H28" i="1"/>
  <c r="I28" i="1"/>
  <c r="J28" i="1"/>
  <c r="K28" i="1"/>
  <c r="L28" i="1"/>
  <c r="M28" i="1"/>
  <c r="N28" i="1"/>
  <c r="P28" i="1"/>
  <c r="Q28" i="1"/>
  <c r="R28" i="1"/>
  <c r="S28" i="1"/>
  <c r="T28" i="1"/>
  <c r="U28" i="1"/>
  <c r="V28" i="1"/>
  <c r="W28" i="1"/>
  <c r="X28" i="1"/>
  <c r="Y28" i="1"/>
  <c r="Z28" i="1"/>
  <c r="AA28" i="1"/>
  <c r="B28" i="1"/>
  <c r="C19" i="1"/>
  <c r="D19" i="1"/>
  <c r="E19" i="1"/>
  <c r="F19" i="1"/>
  <c r="G19" i="1"/>
  <c r="H19" i="1"/>
  <c r="I19" i="1"/>
  <c r="J19" i="1"/>
  <c r="K19" i="1"/>
  <c r="L19" i="1"/>
  <c r="M19" i="1"/>
  <c r="N19" i="1"/>
  <c r="P19" i="1"/>
  <c r="Q19" i="1"/>
  <c r="R19" i="1"/>
  <c r="S19" i="1"/>
  <c r="T19" i="1"/>
  <c r="U19" i="1"/>
  <c r="V19" i="1"/>
  <c r="W19" i="1"/>
  <c r="X19" i="1"/>
  <c r="Y19" i="1"/>
  <c r="Z19" i="1"/>
  <c r="AA19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N104" i="1"/>
  <c r="AA89" i="1"/>
  <c r="Z89" i="1"/>
  <c r="Y89" i="1"/>
  <c r="X89" i="1"/>
  <c r="W89" i="1"/>
  <c r="V89" i="1"/>
  <c r="U89" i="1"/>
  <c r="T89" i="1"/>
  <c r="S89" i="1"/>
  <c r="R89" i="1"/>
  <c r="Q89" i="1"/>
  <c r="P89" i="1"/>
  <c r="N89" i="1"/>
  <c r="AA82" i="1"/>
  <c r="Z82" i="1"/>
  <c r="Y82" i="1"/>
  <c r="X82" i="1"/>
  <c r="W82" i="1"/>
  <c r="V82" i="1"/>
  <c r="U82" i="1"/>
  <c r="T82" i="1"/>
  <c r="S82" i="1"/>
  <c r="R82" i="1"/>
  <c r="Q82" i="1"/>
  <c r="P82" i="1"/>
  <c r="N82" i="1"/>
  <c r="AA72" i="1"/>
  <c r="Z72" i="1"/>
  <c r="Y72" i="1"/>
  <c r="X72" i="1"/>
  <c r="W72" i="1"/>
  <c r="V72" i="1"/>
  <c r="U72" i="1"/>
  <c r="T72" i="1"/>
  <c r="S72" i="1"/>
  <c r="R72" i="1"/>
  <c r="Q72" i="1"/>
  <c r="P72" i="1"/>
  <c r="N72" i="1"/>
  <c r="AA65" i="1"/>
  <c r="Z65" i="1"/>
  <c r="Y65" i="1"/>
  <c r="X65" i="1"/>
  <c r="W65" i="1"/>
  <c r="V65" i="1"/>
  <c r="U65" i="1"/>
  <c r="T65" i="1"/>
  <c r="S65" i="1"/>
  <c r="R65" i="1"/>
  <c r="Q65" i="1"/>
  <c r="P65" i="1"/>
  <c r="N65" i="1"/>
  <c r="AA60" i="1"/>
  <c r="Z60" i="1"/>
  <c r="Y60" i="1"/>
  <c r="X60" i="1"/>
  <c r="W60" i="1"/>
  <c r="V60" i="1"/>
  <c r="U60" i="1"/>
  <c r="T60" i="1"/>
  <c r="S60" i="1"/>
  <c r="R60" i="1"/>
  <c r="Q60" i="1"/>
  <c r="P60" i="1"/>
  <c r="N60" i="1"/>
  <c r="AA53" i="1"/>
  <c r="Z53" i="1"/>
  <c r="Y53" i="1"/>
  <c r="X53" i="1"/>
  <c r="W53" i="1"/>
  <c r="V53" i="1"/>
  <c r="U53" i="1"/>
  <c r="T53" i="1"/>
  <c r="S53" i="1"/>
  <c r="R53" i="1"/>
  <c r="Q53" i="1"/>
  <c r="P53" i="1"/>
  <c r="N53" i="1"/>
  <c r="AA46" i="1"/>
  <c r="Z46" i="1"/>
  <c r="Y46" i="1"/>
  <c r="X46" i="1"/>
  <c r="W46" i="1"/>
  <c r="V46" i="1"/>
  <c r="U46" i="1"/>
  <c r="T46" i="1"/>
  <c r="S46" i="1"/>
  <c r="R46" i="1"/>
  <c r="Q46" i="1"/>
  <c r="P46" i="1"/>
  <c r="N46" i="1"/>
  <c r="AA39" i="1"/>
  <c r="Z39" i="1"/>
  <c r="Y39" i="1"/>
  <c r="X39" i="1"/>
  <c r="W39" i="1"/>
  <c r="V39" i="1"/>
  <c r="U39" i="1"/>
  <c r="T39" i="1"/>
  <c r="S39" i="1"/>
  <c r="R39" i="1"/>
  <c r="Q39" i="1"/>
  <c r="P39" i="1"/>
  <c r="N39" i="1"/>
  <c r="AA33" i="1"/>
  <c r="Z33" i="1"/>
  <c r="Y33" i="1"/>
  <c r="X33" i="1"/>
  <c r="W33" i="1"/>
  <c r="V33" i="1"/>
  <c r="U33" i="1"/>
  <c r="T33" i="1"/>
  <c r="S33" i="1"/>
  <c r="R33" i="1"/>
  <c r="Q33" i="1"/>
  <c r="P33" i="1"/>
  <c r="N33" i="1"/>
  <c r="AA11" i="1"/>
  <c r="Z11" i="1"/>
  <c r="Y11" i="1"/>
  <c r="X11" i="1"/>
  <c r="W11" i="1"/>
  <c r="V11" i="1"/>
  <c r="U11" i="1"/>
  <c r="T11" i="1"/>
  <c r="S11" i="1"/>
  <c r="R11" i="1"/>
  <c r="Q11" i="1"/>
  <c r="P11" i="1"/>
  <c r="N11" i="1"/>
  <c r="G104" i="1"/>
  <c r="E104" i="1"/>
  <c r="F104" i="1"/>
  <c r="H104" i="1"/>
  <c r="I104" i="1"/>
  <c r="J104" i="1"/>
  <c r="K104" i="1"/>
  <c r="L104" i="1"/>
  <c r="M104" i="1"/>
  <c r="B104" i="1"/>
  <c r="C104" i="1"/>
  <c r="E89" i="1"/>
  <c r="F89" i="1"/>
  <c r="G89" i="1"/>
  <c r="H89" i="1"/>
  <c r="I89" i="1"/>
  <c r="J89" i="1"/>
  <c r="K89" i="1"/>
  <c r="L89" i="1"/>
  <c r="M89" i="1"/>
  <c r="B89" i="1"/>
  <c r="C89" i="1"/>
  <c r="F82" i="1"/>
  <c r="G82" i="1"/>
  <c r="H82" i="1"/>
  <c r="I82" i="1"/>
  <c r="J82" i="1"/>
  <c r="K82" i="1"/>
  <c r="L82" i="1"/>
  <c r="M82" i="1"/>
  <c r="B82" i="1"/>
  <c r="C82" i="1"/>
  <c r="D82" i="1"/>
  <c r="E82" i="1"/>
  <c r="H72" i="1"/>
  <c r="I72" i="1"/>
  <c r="J72" i="1"/>
  <c r="K72" i="1"/>
  <c r="L72" i="1"/>
  <c r="M72" i="1"/>
  <c r="B72" i="1"/>
  <c r="C72" i="1"/>
  <c r="D72" i="1"/>
  <c r="E72" i="1"/>
  <c r="F72" i="1"/>
  <c r="G72" i="1"/>
  <c r="E65" i="1"/>
  <c r="F65" i="1"/>
  <c r="G65" i="1"/>
  <c r="H65" i="1"/>
  <c r="I65" i="1"/>
  <c r="J65" i="1"/>
  <c r="K65" i="1"/>
  <c r="L65" i="1"/>
  <c r="M65" i="1"/>
  <c r="B65" i="1"/>
  <c r="C65" i="1"/>
  <c r="F60" i="1"/>
  <c r="G60" i="1"/>
  <c r="H60" i="1"/>
  <c r="I60" i="1"/>
  <c r="J60" i="1"/>
  <c r="K60" i="1"/>
  <c r="L60" i="1"/>
  <c r="M60" i="1"/>
  <c r="B60" i="1"/>
  <c r="C60" i="1"/>
  <c r="D60" i="1"/>
  <c r="F53" i="1"/>
  <c r="G53" i="1"/>
  <c r="H53" i="1"/>
  <c r="I53" i="1"/>
  <c r="J53" i="1"/>
  <c r="K53" i="1"/>
  <c r="L53" i="1"/>
  <c r="M53" i="1"/>
  <c r="B53" i="1"/>
  <c r="C53" i="1"/>
  <c r="D53" i="1"/>
  <c r="E53" i="1"/>
  <c r="F46" i="1"/>
  <c r="G46" i="1"/>
  <c r="H46" i="1"/>
  <c r="I46" i="1"/>
  <c r="J46" i="1"/>
  <c r="K46" i="1"/>
  <c r="L46" i="1"/>
  <c r="M46" i="1"/>
  <c r="B46" i="1"/>
  <c r="C46" i="1"/>
  <c r="D46" i="1"/>
  <c r="F11" i="1"/>
  <c r="G11" i="1"/>
  <c r="H11" i="1"/>
  <c r="I11" i="1"/>
  <c r="J11" i="1"/>
  <c r="K11" i="1"/>
  <c r="L11" i="1"/>
  <c r="M11" i="1"/>
  <c r="C11" i="1"/>
  <c r="D11" i="1"/>
  <c r="E11" i="1"/>
  <c r="D33" i="1"/>
  <c r="E33" i="1"/>
  <c r="F33" i="1"/>
  <c r="G33" i="1"/>
  <c r="H33" i="1"/>
  <c r="I33" i="1"/>
  <c r="J33" i="1"/>
  <c r="K33" i="1"/>
  <c r="L33" i="1"/>
  <c r="M33" i="1"/>
  <c r="B33" i="1"/>
  <c r="C33" i="1"/>
  <c r="D39" i="1"/>
  <c r="E39" i="1"/>
  <c r="F39" i="1"/>
  <c r="G39" i="1"/>
  <c r="H39" i="1"/>
  <c r="I39" i="1"/>
  <c r="J39" i="1"/>
  <c r="K39" i="1"/>
  <c r="L39" i="1"/>
  <c r="M39" i="1"/>
  <c r="C39" i="1"/>
  <c r="D104" i="1"/>
  <c r="D89" i="1"/>
  <c r="D65" i="1"/>
  <c r="E60" i="1"/>
  <c r="E46" i="1"/>
  <c r="B39" i="1"/>
  <c r="M9" i="1" l="1"/>
  <c r="I9" i="1"/>
  <c r="N9" i="1"/>
  <c r="Q9" i="1"/>
  <c r="S9" i="1"/>
  <c r="U9" i="1"/>
  <c r="W9" i="1"/>
  <c r="Y9" i="1"/>
  <c r="AA9" i="1"/>
  <c r="L9" i="1"/>
  <c r="J9" i="1"/>
  <c r="H9" i="1"/>
  <c r="F9" i="1"/>
  <c r="B9" i="1"/>
  <c r="E9" i="1"/>
  <c r="C9" i="1"/>
  <c r="D9" i="1"/>
  <c r="K9" i="1"/>
  <c r="G9" i="1"/>
  <c r="P9" i="1"/>
  <c r="R9" i="1"/>
  <c r="T9" i="1"/>
  <c r="V9" i="1"/>
  <c r="X9" i="1"/>
  <c r="Z9" i="1"/>
</calcChain>
</file>

<file path=xl/sharedStrings.xml><?xml version="1.0" encoding="utf-8"?>
<sst xmlns="http://schemas.openxmlformats.org/spreadsheetml/2006/main" count="872" uniqueCount="213">
  <si>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</si>
  <si>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</si>
  <si>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</si>
  <si>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</si>
  <si>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</si>
  <si>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</si>
  <si>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</si>
  <si>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</si>
  <si>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</si>
  <si>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</si>
  <si>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</si>
  <si>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</si>
  <si>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</si>
  <si>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</si>
  <si>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</si>
  <si>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</si>
  <si>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</si>
  <si>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</si>
  <si>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</si>
  <si>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</si>
  <si>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</si>
  <si>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</si>
  <si>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</si>
  <si>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</si>
  <si>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</si>
  <si>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</si>
  <si>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</si>
  <si>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</si>
  <si>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</si>
  <si>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</si>
  <si>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</si>
  <si>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</si>
  <si>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</si>
  <si>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</si>
  <si>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</si>
  <si>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</si>
  <si>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</si>
  <si>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</si>
  <si>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</si>
  <si>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</si>
  <si>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</si>
  <si>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</si>
  <si>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</si>
  <si>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</si>
  <si>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</si>
  <si>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</si>
  <si>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</si>
  <si>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</si>
  <si>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</si>
  <si>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</si>
  <si>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</si>
  <si>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</si>
  <si>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</si>
  <si>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</si>
  <si>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</si>
  <si>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</si>
  <si>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</si>
  <si>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</si>
  <si>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</si>
  <si>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</si>
  <si>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</si>
  <si>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</si>
  <si>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</si>
  <si>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</si>
  <si>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</si>
  <si>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</si>
  <si>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</si>
  <si>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</si>
  <si>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</si>
  <si>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</si>
  <si>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</si>
  <si>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</si>
  <si>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</si>
  <si>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</si>
  <si>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</si>
  <si>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</si>
  <si>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</si>
  <si>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</si>
  <si>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</si>
  <si>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</si>
  <si>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</si>
  <si>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</si>
  <si>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</si>
  <si>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</si>
  <si>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</si>
  <si>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</si>
  <si>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</si>
  <si>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</si>
  <si>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</si>
  <si>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</si>
  <si>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</si>
  <si>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</si>
  <si>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</si>
  <si>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</si>
  <si>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</si>
  <si>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</si>
  <si>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</si>
  <si>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</si>
  <si>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</si>
  <si>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</si>
  <si>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</si>
  <si>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</si>
  <si>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</si>
  <si>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</si>
  <si>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</si>
  <si>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</si>
  <si>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</si>
  <si>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</si>
  <si>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</si>
  <si>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</si>
  <si>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</si>
  <si>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</si>
  <si>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</si>
  <si>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</si>
  <si>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</si>
  <si>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</si>
  <si>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</si>
  <si>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</si>
  <si>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</si>
  <si>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</si>
  <si>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</si>
  <si>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</si>
  <si>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</si>
  <si>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</si>
  <si>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</si>
  <si>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</si>
  <si>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</si>
  <si>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</si>
  <si>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</si>
  <si>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</si>
  <si>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</si>
  <si>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</si>
  <si>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</si>
  <si>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</si>
  <si>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</si>
  <si>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</si>
  <si>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</si>
  <si>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</si>
  <si>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</si>
  <si>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</si>
  <si>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</si>
  <si>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</si>
  <si>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</si>
  <si>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</si>
  <si>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</si>
  <si>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</si>
  <si>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</si>
  <si>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</si>
  <si>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</si>
  <si>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</si>
  <si>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</si>
  <si>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</si>
  <si>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</si>
  <si>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</si>
  <si>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</si>
  <si>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</si>
  <si>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</si>
  <si>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</si>
  <si>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</si>
  <si>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</si>
  <si>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</si>
  <si>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</si>
  <si>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</si>
  <si>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</si>
  <si>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</si>
  <si>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</si>
  <si>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</si>
  <si>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</si>
  <si>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</si>
  <si>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</si>
  <si>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</si>
  <si>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</si>
  <si>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</si>
  <si>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</si>
  <si>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</si>
  <si>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</si>
  <si>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Region of Western Macedonia</t>
  </si>
  <si>
    <t>Περιφέρεια Δυτικής Μακεδονίας</t>
  </si>
  <si>
    <t>Βάρος σε τόννους</t>
  </si>
  <si>
    <t>Weight in tons</t>
  </si>
  <si>
    <t xml:space="preserve">Αριθμός Κεφαλών </t>
  </si>
  <si>
    <t>Heads</t>
  </si>
  <si>
    <t xml:space="preserve">Βάρος </t>
  </si>
  <si>
    <t>Weight</t>
  </si>
  <si>
    <t>Μοσχάρια κάτω του έτους</t>
  </si>
  <si>
    <t>Μοσχάρια 1 -2 ετών</t>
  </si>
  <si>
    <t>Heifers and oxen</t>
  </si>
  <si>
    <t>Δαμάλια και βόδια</t>
  </si>
  <si>
    <t>Buffaloes
less than 2 year old</t>
  </si>
  <si>
    <t>Βουβαλίδια 
μέχρι 2 ετών</t>
  </si>
  <si>
    <t>Lambs</t>
  </si>
  <si>
    <t>Ζυγούρια και πρόβατα</t>
  </si>
  <si>
    <t xml:space="preserve">Κατσίκια </t>
  </si>
  <si>
    <t>Βιτούλια και αίγες</t>
  </si>
  <si>
    <t>Piglets</t>
  </si>
  <si>
    <t>Χοιρίδια</t>
  </si>
  <si>
    <t>Pigs</t>
  </si>
  <si>
    <t>Χοίροι</t>
  </si>
  <si>
    <t>Poultry</t>
  </si>
  <si>
    <t>Πουλερικά</t>
  </si>
  <si>
    <t>Rabbits</t>
  </si>
  <si>
    <t>Κουνέλια</t>
  </si>
  <si>
    <t>Βουβάλια και βουβαλοδαμάλια</t>
  </si>
  <si>
    <t>Αρνιά</t>
  </si>
  <si>
    <t>Calves 
less than 1 year</t>
  </si>
  <si>
    <t>Goats 
less than 1 year</t>
  </si>
  <si>
    <t>Goats 
1 year and over</t>
  </si>
  <si>
    <t>Sheep 
1 year and over</t>
  </si>
  <si>
    <t>Calves 1 - 2 years</t>
  </si>
  <si>
    <t>Buffaloes 
2 years and over</t>
  </si>
  <si>
    <t>—</t>
  </si>
  <si>
    <t>Πίνακας 7β. Παραγωγή κρέατος κατά είδος σφάγιου, περιφέρεια και περιφερειακή ενότητα, 2024</t>
  </si>
  <si>
    <t>Table 7b. Meat production, by kind of animal,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</si>
</sst>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17" xfId="0" applyNumberFormat="1" applyFont="1" applyBorder="1" applyAlignment="1">
      <alignment horizontal="right" vertical="top" wrapText="1"/>
    </xf>
    <xf numFmtId="3" fontId="8" fillId="0" borderId="21" xfId="0" applyNumberFormat="1" applyFont="1" applyBorder="1" applyAlignment="1">
      <alignment horizontal="right" vertical="top" wrapText="1"/>
    </xf>
    <xf numFmtId="0" fontId="8" fillId="0" borderId="17" xfId="0" applyFont="1" applyBorder="1" applyAlignment="1">
      <alignment horizontal="right" vertical="top" wrapText="1"/>
    </xf>
    <xf numFmtId="3" fontId="8" fillId="0" borderId="19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0" fillId="0" borderId="0" xfId="0" applyNumberFormat="1"/>
    <xf numFmtId="0" fontId="3" fillId="0" borderId="1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18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3" fontId="2" fillId="2" borderId="18" xfId="0" applyNumberFormat="1" applyFont="1" applyFill="1" applyBorder="1" applyAlignment="1">
      <alignment horizontal="right" vertical="center"/>
    </xf>
    <xf numFmtId="3" fontId="2" fillId="2" borderId="18" xfId="0" applyNumberFormat="1" applyFont="1" applyFill="1" applyBorder="1" applyAlignment="1">
      <alignment vertical="center"/>
    </xf>
    <xf numFmtId="3" fontId="2" fillId="2" borderId="8" xfId="0" applyNumberFormat="1" applyFont="1" applyFill="1" applyBorder="1" applyAlignment="1">
      <alignment horizontal="right" vertical="center"/>
    </xf>
    <xf numFmtId="3" fontId="2" fillId="2" borderId="17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20" xfId="0" applyNumberFormat="1" applyFont="1" applyFill="1" applyBorder="1" applyAlignment="1">
      <alignment horizontal="right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" fontId="2" fillId="2" borderId="1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"/>
  <sheetViews>
    <sheetView showGridLines="0" tabSelected="1" zoomScaleNormal="100" workbookViewId="0">
      <selection activeCell="T6" sqref="T6:U6"/>
    </sheetView>
  </sheetViews>
  <sheetFormatPr defaultRowHeight="14.4" x14ac:dyDescent="0.3"/>
  <cols>
    <col min="1" max="1" width="43.109375" bestFit="1" customWidth="1"/>
    <col min="2" max="2" width="9.109375" customWidth="1"/>
    <col min="3" max="3" width="6.77734375" bestFit="1" customWidth="1"/>
    <col min="4" max="4" width="8.5546875" bestFit="1" customWidth="1"/>
    <col min="5" max="5" width="6.77734375" bestFit="1" customWidth="1"/>
    <col min="6" max="6" width="8.33203125" customWidth="1"/>
    <col min="7" max="7" width="7.5546875" customWidth="1"/>
    <col min="8" max="8" width="8.5546875" bestFit="1" customWidth="1"/>
    <col min="9" max="9" width="6.77734375" bestFit="1" customWidth="1"/>
    <col min="10" max="10" width="8.5546875" bestFit="1" customWidth="1"/>
    <col min="11" max="11" width="6.77734375" bestFit="1" customWidth="1"/>
    <col min="12" max="12" width="9.109375" bestFit="1" customWidth="1"/>
    <col min="13" max="13" width="6.77734375" bestFit="1" customWidth="1"/>
    <col min="14" max="14" width="8.55468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8.5546875" bestFit="1" customWidth="1"/>
    <col min="19" max="19" width="6.77734375" bestFit="1" customWidth="1"/>
    <col min="20" max="20" width="8.5546875" bestFit="1" customWidth="1"/>
    <col min="21" max="21" width="6.77734375" bestFit="1" customWidth="1"/>
    <col min="22" max="22" width="9.109375" bestFit="1" customWidth="1"/>
    <col min="23" max="23" width="6.77734375" bestFit="1" customWidth="1"/>
    <col min="24" max="24" width="11.109375" bestFit="1" customWidth="1"/>
    <col min="25" max="25" width="7.5546875" bestFit="1" customWidth="1"/>
    <col min="26" max="26" width="9.109375" bestFit="1" customWidth="1"/>
    <col min="27" max="27" width="6.77734375" bestFit="1" customWidth="1"/>
    <col min="28" max="28" width="22.33203125" bestFit="1" customWidth="1"/>
    <col min="29" max="29" width="10.88671875" customWidth="1"/>
    <col min="30" max="30" width="5.109375" bestFit="1" customWidth="1"/>
  </cols>
  <sheetData>
    <row r="1" spans="1:30" ht="19.95" customHeight="1" x14ac:dyDescent="0.3"/>
    <row r="2" spans="1:30" ht="18" x14ac:dyDescent="0.3">
      <c r="A2" s="27"/>
      <c r="B2" s="49" t="s">
        <v>211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30" ht="18.149999999999999" x14ac:dyDescent="0.3">
      <c r="B3" s="49" t="s">
        <v>212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30" ht="15" thickBot="1" x14ac:dyDescent="0.35">
      <c r="A4" s="16" t="s">
        <v>178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48" t="s">
        <v>179</v>
      </c>
      <c r="AD4" s="48"/>
    </row>
    <row r="5" spans="1:30" ht="31.2" customHeight="1" x14ac:dyDescent="0.3">
      <c r="A5" s="43" t="s">
        <v>0</v>
      </c>
      <c r="B5" s="70" t="s">
        <v>184</v>
      </c>
      <c r="C5" s="60"/>
      <c r="D5" s="58" t="s">
        <v>185</v>
      </c>
      <c r="E5" s="60"/>
      <c r="F5" s="58" t="s">
        <v>187</v>
      </c>
      <c r="G5" s="60"/>
      <c r="H5" s="58" t="s">
        <v>189</v>
      </c>
      <c r="I5" s="60"/>
      <c r="J5" s="58" t="s">
        <v>202</v>
      </c>
      <c r="K5" s="60"/>
      <c r="L5" s="58" t="s">
        <v>203</v>
      </c>
      <c r="M5" s="60"/>
      <c r="N5" s="58" t="s">
        <v>191</v>
      </c>
      <c r="O5" s="60"/>
      <c r="P5" s="58" t="s">
        <v>192</v>
      </c>
      <c r="Q5" s="60"/>
      <c r="R5" s="58" t="s">
        <v>193</v>
      </c>
      <c r="S5" s="60"/>
      <c r="T5" s="58" t="s">
        <v>195</v>
      </c>
      <c r="U5" s="60"/>
      <c r="V5" s="58" t="s">
        <v>197</v>
      </c>
      <c r="W5" s="60"/>
      <c r="X5" s="58" t="s">
        <v>199</v>
      </c>
      <c r="Y5" s="60"/>
      <c r="Z5" s="58" t="s">
        <v>201</v>
      </c>
      <c r="AA5" s="59"/>
      <c r="AB5" s="37" t="s">
        <v>1</v>
      </c>
      <c r="AC5" s="38"/>
      <c r="AD5" s="38"/>
    </row>
    <row r="6" spans="1:30" ht="45" customHeight="1" x14ac:dyDescent="0.3">
      <c r="A6" s="44"/>
      <c r="B6" s="67" t="s">
        <v>204</v>
      </c>
      <c r="C6" s="65"/>
      <c r="D6" s="64" t="s">
        <v>208</v>
      </c>
      <c r="E6" s="65"/>
      <c r="F6" s="64" t="s">
        <v>186</v>
      </c>
      <c r="G6" s="65"/>
      <c r="H6" s="64" t="s">
        <v>188</v>
      </c>
      <c r="I6" s="65"/>
      <c r="J6" s="64" t="s">
        <v>209</v>
      </c>
      <c r="K6" s="65"/>
      <c r="L6" s="64" t="s">
        <v>190</v>
      </c>
      <c r="M6" s="65"/>
      <c r="N6" s="68" t="s">
        <v>207</v>
      </c>
      <c r="O6" s="69"/>
      <c r="P6" s="64" t="s">
        <v>205</v>
      </c>
      <c r="Q6" s="65"/>
      <c r="R6" s="64" t="s">
        <v>206</v>
      </c>
      <c r="S6" s="65"/>
      <c r="T6" s="64" t="s">
        <v>194</v>
      </c>
      <c r="U6" s="65"/>
      <c r="V6" s="64" t="s">
        <v>196</v>
      </c>
      <c r="W6" s="65"/>
      <c r="X6" s="64" t="s">
        <v>198</v>
      </c>
      <c r="Y6" s="65"/>
      <c r="Z6" s="64" t="s">
        <v>200</v>
      </c>
      <c r="AA6" s="66"/>
      <c r="AB6" s="39"/>
      <c r="AC6" s="40"/>
      <c r="AD6" s="40"/>
    </row>
    <row r="7" spans="1:30" s="6" customFormat="1" ht="43.2" x14ac:dyDescent="0.3">
      <c r="A7" s="44"/>
      <c r="B7" s="2" t="s">
        <v>180</v>
      </c>
      <c r="C7" s="3" t="s">
        <v>182</v>
      </c>
      <c r="D7" s="3" t="s">
        <v>180</v>
      </c>
      <c r="E7" s="3" t="s">
        <v>182</v>
      </c>
      <c r="F7" s="3" t="s">
        <v>180</v>
      </c>
      <c r="G7" s="3" t="s">
        <v>182</v>
      </c>
      <c r="H7" s="3" t="s">
        <v>180</v>
      </c>
      <c r="I7" s="3" t="s">
        <v>182</v>
      </c>
      <c r="J7" s="3" t="s">
        <v>180</v>
      </c>
      <c r="K7" s="3" t="s">
        <v>182</v>
      </c>
      <c r="L7" s="3" t="s">
        <v>180</v>
      </c>
      <c r="M7" s="3" t="s">
        <v>182</v>
      </c>
      <c r="N7" s="4" t="s">
        <v>180</v>
      </c>
      <c r="O7" s="3" t="s">
        <v>182</v>
      </c>
      <c r="P7" s="3" t="s">
        <v>180</v>
      </c>
      <c r="Q7" s="3" t="s">
        <v>182</v>
      </c>
      <c r="R7" s="3" t="s">
        <v>180</v>
      </c>
      <c r="S7" s="3" t="s">
        <v>182</v>
      </c>
      <c r="T7" s="3" t="s">
        <v>180</v>
      </c>
      <c r="U7" s="3" t="s">
        <v>182</v>
      </c>
      <c r="V7" s="3" t="s">
        <v>180</v>
      </c>
      <c r="W7" s="3" t="s">
        <v>182</v>
      </c>
      <c r="X7" s="3" t="s">
        <v>180</v>
      </c>
      <c r="Y7" s="3" t="s">
        <v>182</v>
      </c>
      <c r="Z7" s="3" t="s">
        <v>180</v>
      </c>
      <c r="AA7" s="5" t="s">
        <v>182</v>
      </c>
      <c r="AB7" s="39"/>
      <c r="AC7" s="40"/>
      <c r="AD7" s="40"/>
    </row>
    <row r="8" spans="1:30" s="6" customFormat="1" ht="15" thickBot="1" x14ac:dyDescent="0.35">
      <c r="A8" s="45"/>
      <c r="B8" s="28" t="s">
        <v>181</v>
      </c>
      <c r="C8" s="29" t="s">
        <v>183</v>
      </c>
      <c r="D8" s="29" t="s">
        <v>181</v>
      </c>
      <c r="E8" s="29" t="s">
        <v>183</v>
      </c>
      <c r="F8" s="29" t="s">
        <v>181</v>
      </c>
      <c r="G8" s="29" t="s">
        <v>183</v>
      </c>
      <c r="H8" s="29" t="s">
        <v>181</v>
      </c>
      <c r="I8" s="29" t="s">
        <v>183</v>
      </c>
      <c r="J8" s="29" t="s">
        <v>181</v>
      </c>
      <c r="K8" s="29" t="s">
        <v>183</v>
      </c>
      <c r="L8" s="29" t="s">
        <v>181</v>
      </c>
      <c r="M8" s="29" t="s">
        <v>183</v>
      </c>
      <c r="N8" s="30" t="s">
        <v>181</v>
      </c>
      <c r="O8" s="29" t="s">
        <v>183</v>
      </c>
      <c r="P8" s="29" t="s">
        <v>181</v>
      </c>
      <c r="Q8" s="29" t="s">
        <v>183</v>
      </c>
      <c r="R8" s="29" t="s">
        <v>181</v>
      </c>
      <c r="S8" s="29" t="s">
        <v>183</v>
      </c>
      <c r="T8" s="29" t="s">
        <v>181</v>
      </c>
      <c r="U8" s="29" t="s">
        <v>183</v>
      </c>
      <c r="V8" s="29" t="s">
        <v>181</v>
      </c>
      <c r="W8" s="29" t="s">
        <v>183</v>
      </c>
      <c r="X8" s="29" t="s">
        <v>181</v>
      </c>
      <c r="Y8" s="29" t="s">
        <v>183</v>
      </c>
      <c r="Z8" s="29" t="s">
        <v>181</v>
      </c>
      <c r="AA8" s="31" t="s">
        <v>183</v>
      </c>
      <c r="AB8" s="41"/>
      <c r="AC8" s="42"/>
      <c r="AD8" s="42"/>
    </row>
    <row r="9" spans="1:30" x14ac:dyDescent="0.3">
      <c r="A9" s="55" t="s">
        <v>2</v>
      </c>
      <c r="B9" s="56">
        <f>SUM(B11,B19,B28,B33,B39,B46,B53,B60,B65,B72,B82,B89,B104)</f>
        <v>29167</v>
      </c>
      <c r="C9" s="52">
        <f>SUM(C11,C19,C28,C33,C39,C46,C53,C60,C65,C72,C82,C89,C104)</f>
        <v>4790.5449999999992</v>
      </c>
      <c r="D9" s="52">
        <f>SUM(D11,D19,D28,D33,D39,D46,D53,D60,D65,D72,D82,D89,D104)</f>
        <v>90481</v>
      </c>
      <c r="E9" s="52">
        <f>SUM(E11,E19,E28,E33,E39,E46,E53,E60,E65,E72,E82,E89,E104)</f>
        <v>24708.174000000006</v>
      </c>
      <c r="F9" s="52">
        <f t="shared" ref="F9:AA9" si="0">SUM(F11,F19,F28,F33,F39,F46,F53,F60,F65,F72,F82,F89,F104)</f>
        <v>43577</v>
      </c>
      <c r="G9" s="52">
        <f t="shared" si="0"/>
        <v>13179.641</v>
      </c>
      <c r="H9" s="52">
        <f t="shared" si="0"/>
        <v>1110</v>
      </c>
      <c r="I9" s="52">
        <f>SUM(I11,I19,I28,I33,I39,I46,I53,I60,I65,I72,I82,I89,I104)</f>
        <v>379.00099999999998</v>
      </c>
      <c r="J9" s="52">
        <f t="shared" si="0"/>
        <v>1642</v>
      </c>
      <c r="K9" s="52">
        <f t="shared" si="0"/>
        <v>651.66499999999996</v>
      </c>
      <c r="L9" s="52">
        <f t="shared" si="0"/>
        <v>3126240</v>
      </c>
      <c r="M9" s="52">
        <f>SUM(M11,M19,M28,M33,M39,M46,M53,M60,M65,M72,M82,M89,M104)</f>
        <v>31412.966</v>
      </c>
      <c r="N9" s="52">
        <f t="shared" si="0"/>
        <v>457466</v>
      </c>
      <c r="O9" s="52">
        <f>SUM(O11,O19,O28,O33,O39,O46,O53,O60,O65,O72,O82,O89,O104)</f>
        <v>9617.0739999999987</v>
      </c>
      <c r="P9" s="52">
        <f t="shared" si="0"/>
        <v>994210</v>
      </c>
      <c r="Q9" s="52">
        <f t="shared" si="0"/>
        <v>9300.9380000000001</v>
      </c>
      <c r="R9" s="52">
        <f t="shared" si="0"/>
        <v>147353</v>
      </c>
      <c r="S9" s="52">
        <f t="shared" si="0"/>
        <v>2840.8089999999997</v>
      </c>
      <c r="T9" s="52">
        <f t="shared" si="0"/>
        <v>125175</v>
      </c>
      <c r="U9" s="52">
        <f t="shared" si="0"/>
        <v>2257.3179999999998</v>
      </c>
      <c r="V9" s="52">
        <f t="shared" si="0"/>
        <v>769103</v>
      </c>
      <c r="W9" s="52">
        <f t="shared" si="0"/>
        <v>55199.075000000004</v>
      </c>
      <c r="X9" s="52">
        <f t="shared" si="0"/>
        <v>145150476</v>
      </c>
      <c r="Y9" s="52">
        <f t="shared" si="0"/>
        <v>261842.54299999998</v>
      </c>
      <c r="Z9" s="52">
        <f t="shared" si="0"/>
        <v>870733</v>
      </c>
      <c r="AA9" s="62">
        <f t="shared" si="0"/>
        <v>1556.826</v>
      </c>
      <c r="AB9" s="54" t="s">
        <v>3</v>
      </c>
      <c r="AC9" s="54"/>
      <c r="AD9" s="54"/>
    </row>
    <row r="10" spans="1:30" x14ac:dyDescent="0.3">
      <c r="A10" s="55"/>
      <c r="B10" s="5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50"/>
      <c r="AB10" s="54"/>
      <c r="AC10" s="54"/>
      <c r="AD10" s="54"/>
    </row>
    <row r="11" spans="1:30" x14ac:dyDescent="0.3">
      <c r="A11" s="55" t="s">
        <v>4</v>
      </c>
      <c r="B11" s="53">
        <f>SUM(B13:B18)</f>
        <v>8376</v>
      </c>
      <c r="C11" s="36">
        <f t="shared" ref="C11:E11" si="1">SUM(C13:C18)</f>
        <v>1350.317</v>
      </c>
      <c r="D11" s="36">
        <f t="shared" si="1"/>
        <v>10471</v>
      </c>
      <c r="E11" s="36">
        <f t="shared" si="1"/>
        <v>2987.1210000000001</v>
      </c>
      <c r="F11" s="36">
        <f t="shared" ref="F11:H11" si="2">SUM(F13:F18)</f>
        <v>2972</v>
      </c>
      <c r="G11" s="36">
        <f t="shared" si="2"/>
        <v>966.9</v>
      </c>
      <c r="H11" s="36">
        <f t="shared" si="2"/>
        <v>5</v>
      </c>
      <c r="I11" s="35">
        <f t="shared" ref="I11:AA11" si="3">SUM(I13:I18)</f>
        <v>1.45</v>
      </c>
      <c r="J11" s="36">
        <f t="shared" si="3"/>
        <v>17</v>
      </c>
      <c r="K11" s="35">
        <f t="shared" si="3"/>
        <v>6.6929999999999996</v>
      </c>
      <c r="L11" s="36">
        <f t="shared" si="3"/>
        <v>50557</v>
      </c>
      <c r="M11" s="36">
        <f t="shared" si="3"/>
        <v>519.04600000000005</v>
      </c>
      <c r="N11" s="36">
        <f t="shared" si="3"/>
        <v>10288</v>
      </c>
      <c r="O11" s="36">
        <f>SUM(O13:O18)</f>
        <v>223.15600000000001</v>
      </c>
      <c r="P11" s="35">
        <f t="shared" si="3"/>
        <v>46436</v>
      </c>
      <c r="Q11" s="36">
        <f t="shared" si="3"/>
        <v>445.03300000000002</v>
      </c>
      <c r="R11" s="36">
        <f t="shared" si="3"/>
        <v>5841</v>
      </c>
      <c r="S11" s="35">
        <f t="shared" si="3"/>
        <v>113.02999999999999</v>
      </c>
      <c r="T11" s="36">
        <f t="shared" si="3"/>
        <v>18393</v>
      </c>
      <c r="U11" s="35">
        <f t="shared" si="3"/>
        <v>302.16899999999998</v>
      </c>
      <c r="V11" s="36">
        <f t="shared" si="3"/>
        <v>46189</v>
      </c>
      <c r="W11" s="35">
        <f t="shared" si="3"/>
        <v>2939.183</v>
      </c>
      <c r="X11" s="36">
        <f t="shared" si="3"/>
        <v>163430</v>
      </c>
      <c r="Y11" s="35">
        <f t="shared" si="3"/>
        <v>273.75700000000001</v>
      </c>
      <c r="Z11" s="36">
        <f t="shared" si="3"/>
        <v>2421</v>
      </c>
      <c r="AA11" s="50">
        <f t="shared" si="3"/>
        <v>3.3489999999999998</v>
      </c>
      <c r="AB11" s="54" t="s">
        <v>5</v>
      </c>
      <c r="AC11" s="54"/>
      <c r="AD11" s="54"/>
    </row>
    <row r="12" spans="1:30" x14ac:dyDescent="0.3">
      <c r="A12" s="55"/>
      <c r="B12" s="53"/>
      <c r="C12" s="36"/>
      <c r="D12" s="36"/>
      <c r="E12" s="36"/>
      <c r="F12" s="36"/>
      <c r="G12" s="36"/>
      <c r="H12" s="36"/>
      <c r="I12" s="35"/>
      <c r="J12" s="36"/>
      <c r="K12" s="35"/>
      <c r="L12" s="36"/>
      <c r="M12" s="36"/>
      <c r="N12" s="36"/>
      <c r="O12" s="36"/>
      <c r="P12" s="35"/>
      <c r="Q12" s="36"/>
      <c r="R12" s="36"/>
      <c r="S12" s="35"/>
      <c r="T12" s="36"/>
      <c r="U12" s="35"/>
      <c r="V12" s="36"/>
      <c r="W12" s="35"/>
      <c r="X12" s="36"/>
      <c r="Y12" s="35"/>
      <c r="Z12" s="36"/>
      <c r="AA12" s="50"/>
      <c r="AB12" s="54"/>
      <c r="AC12" s="54"/>
      <c r="AD12" s="54"/>
    </row>
    <row r="13" spans="1:30" x14ac:dyDescent="0.3">
      <c r="A13" s="7" t="s">
        <v>6</v>
      </c>
      <c r="B13" s="20">
        <v>1336</v>
      </c>
      <c r="C13" s="18">
        <v>252.90600000000001</v>
      </c>
      <c r="D13" s="17">
        <v>1100</v>
      </c>
      <c r="E13" s="18">
        <v>253</v>
      </c>
      <c r="F13" s="17">
        <v>350</v>
      </c>
      <c r="G13" s="18">
        <v>98</v>
      </c>
      <c r="H13" s="17" t="s">
        <v>210</v>
      </c>
      <c r="I13" s="18" t="s">
        <v>210</v>
      </c>
      <c r="J13" s="17" t="s">
        <v>210</v>
      </c>
      <c r="K13" s="18" t="s">
        <v>210</v>
      </c>
      <c r="L13" s="17">
        <v>10669</v>
      </c>
      <c r="M13" s="18">
        <v>96.394000000000005</v>
      </c>
      <c r="N13" s="17">
        <v>3091</v>
      </c>
      <c r="O13" s="18">
        <v>54.292000000000002</v>
      </c>
      <c r="P13" s="17">
        <v>8234</v>
      </c>
      <c r="Q13" s="18">
        <v>66.980999999999995</v>
      </c>
      <c r="R13" s="17">
        <v>2359</v>
      </c>
      <c r="S13" s="18">
        <v>40.104999999999997</v>
      </c>
      <c r="T13" s="17">
        <v>154</v>
      </c>
      <c r="U13" s="18">
        <v>2.7869999999999999</v>
      </c>
      <c r="V13" s="17">
        <v>157</v>
      </c>
      <c r="W13" s="18">
        <v>4.5910000000000002</v>
      </c>
      <c r="X13" s="17">
        <v>44905</v>
      </c>
      <c r="Y13" s="18">
        <v>56.24</v>
      </c>
      <c r="Z13" s="17">
        <v>2335</v>
      </c>
      <c r="AA13" s="21">
        <v>3.1909999999999998</v>
      </c>
      <c r="AB13" s="8" t="s">
        <v>7</v>
      </c>
      <c r="AC13" s="9"/>
      <c r="AD13" s="9"/>
    </row>
    <row r="14" spans="1:30" x14ac:dyDescent="0.3">
      <c r="A14" s="7" t="s">
        <v>8</v>
      </c>
      <c r="B14" s="20">
        <v>2648</v>
      </c>
      <c r="C14" s="18">
        <v>269.5</v>
      </c>
      <c r="D14" s="17">
        <v>1935</v>
      </c>
      <c r="E14" s="18">
        <v>638.13599999999997</v>
      </c>
      <c r="F14" s="17">
        <v>1747</v>
      </c>
      <c r="G14" s="18">
        <v>536.15</v>
      </c>
      <c r="H14" s="17" t="s">
        <v>210</v>
      </c>
      <c r="I14" s="18" t="s">
        <v>210</v>
      </c>
      <c r="J14" s="17" t="s">
        <v>210</v>
      </c>
      <c r="K14" s="18" t="s">
        <v>210</v>
      </c>
      <c r="L14" s="17">
        <v>20403</v>
      </c>
      <c r="M14" s="18">
        <v>222.40600000000001</v>
      </c>
      <c r="N14" s="17">
        <v>3242</v>
      </c>
      <c r="O14" s="18">
        <v>81.891999999999996</v>
      </c>
      <c r="P14" s="17">
        <v>16641</v>
      </c>
      <c r="Q14" s="18">
        <v>162.65</v>
      </c>
      <c r="R14" s="17">
        <v>1246</v>
      </c>
      <c r="S14" s="18">
        <v>29.303999999999998</v>
      </c>
      <c r="T14" s="17">
        <v>283</v>
      </c>
      <c r="U14" s="18">
        <v>4.55</v>
      </c>
      <c r="V14" s="17">
        <v>34390</v>
      </c>
      <c r="W14" s="18">
        <v>2525.5309999999999</v>
      </c>
      <c r="X14" s="17">
        <v>6177</v>
      </c>
      <c r="Y14" s="18">
        <v>8.0060000000000002</v>
      </c>
      <c r="Z14" s="17" t="s">
        <v>210</v>
      </c>
      <c r="AA14" s="21" t="s">
        <v>210</v>
      </c>
      <c r="AB14" s="8" t="s">
        <v>9</v>
      </c>
      <c r="AC14" s="9"/>
      <c r="AD14" s="9"/>
    </row>
    <row r="15" spans="1:30" x14ac:dyDescent="0.3">
      <c r="A15" s="7" t="s">
        <v>10</v>
      </c>
      <c r="B15" s="20">
        <v>93</v>
      </c>
      <c r="C15" s="18">
        <v>19.562999999999999</v>
      </c>
      <c r="D15" s="17">
        <v>3891</v>
      </c>
      <c r="E15" s="18">
        <v>1108.5350000000001</v>
      </c>
      <c r="F15" s="17">
        <v>853</v>
      </c>
      <c r="G15" s="18">
        <v>324.14999999999998</v>
      </c>
      <c r="H15" s="17">
        <v>5</v>
      </c>
      <c r="I15" s="18">
        <v>1.45</v>
      </c>
      <c r="J15" s="17">
        <v>17</v>
      </c>
      <c r="K15" s="18">
        <v>6.6929999999999996</v>
      </c>
      <c r="L15" s="17">
        <v>2580</v>
      </c>
      <c r="M15" s="18">
        <v>30.949000000000002</v>
      </c>
      <c r="N15" s="17">
        <v>342</v>
      </c>
      <c r="O15" s="18">
        <v>7.109</v>
      </c>
      <c r="P15" s="17">
        <v>2495</v>
      </c>
      <c r="Q15" s="18">
        <v>27.297000000000001</v>
      </c>
      <c r="R15" s="17">
        <v>346</v>
      </c>
      <c r="S15" s="18">
        <v>6.2789999999999999</v>
      </c>
      <c r="T15" s="17">
        <v>44</v>
      </c>
      <c r="U15" s="18">
        <v>0.84</v>
      </c>
      <c r="V15" s="17">
        <v>9291</v>
      </c>
      <c r="W15" s="18">
        <v>279.62</v>
      </c>
      <c r="X15" s="17">
        <v>93315</v>
      </c>
      <c r="Y15" s="18">
        <v>181.62299999999999</v>
      </c>
      <c r="Z15" s="17">
        <v>86</v>
      </c>
      <c r="AA15" s="21">
        <v>0.158</v>
      </c>
      <c r="AB15" s="8" t="s">
        <v>11</v>
      </c>
      <c r="AC15" s="9"/>
      <c r="AD15" s="9"/>
    </row>
    <row r="16" spans="1:30" x14ac:dyDescent="0.3">
      <c r="A16" s="7" t="s">
        <v>12</v>
      </c>
      <c r="B16" s="20" t="s">
        <v>210</v>
      </c>
      <c r="C16" s="18" t="s">
        <v>210</v>
      </c>
      <c r="D16" s="17" t="s">
        <v>210</v>
      </c>
      <c r="E16" s="18" t="s">
        <v>210</v>
      </c>
      <c r="F16" s="17" t="s">
        <v>210</v>
      </c>
      <c r="G16" s="18" t="s">
        <v>210</v>
      </c>
      <c r="H16" s="17" t="s">
        <v>210</v>
      </c>
      <c r="I16" s="18" t="s">
        <v>210</v>
      </c>
      <c r="J16" s="17" t="s">
        <v>210</v>
      </c>
      <c r="K16" s="18" t="s">
        <v>210</v>
      </c>
      <c r="L16" s="17">
        <v>176</v>
      </c>
      <c r="M16" s="18">
        <v>1.7949999999999999</v>
      </c>
      <c r="N16" s="17">
        <v>60</v>
      </c>
      <c r="O16" s="18">
        <v>1.0840000000000001</v>
      </c>
      <c r="P16" s="17">
        <v>150</v>
      </c>
      <c r="Q16" s="18">
        <v>1.4550000000000001</v>
      </c>
      <c r="R16" s="17">
        <v>48</v>
      </c>
      <c r="S16" s="18">
        <v>0.85399999999999998</v>
      </c>
      <c r="T16" s="17" t="s">
        <v>210</v>
      </c>
      <c r="U16" s="18" t="s">
        <v>210</v>
      </c>
      <c r="V16" s="17" t="s">
        <v>210</v>
      </c>
      <c r="W16" s="18" t="s">
        <v>210</v>
      </c>
      <c r="X16" s="17">
        <v>53</v>
      </c>
      <c r="Y16" s="18">
        <v>0.10299999999999999</v>
      </c>
      <c r="Z16" s="17" t="s">
        <v>210</v>
      </c>
      <c r="AA16" s="21" t="s">
        <v>210</v>
      </c>
      <c r="AB16" s="8" t="s">
        <v>13</v>
      </c>
      <c r="AC16" s="9"/>
      <c r="AD16" s="9"/>
    </row>
    <row r="17" spans="1:30" x14ac:dyDescent="0.3">
      <c r="A17" s="7" t="s">
        <v>14</v>
      </c>
      <c r="B17" s="20">
        <v>47</v>
      </c>
      <c r="C17" s="18">
        <v>6.8849999999999998</v>
      </c>
      <c r="D17" s="17">
        <v>27</v>
      </c>
      <c r="E17" s="18">
        <v>5.4</v>
      </c>
      <c r="F17" s="17">
        <v>22</v>
      </c>
      <c r="G17" s="18">
        <v>8.6</v>
      </c>
      <c r="H17" s="17" t="s">
        <v>210</v>
      </c>
      <c r="I17" s="18" t="s">
        <v>210</v>
      </c>
      <c r="J17" s="17" t="s">
        <v>210</v>
      </c>
      <c r="K17" s="18" t="s">
        <v>210</v>
      </c>
      <c r="L17" s="17">
        <v>8212</v>
      </c>
      <c r="M17" s="18">
        <v>78.695999999999998</v>
      </c>
      <c r="N17" s="17">
        <v>1047</v>
      </c>
      <c r="O17" s="18">
        <v>24.361000000000001</v>
      </c>
      <c r="P17" s="17">
        <v>7037</v>
      </c>
      <c r="Q17" s="18">
        <v>67.430000000000007</v>
      </c>
      <c r="R17" s="17">
        <v>915</v>
      </c>
      <c r="S17" s="18">
        <v>17.591999999999999</v>
      </c>
      <c r="T17" s="17">
        <v>2100</v>
      </c>
      <c r="U17" s="18">
        <v>41</v>
      </c>
      <c r="V17" s="17">
        <v>1800</v>
      </c>
      <c r="W17" s="18">
        <v>90.32</v>
      </c>
      <c r="X17" s="17">
        <v>8597</v>
      </c>
      <c r="Y17" s="18">
        <v>14.63</v>
      </c>
      <c r="Z17" s="17" t="s">
        <v>210</v>
      </c>
      <c r="AA17" s="21" t="s">
        <v>210</v>
      </c>
      <c r="AB17" s="8" t="s">
        <v>15</v>
      </c>
      <c r="AC17" s="9"/>
      <c r="AD17" s="9"/>
    </row>
    <row r="18" spans="1:30" x14ac:dyDescent="0.3">
      <c r="A18" s="7" t="s">
        <v>16</v>
      </c>
      <c r="B18" s="20">
        <v>4252</v>
      </c>
      <c r="C18" s="18">
        <v>801.46299999999997</v>
      </c>
      <c r="D18" s="17">
        <v>3518</v>
      </c>
      <c r="E18" s="18">
        <v>982.05</v>
      </c>
      <c r="F18" s="17" t="s">
        <v>210</v>
      </c>
      <c r="G18" s="18" t="s">
        <v>210</v>
      </c>
      <c r="H18" s="17" t="s">
        <v>210</v>
      </c>
      <c r="I18" s="18" t="s">
        <v>210</v>
      </c>
      <c r="J18" s="17" t="s">
        <v>210</v>
      </c>
      <c r="K18" s="18" t="s">
        <v>210</v>
      </c>
      <c r="L18" s="17">
        <v>8517</v>
      </c>
      <c r="M18" s="18">
        <v>88.805999999999997</v>
      </c>
      <c r="N18" s="17">
        <v>2506</v>
      </c>
      <c r="O18" s="18">
        <v>54.417999999999999</v>
      </c>
      <c r="P18" s="17">
        <v>11879</v>
      </c>
      <c r="Q18" s="18">
        <v>119.22</v>
      </c>
      <c r="R18" s="17">
        <v>927</v>
      </c>
      <c r="S18" s="18">
        <v>18.896000000000001</v>
      </c>
      <c r="T18" s="17">
        <v>15812</v>
      </c>
      <c r="U18" s="18">
        <v>252.99199999999999</v>
      </c>
      <c r="V18" s="17">
        <v>551</v>
      </c>
      <c r="W18" s="18">
        <v>39.121000000000002</v>
      </c>
      <c r="X18" s="17">
        <v>10383</v>
      </c>
      <c r="Y18" s="18">
        <v>13.154999999999999</v>
      </c>
      <c r="Z18" s="17" t="s">
        <v>210</v>
      </c>
      <c r="AA18" s="21" t="s">
        <v>210</v>
      </c>
      <c r="AB18" s="8" t="s">
        <v>17</v>
      </c>
      <c r="AC18" s="9"/>
      <c r="AD18" s="9"/>
    </row>
    <row r="19" spans="1:30" x14ac:dyDescent="0.3">
      <c r="A19" s="55" t="s">
        <v>18</v>
      </c>
      <c r="B19" s="53">
        <f>SUM(B21:B27)</f>
        <v>2290</v>
      </c>
      <c r="C19" s="36">
        <f t="shared" ref="C19:AA19" si="4">SUM(C21:C27)</f>
        <v>425.13600000000002</v>
      </c>
      <c r="D19" s="36">
        <f t="shared" si="4"/>
        <v>31193</v>
      </c>
      <c r="E19" s="36">
        <f t="shared" si="4"/>
        <v>8870.4900000000016</v>
      </c>
      <c r="F19" s="36">
        <f t="shared" si="4"/>
        <v>20693</v>
      </c>
      <c r="G19" s="36">
        <f t="shared" si="4"/>
        <v>6184.366</v>
      </c>
      <c r="H19" s="36">
        <f t="shared" si="4"/>
        <v>23</v>
      </c>
      <c r="I19" s="36">
        <f t="shared" si="4"/>
        <v>5.75</v>
      </c>
      <c r="J19" s="36">
        <f t="shared" si="4"/>
        <v>1605</v>
      </c>
      <c r="K19" s="36">
        <f t="shared" si="4"/>
        <v>640.47199999999998</v>
      </c>
      <c r="L19" s="36">
        <f t="shared" si="4"/>
        <v>356427</v>
      </c>
      <c r="M19" s="36">
        <f t="shared" si="4"/>
        <v>3656.6129999999998</v>
      </c>
      <c r="N19" s="36">
        <f t="shared" si="4"/>
        <v>53274</v>
      </c>
      <c r="O19" s="36">
        <f>SUM(O21:O27)</f>
        <v>1316.2690000000002</v>
      </c>
      <c r="P19" s="36">
        <f t="shared" si="4"/>
        <v>130931</v>
      </c>
      <c r="Q19" s="36">
        <f t="shared" si="4"/>
        <v>1112.6120000000001</v>
      </c>
      <c r="R19" s="36">
        <f t="shared" si="4"/>
        <v>18102</v>
      </c>
      <c r="S19" s="36">
        <f t="shared" si="4"/>
        <v>426.83400000000006</v>
      </c>
      <c r="T19" s="36">
        <f t="shared" si="4"/>
        <v>32068</v>
      </c>
      <c r="U19" s="36">
        <f t="shared" si="4"/>
        <v>614.19400000000007</v>
      </c>
      <c r="V19" s="36">
        <f t="shared" si="4"/>
        <v>176736</v>
      </c>
      <c r="W19" s="36">
        <f t="shared" si="4"/>
        <v>11390.793</v>
      </c>
      <c r="X19" s="36">
        <f t="shared" si="4"/>
        <v>28404839</v>
      </c>
      <c r="Y19" s="36">
        <f t="shared" si="4"/>
        <v>50800.502999999997</v>
      </c>
      <c r="Z19" s="36">
        <f t="shared" si="4"/>
        <v>38256</v>
      </c>
      <c r="AA19" s="50">
        <f t="shared" si="4"/>
        <v>76.863</v>
      </c>
      <c r="AB19" s="61" t="s">
        <v>19</v>
      </c>
      <c r="AC19" s="61"/>
      <c r="AD19" s="61"/>
    </row>
    <row r="20" spans="1:30" x14ac:dyDescent="0.3">
      <c r="A20" s="55"/>
      <c r="B20" s="53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50"/>
      <c r="AB20" s="61"/>
      <c r="AC20" s="61"/>
      <c r="AD20" s="61"/>
    </row>
    <row r="21" spans="1:30" x14ac:dyDescent="0.3">
      <c r="A21" s="7" t="s">
        <v>20</v>
      </c>
      <c r="B21" s="20">
        <v>497</v>
      </c>
      <c r="C21" s="18">
        <v>94.721000000000004</v>
      </c>
      <c r="D21" s="17">
        <v>6451</v>
      </c>
      <c r="E21" s="18">
        <v>1871.2339999999999</v>
      </c>
      <c r="F21" s="17">
        <v>8190</v>
      </c>
      <c r="G21" s="18">
        <v>2157.2289999999998</v>
      </c>
      <c r="H21" s="17" t="s">
        <v>210</v>
      </c>
      <c r="I21" s="18" t="s">
        <v>210</v>
      </c>
      <c r="J21" s="17">
        <v>4</v>
      </c>
      <c r="K21" s="18">
        <v>0.95199999999999996</v>
      </c>
      <c r="L21" s="17">
        <v>182859</v>
      </c>
      <c r="M21" s="18">
        <v>1926.155</v>
      </c>
      <c r="N21" s="17">
        <v>21971</v>
      </c>
      <c r="O21" s="18">
        <v>571.68600000000004</v>
      </c>
      <c r="P21" s="17">
        <v>65430</v>
      </c>
      <c r="Q21" s="18">
        <v>499.14600000000002</v>
      </c>
      <c r="R21" s="17">
        <v>6735</v>
      </c>
      <c r="S21" s="18">
        <v>125.988</v>
      </c>
      <c r="T21" s="17">
        <v>213</v>
      </c>
      <c r="U21" s="18">
        <v>3.6419999999999999</v>
      </c>
      <c r="V21" s="17">
        <v>22055</v>
      </c>
      <c r="W21" s="18">
        <v>1851.633</v>
      </c>
      <c r="X21" s="17">
        <v>2140</v>
      </c>
      <c r="Y21" s="18">
        <v>3.343</v>
      </c>
      <c r="Z21" s="17">
        <v>35</v>
      </c>
      <c r="AA21" s="21">
        <v>7.4999999999999997E-2</v>
      </c>
      <c r="AB21" s="8" t="s">
        <v>21</v>
      </c>
      <c r="AC21" s="9"/>
      <c r="AD21" s="9"/>
    </row>
    <row r="22" spans="1:30" x14ac:dyDescent="0.3">
      <c r="A22" s="7" t="s">
        <v>22</v>
      </c>
      <c r="B22" s="20">
        <v>65</v>
      </c>
      <c r="C22" s="18">
        <v>10.58</v>
      </c>
      <c r="D22" s="17">
        <v>15000</v>
      </c>
      <c r="E22" s="18">
        <v>4440</v>
      </c>
      <c r="F22" s="17">
        <v>780</v>
      </c>
      <c r="G22" s="18">
        <v>156</v>
      </c>
      <c r="H22" s="17" t="s">
        <v>210</v>
      </c>
      <c r="I22" s="18" t="s">
        <v>210</v>
      </c>
      <c r="J22" s="17" t="s">
        <v>210</v>
      </c>
      <c r="K22" s="18" t="s">
        <v>210</v>
      </c>
      <c r="L22" s="17">
        <v>3548</v>
      </c>
      <c r="M22" s="18">
        <v>35.389000000000003</v>
      </c>
      <c r="N22" s="17">
        <v>1521</v>
      </c>
      <c r="O22" s="18">
        <v>30.76</v>
      </c>
      <c r="P22" s="17">
        <v>1728</v>
      </c>
      <c r="Q22" s="18">
        <v>17.225000000000001</v>
      </c>
      <c r="R22" s="17">
        <v>2245</v>
      </c>
      <c r="S22" s="18">
        <v>45.045000000000002</v>
      </c>
      <c r="T22" s="17">
        <v>8003</v>
      </c>
      <c r="U22" s="18">
        <v>136.048</v>
      </c>
      <c r="V22" s="17">
        <v>71070</v>
      </c>
      <c r="W22" s="18">
        <v>4257.0630000000001</v>
      </c>
      <c r="X22" s="17">
        <v>11513</v>
      </c>
      <c r="Y22" s="18">
        <v>22.56</v>
      </c>
      <c r="Z22" s="17" t="s">
        <v>210</v>
      </c>
      <c r="AA22" s="21" t="s">
        <v>210</v>
      </c>
      <c r="AB22" s="8" t="s">
        <v>23</v>
      </c>
      <c r="AC22" s="9"/>
      <c r="AD22" s="9"/>
    </row>
    <row r="23" spans="1:30" x14ac:dyDescent="0.3">
      <c r="A23" s="7" t="s">
        <v>24</v>
      </c>
      <c r="B23" s="20">
        <v>1080</v>
      </c>
      <c r="C23" s="18">
        <v>195.88</v>
      </c>
      <c r="D23" s="17">
        <v>4784</v>
      </c>
      <c r="E23" s="18">
        <v>1277.578</v>
      </c>
      <c r="F23" s="17">
        <v>3149</v>
      </c>
      <c r="G23" s="18">
        <v>760.84199999999998</v>
      </c>
      <c r="H23" s="17" t="s">
        <v>210</v>
      </c>
      <c r="I23" s="18" t="s">
        <v>210</v>
      </c>
      <c r="J23" s="17" t="s">
        <v>210</v>
      </c>
      <c r="K23" s="18" t="s">
        <v>210</v>
      </c>
      <c r="L23" s="17">
        <v>44729</v>
      </c>
      <c r="M23" s="18">
        <v>431.89499999999998</v>
      </c>
      <c r="N23" s="17">
        <v>9069</v>
      </c>
      <c r="O23" s="18">
        <v>244.83799999999999</v>
      </c>
      <c r="P23" s="17">
        <v>20236</v>
      </c>
      <c r="Q23" s="18">
        <v>182.50299999999999</v>
      </c>
      <c r="R23" s="17">
        <v>2135</v>
      </c>
      <c r="S23" s="18">
        <v>45.701999999999998</v>
      </c>
      <c r="T23" s="17">
        <v>170</v>
      </c>
      <c r="U23" s="18">
        <v>3.4</v>
      </c>
      <c r="V23" s="17">
        <v>8313</v>
      </c>
      <c r="W23" s="18">
        <v>617.91899999999998</v>
      </c>
      <c r="X23" s="17">
        <v>2997</v>
      </c>
      <c r="Y23" s="18">
        <v>4.6890000000000001</v>
      </c>
      <c r="Z23" s="17">
        <v>20</v>
      </c>
      <c r="AA23" s="21">
        <v>3.5000000000000003E-2</v>
      </c>
      <c r="AB23" s="8" t="s">
        <v>25</v>
      </c>
      <c r="AC23" s="9"/>
      <c r="AD23" s="9"/>
    </row>
    <row r="24" spans="1:30" x14ac:dyDescent="0.3">
      <c r="A24" s="7" t="s">
        <v>26</v>
      </c>
      <c r="B24" s="20">
        <v>339</v>
      </c>
      <c r="C24" s="18">
        <v>76.11</v>
      </c>
      <c r="D24" s="17">
        <v>2749</v>
      </c>
      <c r="E24" s="18">
        <v>771.10799999999995</v>
      </c>
      <c r="F24" s="17">
        <v>615</v>
      </c>
      <c r="G24" s="18">
        <v>168.65600000000001</v>
      </c>
      <c r="H24" s="17" t="s">
        <v>210</v>
      </c>
      <c r="I24" s="18" t="s">
        <v>210</v>
      </c>
      <c r="J24" s="17" t="s">
        <v>210</v>
      </c>
      <c r="K24" s="18" t="s">
        <v>210</v>
      </c>
      <c r="L24" s="17">
        <v>34393</v>
      </c>
      <c r="M24" s="18">
        <v>352.55099999999999</v>
      </c>
      <c r="N24" s="17">
        <v>5381</v>
      </c>
      <c r="O24" s="18">
        <v>150.22300000000001</v>
      </c>
      <c r="P24" s="17">
        <v>10664</v>
      </c>
      <c r="Q24" s="18">
        <v>101.529</v>
      </c>
      <c r="R24" s="17">
        <v>649</v>
      </c>
      <c r="S24" s="18">
        <v>17.533999999999999</v>
      </c>
      <c r="T24" s="17">
        <v>590</v>
      </c>
      <c r="U24" s="18">
        <v>9.5289999999999999</v>
      </c>
      <c r="V24" s="17">
        <v>29078</v>
      </c>
      <c r="W24" s="18">
        <v>2050.1289999999999</v>
      </c>
      <c r="X24" s="17">
        <v>45467</v>
      </c>
      <c r="Y24" s="18">
        <v>77.513999999999996</v>
      </c>
      <c r="Z24" s="17">
        <v>37221</v>
      </c>
      <c r="AA24" s="21">
        <v>74.423000000000002</v>
      </c>
      <c r="AB24" s="8" t="s">
        <v>27</v>
      </c>
      <c r="AC24" s="9"/>
      <c r="AD24" s="9"/>
    </row>
    <row r="25" spans="1:30" x14ac:dyDescent="0.3">
      <c r="A25" s="7" t="s">
        <v>28</v>
      </c>
      <c r="B25" s="22">
        <v>185</v>
      </c>
      <c r="C25" s="18">
        <v>21.725000000000001</v>
      </c>
      <c r="D25" s="19">
        <v>1441</v>
      </c>
      <c r="E25" s="18">
        <v>288.2</v>
      </c>
      <c r="F25" s="19" t="s">
        <v>210</v>
      </c>
      <c r="G25" s="18" t="s">
        <v>210</v>
      </c>
      <c r="H25" s="19" t="s">
        <v>210</v>
      </c>
      <c r="I25" s="18" t="s">
        <v>210</v>
      </c>
      <c r="J25" s="19" t="s">
        <v>210</v>
      </c>
      <c r="K25" s="18" t="s">
        <v>210</v>
      </c>
      <c r="L25" s="19">
        <v>20435</v>
      </c>
      <c r="M25" s="18">
        <v>189.46100000000001</v>
      </c>
      <c r="N25" s="19">
        <v>2793</v>
      </c>
      <c r="O25" s="18">
        <v>56.363999999999997</v>
      </c>
      <c r="P25" s="19">
        <v>3408</v>
      </c>
      <c r="Q25" s="18">
        <v>30.068999999999999</v>
      </c>
      <c r="R25" s="19">
        <v>650</v>
      </c>
      <c r="S25" s="18">
        <v>11.848000000000001</v>
      </c>
      <c r="T25" s="19">
        <v>16287</v>
      </c>
      <c r="U25" s="18">
        <v>325.64999999999998</v>
      </c>
      <c r="V25" s="19">
        <v>24397</v>
      </c>
      <c r="W25" s="18">
        <v>1459.405</v>
      </c>
      <c r="X25" s="19">
        <v>27224043</v>
      </c>
      <c r="Y25" s="18">
        <v>49001.057999999997</v>
      </c>
      <c r="Z25" s="19" t="s">
        <v>210</v>
      </c>
      <c r="AA25" s="21" t="s">
        <v>210</v>
      </c>
      <c r="AB25" s="8" t="s">
        <v>29</v>
      </c>
      <c r="AC25" s="9"/>
      <c r="AD25" s="9"/>
    </row>
    <row r="26" spans="1:30" x14ac:dyDescent="0.3">
      <c r="A26" s="7" t="s">
        <v>30</v>
      </c>
      <c r="B26" s="20">
        <v>10</v>
      </c>
      <c r="C26" s="18">
        <v>2.1</v>
      </c>
      <c r="D26" s="17">
        <v>272</v>
      </c>
      <c r="E26" s="18">
        <v>77.5</v>
      </c>
      <c r="F26" s="17">
        <v>7775</v>
      </c>
      <c r="G26" s="18">
        <v>2868.9</v>
      </c>
      <c r="H26" s="17">
        <v>23</v>
      </c>
      <c r="I26" s="18">
        <v>5.75</v>
      </c>
      <c r="J26" s="17">
        <v>1601</v>
      </c>
      <c r="K26" s="18">
        <v>639.52</v>
      </c>
      <c r="L26" s="17">
        <v>51133</v>
      </c>
      <c r="M26" s="18">
        <v>543.51499999999999</v>
      </c>
      <c r="N26" s="17">
        <v>9165</v>
      </c>
      <c r="O26" s="18">
        <v>185.19800000000001</v>
      </c>
      <c r="P26" s="17">
        <v>14891</v>
      </c>
      <c r="Q26" s="18">
        <v>153.54599999999999</v>
      </c>
      <c r="R26" s="17">
        <v>2073</v>
      </c>
      <c r="S26" s="18">
        <v>40.686999999999998</v>
      </c>
      <c r="T26" s="17">
        <v>6785</v>
      </c>
      <c r="U26" s="18">
        <v>135.60499999999999</v>
      </c>
      <c r="V26" s="17">
        <v>9584</v>
      </c>
      <c r="W26" s="18">
        <v>410.34699999999998</v>
      </c>
      <c r="X26" s="17">
        <v>9031</v>
      </c>
      <c r="Y26" s="18">
        <v>26.393000000000001</v>
      </c>
      <c r="Z26" s="17">
        <v>980</v>
      </c>
      <c r="AA26" s="21">
        <v>2.33</v>
      </c>
      <c r="AB26" s="8" t="s">
        <v>31</v>
      </c>
      <c r="AC26" s="9"/>
      <c r="AD26" s="9"/>
    </row>
    <row r="27" spans="1:30" x14ac:dyDescent="0.3">
      <c r="A27" s="7" t="s">
        <v>32</v>
      </c>
      <c r="B27" s="20">
        <v>114</v>
      </c>
      <c r="C27" s="18">
        <v>24.02</v>
      </c>
      <c r="D27" s="17">
        <v>496</v>
      </c>
      <c r="E27" s="18">
        <v>144.87</v>
      </c>
      <c r="F27" s="17">
        <v>184</v>
      </c>
      <c r="G27" s="18">
        <v>72.739000000000004</v>
      </c>
      <c r="H27" s="17" t="s">
        <v>210</v>
      </c>
      <c r="I27" s="18" t="s">
        <v>210</v>
      </c>
      <c r="J27" s="17" t="s">
        <v>210</v>
      </c>
      <c r="K27" s="18" t="s">
        <v>210</v>
      </c>
      <c r="L27" s="17">
        <v>19330</v>
      </c>
      <c r="M27" s="18">
        <v>177.64699999999999</v>
      </c>
      <c r="N27" s="17">
        <v>3374</v>
      </c>
      <c r="O27" s="18">
        <v>77.2</v>
      </c>
      <c r="P27" s="17">
        <v>14574</v>
      </c>
      <c r="Q27" s="18">
        <v>128.59399999999999</v>
      </c>
      <c r="R27" s="17">
        <v>3615</v>
      </c>
      <c r="S27" s="18">
        <v>140.03</v>
      </c>
      <c r="T27" s="17">
        <v>20</v>
      </c>
      <c r="U27" s="18">
        <v>0.32</v>
      </c>
      <c r="V27" s="17">
        <v>12239</v>
      </c>
      <c r="W27" s="18">
        <v>744.29700000000003</v>
      </c>
      <c r="X27" s="17">
        <v>1109648</v>
      </c>
      <c r="Y27" s="18">
        <v>1664.9459999999999</v>
      </c>
      <c r="Z27" s="17" t="s">
        <v>210</v>
      </c>
      <c r="AA27" s="21" t="s">
        <v>210</v>
      </c>
      <c r="AB27" s="8" t="s">
        <v>33</v>
      </c>
      <c r="AC27" s="9"/>
      <c r="AD27" s="9"/>
    </row>
    <row r="28" spans="1:30" ht="24" customHeight="1" x14ac:dyDescent="0.3">
      <c r="A28" s="10" t="s">
        <v>177</v>
      </c>
      <c r="B28" s="32">
        <f>SUM(B29:B32)</f>
        <v>312</v>
      </c>
      <c r="C28" s="33">
        <f t="shared" ref="C28:AA28" si="5">SUM(C29:C32)</f>
        <v>59.475999999999999</v>
      </c>
      <c r="D28" s="33">
        <f t="shared" si="5"/>
        <v>2984</v>
      </c>
      <c r="E28" s="33">
        <f t="shared" si="5"/>
        <v>839.63300000000004</v>
      </c>
      <c r="F28" s="33">
        <f t="shared" si="5"/>
        <v>778</v>
      </c>
      <c r="G28" s="33">
        <f t="shared" si="5"/>
        <v>229.15699999999998</v>
      </c>
      <c r="H28" s="33">
        <f t="shared" si="5"/>
        <v>0</v>
      </c>
      <c r="I28" s="33">
        <f t="shared" si="5"/>
        <v>0</v>
      </c>
      <c r="J28" s="33">
        <f t="shared" si="5"/>
        <v>0</v>
      </c>
      <c r="K28" s="33">
        <f t="shared" si="5"/>
        <v>0</v>
      </c>
      <c r="L28" s="33">
        <f t="shared" si="5"/>
        <v>83257</v>
      </c>
      <c r="M28" s="33">
        <f t="shared" si="5"/>
        <v>740.84100000000001</v>
      </c>
      <c r="N28" s="33">
        <f t="shared" si="5"/>
        <v>14819</v>
      </c>
      <c r="O28" s="33">
        <f>SUM(O29:O32)</f>
        <v>361.70499999999998</v>
      </c>
      <c r="P28" s="33">
        <f t="shared" si="5"/>
        <v>21597</v>
      </c>
      <c r="Q28" s="33">
        <f t="shared" si="5"/>
        <v>187.49100000000001</v>
      </c>
      <c r="R28" s="33">
        <f t="shared" si="5"/>
        <v>3075</v>
      </c>
      <c r="S28" s="33">
        <f t="shared" si="5"/>
        <v>65.259999999999991</v>
      </c>
      <c r="T28" s="33">
        <f t="shared" si="5"/>
        <v>934</v>
      </c>
      <c r="U28" s="33">
        <f t="shared" si="5"/>
        <v>16.309000000000001</v>
      </c>
      <c r="V28" s="33">
        <f t="shared" si="5"/>
        <v>34030</v>
      </c>
      <c r="W28" s="33">
        <f t="shared" si="5"/>
        <v>2186.9549999999999</v>
      </c>
      <c r="X28" s="33">
        <f t="shared" si="5"/>
        <v>42043</v>
      </c>
      <c r="Y28" s="33">
        <f t="shared" si="5"/>
        <v>73.400000000000006</v>
      </c>
      <c r="Z28" s="33">
        <f t="shared" si="5"/>
        <v>1022</v>
      </c>
      <c r="AA28" s="34">
        <f t="shared" si="5"/>
        <v>2.0419999999999998</v>
      </c>
      <c r="AB28" s="11" t="s">
        <v>176</v>
      </c>
      <c r="AC28" s="9"/>
      <c r="AD28" s="9"/>
    </row>
    <row r="29" spans="1:30" x14ac:dyDescent="0.3">
      <c r="A29" s="7" t="s">
        <v>34</v>
      </c>
      <c r="B29" s="20">
        <v>211</v>
      </c>
      <c r="C29" s="18">
        <v>43.996000000000002</v>
      </c>
      <c r="D29" s="17">
        <v>2281</v>
      </c>
      <c r="E29" s="18">
        <v>646.33299999999997</v>
      </c>
      <c r="F29" s="17">
        <v>636</v>
      </c>
      <c r="G29" s="18">
        <v>179.80699999999999</v>
      </c>
      <c r="H29" s="17" t="s">
        <v>210</v>
      </c>
      <c r="I29" s="18" t="s">
        <v>210</v>
      </c>
      <c r="J29" s="17" t="s">
        <v>210</v>
      </c>
      <c r="K29" s="18" t="s">
        <v>210</v>
      </c>
      <c r="L29" s="17">
        <v>46645</v>
      </c>
      <c r="M29" s="18">
        <v>401.43900000000002</v>
      </c>
      <c r="N29" s="17">
        <v>9392</v>
      </c>
      <c r="O29" s="18">
        <v>236.447</v>
      </c>
      <c r="P29" s="17">
        <v>12477</v>
      </c>
      <c r="Q29" s="18">
        <v>107.124</v>
      </c>
      <c r="R29" s="17">
        <v>1757</v>
      </c>
      <c r="S29" s="18">
        <v>36.823999999999998</v>
      </c>
      <c r="T29" s="17">
        <v>425</v>
      </c>
      <c r="U29" s="18">
        <v>7.0890000000000004</v>
      </c>
      <c r="V29" s="17">
        <v>32695</v>
      </c>
      <c r="W29" s="18">
        <v>2107.616</v>
      </c>
      <c r="X29" s="17">
        <v>25525</v>
      </c>
      <c r="Y29" s="18">
        <v>40.331000000000003</v>
      </c>
      <c r="Z29" s="17">
        <v>982</v>
      </c>
      <c r="AA29" s="21">
        <v>1.97</v>
      </c>
      <c r="AB29" s="8" t="s">
        <v>35</v>
      </c>
      <c r="AC29" s="9"/>
      <c r="AD29" s="9"/>
    </row>
    <row r="30" spans="1:30" x14ac:dyDescent="0.3">
      <c r="A30" s="7" t="s">
        <v>36</v>
      </c>
      <c r="B30" s="20">
        <v>46</v>
      </c>
      <c r="C30" s="18">
        <v>6.89</v>
      </c>
      <c r="D30" s="17">
        <v>352</v>
      </c>
      <c r="E30" s="18">
        <v>87.98</v>
      </c>
      <c r="F30" s="17">
        <v>92</v>
      </c>
      <c r="G30" s="18">
        <v>36.85</v>
      </c>
      <c r="H30" s="17" t="s">
        <v>210</v>
      </c>
      <c r="I30" s="18" t="s">
        <v>210</v>
      </c>
      <c r="J30" s="17" t="s">
        <v>210</v>
      </c>
      <c r="K30" s="18" t="s">
        <v>210</v>
      </c>
      <c r="L30" s="17">
        <v>22684</v>
      </c>
      <c r="M30" s="18">
        <v>204.91</v>
      </c>
      <c r="N30" s="17">
        <v>4009</v>
      </c>
      <c r="O30" s="18">
        <v>88.228999999999999</v>
      </c>
      <c r="P30" s="17">
        <v>5524</v>
      </c>
      <c r="Q30" s="18">
        <v>43.95</v>
      </c>
      <c r="R30" s="17">
        <v>898</v>
      </c>
      <c r="S30" s="18">
        <v>18.782</v>
      </c>
      <c r="T30" s="17">
        <v>397</v>
      </c>
      <c r="U30" s="18">
        <v>6.984</v>
      </c>
      <c r="V30" s="17">
        <v>760</v>
      </c>
      <c r="W30" s="18">
        <v>45.6</v>
      </c>
      <c r="X30" s="17">
        <v>12130</v>
      </c>
      <c r="Y30" s="18">
        <v>24.36</v>
      </c>
      <c r="Z30" s="17" t="s">
        <v>210</v>
      </c>
      <c r="AA30" s="21" t="s">
        <v>210</v>
      </c>
      <c r="AB30" s="8" t="s">
        <v>37</v>
      </c>
      <c r="AC30" s="9"/>
      <c r="AD30" s="9"/>
    </row>
    <row r="31" spans="1:30" x14ac:dyDescent="0.3">
      <c r="A31" s="7" t="s">
        <v>38</v>
      </c>
      <c r="B31" s="20">
        <v>39</v>
      </c>
      <c r="C31" s="18">
        <v>5.37</v>
      </c>
      <c r="D31" s="17">
        <v>351</v>
      </c>
      <c r="E31" s="18">
        <v>105.32</v>
      </c>
      <c r="F31" s="17">
        <v>50</v>
      </c>
      <c r="G31" s="18">
        <v>12.5</v>
      </c>
      <c r="H31" s="17" t="s">
        <v>210</v>
      </c>
      <c r="I31" s="18" t="s">
        <v>210</v>
      </c>
      <c r="J31" s="17" t="s">
        <v>210</v>
      </c>
      <c r="K31" s="18" t="s">
        <v>210</v>
      </c>
      <c r="L31" s="17">
        <v>6658</v>
      </c>
      <c r="M31" s="18">
        <v>61.68</v>
      </c>
      <c r="N31" s="17">
        <v>1418</v>
      </c>
      <c r="O31" s="18">
        <v>37.029000000000003</v>
      </c>
      <c r="P31" s="17">
        <v>1507</v>
      </c>
      <c r="Q31" s="18">
        <v>15.811999999999999</v>
      </c>
      <c r="R31" s="17">
        <v>420</v>
      </c>
      <c r="S31" s="18">
        <v>9.6539999999999999</v>
      </c>
      <c r="T31" s="17">
        <v>2</v>
      </c>
      <c r="U31" s="18">
        <v>3.5999999999999997E-2</v>
      </c>
      <c r="V31" s="17">
        <v>507</v>
      </c>
      <c r="W31" s="18">
        <v>30.469000000000001</v>
      </c>
      <c r="X31" s="17">
        <v>1348</v>
      </c>
      <c r="Y31" s="18">
        <v>2.66</v>
      </c>
      <c r="Z31" s="17">
        <v>40</v>
      </c>
      <c r="AA31" s="21">
        <v>7.1999999999999995E-2</v>
      </c>
      <c r="AB31" s="8" t="s">
        <v>39</v>
      </c>
      <c r="AC31" s="9"/>
      <c r="AD31" s="9"/>
    </row>
    <row r="32" spans="1:30" x14ac:dyDescent="0.3">
      <c r="A32" s="7" t="s">
        <v>40</v>
      </c>
      <c r="B32" s="20">
        <v>16</v>
      </c>
      <c r="C32" s="18">
        <v>3.22</v>
      </c>
      <c r="D32" s="17" t="s">
        <v>210</v>
      </c>
      <c r="E32" s="18" t="s">
        <v>210</v>
      </c>
      <c r="F32" s="17" t="s">
        <v>210</v>
      </c>
      <c r="G32" s="18" t="s">
        <v>210</v>
      </c>
      <c r="H32" s="17" t="s">
        <v>210</v>
      </c>
      <c r="I32" s="18" t="s">
        <v>210</v>
      </c>
      <c r="J32" s="17" t="s">
        <v>210</v>
      </c>
      <c r="K32" s="18" t="s">
        <v>210</v>
      </c>
      <c r="L32" s="17">
        <v>7270</v>
      </c>
      <c r="M32" s="18">
        <v>72.811999999999998</v>
      </c>
      <c r="N32" s="17" t="s">
        <v>210</v>
      </c>
      <c r="O32" s="18" t="s">
        <v>210</v>
      </c>
      <c r="P32" s="17">
        <v>2089</v>
      </c>
      <c r="Q32" s="18">
        <v>20.605</v>
      </c>
      <c r="R32" s="17" t="s">
        <v>210</v>
      </c>
      <c r="S32" s="18" t="s">
        <v>210</v>
      </c>
      <c r="T32" s="17">
        <v>110</v>
      </c>
      <c r="U32" s="18">
        <v>2.2000000000000002</v>
      </c>
      <c r="V32" s="17">
        <v>68</v>
      </c>
      <c r="W32" s="18">
        <v>3.27</v>
      </c>
      <c r="X32" s="17">
        <v>3040</v>
      </c>
      <c r="Y32" s="18">
        <v>6.0490000000000004</v>
      </c>
      <c r="Z32" s="17" t="s">
        <v>210</v>
      </c>
      <c r="AA32" s="21" t="s">
        <v>210</v>
      </c>
      <c r="AB32" s="8" t="s">
        <v>41</v>
      </c>
      <c r="AC32" s="9"/>
      <c r="AD32" s="9"/>
    </row>
    <row r="33" spans="1:30" x14ac:dyDescent="0.3">
      <c r="A33" s="55" t="s">
        <v>42</v>
      </c>
      <c r="B33" s="53">
        <f>SUM(B35:B38)</f>
        <v>744</v>
      </c>
      <c r="C33" s="36">
        <f>SUM(C35:C38)</f>
        <v>99.795999999999992</v>
      </c>
      <c r="D33" s="36">
        <f t="shared" ref="D33:AA33" si="6">SUM(D35:D38)</f>
        <v>911</v>
      </c>
      <c r="E33" s="36">
        <f t="shared" si="6"/>
        <v>181.36699999999999</v>
      </c>
      <c r="F33" s="36">
        <f t="shared" si="6"/>
        <v>495</v>
      </c>
      <c r="G33" s="36">
        <f t="shared" si="6"/>
        <v>93.75</v>
      </c>
      <c r="H33" s="36">
        <f t="shared" si="6"/>
        <v>0</v>
      </c>
      <c r="I33" s="35">
        <f t="shared" si="6"/>
        <v>0</v>
      </c>
      <c r="J33" s="36">
        <f t="shared" si="6"/>
        <v>0</v>
      </c>
      <c r="K33" s="35">
        <f t="shared" si="6"/>
        <v>0</v>
      </c>
      <c r="L33" s="36">
        <f t="shared" si="6"/>
        <v>102246</v>
      </c>
      <c r="M33" s="36">
        <f t="shared" si="6"/>
        <v>1000.749</v>
      </c>
      <c r="N33" s="36">
        <f t="shared" si="6"/>
        <v>15211</v>
      </c>
      <c r="O33" s="36">
        <f>SUM(O35:O38)</f>
        <v>330.08299999999997</v>
      </c>
      <c r="P33" s="35">
        <f t="shared" si="6"/>
        <v>15857</v>
      </c>
      <c r="Q33" s="36">
        <f t="shared" si="6"/>
        <v>137.583</v>
      </c>
      <c r="R33" s="36">
        <f t="shared" si="6"/>
        <v>2080</v>
      </c>
      <c r="S33" s="35">
        <f t="shared" si="6"/>
        <v>46.430999999999997</v>
      </c>
      <c r="T33" s="36">
        <f t="shared" si="6"/>
        <v>2831</v>
      </c>
      <c r="U33" s="35">
        <f t="shared" si="6"/>
        <v>49.475999999999999</v>
      </c>
      <c r="V33" s="36">
        <f t="shared" si="6"/>
        <v>6966</v>
      </c>
      <c r="W33" s="35">
        <f t="shared" si="6"/>
        <v>433.07</v>
      </c>
      <c r="X33" s="36">
        <f t="shared" si="6"/>
        <v>72550416</v>
      </c>
      <c r="Y33" s="35">
        <f t="shared" si="6"/>
        <v>124003.37999999999</v>
      </c>
      <c r="Z33" s="36">
        <f t="shared" si="6"/>
        <v>59253</v>
      </c>
      <c r="AA33" s="50">
        <f t="shared" si="6"/>
        <v>123.997</v>
      </c>
      <c r="AB33" s="63" t="s">
        <v>43</v>
      </c>
      <c r="AC33" s="63"/>
      <c r="AD33" s="63"/>
    </row>
    <row r="34" spans="1:30" x14ac:dyDescent="0.3">
      <c r="A34" s="55"/>
      <c r="B34" s="53"/>
      <c r="C34" s="36"/>
      <c r="D34" s="36"/>
      <c r="E34" s="36"/>
      <c r="F34" s="36"/>
      <c r="G34" s="36"/>
      <c r="H34" s="36"/>
      <c r="I34" s="35"/>
      <c r="J34" s="36"/>
      <c r="K34" s="35"/>
      <c r="L34" s="36"/>
      <c r="M34" s="36"/>
      <c r="N34" s="36"/>
      <c r="O34" s="36"/>
      <c r="P34" s="35"/>
      <c r="Q34" s="36"/>
      <c r="R34" s="36"/>
      <c r="S34" s="35"/>
      <c r="T34" s="36"/>
      <c r="U34" s="35"/>
      <c r="V34" s="36"/>
      <c r="W34" s="35"/>
      <c r="X34" s="36"/>
      <c r="Y34" s="35"/>
      <c r="Z34" s="36"/>
      <c r="AA34" s="50"/>
      <c r="AB34" s="63"/>
      <c r="AC34" s="63"/>
      <c r="AD34" s="63"/>
    </row>
    <row r="35" spans="1:30" x14ac:dyDescent="0.3">
      <c r="A35" s="7" t="s">
        <v>44</v>
      </c>
      <c r="B35" s="20">
        <v>3</v>
      </c>
      <c r="C35" s="18">
        <v>0.7</v>
      </c>
      <c r="D35" s="17" t="s">
        <v>210</v>
      </c>
      <c r="E35" s="18" t="s">
        <v>210</v>
      </c>
      <c r="F35" s="17" t="s">
        <v>210</v>
      </c>
      <c r="G35" s="18" t="s">
        <v>210</v>
      </c>
      <c r="H35" s="17" t="s">
        <v>210</v>
      </c>
      <c r="I35" s="18" t="s">
        <v>210</v>
      </c>
      <c r="J35" s="17" t="s">
        <v>210</v>
      </c>
      <c r="K35" s="18" t="s">
        <v>210</v>
      </c>
      <c r="L35" s="17">
        <v>3052</v>
      </c>
      <c r="M35" s="18">
        <v>27.396999999999998</v>
      </c>
      <c r="N35" s="17">
        <v>410</v>
      </c>
      <c r="O35" s="18">
        <v>7.38</v>
      </c>
      <c r="P35" s="17">
        <v>124</v>
      </c>
      <c r="Q35" s="18">
        <v>1.1399999999999999</v>
      </c>
      <c r="R35" s="17" t="s">
        <v>210</v>
      </c>
      <c r="S35" s="18" t="s">
        <v>210</v>
      </c>
      <c r="T35" s="17">
        <v>200</v>
      </c>
      <c r="U35" s="18">
        <v>3</v>
      </c>
      <c r="V35" s="17">
        <v>2000</v>
      </c>
      <c r="W35" s="18">
        <v>59.1</v>
      </c>
      <c r="X35" s="17">
        <v>70384430</v>
      </c>
      <c r="Y35" s="18">
        <v>120795.66899999999</v>
      </c>
      <c r="Z35" s="17">
        <v>58521</v>
      </c>
      <c r="AA35" s="21">
        <v>122.694</v>
      </c>
      <c r="AB35" s="8" t="s">
        <v>45</v>
      </c>
      <c r="AC35" s="9"/>
      <c r="AD35" s="9"/>
    </row>
    <row r="36" spans="1:30" x14ac:dyDescent="0.3">
      <c r="A36" s="7" t="s">
        <v>46</v>
      </c>
      <c r="B36" s="20">
        <v>38</v>
      </c>
      <c r="C36" s="18">
        <v>7.5960000000000001</v>
      </c>
      <c r="D36" s="17">
        <v>6</v>
      </c>
      <c r="E36" s="18">
        <v>1.75</v>
      </c>
      <c r="F36" s="17" t="s">
        <v>210</v>
      </c>
      <c r="G36" s="18" t="s">
        <v>210</v>
      </c>
      <c r="H36" s="17" t="s">
        <v>210</v>
      </c>
      <c r="I36" s="18" t="s">
        <v>210</v>
      </c>
      <c r="J36" s="17" t="s">
        <v>210</v>
      </c>
      <c r="K36" s="18" t="s">
        <v>210</v>
      </c>
      <c r="L36" s="17">
        <v>184</v>
      </c>
      <c r="M36" s="18">
        <v>1.891</v>
      </c>
      <c r="N36" s="17">
        <v>46</v>
      </c>
      <c r="O36" s="18">
        <v>1.083</v>
      </c>
      <c r="P36" s="17">
        <v>129</v>
      </c>
      <c r="Q36" s="18">
        <v>1.421</v>
      </c>
      <c r="R36" s="17">
        <v>14</v>
      </c>
      <c r="S36" s="18">
        <v>0.32800000000000001</v>
      </c>
      <c r="T36" s="17">
        <v>1</v>
      </c>
      <c r="U36" s="18">
        <v>0.02</v>
      </c>
      <c r="V36" s="17">
        <v>17</v>
      </c>
      <c r="W36" s="18">
        <v>0.90500000000000003</v>
      </c>
      <c r="X36" s="17">
        <v>29009</v>
      </c>
      <c r="Y36" s="18">
        <v>39.826000000000001</v>
      </c>
      <c r="Z36" s="17" t="s">
        <v>210</v>
      </c>
      <c r="AA36" s="21" t="s">
        <v>210</v>
      </c>
      <c r="AB36" s="8" t="s">
        <v>47</v>
      </c>
      <c r="AC36" s="9"/>
      <c r="AD36" s="9"/>
    </row>
    <row r="37" spans="1:30" x14ac:dyDescent="0.3">
      <c r="A37" s="7" t="s">
        <v>48</v>
      </c>
      <c r="B37" s="20">
        <v>578</v>
      </c>
      <c r="C37" s="18">
        <v>69.75</v>
      </c>
      <c r="D37" s="17">
        <v>700</v>
      </c>
      <c r="E37" s="18">
        <v>140</v>
      </c>
      <c r="F37" s="17">
        <v>25</v>
      </c>
      <c r="G37" s="18">
        <v>5.75</v>
      </c>
      <c r="H37" s="17" t="s">
        <v>210</v>
      </c>
      <c r="I37" s="18" t="s">
        <v>210</v>
      </c>
      <c r="J37" s="17" t="s">
        <v>210</v>
      </c>
      <c r="K37" s="18" t="s">
        <v>210</v>
      </c>
      <c r="L37" s="17">
        <v>82242</v>
      </c>
      <c r="M37" s="18">
        <v>814.22699999999998</v>
      </c>
      <c r="N37" s="17">
        <v>8012</v>
      </c>
      <c r="O37" s="18">
        <v>164.078</v>
      </c>
      <c r="P37" s="17">
        <v>12798</v>
      </c>
      <c r="Q37" s="18">
        <v>107.15300000000001</v>
      </c>
      <c r="R37" s="17">
        <v>1206</v>
      </c>
      <c r="S37" s="18">
        <v>21.808</v>
      </c>
      <c r="T37" s="17">
        <v>75</v>
      </c>
      <c r="U37" s="18">
        <v>1.381</v>
      </c>
      <c r="V37" s="17">
        <v>49</v>
      </c>
      <c r="W37" s="18">
        <v>3.0649999999999999</v>
      </c>
      <c r="X37" s="17">
        <v>15713</v>
      </c>
      <c r="Y37" s="18">
        <v>25.029</v>
      </c>
      <c r="Z37" s="17">
        <v>132</v>
      </c>
      <c r="AA37" s="21">
        <v>0.24299999999999999</v>
      </c>
      <c r="AB37" s="8" t="s">
        <v>49</v>
      </c>
      <c r="AC37" s="9"/>
      <c r="AD37" s="9"/>
    </row>
    <row r="38" spans="1:30" x14ac:dyDescent="0.3">
      <c r="A38" s="7" t="s">
        <v>50</v>
      </c>
      <c r="B38" s="20">
        <v>125</v>
      </c>
      <c r="C38" s="18">
        <v>21.75</v>
      </c>
      <c r="D38" s="17">
        <v>205</v>
      </c>
      <c r="E38" s="18">
        <v>39.616999999999997</v>
      </c>
      <c r="F38" s="17">
        <v>470</v>
      </c>
      <c r="G38" s="18">
        <v>88</v>
      </c>
      <c r="H38" s="17" t="s">
        <v>210</v>
      </c>
      <c r="I38" s="18" t="s">
        <v>210</v>
      </c>
      <c r="J38" s="17" t="s">
        <v>210</v>
      </c>
      <c r="K38" s="18" t="s">
        <v>210</v>
      </c>
      <c r="L38" s="17">
        <v>16768</v>
      </c>
      <c r="M38" s="18">
        <v>157.23400000000001</v>
      </c>
      <c r="N38" s="17">
        <v>6743</v>
      </c>
      <c r="O38" s="18">
        <v>157.542</v>
      </c>
      <c r="P38" s="17">
        <v>2806</v>
      </c>
      <c r="Q38" s="18">
        <v>27.869</v>
      </c>
      <c r="R38" s="17">
        <v>860</v>
      </c>
      <c r="S38" s="18">
        <v>24.295000000000002</v>
      </c>
      <c r="T38" s="17">
        <v>2555</v>
      </c>
      <c r="U38" s="18">
        <v>45.075000000000003</v>
      </c>
      <c r="V38" s="17">
        <v>4900</v>
      </c>
      <c r="W38" s="18">
        <v>370</v>
      </c>
      <c r="X38" s="17">
        <v>2121264</v>
      </c>
      <c r="Y38" s="18">
        <v>3142.8560000000002</v>
      </c>
      <c r="Z38" s="17">
        <v>600</v>
      </c>
      <c r="AA38" s="21">
        <v>1.06</v>
      </c>
      <c r="AB38" s="8" t="s">
        <v>51</v>
      </c>
      <c r="AC38" s="9"/>
      <c r="AD38" s="9"/>
    </row>
    <row r="39" spans="1:30" x14ac:dyDescent="0.3">
      <c r="A39" s="55" t="s">
        <v>52</v>
      </c>
      <c r="B39" s="53">
        <f>SUM(B41:B45)</f>
        <v>2235</v>
      </c>
      <c r="C39" s="36">
        <f>SUM(C41:C45)</f>
        <v>384.19000000000005</v>
      </c>
      <c r="D39" s="36">
        <f t="shared" ref="D39:K39" si="7">SUM(D41:D45)</f>
        <v>26588</v>
      </c>
      <c r="E39" s="36">
        <f t="shared" si="7"/>
        <v>7155.2759999999998</v>
      </c>
      <c r="F39" s="36">
        <f t="shared" si="7"/>
        <v>6409</v>
      </c>
      <c r="G39" s="36">
        <f t="shared" si="7"/>
        <v>2177.77</v>
      </c>
      <c r="H39" s="36">
        <f t="shared" si="7"/>
        <v>7</v>
      </c>
      <c r="I39" s="35">
        <f t="shared" si="7"/>
        <v>1.1910000000000001</v>
      </c>
      <c r="J39" s="36">
        <f t="shared" si="7"/>
        <v>10</v>
      </c>
      <c r="K39" s="35">
        <f t="shared" si="7"/>
        <v>2.2999999999999998</v>
      </c>
      <c r="L39" s="36">
        <f t="shared" ref="L39:P39" si="8">SUM(L41:L45)</f>
        <v>531619</v>
      </c>
      <c r="M39" s="36">
        <f t="shared" si="8"/>
        <v>4964.514000000001</v>
      </c>
      <c r="N39" s="36">
        <f t="shared" si="8"/>
        <v>81701</v>
      </c>
      <c r="O39" s="36">
        <f>SUM(O41:O45)</f>
        <v>1650.07</v>
      </c>
      <c r="P39" s="35">
        <f t="shared" si="8"/>
        <v>125805</v>
      </c>
      <c r="Q39" s="36">
        <f t="shared" ref="Q39:AA39" si="9">SUM(Q41:Q45)</f>
        <v>1029.068</v>
      </c>
      <c r="R39" s="36">
        <f t="shared" si="9"/>
        <v>18535</v>
      </c>
      <c r="S39" s="35">
        <f t="shared" si="9"/>
        <v>326.959</v>
      </c>
      <c r="T39" s="36">
        <f t="shared" si="9"/>
        <v>7883</v>
      </c>
      <c r="U39" s="35">
        <f t="shared" si="9"/>
        <v>133.196</v>
      </c>
      <c r="V39" s="36">
        <f t="shared" si="9"/>
        <v>148062</v>
      </c>
      <c r="W39" s="35">
        <f t="shared" si="9"/>
        <v>10744.715</v>
      </c>
      <c r="X39" s="36">
        <f t="shared" si="9"/>
        <v>1117285</v>
      </c>
      <c r="Y39" s="35">
        <f t="shared" si="9"/>
        <v>2189.5150000000003</v>
      </c>
      <c r="Z39" s="36">
        <f t="shared" si="9"/>
        <v>4910</v>
      </c>
      <c r="AA39" s="50">
        <f t="shared" si="9"/>
        <v>8.1259999999999994</v>
      </c>
      <c r="AB39" s="63" t="s">
        <v>53</v>
      </c>
      <c r="AC39" s="63"/>
      <c r="AD39" s="63"/>
    </row>
    <row r="40" spans="1:30" x14ac:dyDescent="0.3">
      <c r="A40" s="55"/>
      <c r="B40" s="53"/>
      <c r="C40" s="36"/>
      <c r="D40" s="36"/>
      <c r="E40" s="36"/>
      <c r="F40" s="36"/>
      <c r="G40" s="36"/>
      <c r="H40" s="36"/>
      <c r="I40" s="35"/>
      <c r="J40" s="36"/>
      <c r="K40" s="35"/>
      <c r="L40" s="36"/>
      <c r="M40" s="36"/>
      <c r="N40" s="36"/>
      <c r="O40" s="36"/>
      <c r="P40" s="35"/>
      <c r="Q40" s="36"/>
      <c r="R40" s="36"/>
      <c r="S40" s="35"/>
      <c r="T40" s="36"/>
      <c r="U40" s="35"/>
      <c r="V40" s="36"/>
      <c r="W40" s="35"/>
      <c r="X40" s="36"/>
      <c r="Y40" s="35"/>
      <c r="Z40" s="36"/>
      <c r="AA40" s="50"/>
      <c r="AB40" s="63"/>
      <c r="AC40" s="63"/>
      <c r="AD40" s="63"/>
    </row>
    <row r="41" spans="1:30" x14ac:dyDescent="0.3">
      <c r="A41" s="7" t="s">
        <v>54</v>
      </c>
      <c r="B41" s="20">
        <v>616</v>
      </c>
      <c r="C41" s="18">
        <v>82.855000000000004</v>
      </c>
      <c r="D41" s="17">
        <v>10041</v>
      </c>
      <c r="E41" s="18">
        <v>2360.4319999999998</v>
      </c>
      <c r="F41" s="17">
        <v>3364</v>
      </c>
      <c r="G41" s="18">
        <v>1222.6659999999999</v>
      </c>
      <c r="H41" s="17" t="s">
        <v>210</v>
      </c>
      <c r="I41" s="18" t="s">
        <v>210</v>
      </c>
      <c r="J41" s="17" t="s">
        <v>210</v>
      </c>
      <c r="K41" s="18" t="s">
        <v>210</v>
      </c>
      <c r="L41" s="17">
        <v>378362</v>
      </c>
      <c r="M41" s="18">
        <v>3417.663</v>
      </c>
      <c r="N41" s="17">
        <v>53567</v>
      </c>
      <c r="O41" s="18">
        <v>930.14200000000005</v>
      </c>
      <c r="P41" s="17">
        <v>96500</v>
      </c>
      <c r="Q41" s="18">
        <v>769.87800000000004</v>
      </c>
      <c r="R41" s="17">
        <v>12375</v>
      </c>
      <c r="S41" s="18">
        <v>188.899</v>
      </c>
      <c r="T41" s="17">
        <v>253</v>
      </c>
      <c r="U41" s="18">
        <v>5.0359999999999996</v>
      </c>
      <c r="V41" s="17">
        <v>48938</v>
      </c>
      <c r="W41" s="18">
        <v>4483.5320000000002</v>
      </c>
      <c r="X41" s="17">
        <v>905957</v>
      </c>
      <c r="Y41" s="18">
        <v>1836.2080000000001</v>
      </c>
      <c r="Z41" s="17">
        <v>150</v>
      </c>
      <c r="AA41" s="21">
        <v>0.24</v>
      </c>
      <c r="AB41" s="8" t="s">
        <v>55</v>
      </c>
      <c r="AC41" s="9"/>
      <c r="AD41" s="9"/>
    </row>
    <row r="42" spans="1:30" x14ac:dyDescent="0.3">
      <c r="A42" s="7" t="s">
        <v>56</v>
      </c>
      <c r="B42" s="20">
        <v>207</v>
      </c>
      <c r="C42" s="18">
        <v>47.338000000000001</v>
      </c>
      <c r="D42" s="17">
        <v>2777</v>
      </c>
      <c r="E42" s="18">
        <v>860.81399999999996</v>
      </c>
      <c r="F42" s="17">
        <v>395</v>
      </c>
      <c r="G42" s="18">
        <v>116.508</v>
      </c>
      <c r="H42" s="17" t="s">
        <v>210</v>
      </c>
      <c r="I42" s="18" t="s">
        <v>210</v>
      </c>
      <c r="J42" s="17" t="s">
        <v>210</v>
      </c>
      <c r="K42" s="18" t="s">
        <v>210</v>
      </c>
      <c r="L42" s="17">
        <v>45510</v>
      </c>
      <c r="M42" s="18">
        <v>462.06099999999998</v>
      </c>
      <c r="N42" s="17">
        <v>5841</v>
      </c>
      <c r="O42" s="18">
        <v>165.916</v>
      </c>
      <c r="P42" s="17">
        <v>4060</v>
      </c>
      <c r="Q42" s="18">
        <v>37.451999999999998</v>
      </c>
      <c r="R42" s="17">
        <v>167</v>
      </c>
      <c r="S42" s="18">
        <v>6.2850000000000001</v>
      </c>
      <c r="T42" s="17">
        <v>851</v>
      </c>
      <c r="U42" s="18">
        <v>13.616</v>
      </c>
      <c r="V42" s="17">
        <v>29844</v>
      </c>
      <c r="W42" s="18">
        <v>1790.194</v>
      </c>
      <c r="X42" s="17">
        <v>59130</v>
      </c>
      <c r="Y42" s="18">
        <v>70.352000000000004</v>
      </c>
      <c r="Z42" s="17">
        <v>650</v>
      </c>
      <c r="AA42" s="21">
        <v>0.82599999999999996</v>
      </c>
      <c r="AB42" s="8" t="s">
        <v>57</v>
      </c>
      <c r="AC42" s="9"/>
      <c r="AD42" s="9"/>
    </row>
    <row r="43" spans="1:30" x14ac:dyDescent="0.3">
      <c r="A43" s="7" t="s">
        <v>58</v>
      </c>
      <c r="B43" s="20">
        <v>130</v>
      </c>
      <c r="C43" s="18">
        <v>18.329999999999998</v>
      </c>
      <c r="D43" s="17">
        <v>2137</v>
      </c>
      <c r="E43" s="18">
        <v>509.52300000000002</v>
      </c>
      <c r="F43" s="17">
        <v>130</v>
      </c>
      <c r="G43" s="18">
        <v>32.5</v>
      </c>
      <c r="H43" s="17" t="s">
        <v>210</v>
      </c>
      <c r="I43" s="18" t="s">
        <v>210</v>
      </c>
      <c r="J43" s="17" t="s">
        <v>210</v>
      </c>
      <c r="K43" s="18" t="s">
        <v>210</v>
      </c>
      <c r="L43" s="17">
        <v>24581</v>
      </c>
      <c r="M43" s="18">
        <v>228.39500000000001</v>
      </c>
      <c r="N43" s="17">
        <v>4507</v>
      </c>
      <c r="O43" s="18">
        <v>103.548</v>
      </c>
      <c r="P43" s="17">
        <v>9789</v>
      </c>
      <c r="Q43" s="18">
        <v>89.441000000000003</v>
      </c>
      <c r="R43" s="17">
        <v>1127</v>
      </c>
      <c r="S43" s="18">
        <v>23.544</v>
      </c>
      <c r="T43" s="17">
        <v>16</v>
      </c>
      <c r="U43" s="18">
        <v>0.29399999999999998</v>
      </c>
      <c r="V43" s="17">
        <v>4217</v>
      </c>
      <c r="W43" s="18">
        <v>255.238</v>
      </c>
      <c r="X43" s="17">
        <v>1043</v>
      </c>
      <c r="Y43" s="18">
        <v>1.724</v>
      </c>
      <c r="Z43" s="17">
        <v>30</v>
      </c>
      <c r="AA43" s="21">
        <v>0.06</v>
      </c>
      <c r="AB43" s="8" t="s">
        <v>59</v>
      </c>
      <c r="AC43" s="9"/>
      <c r="AD43" s="9"/>
    </row>
    <row r="44" spans="1:30" x14ac:dyDescent="0.3">
      <c r="A44" s="7" t="s">
        <v>60</v>
      </c>
      <c r="B44" s="20">
        <v>1</v>
      </c>
      <c r="C44" s="18">
        <v>0.125</v>
      </c>
      <c r="D44" s="17" t="s">
        <v>210</v>
      </c>
      <c r="E44" s="18" t="s">
        <v>210</v>
      </c>
      <c r="F44" s="17" t="s">
        <v>210</v>
      </c>
      <c r="G44" s="18" t="s">
        <v>210</v>
      </c>
      <c r="H44" s="17" t="s">
        <v>210</v>
      </c>
      <c r="I44" s="18" t="s">
        <v>210</v>
      </c>
      <c r="J44" s="17" t="s">
        <v>210</v>
      </c>
      <c r="K44" s="18" t="s">
        <v>210</v>
      </c>
      <c r="L44" s="17">
        <v>10</v>
      </c>
      <c r="M44" s="18">
        <v>0.108</v>
      </c>
      <c r="N44" s="17">
        <v>2</v>
      </c>
      <c r="O44" s="18">
        <v>0.04</v>
      </c>
      <c r="P44" s="17">
        <v>31</v>
      </c>
      <c r="Q44" s="18">
        <v>0.29799999999999999</v>
      </c>
      <c r="R44" s="17">
        <v>8</v>
      </c>
      <c r="S44" s="18">
        <v>0.14499999999999999</v>
      </c>
      <c r="T44" s="17" t="s">
        <v>210</v>
      </c>
      <c r="U44" s="18" t="s">
        <v>210</v>
      </c>
      <c r="V44" s="17" t="s">
        <v>210</v>
      </c>
      <c r="W44" s="18" t="s">
        <v>210</v>
      </c>
      <c r="X44" s="17" t="s">
        <v>210</v>
      </c>
      <c r="Y44" s="18" t="s">
        <v>210</v>
      </c>
      <c r="Z44" s="17" t="s">
        <v>210</v>
      </c>
      <c r="AA44" s="21" t="s">
        <v>210</v>
      </c>
      <c r="AB44" s="8" t="s">
        <v>61</v>
      </c>
      <c r="AC44" s="9"/>
      <c r="AD44" s="9"/>
    </row>
    <row r="45" spans="1:30" x14ac:dyDescent="0.3">
      <c r="A45" s="7" t="s">
        <v>62</v>
      </c>
      <c r="B45" s="20">
        <v>1281</v>
      </c>
      <c r="C45" s="18">
        <v>235.542</v>
      </c>
      <c r="D45" s="17">
        <v>11633</v>
      </c>
      <c r="E45" s="18">
        <v>3424.5070000000001</v>
      </c>
      <c r="F45" s="17">
        <v>2520</v>
      </c>
      <c r="G45" s="18">
        <v>806.096</v>
      </c>
      <c r="H45" s="17">
        <v>7</v>
      </c>
      <c r="I45" s="18">
        <v>1.1910000000000001</v>
      </c>
      <c r="J45" s="17">
        <v>10</v>
      </c>
      <c r="K45" s="18">
        <v>2.2999999999999998</v>
      </c>
      <c r="L45" s="17">
        <v>83156</v>
      </c>
      <c r="M45" s="18">
        <v>856.28700000000003</v>
      </c>
      <c r="N45" s="17">
        <v>17784</v>
      </c>
      <c r="O45" s="18">
        <v>450.42399999999998</v>
      </c>
      <c r="P45" s="17">
        <v>15425</v>
      </c>
      <c r="Q45" s="18">
        <v>131.999</v>
      </c>
      <c r="R45" s="17">
        <v>4858</v>
      </c>
      <c r="S45" s="18">
        <v>108.086</v>
      </c>
      <c r="T45" s="17">
        <v>6763</v>
      </c>
      <c r="U45" s="18">
        <v>114.25</v>
      </c>
      <c r="V45" s="17">
        <v>65063</v>
      </c>
      <c r="W45" s="18">
        <v>4215.7510000000002</v>
      </c>
      <c r="X45" s="17">
        <v>151155</v>
      </c>
      <c r="Y45" s="18">
        <v>281.23099999999999</v>
      </c>
      <c r="Z45" s="17">
        <v>4080</v>
      </c>
      <c r="AA45" s="21">
        <v>7</v>
      </c>
      <c r="AB45" s="8" t="s">
        <v>63</v>
      </c>
      <c r="AC45" s="9"/>
      <c r="AD45" s="9"/>
    </row>
    <row r="46" spans="1:30" x14ac:dyDescent="0.3">
      <c r="A46" s="55" t="s">
        <v>64</v>
      </c>
      <c r="B46" s="53">
        <f t="shared" ref="B46:G46" si="10">SUM(B48:B52)</f>
        <v>2934</v>
      </c>
      <c r="C46" s="36">
        <f t="shared" si="10"/>
        <v>567.69399999999996</v>
      </c>
      <c r="D46" s="36">
        <f t="shared" si="10"/>
        <v>4879</v>
      </c>
      <c r="E46" s="36">
        <f t="shared" si="10"/>
        <v>1194.1310000000001</v>
      </c>
      <c r="F46" s="36">
        <f t="shared" si="10"/>
        <v>3520</v>
      </c>
      <c r="G46" s="36">
        <f t="shared" si="10"/>
        <v>856.89200000000005</v>
      </c>
      <c r="H46" s="36">
        <f t="shared" ref="H46:M46" si="11">SUM(H48:H52)</f>
        <v>0</v>
      </c>
      <c r="I46" s="35">
        <f t="shared" si="11"/>
        <v>0</v>
      </c>
      <c r="J46" s="36">
        <f t="shared" si="11"/>
        <v>0</v>
      </c>
      <c r="K46" s="35">
        <f t="shared" si="11"/>
        <v>0</v>
      </c>
      <c r="L46" s="36">
        <f t="shared" si="11"/>
        <v>163019</v>
      </c>
      <c r="M46" s="36">
        <f t="shared" si="11"/>
        <v>1716.944</v>
      </c>
      <c r="N46" s="36">
        <f>SUM(N48:N52)</f>
        <v>42231</v>
      </c>
      <c r="O46" s="36">
        <f>SUM(O48:O52)</f>
        <v>940.11900000000014</v>
      </c>
      <c r="P46" s="35">
        <f>SUM(P48:P52)</f>
        <v>62171</v>
      </c>
      <c r="Q46" s="36">
        <f t="shared" ref="Q46:AA46" si="12">SUM(Q48:Q52)</f>
        <v>627.94000000000005</v>
      </c>
      <c r="R46" s="36">
        <f t="shared" si="12"/>
        <v>20125</v>
      </c>
      <c r="S46" s="35">
        <f t="shared" si="12"/>
        <v>397.03300000000007</v>
      </c>
      <c r="T46" s="36">
        <f t="shared" si="12"/>
        <v>17478</v>
      </c>
      <c r="U46" s="35">
        <f t="shared" si="12"/>
        <v>344.16199999999998</v>
      </c>
      <c r="V46" s="36">
        <f t="shared" si="12"/>
        <v>134611</v>
      </c>
      <c r="W46" s="35">
        <f t="shared" si="12"/>
        <v>11418.214999999998</v>
      </c>
      <c r="X46" s="36">
        <f t="shared" si="12"/>
        <v>41515378</v>
      </c>
      <c r="Y46" s="35">
        <f t="shared" si="12"/>
        <v>81765.3</v>
      </c>
      <c r="Z46" s="36">
        <f t="shared" si="12"/>
        <v>16900</v>
      </c>
      <c r="AA46" s="50">
        <f t="shared" si="12"/>
        <v>29.443000000000001</v>
      </c>
      <c r="AB46" s="63" t="s">
        <v>65</v>
      </c>
      <c r="AC46" s="63"/>
      <c r="AD46" s="63"/>
    </row>
    <row r="47" spans="1:30" x14ac:dyDescent="0.3">
      <c r="A47" s="55"/>
      <c r="B47" s="53"/>
      <c r="C47" s="36"/>
      <c r="D47" s="36"/>
      <c r="E47" s="36"/>
      <c r="F47" s="36"/>
      <c r="G47" s="36"/>
      <c r="H47" s="36"/>
      <c r="I47" s="35"/>
      <c r="J47" s="36"/>
      <c r="K47" s="35"/>
      <c r="L47" s="36"/>
      <c r="M47" s="36"/>
      <c r="N47" s="36"/>
      <c r="O47" s="36"/>
      <c r="P47" s="35"/>
      <c r="Q47" s="36"/>
      <c r="R47" s="36"/>
      <c r="S47" s="35"/>
      <c r="T47" s="36"/>
      <c r="U47" s="35"/>
      <c r="V47" s="36"/>
      <c r="W47" s="35"/>
      <c r="X47" s="36"/>
      <c r="Y47" s="35"/>
      <c r="Z47" s="36"/>
      <c r="AA47" s="50"/>
      <c r="AB47" s="63"/>
      <c r="AC47" s="63"/>
      <c r="AD47" s="63"/>
    </row>
    <row r="48" spans="1:30" x14ac:dyDescent="0.3">
      <c r="A48" s="7" t="s">
        <v>66</v>
      </c>
      <c r="B48" s="20">
        <v>447</v>
      </c>
      <c r="C48" s="18">
        <v>72.760000000000005</v>
      </c>
      <c r="D48" s="17">
        <v>2656</v>
      </c>
      <c r="E48" s="18">
        <v>699.36800000000005</v>
      </c>
      <c r="F48" s="17">
        <v>363</v>
      </c>
      <c r="G48" s="18">
        <v>147.55500000000001</v>
      </c>
      <c r="H48" s="17" t="s">
        <v>210</v>
      </c>
      <c r="I48" s="18" t="s">
        <v>210</v>
      </c>
      <c r="J48" s="17" t="s">
        <v>210</v>
      </c>
      <c r="K48" s="18" t="s">
        <v>210</v>
      </c>
      <c r="L48" s="17">
        <v>56903</v>
      </c>
      <c r="M48" s="18">
        <v>545.77200000000005</v>
      </c>
      <c r="N48" s="17">
        <v>11935</v>
      </c>
      <c r="O48" s="18">
        <v>257.14100000000002</v>
      </c>
      <c r="P48" s="17">
        <v>12178</v>
      </c>
      <c r="Q48" s="18">
        <v>117.383</v>
      </c>
      <c r="R48" s="17">
        <v>2297</v>
      </c>
      <c r="S48" s="18">
        <v>53.701000000000001</v>
      </c>
      <c r="T48" s="17">
        <v>2483</v>
      </c>
      <c r="U48" s="18">
        <v>46.71</v>
      </c>
      <c r="V48" s="17">
        <v>9033</v>
      </c>
      <c r="W48" s="18">
        <v>611.61400000000003</v>
      </c>
      <c r="X48" s="17">
        <v>41337</v>
      </c>
      <c r="Y48" s="18">
        <v>69.134</v>
      </c>
      <c r="Z48" s="17">
        <v>12177</v>
      </c>
      <c r="AA48" s="21">
        <v>20.713000000000001</v>
      </c>
      <c r="AB48" s="8" t="s">
        <v>67</v>
      </c>
      <c r="AC48" s="9"/>
      <c r="AD48" s="9"/>
    </row>
    <row r="49" spans="1:30" x14ac:dyDescent="0.3">
      <c r="A49" s="7" t="s">
        <v>68</v>
      </c>
      <c r="B49" s="20">
        <v>2100</v>
      </c>
      <c r="C49" s="18">
        <v>451.96</v>
      </c>
      <c r="D49" s="17">
        <v>1065</v>
      </c>
      <c r="E49" s="18">
        <v>281.66800000000001</v>
      </c>
      <c r="F49" s="17">
        <v>700</v>
      </c>
      <c r="G49" s="18">
        <v>248.87299999999999</v>
      </c>
      <c r="H49" s="17" t="s">
        <v>210</v>
      </c>
      <c r="I49" s="18" t="s">
        <v>210</v>
      </c>
      <c r="J49" s="17" t="s">
        <v>210</v>
      </c>
      <c r="K49" s="18" t="s">
        <v>210</v>
      </c>
      <c r="L49" s="17">
        <v>54658</v>
      </c>
      <c r="M49" s="18">
        <v>647.23199999999997</v>
      </c>
      <c r="N49" s="17">
        <v>20546</v>
      </c>
      <c r="O49" s="18">
        <v>440.90300000000002</v>
      </c>
      <c r="P49" s="17">
        <v>20506</v>
      </c>
      <c r="Q49" s="18">
        <v>226.31200000000001</v>
      </c>
      <c r="R49" s="17">
        <v>11806</v>
      </c>
      <c r="S49" s="18">
        <v>223.904</v>
      </c>
      <c r="T49" s="17">
        <v>13150</v>
      </c>
      <c r="U49" s="18">
        <v>263</v>
      </c>
      <c r="V49" s="17">
        <v>12150</v>
      </c>
      <c r="W49" s="18">
        <v>814.65</v>
      </c>
      <c r="X49" s="17">
        <v>7550565</v>
      </c>
      <c r="Y49" s="18">
        <v>14806.064</v>
      </c>
      <c r="Z49" s="17" t="s">
        <v>210</v>
      </c>
      <c r="AA49" s="21" t="s">
        <v>210</v>
      </c>
      <c r="AB49" s="8" t="s">
        <v>69</v>
      </c>
      <c r="AC49" s="9"/>
      <c r="AD49" s="9"/>
    </row>
    <row r="50" spans="1:30" x14ac:dyDescent="0.3">
      <c r="A50" s="7" t="s">
        <v>70</v>
      </c>
      <c r="B50" s="20">
        <v>120</v>
      </c>
      <c r="C50" s="18">
        <v>14</v>
      </c>
      <c r="D50" s="17">
        <v>557</v>
      </c>
      <c r="E50" s="18">
        <v>111.8</v>
      </c>
      <c r="F50" s="17">
        <v>184</v>
      </c>
      <c r="G50" s="18">
        <v>50.2</v>
      </c>
      <c r="H50" s="17" t="s">
        <v>210</v>
      </c>
      <c r="I50" s="18" t="s">
        <v>210</v>
      </c>
      <c r="J50" s="17" t="s">
        <v>210</v>
      </c>
      <c r="K50" s="18" t="s">
        <v>210</v>
      </c>
      <c r="L50" s="17">
        <v>25436</v>
      </c>
      <c r="M50" s="18">
        <v>266.255</v>
      </c>
      <c r="N50" s="17">
        <v>3504</v>
      </c>
      <c r="O50" s="18">
        <v>92.7</v>
      </c>
      <c r="P50" s="17">
        <v>14913</v>
      </c>
      <c r="Q50" s="18">
        <v>134.49600000000001</v>
      </c>
      <c r="R50" s="17">
        <v>2063</v>
      </c>
      <c r="S50" s="18">
        <v>43.741999999999997</v>
      </c>
      <c r="T50" s="17">
        <v>1820</v>
      </c>
      <c r="U50" s="18">
        <v>33.991999999999997</v>
      </c>
      <c r="V50" s="17">
        <v>112673</v>
      </c>
      <c r="W50" s="18">
        <v>9936.7999999999993</v>
      </c>
      <c r="X50" s="17">
        <v>30716799</v>
      </c>
      <c r="Y50" s="18">
        <v>62073.837</v>
      </c>
      <c r="Z50" s="17">
        <v>940</v>
      </c>
      <c r="AA50" s="21">
        <v>2.0699999999999998</v>
      </c>
      <c r="AB50" s="8" t="s">
        <v>71</v>
      </c>
      <c r="AC50" s="9"/>
      <c r="AD50" s="9"/>
    </row>
    <row r="51" spans="1:30" x14ac:dyDescent="0.3">
      <c r="A51" s="7" t="s">
        <v>72</v>
      </c>
      <c r="B51" s="20">
        <v>153</v>
      </c>
      <c r="C51" s="18">
        <v>15.04</v>
      </c>
      <c r="D51" s="17">
        <v>175</v>
      </c>
      <c r="E51" s="18">
        <v>37.414999999999999</v>
      </c>
      <c r="F51" s="17">
        <v>32</v>
      </c>
      <c r="G51" s="18">
        <v>6.8840000000000003</v>
      </c>
      <c r="H51" s="17" t="s">
        <v>210</v>
      </c>
      <c r="I51" s="18" t="s">
        <v>210</v>
      </c>
      <c r="J51" s="17" t="s">
        <v>210</v>
      </c>
      <c r="K51" s="18" t="s">
        <v>210</v>
      </c>
      <c r="L51" s="17">
        <v>5916</v>
      </c>
      <c r="M51" s="18">
        <v>77.417000000000002</v>
      </c>
      <c r="N51" s="17">
        <v>812</v>
      </c>
      <c r="O51" s="18">
        <v>20.085000000000001</v>
      </c>
      <c r="P51" s="17">
        <v>5102</v>
      </c>
      <c r="Q51" s="18">
        <v>56.287999999999997</v>
      </c>
      <c r="R51" s="17">
        <v>1078</v>
      </c>
      <c r="S51" s="18">
        <v>19.622</v>
      </c>
      <c r="T51" s="17">
        <v>3</v>
      </c>
      <c r="U51" s="18">
        <v>5.8000000000000003E-2</v>
      </c>
      <c r="V51" s="17">
        <v>735</v>
      </c>
      <c r="W51" s="18">
        <v>54.225000000000001</v>
      </c>
      <c r="X51" s="17">
        <v>5366</v>
      </c>
      <c r="Y51" s="18">
        <v>14.273</v>
      </c>
      <c r="Z51" s="17">
        <v>2706</v>
      </c>
      <c r="AA51" s="21">
        <v>5.03</v>
      </c>
      <c r="AB51" s="8" t="s">
        <v>73</v>
      </c>
      <c r="AC51" s="9"/>
      <c r="AD51" s="9"/>
    </row>
    <row r="52" spans="1:30" x14ac:dyDescent="0.3">
      <c r="A52" s="7" t="s">
        <v>74</v>
      </c>
      <c r="B52" s="20">
        <v>114</v>
      </c>
      <c r="C52" s="18">
        <v>13.933999999999999</v>
      </c>
      <c r="D52" s="17">
        <v>426</v>
      </c>
      <c r="E52" s="18">
        <v>63.88</v>
      </c>
      <c r="F52" s="17">
        <v>2241</v>
      </c>
      <c r="G52" s="18">
        <v>403.38</v>
      </c>
      <c r="H52" s="17" t="s">
        <v>210</v>
      </c>
      <c r="I52" s="18" t="s">
        <v>210</v>
      </c>
      <c r="J52" s="17" t="s">
        <v>210</v>
      </c>
      <c r="K52" s="18" t="s">
        <v>210</v>
      </c>
      <c r="L52" s="17">
        <v>20106</v>
      </c>
      <c r="M52" s="18">
        <v>180.268</v>
      </c>
      <c r="N52" s="17">
        <v>5434</v>
      </c>
      <c r="O52" s="18">
        <v>129.29</v>
      </c>
      <c r="P52" s="17">
        <v>9472</v>
      </c>
      <c r="Q52" s="18">
        <v>93.460999999999999</v>
      </c>
      <c r="R52" s="17">
        <v>2881</v>
      </c>
      <c r="S52" s="18">
        <v>56.064</v>
      </c>
      <c r="T52" s="17">
        <v>22</v>
      </c>
      <c r="U52" s="18">
        <v>0.40200000000000002</v>
      </c>
      <c r="V52" s="17">
        <v>20</v>
      </c>
      <c r="W52" s="18">
        <v>0.92600000000000005</v>
      </c>
      <c r="X52" s="17">
        <v>3201311</v>
      </c>
      <c r="Y52" s="18">
        <v>4801.9920000000002</v>
      </c>
      <c r="Z52" s="17">
        <v>1077</v>
      </c>
      <c r="AA52" s="21">
        <v>1.63</v>
      </c>
      <c r="AB52" s="8" t="s">
        <v>75</v>
      </c>
      <c r="AC52" s="9"/>
      <c r="AD52" s="9"/>
    </row>
    <row r="53" spans="1:30" x14ac:dyDescent="0.3">
      <c r="A53" s="55" t="s">
        <v>76</v>
      </c>
      <c r="B53" s="53">
        <f t="shared" ref="B53:E53" si="13">SUM(B55:B59)</f>
        <v>134</v>
      </c>
      <c r="C53" s="36">
        <f t="shared" si="13"/>
        <v>26.86</v>
      </c>
      <c r="D53" s="36">
        <f t="shared" si="13"/>
        <v>176</v>
      </c>
      <c r="E53" s="36">
        <f t="shared" si="13"/>
        <v>43.144999999999996</v>
      </c>
      <c r="F53" s="36">
        <f t="shared" ref="F53:I53" si="14">SUM(F55:F59)</f>
        <v>74</v>
      </c>
      <c r="G53" s="36">
        <f t="shared" si="14"/>
        <v>25.6</v>
      </c>
      <c r="H53" s="36">
        <f t="shared" si="14"/>
        <v>0</v>
      </c>
      <c r="I53" s="35">
        <f t="shared" si="14"/>
        <v>0</v>
      </c>
      <c r="J53" s="36">
        <f t="shared" ref="J53:M53" si="15">SUM(J55:J59)</f>
        <v>0</v>
      </c>
      <c r="K53" s="35">
        <f t="shared" si="15"/>
        <v>0</v>
      </c>
      <c r="L53" s="36">
        <f t="shared" si="15"/>
        <v>11627</v>
      </c>
      <c r="M53" s="36">
        <f t="shared" si="15"/>
        <v>109.53999999999999</v>
      </c>
      <c r="N53" s="36">
        <f>SUM(N55:N59)</f>
        <v>2429</v>
      </c>
      <c r="O53" s="36">
        <f>SUM(O55:O59)</f>
        <v>53.570999999999998</v>
      </c>
      <c r="P53" s="35">
        <f>SUM(P55:P59)</f>
        <v>11553</v>
      </c>
      <c r="Q53" s="36">
        <f t="shared" ref="Q53:AA53" si="16">SUM(Q55:Q59)</f>
        <v>116.985</v>
      </c>
      <c r="R53" s="36">
        <f t="shared" si="16"/>
        <v>2327</v>
      </c>
      <c r="S53" s="35">
        <f t="shared" si="16"/>
        <v>47.948</v>
      </c>
      <c r="T53" s="36">
        <f t="shared" si="16"/>
        <v>81</v>
      </c>
      <c r="U53" s="35">
        <f t="shared" si="16"/>
        <v>1.4450000000000001</v>
      </c>
      <c r="V53" s="36">
        <f t="shared" si="16"/>
        <v>666</v>
      </c>
      <c r="W53" s="35">
        <f t="shared" si="16"/>
        <v>46.22</v>
      </c>
      <c r="X53" s="36">
        <f t="shared" si="16"/>
        <v>30796</v>
      </c>
      <c r="Y53" s="35">
        <f t="shared" si="16"/>
        <v>48.406999999999996</v>
      </c>
      <c r="Z53" s="36">
        <f t="shared" si="16"/>
        <v>16450</v>
      </c>
      <c r="AA53" s="50">
        <f t="shared" si="16"/>
        <v>20.064999999999998</v>
      </c>
      <c r="AB53" s="63" t="s">
        <v>77</v>
      </c>
      <c r="AC53" s="63"/>
      <c r="AD53" s="63"/>
    </row>
    <row r="54" spans="1:30" x14ac:dyDescent="0.3">
      <c r="A54" s="55"/>
      <c r="B54" s="53"/>
      <c r="C54" s="36"/>
      <c r="D54" s="36"/>
      <c r="E54" s="36"/>
      <c r="F54" s="36"/>
      <c r="G54" s="36"/>
      <c r="H54" s="36"/>
      <c r="I54" s="35"/>
      <c r="J54" s="36"/>
      <c r="K54" s="35"/>
      <c r="L54" s="36"/>
      <c r="M54" s="36"/>
      <c r="N54" s="36"/>
      <c r="O54" s="36"/>
      <c r="P54" s="35"/>
      <c r="Q54" s="36"/>
      <c r="R54" s="36"/>
      <c r="S54" s="35"/>
      <c r="T54" s="36"/>
      <c r="U54" s="35"/>
      <c r="V54" s="36"/>
      <c r="W54" s="35"/>
      <c r="X54" s="36"/>
      <c r="Y54" s="35"/>
      <c r="Z54" s="36"/>
      <c r="AA54" s="50"/>
      <c r="AB54" s="63"/>
      <c r="AC54" s="63"/>
      <c r="AD54" s="63"/>
    </row>
    <row r="55" spans="1:30" x14ac:dyDescent="0.3">
      <c r="A55" s="7" t="s">
        <v>78</v>
      </c>
      <c r="B55" s="20">
        <v>11</v>
      </c>
      <c r="C55" s="18">
        <v>2.5</v>
      </c>
      <c r="D55" s="17" t="s">
        <v>210</v>
      </c>
      <c r="E55" s="18" t="s">
        <v>210</v>
      </c>
      <c r="F55" s="17" t="s">
        <v>210</v>
      </c>
      <c r="G55" s="18" t="s">
        <v>210</v>
      </c>
      <c r="H55" s="17" t="s">
        <v>210</v>
      </c>
      <c r="I55" s="18" t="s">
        <v>210</v>
      </c>
      <c r="J55" s="17" t="s">
        <v>210</v>
      </c>
      <c r="K55" s="18" t="s">
        <v>210</v>
      </c>
      <c r="L55" s="17" t="s">
        <v>210</v>
      </c>
      <c r="M55" s="18" t="s">
        <v>210</v>
      </c>
      <c r="N55" s="17" t="s">
        <v>210</v>
      </c>
      <c r="O55" s="18" t="s">
        <v>210</v>
      </c>
      <c r="P55" s="17" t="s">
        <v>210</v>
      </c>
      <c r="Q55" s="18" t="s">
        <v>210</v>
      </c>
      <c r="R55" s="17" t="s">
        <v>210</v>
      </c>
      <c r="S55" s="18" t="s">
        <v>210</v>
      </c>
      <c r="T55" s="17" t="s">
        <v>210</v>
      </c>
      <c r="U55" s="18" t="s">
        <v>210</v>
      </c>
      <c r="V55" s="17" t="s">
        <v>210</v>
      </c>
      <c r="W55" s="18" t="s">
        <v>210</v>
      </c>
      <c r="X55" s="17">
        <v>1223</v>
      </c>
      <c r="Y55" s="18">
        <v>1.66</v>
      </c>
      <c r="Z55" s="17" t="s">
        <v>210</v>
      </c>
      <c r="AA55" s="21" t="s">
        <v>210</v>
      </c>
      <c r="AB55" s="8" t="s">
        <v>79</v>
      </c>
      <c r="AC55" s="9"/>
      <c r="AD55" s="9"/>
    </row>
    <row r="56" spans="1:30" x14ac:dyDescent="0.3">
      <c r="A56" s="7" t="s">
        <v>80</v>
      </c>
      <c r="B56" s="20">
        <v>9</v>
      </c>
      <c r="C56" s="18">
        <v>1.83</v>
      </c>
      <c r="D56" s="17">
        <v>117</v>
      </c>
      <c r="E56" s="18">
        <v>28.344999999999999</v>
      </c>
      <c r="F56" s="17">
        <v>34</v>
      </c>
      <c r="G56" s="18">
        <v>9.6</v>
      </c>
      <c r="H56" s="17" t="s">
        <v>210</v>
      </c>
      <c r="I56" s="18" t="s">
        <v>210</v>
      </c>
      <c r="J56" s="17" t="s">
        <v>210</v>
      </c>
      <c r="K56" s="18" t="s">
        <v>210</v>
      </c>
      <c r="L56" s="17">
        <v>977</v>
      </c>
      <c r="M56" s="18">
        <v>11.83</v>
      </c>
      <c r="N56" s="17">
        <v>114</v>
      </c>
      <c r="O56" s="18">
        <v>1.9610000000000001</v>
      </c>
      <c r="P56" s="17">
        <v>1358</v>
      </c>
      <c r="Q56" s="18">
        <v>16.375</v>
      </c>
      <c r="R56" s="17">
        <v>132</v>
      </c>
      <c r="S56" s="18">
        <v>2.278</v>
      </c>
      <c r="T56" s="17">
        <v>81</v>
      </c>
      <c r="U56" s="18">
        <v>1.4450000000000001</v>
      </c>
      <c r="V56" s="17">
        <v>666</v>
      </c>
      <c r="W56" s="18">
        <v>46.22</v>
      </c>
      <c r="X56" s="17">
        <v>26270</v>
      </c>
      <c r="Y56" s="18">
        <v>41</v>
      </c>
      <c r="Z56" s="17">
        <v>16340</v>
      </c>
      <c r="AA56" s="21">
        <v>19.86</v>
      </c>
      <c r="AB56" s="8" t="s">
        <v>81</v>
      </c>
      <c r="AC56" s="9"/>
      <c r="AD56" s="9"/>
    </row>
    <row r="57" spans="1:30" x14ac:dyDescent="0.3">
      <c r="A57" s="7" t="s">
        <v>82</v>
      </c>
      <c r="B57" s="20" t="s">
        <v>210</v>
      </c>
      <c r="C57" s="18" t="s">
        <v>210</v>
      </c>
      <c r="D57" s="17" t="s">
        <v>210</v>
      </c>
      <c r="E57" s="18" t="s">
        <v>210</v>
      </c>
      <c r="F57" s="17" t="s">
        <v>210</v>
      </c>
      <c r="G57" s="18" t="s">
        <v>210</v>
      </c>
      <c r="H57" s="17" t="s">
        <v>210</v>
      </c>
      <c r="I57" s="18" t="s">
        <v>210</v>
      </c>
      <c r="J57" s="17" t="s">
        <v>210</v>
      </c>
      <c r="K57" s="18" t="s">
        <v>210</v>
      </c>
      <c r="L57" s="17" t="s">
        <v>210</v>
      </c>
      <c r="M57" s="18" t="s">
        <v>210</v>
      </c>
      <c r="N57" s="17" t="s">
        <v>210</v>
      </c>
      <c r="O57" s="18" t="s">
        <v>210</v>
      </c>
      <c r="P57" s="17" t="s">
        <v>210</v>
      </c>
      <c r="Q57" s="18" t="s">
        <v>210</v>
      </c>
      <c r="R57" s="17" t="s">
        <v>210</v>
      </c>
      <c r="S57" s="18" t="s">
        <v>210</v>
      </c>
      <c r="T57" s="17" t="s">
        <v>210</v>
      </c>
      <c r="U57" s="18" t="s">
        <v>210</v>
      </c>
      <c r="V57" s="17" t="s">
        <v>210</v>
      </c>
      <c r="W57" s="18" t="s">
        <v>210</v>
      </c>
      <c r="X57" s="17" t="s">
        <v>210</v>
      </c>
      <c r="Y57" s="18" t="s">
        <v>210</v>
      </c>
      <c r="Z57" s="17" t="s">
        <v>210</v>
      </c>
      <c r="AA57" s="21" t="s">
        <v>210</v>
      </c>
      <c r="AB57" s="8" t="s">
        <v>83</v>
      </c>
      <c r="AC57" s="9"/>
      <c r="AD57" s="9"/>
    </row>
    <row r="58" spans="1:30" x14ac:dyDescent="0.3">
      <c r="A58" s="7" t="s">
        <v>84</v>
      </c>
      <c r="B58" s="20">
        <v>97</v>
      </c>
      <c r="C58" s="18">
        <v>20.5</v>
      </c>
      <c r="D58" s="17">
        <v>55</v>
      </c>
      <c r="E58" s="18">
        <v>14</v>
      </c>
      <c r="F58" s="17">
        <v>40</v>
      </c>
      <c r="G58" s="18">
        <v>16</v>
      </c>
      <c r="H58" s="17" t="s">
        <v>210</v>
      </c>
      <c r="I58" s="18" t="s">
        <v>210</v>
      </c>
      <c r="J58" s="17" t="s">
        <v>210</v>
      </c>
      <c r="K58" s="18" t="s">
        <v>210</v>
      </c>
      <c r="L58" s="17">
        <v>10650</v>
      </c>
      <c r="M58" s="18">
        <v>97.71</v>
      </c>
      <c r="N58" s="17">
        <v>2315</v>
      </c>
      <c r="O58" s="18">
        <v>51.61</v>
      </c>
      <c r="P58" s="17">
        <v>10195</v>
      </c>
      <c r="Q58" s="18">
        <v>100.61</v>
      </c>
      <c r="R58" s="17">
        <v>2195</v>
      </c>
      <c r="S58" s="18">
        <v>45.67</v>
      </c>
      <c r="T58" s="17" t="s">
        <v>210</v>
      </c>
      <c r="U58" s="18" t="s">
        <v>210</v>
      </c>
      <c r="V58" s="17" t="s">
        <v>210</v>
      </c>
      <c r="W58" s="18" t="s">
        <v>210</v>
      </c>
      <c r="X58" s="17">
        <v>1364</v>
      </c>
      <c r="Y58" s="18">
        <v>1.845</v>
      </c>
      <c r="Z58" s="17" t="s">
        <v>210</v>
      </c>
      <c r="AA58" s="21" t="s">
        <v>210</v>
      </c>
      <c r="AB58" s="8" t="s">
        <v>85</v>
      </c>
      <c r="AC58" s="9"/>
      <c r="AD58" s="9"/>
    </row>
    <row r="59" spans="1:30" x14ac:dyDescent="0.3">
      <c r="A59" s="7" t="s">
        <v>86</v>
      </c>
      <c r="B59" s="20">
        <v>17</v>
      </c>
      <c r="C59" s="18">
        <v>2.0299999999999998</v>
      </c>
      <c r="D59" s="17">
        <v>4</v>
      </c>
      <c r="E59" s="18">
        <v>0.8</v>
      </c>
      <c r="F59" s="17" t="s">
        <v>210</v>
      </c>
      <c r="G59" s="18" t="s">
        <v>210</v>
      </c>
      <c r="H59" s="17" t="s">
        <v>210</v>
      </c>
      <c r="I59" s="18" t="s">
        <v>210</v>
      </c>
      <c r="J59" s="17" t="s">
        <v>210</v>
      </c>
      <c r="K59" s="18" t="s">
        <v>210</v>
      </c>
      <c r="L59" s="17" t="s">
        <v>210</v>
      </c>
      <c r="M59" s="18" t="s">
        <v>210</v>
      </c>
      <c r="N59" s="17" t="s">
        <v>210</v>
      </c>
      <c r="O59" s="18" t="s">
        <v>210</v>
      </c>
      <c r="P59" s="17" t="s">
        <v>210</v>
      </c>
      <c r="Q59" s="18" t="s">
        <v>210</v>
      </c>
      <c r="R59" s="17" t="s">
        <v>210</v>
      </c>
      <c r="S59" s="18" t="s">
        <v>210</v>
      </c>
      <c r="T59" s="17" t="s">
        <v>210</v>
      </c>
      <c r="U59" s="18" t="s">
        <v>210</v>
      </c>
      <c r="V59" s="17" t="s">
        <v>210</v>
      </c>
      <c r="W59" s="18" t="s">
        <v>210</v>
      </c>
      <c r="X59" s="17">
        <v>1939</v>
      </c>
      <c r="Y59" s="18">
        <v>3.9020000000000001</v>
      </c>
      <c r="Z59" s="17">
        <v>110</v>
      </c>
      <c r="AA59" s="21">
        <v>0.20499999999999999</v>
      </c>
      <c r="AB59" s="8" t="s">
        <v>87</v>
      </c>
      <c r="AC59" s="9"/>
      <c r="AD59" s="9"/>
    </row>
    <row r="60" spans="1:30" x14ac:dyDescent="0.3">
      <c r="A60" s="55" t="s">
        <v>88</v>
      </c>
      <c r="B60" s="53">
        <f t="shared" ref="B60:G60" si="17">SUM(B62:B64)</f>
        <v>8860</v>
      </c>
      <c r="C60" s="36">
        <f t="shared" si="17"/>
        <v>1206.6659999999999</v>
      </c>
      <c r="D60" s="36">
        <f t="shared" si="17"/>
        <v>8577</v>
      </c>
      <c r="E60" s="36">
        <f t="shared" si="17"/>
        <v>2220.7240000000002</v>
      </c>
      <c r="F60" s="36">
        <f t="shared" si="17"/>
        <v>5039</v>
      </c>
      <c r="G60" s="36">
        <f t="shared" si="17"/>
        <v>1495.43</v>
      </c>
      <c r="H60" s="36">
        <f t="shared" ref="H60:AA60" si="18">SUM(H62:H64)</f>
        <v>112</v>
      </c>
      <c r="I60" s="35">
        <f t="shared" si="18"/>
        <v>38.4</v>
      </c>
      <c r="J60" s="36">
        <f t="shared" si="18"/>
        <v>10</v>
      </c>
      <c r="K60" s="35">
        <f t="shared" si="18"/>
        <v>2.2000000000000002</v>
      </c>
      <c r="L60" s="36">
        <f t="shared" si="18"/>
        <v>665998</v>
      </c>
      <c r="M60" s="36">
        <f t="shared" si="18"/>
        <v>7009.1550000000007</v>
      </c>
      <c r="N60" s="36">
        <f t="shared" si="18"/>
        <v>91296</v>
      </c>
      <c r="O60" s="36">
        <f>SUM(O62:O64)</f>
        <v>1709.81</v>
      </c>
      <c r="P60" s="35">
        <f t="shared" si="18"/>
        <v>208415</v>
      </c>
      <c r="Q60" s="36">
        <f t="shared" si="18"/>
        <v>1971.8780000000002</v>
      </c>
      <c r="R60" s="36">
        <f t="shared" si="18"/>
        <v>29581</v>
      </c>
      <c r="S60" s="35">
        <f t="shared" si="18"/>
        <v>518.774</v>
      </c>
      <c r="T60" s="36">
        <f t="shared" si="18"/>
        <v>31764</v>
      </c>
      <c r="U60" s="35">
        <f t="shared" si="18"/>
        <v>547.95499999999993</v>
      </c>
      <c r="V60" s="36">
        <f t="shared" si="18"/>
        <v>55905</v>
      </c>
      <c r="W60" s="35">
        <f t="shared" si="18"/>
        <v>3664.7669999999998</v>
      </c>
      <c r="X60" s="36">
        <f t="shared" si="18"/>
        <v>336171</v>
      </c>
      <c r="Y60" s="35">
        <f t="shared" si="18"/>
        <v>613.58999999999992</v>
      </c>
      <c r="Z60" s="36">
        <f t="shared" si="18"/>
        <v>82146</v>
      </c>
      <c r="AA60" s="50">
        <f t="shared" si="18"/>
        <v>129.63200000000001</v>
      </c>
      <c r="AB60" s="63" t="s">
        <v>89</v>
      </c>
      <c r="AC60" s="63"/>
      <c r="AD60" s="63"/>
    </row>
    <row r="61" spans="1:30" x14ac:dyDescent="0.3">
      <c r="A61" s="55"/>
      <c r="B61" s="53"/>
      <c r="C61" s="36"/>
      <c r="D61" s="36"/>
      <c r="E61" s="36"/>
      <c r="F61" s="36"/>
      <c r="G61" s="36"/>
      <c r="H61" s="36"/>
      <c r="I61" s="35"/>
      <c r="J61" s="36"/>
      <c r="K61" s="35"/>
      <c r="L61" s="36"/>
      <c r="M61" s="36"/>
      <c r="N61" s="36"/>
      <c r="O61" s="36"/>
      <c r="P61" s="35"/>
      <c r="Q61" s="36"/>
      <c r="R61" s="36"/>
      <c r="S61" s="35"/>
      <c r="T61" s="36"/>
      <c r="U61" s="35"/>
      <c r="V61" s="36"/>
      <c r="W61" s="35"/>
      <c r="X61" s="36"/>
      <c r="Y61" s="35"/>
      <c r="Z61" s="36"/>
      <c r="AA61" s="50"/>
      <c r="AB61" s="63"/>
      <c r="AC61" s="63"/>
      <c r="AD61" s="63"/>
    </row>
    <row r="62" spans="1:30" x14ac:dyDescent="0.3">
      <c r="A62" s="7" t="s">
        <v>90</v>
      </c>
      <c r="B62" s="20">
        <v>2002</v>
      </c>
      <c r="C62" s="18">
        <v>311.02999999999997</v>
      </c>
      <c r="D62" s="17">
        <v>918</v>
      </c>
      <c r="E62" s="18">
        <v>221.393</v>
      </c>
      <c r="F62" s="17">
        <v>397</v>
      </c>
      <c r="G62" s="18">
        <v>105.18300000000001</v>
      </c>
      <c r="H62" s="17">
        <v>112</v>
      </c>
      <c r="I62" s="18">
        <v>38.4</v>
      </c>
      <c r="J62" s="17">
        <v>10</v>
      </c>
      <c r="K62" s="18">
        <v>2.2000000000000002</v>
      </c>
      <c r="L62" s="17">
        <v>275935</v>
      </c>
      <c r="M62" s="18">
        <v>2992.8879999999999</v>
      </c>
      <c r="N62" s="17">
        <v>32339</v>
      </c>
      <c r="O62" s="18">
        <v>588.71500000000003</v>
      </c>
      <c r="P62" s="17">
        <v>119442</v>
      </c>
      <c r="Q62" s="18">
        <v>1160.3920000000001</v>
      </c>
      <c r="R62" s="17">
        <v>12928</v>
      </c>
      <c r="S62" s="18">
        <v>216.67599999999999</v>
      </c>
      <c r="T62" s="17">
        <v>1024</v>
      </c>
      <c r="U62" s="18">
        <v>19.36</v>
      </c>
      <c r="V62" s="17">
        <v>121</v>
      </c>
      <c r="W62" s="18">
        <v>9.25</v>
      </c>
      <c r="X62" s="17">
        <v>63763</v>
      </c>
      <c r="Y62" s="18">
        <v>116.59699999999999</v>
      </c>
      <c r="Z62" s="17">
        <v>7701</v>
      </c>
      <c r="AA62" s="21">
        <v>14.262</v>
      </c>
      <c r="AB62" s="8" t="s">
        <v>91</v>
      </c>
      <c r="AC62" s="9"/>
      <c r="AD62" s="9"/>
    </row>
    <row r="63" spans="1:30" x14ac:dyDescent="0.3">
      <c r="A63" s="7" t="s">
        <v>92</v>
      </c>
      <c r="B63" s="20">
        <v>6258</v>
      </c>
      <c r="C63" s="18">
        <v>764.83600000000001</v>
      </c>
      <c r="D63" s="17">
        <v>5026</v>
      </c>
      <c r="E63" s="18">
        <v>955.03099999999995</v>
      </c>
      <c r="F63" s="17">
        <v>4633</v>
      </c>
      <c r="G63" s="18">
        <v>1385.7470000000001</v>
      </c>
      <c r="H63" s="17" t="s">
        <v>210</v>
      </c>
      <c r="I63" s="18" t="s">
        <v>210</v>
      </c>
      <c r="J63" s="17" t="s">
        <v>210</v>
      </c>
      <c r="K63" s="18" t="s">
        <v>210</v>
      </c>
      <c r="L63" s="17">
        <v>353392</v>
      </c>
      <c r="M63" s="18">
        <v>3592.9169999999999</v>
      </c>
      <c r="N63" s="17">
        <v>56519</v>
      </c>
      <c r="O63" s="18">
        <v>1050.713</v>
      </c>
      <c r="P63" s="17">
        <v>82326</v>
      </c>
      <c r="Q63" s="18">
        <v>737.24099999999999</v>
      </c>
      <c r="R63" s="17">
        <v>15883</v>
      </c>
      <c r="S63" s="18">
        <v>282.04599999999999</v>
      </c>
      <c r="T63" s="17">
        <v>29984</v>
      </c>
      <c r="U63" s="18">
        <v>513.48299999999995</v>
      </c>
      <c r="V63" s="17">
        <v>37775</v>
      </c>
      <c r="W63" s="18">
        <v>2279.35</v>
      </c>
      <c r="X63" s="17">
        <v>181182</v>
      </c>
      <c r="Y63" s="18">
        <v>277.673</v>
      </c>
      <c r="Z63" s="17">
        <v>60105</v>
      </c>
      <c r="AA63" s="21">
        <v>90.347999999999999</v>
      </c>
      <c r="AB63" s="8" t="s">
        <v>93</v>
      </c>
      <c r="AC63" s="9"/>
      <c r="AD63" s="9"/>
    </row>
    <row r="64" spans="1:30" x14ac:dyDescent="0.3">
      <c r="A64" s="7" t="s">
        <v>94</v>
      </c>
      <c r="B64" s="20">
        <v>600</v>
      </c>
      <c r="C64" s="18">
        <v>130.80000000000001</v>
      </c>
      <c r="D64" s="17">
        <v>2633</v>
      </c>
      <c r="E64" s="18">
        <v>1044.3</v>
      </c>
      <c r="F64" s="17">
        <v>9</v>
      </c>
      <c r="G64" s="18">
        <v>4.5</v>
      </c>
      <c r="H64" s="17" t="s">
        <v>210</v>
      </c>
      <c r="I64" s="18" t="s">
        <v>210</v>
      </c>
      <c r="J64" s="17" t="s">
        <v>210</v>
      </c>
      <c r="K64" s="18" t="s">
        <v>210</v>
      </c>
      <c r="L64" s="17">
        <v>36671</v>
      </c>
      <c r="M64" s="18">
        <v>423.35</v>
      </c>
      <c r="N64" s="17">
        <v>2438</v>
      </c>
      <c r="O64" s="18">
        <v>70.382000000000005</v>
      </c>
      <c r="P64" s="17">
        <v>6647</v>
      </c>
      <c r="Q64" s="18">
        <v>74.245000000000005</v>
      </c>
      <c r="R64" s="17">
        <v>770</v>
      </c>
      <c r="S64" s="18">
        <v>20.052</v>
      </c>
      <c r="T64" s="17">
        <v>756</v>
      </c>
      <c r="U64" s="18">
        <v>15.112</v>
      </c>
      <c r="V64" s="17">
        <v>18009</v>
      </c>
      <c r="W64" s="18">
        <v>1376.1669999999999</v>
      </c>
      <c r="X64" s="17">
        <v>91226</v>
      </c>
      <c r="Y64" s="18">
        <v>219.32</v>
      </c>
      <c r="Z64" s="17">
        <v>14340</v>
      </c>
      <c r="AA64" s="21">
        <v>25.021999999999998</v>
      </c>
      <c r="AB64" s="8" t="s">
        <v>95</v>
      </c>
      <c r="AC64" s="9"/>
      <c r="AD64" s="9"/>
    </row>
    <row r="65" spans="1:30" x14ac:dyDescent="0.3">
      <c r="A65" s="55" t="s">
        <v>96</v>
      </c>
      <c r="B65" s="53">
        <f t="shared" ref="B65:F65" si="19">SUM(B67:B71)</f>
        <v>1174</v>
      </c>
      <c r="C65" s="36">
        <f t="shared" si="19"/>
        <v>272.065</v>
      </c>
      <c r="D65" s="36">
        <f t="shared" si="19"/>
        <v>861</v>
      </c>
      <c r="E65" s="36">
        <f t="shared" si="19"/>
        <v>235.77</v>
      </c>
      <c r="F65" s="36">
        <f t="shared" si="19"/>
        <v>1115</v>
      </c>
      <c r="G65" s="36">
        <f t="shared" ref="G65:AA65" si="20">SUM(G67:G71)</f>
        <v>366.65799999999996</v>
      </c>
      <c r="H65" s="36">
        <f t="shared" si="20"/>
        <v>958</v>
      </c>
      <c r="I65" s="35">
        <f t="shared" si="20"/>
        <v>330.51</v>
      </c>
      <c r="J65" s="36">
        <f t="shared" si="20"/>
        <v>0</v>
      </c>
      <c r="K65" s="35">
        <f t="shared" si="20"/>
        <v>0</v>
      </c>
      <c r="L65" s="36">
        <f t="shared" si="20"/>
        <v>235956</v>
      </c>
      <c r="M65" s="36">
        <f t="shared" si="20"/>
        <v>2422.636</v>
      </c>
      <c r="N65" s="36">
        <f t="shared" si="20"/>
        <v>41817</v>
      </c>
      <c r="O65" s="36">
        <f>SUM(O67:O71)</f>
        <v>1063.7080000000001</v>
      </c>
      <c r="P65" s="35">
        <f t="shared" si="20"/>
        <v>139104</v>
      </c>
      <c r="Q65" s="36">
        <f t="shared" si="20"/>
        <v>1388.6579999999999</v>
      </c>
      <c r="R65" s="36">
        <f t="shared" si="20"/>
        <v>13554</v>
      </c>
      <c r="S65" s="35">
        <f t="shared" si="20"/>
        <v>263.92199999999997</v>
      </c>
      <c r="T65" s="36">
        <f t="shared" si="20"/>
        <v>3399</v>
      </c>
      <c r="U65" s="35">
        <f t="shared" si="20"/>
        <v>64.186999999999998</v>
      </c>
      <c r="V65" s="36">
        <f t="shared" si="20"/>
        <v>110408</v>
      </c>
      <c r="W65" s="35">
        <f t="shared" si="20"/>
        <v>8414.7340000000004</v>
      </c>
      <c r="X65" s="36">
        <f t="shared" si="20"/>
        <v>384807</v>
      </c>
      <c r="Y65" s="35">
        <f t="shared" si="20"/>
        <v>766.76900000000001</v>
      </c>
      <c r="Z65" s="36">
        <f t="shared" si="20"/>
        <v>8591</v>
      </c>
      <c r="AA65" s="50">
        <f t="shared" si="20"/>
        <v>14.731999999999999</v>
      </c>
      <c r="AB65" s="63" t="s">
        <v>97</v>
      </c>
      <c r="AC65" s="63"/>
      <c r="AD65" s="63"/>
    </row>
    <row r="66" spans="1:30" x14ac:dyDescent="0.3">
      <c r="A66" s="55"/>
      <c r="B66" s="53"/>
      <c r="C66" s="36"/>
      <c r="D66" s="36"/>
      <c r="E66" s="36"/>
      <c r="F66" s="36"/>
      <c r="G66" s="36"/>
      <c r="H66" s="36"/>
      <c r="I66" s="35"/>
      <c r="J66" s="36"/>
      <c r="K66" s="35"/>
      <c r="L66" s="36"/>
      <c r="M66" s="36"/>
      <c r="N66" s="36"/>
      <c r="O66" s="36"/>
      <c r="P66" s="35"/>
      <c r="Q66" s="36"/>
      <c r="R66" s="36"/>
      <c r="S66" s="35"/>
      <c r="T66" s="36"/>
      <c r="U66" s="35"/>
      <c r="V66" s="36"/>
      <c r="W66" s="35"/>
      <c r="X66" s="36"/>
      <c r="Y66" s="35"/>
      <c r="Z66" s="36"/>
      <c r="AA66" s="50"/>
      <c r="AB66" s="63"/>
      <c r="AC66" s="63"/>
      <c r="AD66" s="63"/>
    </row>
    <row r="67" spans="1:30" x14ac:dyDescent="0.3">
      <c r="A67" s="7" t="s">
        <v>98</v>
      </c>
      <c r="B67" s="20">
        <v>19</v>
      </c>
      <c r="C67" s="18">
        <v>2.63</v>
      </c>
      <c r="D67" s="17">
        <v>15</v>
      </c>
      <c r="E67" s="18">
        <v>4.5</v>
      </c>
      <c r="F67" s="17">
        <v>26</v>
      </c>
      <c r="G67" s="18">
        <v>10.246</v>
      </c>
      <c r="H67" s="17" t="s">
        <v>210</v>
      </c>
      <c r="I67" s="18" t="s">
        <v>210</v>
      </c>
      <c r="J67" s="17" t="s">
        <v>210</v>
      </c>
      <c r="K67" s="18" t="s">
        <v>210</v>
      </c>
      <c r="L67" s="17">
        <v>4570</v>
      </c>
      <c r="M67" s="18">
        <v>43.186999999999998</v>
      </c>
      <c r="N67" s="17">
        <v>4705</v>
      </c>
      <c r="O67" s="18">
        <v>102.873</v>
      </c>
      <c r="P67" s="17">
        <v>3753</v>
      </c>
      <c r="Q67" s="18">
        <v>29.782</v>
      </c>
      <c r="R67" s="17">
        <v>3770</v>
      </c>
      <c r="S67" s="18">
        <v>72.962999999999994</v>
      </c>
      <c r="T67" s="17">
        <v>236</v>
      </c>
      <c r="U67" s="18">
        <v>4.3620000000000001</v>
      </c>
      <c r="V67" s="17">
        <v>79</v>
      </c>
      <c r="W67" s="18">
        <v>3.6280000000000001</v>
      </c>
      <c r="X67" s="17">
        <v>111672</v>
      </c>
      <c r="Y67" s="18">
        <v>213.309</v>
      </c>
      <c r="Z67" s="17">
        <v>4848</v>
      </c>
      <c r="AA67" s="21">
        <v>7.1660000000000004</v>
      </c>
      <c r="AB67" s="8" t="s">
        <v>99</v>
      </c>
      <c r="AC67" s="9"/>
      <c r="AD67" s="9"/>
    </row>
    <row r="68" spans="1:30" x14ac:dyDescent="0.3">
      <c r="A68" s="7" t="s">
        <v>100</v>
      </c>
      <c r="B68" s="20">
        <v>29</v>
      </c>
      <c r="C68" s="18">
        <v>2.54</v>
      </c>
      <c r="D68" s="17">
        <v>100</v>
      </c>
      <c r="E68" s="18">
        <v>19.5</v>
      </c>
      <c r="F68" s="17" t="s">
        <v>210</v>
      </c>
      <c r="G68" s="18" t="s">
        <v>210</v>
      </c>
      <c r="H68" s="17" t="s">
        <v>210</v>
      </c>
      <c r="I68" s="18" t="s">
        <v>210</v>
      </c>
      <c r="J68" s="17" t="s">
        <v>210</v>
      </c>
      <c r="K68" s="18" t="s">
        <v>210</v>
      </c>
      <c r="L68" s="17">
        <v>7790</v>
      </c>
      <c r="M68" s="18">
        <v>69.569999999999993</v>
      </c>
      <c r="N68" s="17">
        <v>550</v>
      </c>
      <c r="O68" s="18">
        <v>10.98</v>
      </c>
      <c r="P68" s="17">
        <v>11531</v>
      </c>
      <c r="Q68" s="18">
        <v>112.652</v>
      </c>
      <c r="R68" s="17">
        <v>495</v>
      </c>
      <c r="S68" s="18">
        <v>10.484999999999999</v>
      </c>
      <c r="T68" s="17">
        <v>118</v>
      </c>
      <c r="U68" s="18">
        <v>2</v>
      </c>
      <c r="V68" s="17">
        <v>6274</v>
      </c>
      <c r="W68" s="18">
        <v>188.2</v>
      </c>
      <c r="X68" s="17">
        <v>4066</v>
      </c>
      <c r="Y68" s="18">
        <v>8.282</v>
      </c>
      <c r="Z68" s="17" t="s">
        <v>210</v>
      </c>
      <c r="AA68" s="21" t="s">
        <v>210</v>
      </c>
      <c r="AB68" s="8" t="s">
        <v>101</v>
      </c>
      <c r="AC68" s="9"/>
      <c r="AD68" s="9"/>
    </row>
    <row r="69" spans="1:30" x14ac:dyDescent="0.3">
      <c r="A69" s="7" t="s">
        <v>102</v>
      </c>
      <c r="B69" s="20">
        <v>20</v>
      </c>
      <c r="C69" s="18">
        <v>2.9750000000000001</v>
      </c>
      <c r="D69" s="17">
        <v>510</v>
      </c>
      <c r="E69" s="18">
        <v>127.9</v>
      </c>
      <c r="F69" s="17">
        <v>749</v>
      </c>
      <c r="G69" s="18">
        <v>263.392</v>
      </c>
      <c r="H69" s="17" t="s">
        <v>210</v>
      </c>
      <c r="I69" s="18" t="s">
        <v>210</v>
      </c>
      <c r="J69" s="17" t="s">
        <v>210</v>
      </c>
      <c r="K69" s="18" t="s">
        <v>210</v>
      </c>
      <c r="L69" s="17">
        <v>164255</v>
      </c>
      <c r="M69" s="18">
        <v>1709.3</v>
      </c>
      <c r="N69" s="17">
        <v>29849</v>
      </c>
      <c r="O69" s="18">
        <v>798.7</v>
      </c>
      <c r="P69" s="17">
        <v>47831</v>
      </c>
      <c r="Q69" s="18">
        <v>481.82299999999998</v>
      </c>
      <c r="R69" s="17">
        <v>4375</v>
      </c>
      <c r="S69" s="18">
        <v>118.395</v>
      </c>
      <c r="T69" s="17">
        <v>2731</v>
      </c>
      <c r="U69" s="18">
        <v>52.957999999999998</v>
      </c>
      <c r="V69" s="17">
        <v>62605</v>
      </c>
      <c r="W69" s="18">
        <v>5321.4350000000004</v>
      </c>
      <c r="X69" s="17">
        <v>8985</v>
      </c>
      <c r="Y69" s="18">
        <v>19.751999999999999</v>
      </c>
      <c r="Z69" s="17">
        <v>1820</v>
      </c>
      <c r="AA69" s="21">
        <v>3.2759999999999998</v>
      </c>
      <c r="AB69" s="8" t="s">
        <v>103</v>
      </c>
      <c r="AC69" s="9"/>
      <c r="AD69" s="9"/>
    </row>
    <row r="70" spans="1:30" x14ac:dyDescent="0.3">
      <c r="A70" s="7" t="s">
        <v>104</v>
      </c>
      <c r="B70" s="20">
        <v>979</v>
      </c>
      <c r="C70" s="18">
        <v>241.86099999999999</v>
      </c>
      <c r="D70" s="17">
        <v>223</v>
      </c>
      <c r="E70" s="18">
        <v>80.180000000000007</v>
      </c>
      <c r="F70" s="17">
        <v>34</v>
      </c>
      <c r="G70" s="18">
        <v>13.46</v>
      </c>
      <c r="H70" s="17" t="s">
        <v>210</v>
      </c>
      <c r="I70" s="18" t="s">
        <v>210</v>
      </c>
      <c r="J70" s="17" t="s">
        <v>210</v>
      </c>
      <c r="K70" s="18" t="s">
        <v>210</v>
      </c>
      <c r="L70" s="17">
        <v>37468</v>
      </c>
      <c r="M70" s="18">
        <v>373.97800000000001</v>
      </c>
      <c r="N70" s="17">
        <v>2090</v>
      </c>
      <c r="O70" s="18">
        <v>40.255000000000003</v>
      </c>
      <c r="P70" s="17">
        <v>69540</v>
      </c>
      <c r="Q70" s="18">
        <v>694.99199999999996</v>
      </c>
      <c r="R70" s="17">
        <v>4002</v>
      </c>
      <c r="S70" s="18">
        <v>43.671999999999997</v>
      </c>
      <c r="T70" s="17">
        <v>273</v>
      </c>
      <c r="U70" s="18">
        <v>4.2</v>
      </c>
      <c r="V70" s="17">
        <v>38569</v>
      </c>
      <c r="W70" s="18">
        <v>2699.73</v>
      </c>
      <c r="X70" s="17">
        <v>225378</v>
      </c>
      <c r="Y70" s="18">
        <v>445.262</v>
      </c>
      <c r="Z70" s="17">
        <v>175</v>
      </c>
      <c r="AA70" s="21">
        <v>0.32500000000000001</v>
      </c>
      <c r="AB70" s="8" t="s">
        <v>105</v>
      </c>
      <c r="AC70" s="9"/>
      <c r="AD70" s="9"/>
    </row>
    <row r="71" spans="1:30" x14ac:dyDescent="0.3">
      <c r="A71" s="7" t="s">
        <v>106</v>
      </c>
      <c r="B71" s="20">
        <v>127</v>
      </c>
      <c r="C71" s="18">
        <v>22.059000000000001</v>
      </c>
      <c r="D71" s="17">
        <v>13</v>
      </c>
      <c r="E71" s="18">
        <v>3.69</v>
      </c>
      <c r="F71" s="17">
        <v>306</v>
      </c>
      <c r="G71" s="18">
        <v>79.56</v>
      </c>
      <c r="H71" s="17">
        <v>958</v>
      </c>
      <c r="I71" s="18">
        <v>330.51</v>
      </c>
      <c r="J71" s="17" t="s">
        <v>210</v>
      </c>
      <c r="K71" s="18" t="s">
        <v>210</v>
      </c>
      <c r="L71" s="17">
        <v>21873</v>
      </c>
      <c r="M71" s="18">
        <v>226.601</v>
      </c>
      <c r="N71" s="17">
        <v>4623</v>
      </c>
      <c r="O71" s="18">
        <v>110.9</v>
      </c>
      <c r="P71" s="17">
        <v>6449</v>
      </c>
      <c r="Q71" s="18">
        <v>69.409000000000006</v>
      </c>
      <c r="R71" s="17">
        <v>912</v>
      </c>
      <c r="S71" s="18">
        <v>18.407</v>
      </c>
      <c r="T71" s="17">
        <v>41</v>
      </c>
      <c r="U71" s="18">
        <v>0.66700000000000004</v>
      </c>
      <c r="V71" s="17">
        <v>2881</v>
      </c>
      <c r="W71" s="18">
        <v>201.74100000000001</v>
      </c>
      <c r="X71" s="17">
        <v>34706</v>
      </c>
      <c r="Y71" s="18">
        <v>80.164000000000001</v>
      </c>
      <c r="Z71" s="17">
        <v>1748</v>
      </c>
      <c r="AA71" s="21">
        <v>3.9649999999999999</v>
      </c>
      <c r="AB71" s="8" t="s">
        <v>107</v>
      </c>
      <c r="AC71" s="9"/>
      <c r="AD71" s="9"/>
    </row>
    <row r="72" spans="1:30" x14ac:dyDescent="0.3">
      <c r="A72" s="55" t="s">
        <v>108</v>
      </c>
      <c r="B72" s="53">
        <f t="shared" ref="B72:G72" si="21">SUM(B74:B81)</f>
        <v>0</v>
      </c>
      <c r="C72" s="36">
        <f t="shared" si="21"/>
        <v>0</v>
      </c>
      <c r="D72" s="36">
        <f t="shared" si="21"/>
        <v>0</v>
      </c>
      <c r="E72" s="36">
        <f t="shared" si="21"/>
        <v>0</v>
      </c>
      <c r="F72" s="36">
        <f t="shared" si="21"/>
        <v>90</v>
      </c>
      <c r="G72" s="36">
        <f t="shared" si="21"/>
        <v>21.96</v>
      </c>
      <c r="H72" s="36">
        <f t="shared" ref="H72:M72" si="22">SUM(H74:H81)</f>
        <v>0</v>
      </c>
      <c r="I72" s="35">
        <f t="shared" si="22"/>
        <v>0</v>
      </c>
      <c r="J72" s="36">
        <f t="shared" si="22"/>
        <v>0</v>
      </c>
      <c r="K72" s="35">
        <f t="shared" si="22"/>
        <v>0</v>
      </c>
      <c r="L72" s="36">
        <f t="shared" si="22"/>
        <v>12353</v>
      </c>
      <c r="M72" s="36">
        <f t="shared" si="22"/>
        <v>123.473</v>
      </c>
      <c r="N72" s="36">
        <f t="shared" ref="N72:AA72" si="23">SUM(N74:N81)</f>
        <v>202</v>
      </c>
      <c r="O72" s="36">
        <f>SUM(O74:O81)</f>
        <v>3.6560000000000001</v>
      </c>
      <c r="P72" s="35">
        <f t="shared" si="23"/>
        <v>484</v>
      </c>
      <c r="Q72" s="36">
        <f t="shared" si="23"/>
        <v>4.8520000000000003</v>
      </c>
      <c r="R72" s="36">
        <f t="shared" si="23"/>
        <v>167</v>
      </c>
      <c r="S72" s="35">
        <f t="shared" si="23"/>
        <v>2.766</v>
      </c>
      <c r="T72" s="36">
        <f t="shared" si="23"/>
        <v>0</v>
      </c>
      <c r="U72" s="35">
        <f t="shared" si="23"/>
        <v>0</v>
      </c>
      <c r="V72" s="36">
        <f t="shared" si="23"/>
        <v>1669</v>
      </c>
      <c r="W72" s="35">
        <f t="shared" si="23"/>
        <v>75.105000000000004</v>
      </c>
      <c r="X72" s="36">
        <f t="shared" si="23"/>
        <v>22711</v>
      </c>
      <c r="Y72" s="35">
        <f t="shared" si="23"/>
        <v>36.933999999999997</v>
      </c>
      <c r="Z72" s="36">
        <f t="shared" si="23"/>
        <v>0</v>
      </c>
      <c r="AA72" s="50">
        <f t="shared" si="23"/>
        <v>0</v>
      </c>
      <c r="AB72" s="63" t="s">
        <v>109</v>
      </c>
      <c r="AC72" s="63"/>
      <c r="AD72" s="63"/>
    </row>
    <row r="73" spans="1:30" x14ac:dyDescent="0.3">
      <c r="A73" s="55"/>
      <c r="B73" s="53"/>
      <c r="C73" s="36"/>
      <c r="D73" s="36"/>
      <c r="E73" s="36"/>
      <c r="F73" s="36"/>
      <c r="G73" s="36"/>
      <c r="H73" s="36"/>
      <c r="I73" s="35"/>
      <c r="J73" s="36"/>
      <c r="K73" s="35"/>
      <c r="L73" s="36"/>
      <c r="M73" s="36"/>
      <c r="N73" s="36"/>
      <c r="O73" s="36"/>
      <c r="P73" s="35"/>
      <c r="Q73" s="36"/>
      <c r="R73" s="36"/>
      <c r="S73" s="35"/>
      <c r="T73" s="36"/>
      <c r="U73" s="35"/>
      <c r="V73" s="36"/>
      <c r="W73" s="35"/>
      <c r="X73" s="36"/>
      <c r="Y73" s="35"/>
      <c r="Z73" s="36"/>
      <c r="AA73" s="50"/>
      <c r="AB73" s="63"/>
      <c r="AC73" s="63"/>
      <c r="AD73" s="63"/>
    </row>
    <row r="74" spans="1:30" x14ac:dyDescent="0.3">
      <c r="A74" s="12" t="s">
        <v>110</v>
      </c>
      <c r="B74" s="20" t="s">
        <v>210</v>
      </c>
      <c r="C74" s="18" t="s">
        <v>210</v>
      </c>
      <c r="D74" s="17" t="s">
        <v>210</v>
      </c>
      <c r="E74" s="18" t="s">
        <v>210</v>
      </c>
      <c r="F74" s="17" t="s">
        <v>210</v>
      </c>
      <c r="G74" s="18" t="s">
        <v>210</v>
      </c>
      <c r="H74" s="17" t="s">
        <v>210</v>
      </c>
      <c r="I74" s="18" t="s">
        <v>210</v>
      </c>
      <c r="J74" s="17" t="s">
        <v>210</v>
      </c>
      <c r="K74" s="18" t="s">
        <v>210</v>
      </c>
      <c r="L74" s="17" t="s">
        <v>210</v>
      </c>
      <c r="M74" s="18" t="s">
        <v>210</v>
      </c>
      <c r="N74" s="17" t="s">
        <v>210</v>
      </c>
      <c r="O74" s="18" t="s">
        <v>210</v>
      </c>
      <c r="P74" s="17" t="s">
        <v>210</v>
      </c>
      <c r="Q74" s="18" t="s">
        <v>210</v>
      </c>
      <c r="R74" s="17" t="s">
        <v>210</v>
      </c>
      <c r="S74" s="18" t="s">
        <v>210</v>
      </c>
      <c r="T74" s="17" t="s">
        <v>210</v>
      </c>
      <c r="U74" s="18" t="s">
        <v>210</v>
      </c>
      <c r="V74" s="17" t="s">
        <v>210</v>
      </c>
      <c r="W74" s="18" t="s">
        <v>210</v>
      </c>
      <c r="X74" s="17" t="s">
        <v>210</v>
      </c>
      <c r="Y74" s="18" t="s">
        <v>210</v>
      </c>
      <c r="Z74" s="17" t="s">
        <v>210</v>
      </c>
      <c r="AA74" s="21" t="s">
        <v>210</v>
      </c>
      <c r="AB74" s="8" t="s">
        <v>111</v>
      </c>
      <c r="AC74" s="9"/>
      <c r="AD74" s="9"/>
    </row>
    <row r="75" spans="1:30" x14ac:dyDescent="0.3">
      <c r="A75" s="12" t="s">
        <v>112</v>
      </c>
      <c r="B75" s="22" t="s">
        <v>210</v>
      </c>
      <c r="C75" s="18" t="s">
        <v>210</v>
      </c>
      <c r="D75" s="19" t="s">
        <v>210</v>
      </c>
      <c r="E75" s="18" t="s">
        <v>210</v>
      </c>
      <c r="F75" s="19" t="s">
        <v>210</v>
      </c>
      <c r="G75" s="18" t="s">
        <v>210</v>
      </c>
      <c r="H75" s="19" t="s">
        <v>210</v>
      </c>
      <c r="I75" s="18" t="s">
        <v>210</v>
      </c>
      <c r="J75" s="19" t="s">
        <v>210</v>
      </c>
      <c r="K75" s="18" t="s">
        <v>210</v>
      </c>
      <c r="L75" s="19" t="s">
        <v>210</v>
      </c>
      <c r="M75" s="18" t="s">
        <v>210</v>
      </c>
      <c r="N75" s="19" t="s">
        <v>210</v>
      </c>
      <c r="O75" s="18" t="s">
        <v>210</v>
      </c>
      <c r="P75" s="19" t="s">
        <v>210</v>
      </c>
      <c r="Q75" s="18" t="s">
        <v>210</v>
      </c>
      <c r="R75" s="19" t="s">
        <v>210</v>
      </c>
      <c r="S75" s="18" t="s">
        <v>210</v>
      </c>
      <c r="T75" s="19" t="s">
        <v>210</v>
      </c>
      <c r="U75" s="18" t="s">
        <v>210</v>
      </c>
      <c r="V75" s="19" t="s">
        <v>210</v>
      </c>
      <c r="W75" s="18" t="s">
        <v>210</v>
      </c>
      <c r="X75" s="19" t="s">
        <v>210</v>
      </c>
      <c r="Y75" s="18" t="s">
        <v>210</v>
      </c>
      <c r="Z75" s="19" t="s">
        <v>210</v>
      </c>
      <c r="AA75" s="21" t="s">
        <v>210</v>
      </c>
      <c r="AB75" s="8" t="s">
        <v>113</v>
      </c>
      <c r="AC75" s="9"/>
      <c r="AD75" s="9"/>
    </row>
    <row r="76" spans="1:30" x14ac:dyDescent="0.3">
      <c r="A76" s="12" t="s">
        <v>114</v>
      </c>
      <c r="B76" s="22" t="s">
        <v>210</v>
      </c>
      <c r="C76" s="18" t="s">
        <v>210</v>
      </c>
      <c r="D76" s="19" t="s">
        <v>210</v>
      </c>
      <c r="E76" s="18" t="s">
        <v>210</v>
      </c>
      <c r="F76" s="19" t="s">
        <v>210</v>
      </c>
      <c r="G76" s="18" t="s">
        <v>210</v>
      </c>
      <c r="H76" s="19" t="s">
        <v>210</v>
      </c>
      <c r="I76" s="18" t="s">
        <v>210</v>
      </c>
      <c r="J76" s="19" t="s">
        <v>210</v>
      </c>
      <c r="K76" s="18" t="s">
        <v>210</v>
      </c>
      <c r="L76" s="19" t="s">
        <v>210</v>
      </c>
      <c r="M76" s="18" t="s">
        <v>210</v>
      </c>
      <c r="N76" s="19" t="s">
        <v>210</v>
      </c>
      <c r="O76" s="18" t="s">
        <v>210</v>
      </c>
      <c r="P76" s="19" t="s">
        <v>210</v>
      </c>
      <c r="Q76" s="18" t="s">
        <v>210</v>
      </c>
      <c r="R76" s="19" t="s">
        <v>210</v>
      </c>
      <c r="S76" s="18" t="s">
        <v>210</v>
      </c>
      <c r="T76" s="19" t="s">
        <v>210</v>
      </c>
      <c r="U76" s="18" t="s">
        <v>210</v>
      </c>
      <c r="V76" s="19" t="s">
        <v>210</v>
      </c>
      <c r="W76" s="18" t="s">
        <v>210</v>
      </c>
      <c r="X76" s="19" t="s">
        <v>210</v>
      </c>
      <c r="Y76" s="18" t="s">
        <v>210</v>
      </c>
      <c r="Z76" s="19" t="s">
        <v>210</v>
      </c>
      <c r="AA76" s="21" t="s">
        <v>210</v>
      </c>
      <c r="AB76" s="8" t="s">
        <v>115</v>
      </c>
      <c r="AC76" s="9"/>
      <c r="AD76" s="9"/>
    </row>
    <row r="77" spans="1:30" x14ac:dyDescent="0.3">
      <c r="A77" s="12" t="s">
        <v>116</v>
      </c>
      <c r="B77" s="22" t="s">
        <v>210</v>
      </c>
      <c r="C77" s="18" t="s">
        <v>210</v>
      </c>
      <c r="D77" s="19" t="s">
        <v>210</v>
      </c>
      <c r="E77" s="18" t="s">
        <v>210</v>
      </c>
      <c r="F77" s="19" t="s">
        <v>210</v>
      </c>
      <c r="G77" s="18" t="s">
        <v>210</v>
      </c>
      <c r="H77" s="19" t="s">
        <v>210</v>
      </c>
      <c r="I77" s="18" t="s">
        <v>210</v>
      </c>
      <c r="J77" s="19" t="s">
        <v>210</v>
      </c>
      <c r="K77" s="18" t="s">
        <v>210</v>
      </c>
      <c r="L77" s="19" t="s">
        <v>210</v>
      </c>
      <c r="M77" s="18" t="s">
        <v>210</v>
      </c>
      <c r="N77" s="19" t="s">
        <v>210</v>
      </c>
      <c r="O77" s="18" t="s">
        <v>210</v>
      </c>
      <c r="P77" s="19" t="s">
        <v>210</v>
      </c>
      <c r="Q77" s="18" t="s">
        <v>210</v>
      </c>
      <c r="R77" s="19" t="s">
        <v>210</v>
      </c>
      <c r="S77" s="18" t="s">
        <v>210</v>
      </c>
      <c r="T77" s="19" t="s">
        <v>210</v>
      </c>
      <c r="U77" s="18" t="s">
        <v>210</v>
      </c>
      <c r="V77" s="19" t="s">
        <v>210</v>
      </c>
      <c r="W77" s="18" t="s">
        <v>210</v>
      </c>
      <c r="X77" s="19" t="s">
        <v>210</v>
      </c>
      <c r="Y77" s="18" t="s">
        <v>210</v>
      </c>
      <c r="Z77" s="19" t="s">
        <v>210</v>
      </c>
      <c r="AA77" s="21" t="s">
        <v>210</v>
      </c>
      <c r="AB77" s="8" t="s">
        <v>117</v>
      </c>
      <c r="AC77" s="9"/>
      <c r="AD77" s="9"/>
    </row>
    <row r="78" spans="1:30" x14ac:dyDescent="0.3">
      <c r="A78" s="12" t="s">
        <v>118</v>
      </c>
      <c r="B78" s="20" t="s">
        <v>210</v>
      </c>
      <c r="C78" s="18" t="s">
        <v>210</v>
      </c>
      <c r="D78" s="17" t="s">
        <v>210</v>
      </c>
      <c r="E78" s="18" t="s">
        <v>210</v>
      </c>
      <c r="F78" s="17">
        <v>90</v>
      </c>
      <c r="G78" s="18">
        <v>21.96</v>
      </c>
      <c r="H78" s="17" t="s">
        <v>210</v>
      </c>
      <c r="I78" s="18" t="s">
        <v>210</v>
      </c>
      <c r="J78" s="17" t="s">
        <v>210</v>
      </c>
      <c r="K78" s="18" t="s">
        <v>210</v>
      </c>
      <c r="L78" s="17">
        <v>11897</v>
      </c>
      <c r="M78" s="18">
        <v>118.913</v>
      </c>
      <c r="N78" s="17">
        <v>29</v>
      </c>
      <c r="O78" s="18">
        <v>0.55600000000000005</v>
      </c>
      <c r="P78" s="17">
        <v>50</v>
      </c>
      <c r="Q78" s="18">
        <v>0.52800000000000002</v>
      </c>
      <c r="R78" s="17">
        <v>15</v>
      </c>
      <c r="S78" s="18">
        <v>0.22</v>
      </c>
      <c r="T78" s="17" t="s">
        <v>210</v>
      </c>
      <c r="U78" s="18" t="s">
        <v>210</v>
      </c>
      <c r="V78" s="17">
        <v>1669</v>
      </c>
      <c r="W78" s="18">
        <v>75.105000000000004</v>
      </c>
      <c r="X78" s="17">
        <v>21460</v>
      </c>
      <c r="Y78" s="18">
        <v>34.314999999999998</v>
      </c>
      <c r="Z78" s="17" t="s">
        <v>210</v>
      </c>
      <c r="AA78" s="21" t="s">
        <v>210</v>
      </c>
      <c r="AB78" s="8" t="s">
        <v>119</v>
      </c>
      <c r="AC78" s="9"/>
      <c r="AD78" s="9"/>
    </row>
    <row r="79" spans="1:30" x14ac:dyDescent="0.3">
      <c r="A79" s="12" t="s">
        <v>120</v>
      </c>
      <c r="B79" s="20" t="s">
        <v>210</v>
      </c>
      <c r="C79" s="18" t="s">
        <v>210</v>
      </c>
      <c r="D79" s="17" t="s">
        <v>210</v>
      </c>
      <c r="E79" s="18" t="s">
        <v>210</v>
      </c>
      <c r="F79" s="17" t="s">
        <v>210</v>
      </c>
      <c r="G79" s="18" t="s">
        <v>210</v>
      </c>
      <c r="H79" s="17" t="s">
        <v>210</v>
      </c>
      <c r="I79" s="18" t="s">
        <v>210</v>
      </c>
      <c r="J79" s="17" t="s">
        <v>210</v>
      </c>
      <c r="K79" s="18" t="s">
        <v>210</v>
      </c>
      <c r="L79" s="17" t="s">
        <v>210</v>
      </c>
      <c r="M79" s="18" t="s">
        <v>210</v>
      </c>
      <c r="N79" s="17" t="s">
        <v>210</v>
      </c>
      <c r="O79" s="18" t="s">
        <v>210</v>
      </c>
      <c r="P79" s="17" t="s">
        <v>210</v>
      </c>
      <c r="Q79" s="18" t="s">
        <v>210</v>
      </c>
      <c r="R79" s="17" t="s">
        <v>210</v>
      </c>
      <c r="S79" s="18" t="s">
        <v>210</v>
      </c>
      <c r="T79" s="17" t="s">
        <v>210</v>
      </c>
      <c r="U79" s="18" t="s">
        <v>210</v>
      </c>
      <c r="V79" s="17" t="s">
        <v>210</v>
      </c>
      <c r="W79" s="18" t="s">
        <v>210</v>
      </c>
      <c r="X79" s="17">
        <v>51</v>
      </c>
      <c r="Y79" s="18">
        <v>7.9000000000000001E-2</v>
      </c>
      <c r="Z79" s="17" t="s">
        <v>210</v>
      </c>
      <c r="AA79" s="21" t="s">
        <v>210</v>
      </c>
      <c r="AB79" s="8" t="s">
        <v>121</v>
      </c>
      <c r="AC79" s="9"/>
      <c r="AD79" s="9"/>
    </row>
    <row r="80" spans="1:30" x14ac:dyDescent="0.3">
      <c r="A80" s="12" t="s">
        <v>122</v>
      </c>
      <c r="B80" s="22" t="s">
        <v>210</v>
      </c>
      <c r="C80" s="18" t="s">
        <v>210</v>
      </c>
      <c r="D80" s="19" t="s">
        <v>210</v>
      </c>
      <c r="E80" s="18" t="s">
        <v>210</v>
      </c>
      <c r="F80" s="19" t="s">
        <v>210</v>
      </c>
      <c r="G80" s="18" t="s">
        <v>210</v>
      </c>
      <c r="H80" s="19" t="s">
        <v>210</v>
      </c>
      <c r="I80" s="18" t="s">
        <v>210</v>
      </c>
      <c r="J80" s="19" t="s">
        <v>210</v>
      </c>
      <c r="K80" s="18" t="s">
        <v>210</v>
      </c>
      <c r="L80" s="19" t="s">
        <v>210</v>
      </c>
      <c r="M80" s="18" t="s">
        <v>210</v>
      </c>
      <c r="N80" s="19" t="s">
        <v>210</v>
      </c>
      <c r="O80" s="18" t="s">
        <v>210</v>
      </c>
      <c r="P80" s="19" t="s">
        <v>210</v>
      </c>
      <c r="Q80" s="18" t="s">
        <v>210</v>
      </c>
      <c r="R80" s="19" t="s">
        <v>210</v>
      </c>
      <c r="S80" s="18" t="s">
        <v>210</v>
      </c>
      <c r="T80" s="19" t="s">
        <v>210</v>
      </c>
      <c r="U80" s="18" t="s">
        <v>210</v>
      </c>
      <c r="V80" s="19" t="s">
        <v>210</v>
      </c>
      <c r="W80" s="18" t="s">
        <v>210</v>
      </c>
      <c r="X80" s="19" t="s">
        <v>210</v>
      </c>
      <c r="Y80" s="18" t="s">
        <v>210</v>
      </c>
      <c r="Z80" s="19" t="s">
        <v>210</v>
      </c>
      <c r="AA80" s="21" t="s">
        <v>210</v>
      </c>
      <c r="AB80" s="8" t="s">
        <v>123</v>
      </c>
      <c r="AC80" s="9"/>
      <c r="AD80" s="9"/>
    </row>
    <row r="81" spans="1:30" x14ac:dyDescent="0.3">
      <c r="A81" s="12" t="s">
        <v>124</v>
      </c>
      <c r="B81" s="20" t="s">
        <v>210</v>
      </c>
      <c r="C81" s="18" t="s">
        <v>210</v>
      </c>
      <c r="D81" s="17" t="s">
        <v>210</v>
      </c>
      <c r="E81" s="18" t="s">
        <v>210</v>
      </c>
      <c r="F81" s="17" t="s">
        <v>210</v>
      </c>
      <c r="G81" s="18" t="s">
        <v>210</v>
      </c>
      <c r="H81" s="17" t="s">
        <v>210</v>
      </c>
      <c r="I81" s="18" t="s">
        <v>210</v>
      </c>
      <c r="J81" s="17" t="s">
        <v>210</v>
      </c>
      <c r="K81" s="18" t="s">
        <v>210</v>
      </c>
      <c r="L81" s="17">
        <v>456</v>
      </c>
      <c r="M81" s="18">
        <v>4.5599999999999996</v>
      </c>
      <c r="N81" s="17">
        <v>173</v>
      </c>
      <c r="O81" s="18">
        <v>3.1</v>
      </c>
      <c r="P81" s="17">
        <v>434</v>
      </c>
      <c r="Q81" s="18">
        <v>4.3239999999999998</v>
      </c>
      <c r="R81" s="17">
        <v>152</v>
      </c>
      <c r="S81" s="18">
        <v>2.5459999999999998</v>
      </c>
      <c r="T81" s="17" t="s">
        <v>210</v>
      </c>
      <c r="U81" s="18" t="s">
        <v>210</v>
      </c>
      <c r="V81" s="17" t="s">
        <v>210</v>
      </c>
      <c r="W81" s="18" t="s">
        <v>210</v>
      </c>
      <c r="X81" s="17">
        <v>1200</v>
      </c>
      <c r="Y81" s="18">
        <v>2.54</v>
      </c>
      <c r="Z81" s="17" t="s">
        <v>210</v>
      </c>
      <c r="AA81" s="21" t="s">
        <v>210</v>
      </c>
      <c r="AB81" s="8" t="s">
        <v>125</v>
      </c>
      <c r="AC81" s="9"/>
      <c r="AD81" s="9"/>
    </row>
    <row r="82" spans="1:30" x14ac:dyDescent="0.3">
      <c r="A82" s="55" t="s">
        <v>126</v>
      </c>
      <c r="B82" s="53">
        <f t="shared" ref="B82:E82" si="24">SUM(B84:B88)</f>
        <v>500</v>
      </c>
      <c r="C82" s="36">
        <f t="shared" si="24"/>
        <v>78.712999999999994</v>
      </c>
      <c r="D82" s="36">
        <f t="shared" si="24"/>
        <v>883</v>
      </c>
      <c r="E82" s="36">
        <f t="shared" si="24"/>
        <v>230.39600000000002</v>
      </c>
      <c r="F82" s="36">
        <f t="shared" ref="F82:H82" si="25">SUM(F84:F88)</f>
        <v>685</v>
      </c>
      <c r="G82" s="36">
        <f t="shared" si="25"/>
        <v>205.834</v>
      </c>
      <c r="H82" s="36">
        <f t="shared" si="25"/>
        <v>4</v>
      </c>
      <c r="I82" s="35">
        <f t="shared" ref="I82:AA82" si="26">SUM(I84:I88)</f>
        <v>1.4</v>
      </c>
      <c r="J82" s="36">
        <f t="shared" si="26"/>
        <v>0</v>
      </c>
      <c r="K82" s="35">
        <f t="shared" si="26"/>
        <v>0</v>
      </c>
      <c r="L82" s="36">
        <f t="shared" si="26"/>
        <v>219376</v>
      </c>
      <c r="M82" s="36">
        <f t="shared" si="26"/>
        <v>1797.4449999999999</v>
      </c>
      <c r="N82" s="46">
        <f t="shared" si="26"/>
        <v>32903</v>
      </c>
      <c r="O82" s="46">
        <f>SUM(O84:O88)</f>
        <v>614.50900000000001</v>
      </c>
      <c r="P82" s="47">
        <f t="shared" si="26"/>
        <v>44778</v>
      </c>
      <c r="Q82" s="46">
        <f t="shared" si="26"/>
        <v>390.14000000000004</v>
      </c>
      <c r="R82" s="46">
        <f t="shared" si="26"/>
        <v>5375</v>
      </c>
      <c r="S82" s="47">
        <f t="shared" si="26"/>
        <v>84.35599999999998</v>
      </c>
      <c r="T82" s="46">
        <f t="shared" si="26"/>
        <v>647</v>
      </c>
      <c r="U82" s="47">
        <f t="shared" si="26"/>
        <v>12.101999999999999</v>
      </c>
      <c r="V82" s="46">
        <f t="shared" si="26"/>
        <v>3564</v>
      </c>
      <c r="W82" s="47">
        <f t="shared" si="26"/>
        <v>190.02700000000002</v>
      </c>
      <c r="X82" s="46">
        <f t="shared" si="26"/>
        <v>32208</v>
      </c>
      <c r="Y82" s="47">
        <f t="shared" si="26"/>
        <v>58.066000000000003</v>
      </c>
      <c r="Z82" s="46">
        <f t="shared" si="26"/>
        <v>17821</v>
      </c>
      <c r="AA82" s="51">
        <f t="shared" si="26"/>
        <v>27.201000000000001</v>
      </c>
      <c r="AB82" s="63" t="s">
        <v>127</v>
      </c>
      <c r="AC82" s="63"/>
      <c r="AD82" s="63"/>
    </row>
    <row r="83" spans="1:30" x14ac:dyDescent="0.3">
      <c r="A83" s="55"/>
      <c r="B83" s="53"/>
      <c r="C83" s="36"/>
      <c r="D83" s="36"/>
      <c r="E83" s="36"/>
      <c r="F83" s="36"/>
      <c r="G83" s="36"/>
      <c r="H83" s="36"/>
      <c r="I83" s="35"/>
      <c r="J83" s="36"/>
      <c r="K83" s="35"/>
      <c r="L83" s="36"/>
      <c r="M83" s="36"/>
      <c r="N83" s="46"/>
      <c r="O83" s="46"/>
      <c r="P83" s="47"/>
      <c r="Q83" s="46"/>
      <c r="R83" s="46"/>
      <c r="S83" s="47"/>
      <c r="T83" s="46"/>
      <c r="U83" s="47"/>
      <c r="V83" s="46"/>
      <c r="W83" s="47"/>
      <c r="X83" s="46"/>
      <c r="Y83" s="47"/>
      <c r="Z83" s="46"/>
      <c r="AA83" s="51"/>
      <c r="AB83" s="63"/>
      <c r="AC83" s="63"/>
      <c r="AD83" s="63"/>
    </row>
    <row r="84" spans="1:30" x14ac:dyDescent="0.3">
      <c r="A84" s="7" t="s">
        <v>128</v>
      </c>
      <c r="B84" s="20">
        <v>231</v>
      </c>
      <c r="C84" s="18">
        <v>38.39</v>
      </c>
      <c r="D84" s="17">
        <v>423</v>
      </c>
      <c r="E84" s="18">
        <v>112.307</v>
      </c>
      <c r="F84" s="17">
        <v>474</v>
      </c>
      <c r="G84" s="18">
        <v>145.32</v>
      </c>
      <c r="H84" s="17" t="s">
        <v>210</v>
      </c>
      <c r="I84" s="18" t="s">
        <v>210</v>
      </c>
      <c r="J84" s="17" t="s">
        <v>210</v>
      </c>
      <c r="K84" s="18" t="s">
        <v>210</v>
      </c>
      <c r="L84" s="17">
        <v>189775</v>
      </c>
      <c r="M84" s="18">
        <v>1536.38</v>
      </c>
      <c r="N84" s="17">
        <v>31538</v>
      </c>
      <c r="O84" s="18">
        <v>592.49900000000002</v>
      </c>
      <c r="P84" s="17">
        <v>18768</v>
      </c>
      <c r="Q84" s="18">
        <v>153.11600000000001</v>
      </c>
      <c r="R84" s="17">
        <v>2278</v>
      </c>
      <c r="S84" s="18">
        <v>39.323</v>
      </c>
      <c r="T84" s="17">
        <v>302</v>
      </c>
      <c r="U84" s="18">
        <v>5.5389999999999997</v>
      </c>
      <c r="V84" s="17">
        <v>1367</v>
      </c>
      <c r="W84" s="18">
        <v>61.963000000000001</v>
      </c>
      <c r="X84" s="17">
        <v>6736</v>
      </c>
      <c r="Y84" s="18">
        <v>13.523999999999999</v>
      </c>
      <c r="Z84" s="17">
        <v>665</v>
      </c>
      <c r="AA84" s="21">
        <v>1.33</v>
      </c>
      <c r="AB84" s="8" t="s">
        <v>129</v>
      </c>
      <c r="AC84" s="9"/>
      <c r="AD84" s="9"/>
    </row>
    <row r="85" spans="1:30" x14ac:dyDescent="0.3">
      <c r="A85" s="7" t="s">
        <v>130</v>
      </c>
      <c r="B85" s="20">
        <v>44</v>
      </c>
      <c r="C85" s="18">
        <v>6.6</v>
      </c>
      <c r="D85" s="17">
        <v>29</v>
      </c>
      <c r="E85" s="18">
        <v>8.5</v>
      </c>
      <c r="F85" s="17">
        <v>12</v>
      </c>
      <c r="G85" s="18">
        <v>6</v>
      </c>
      <c r="H85" s="17">
        <v>4</v>
      </c>
      <c r="I85" s="18">
        <v>1.4</v>
      </c>
      <c r="J85" s="17" t="s">
        <v>210</v>
      </c>
      <c r="K85" s="18" t="s">
        <v>210</v>
      </c>
      <c r="L85" s="17">
        <v>4475</v>
      </c>
      <c r="M85" s="18">
        <v>45.71</v>
      </c>
      <c r="N85" s="17">
        <v>505</v>
      </c>
      <c r="O85" s="18">
        <v>7.9649999999999999</v>
      </c>
      <c r="P85" s="17">
        <v>13420</v>
      </c>
      <c r="Q85" s="18">
        <v>134.19999999999999</v>
      </c>
      <c r="R85" s="17">
        <v>2140</v>
      </c>
      <c r="S85" s="18">
        <v>28.42</v>
      </c>
      <c r="T85" s="17">
        <v>209</v>
      </c>
      <c r="U85" s="18">
        <v>4.18</v>
      </c>
      <c r="V85" s="17">
        <v>1234</v>
      </c>
      <c r="W85" s="18">
        <v>74.040000000000006</v>
      </c>
      <c r="X85" s="17">
        <v>12330</v>
      </c>
      <c r="Y85" s="18">
        <v>18.495000000000001</v>
      </c>
      <c r="Z85" s="17">
        <v>16800</v>
      </c>
      <c r="AA85" s="21">
        <v>25.2</v>
      </c>
      <c r="AB85" s="8" t="s">
        <v>131</v>
      </c>
      <c r="AC85" s="9"/>
      <c r="AD85" s="9"/>
    </row>
    <row r="86" spans="1:30" x14ac:dyDescent="0.3">
      <c r="A86" s="7" t="s">
        <v>132</v>
      </c>
      <c r="B86" s="20">
        <v>216</v>
      </c>
      <c r="C86" s="18">
        <v>32.317999999999998</v>
      </c>
      <c r="D86" s="17">
        <v>250</v>
      </c>
      <c r="E86" s="18">
        <v>62.1</v>
      </c>
      <c r="F86" s="17" t="s">
        <v>210</v>
      </c>
      <c r="G86" s="18" t="s">
        <v>210</v>
      </c>
      <c r="H86" s="17" t="s">
        <v>210</v>
      </c>
      <c r="I86" s="18" t="s">
        <v>210</v>
      </c>
      <c r="J86" s="17" t="s">
        <v>210</v>
      </c>
      <c r="K86" s="18" t="s">
        <v>210</v>
      </c>
      <c r="L86" s="17">
        <v>21340</v>
      </c>
      <c r="M86" s="18">
        <v>171.571</v>
      </c>
      <c r="N86" s="17">
        <v>760</v>
      </c>
      <c r="O86" s="18">
        <v>12.159000000000001</v>
      </c>
      <c r="P86" s="17">
        <v>542</v>
      </c>
      <c r="Q86" s="18">
        <v>4.6959999999999997</v>
      </c>
      <c r="R86" s="17">
        <v>410</v>
      </c>
      <c r="S86" s="18">
        <v>6.35</v>
      </c>
      <c r="T86" s="17">
        <v>50</v>
      </c>
      <c r="U86" s="18">
        <v>0.9</v>
      </c>
      <c r="V86" s="17">
        <v>710</v>
      </c>
      <c r="W86" s="18">
        <v>42.6</v>
      </c>
      <c r="X86" s="17">
        <v>2071</v>
      </c>
      <c r="Y86" s="18">
        <v>3.5920000000000001</v>
      </c>
      <c r="Z86" s="17" t="s">
        <v>210</v>
      </c>
      <c r="AA86" s="21" t="s">
        <v>210</v>
      </c>
      <c r="AB86" s="8" t="s">
        <v>133</v>
      </c>
      <c r="AC86" s="9"/>
      <c r="AD86" s="9"/>
    </row>
    <row r="87" spans="1:30" x14ac:dyDescent="0.3">
      <c r="A87" s="7" t="s">
        <v>134</v>
      </c>
      <c r="B87" s="20" t="s">
        <v>210</v>
      </c>
      <c r="C87" s="18" t="s">
        <v>210</v>
      </c>
      <c r="D87" s="17" t="s">
        <v>210</v>
      </c>
      <c r="E87" s="18" t="s">
        <v>210</v>
      </c>
      <c r="F87" s="17" t="s">
        <v>210</v>
      </c>
      <c r="G87" s="18" t="s">
        <v>210</v>
      </c>
      <c r="H87" s="17" t="s">
        <v>210</v>
      </c>
      <c r="I87" s="18" t="s">
        <v>210</v>
      </c>
      <c r="J87" s="17" t="s">
        <v>210</v>
      </c>
      <c r="K87" s="18" t="s">
        <v>210</v>
      </c>
      <c r="L87" s="17">
        <v>862</v>
      </c>
      <c r="M87" s="18">
        <v>8.85</v>
      </c>
      <c r="N87" s="17">
        <v>22</v>
      </c>
      <c r="O87" s="18">
        <v>0.40100000000000002</v>
      </c>
      <c r="P87" s="17">
        <v>4069</v>
      </c>
      <c r="Q87" s="18">
        <v>37.700000000000003</v>
      </c>
      <c r="R87" s="17">
        <v>83</v>
      </c>
      <c r="S87" s="18">
        <v>1.341</v>
      </c>
      <c r="T87" s="17">
        <v>19</v>
      </c>
      <c r="U87" s="18">
        <v>0.36</v>
      </c>
      <c r="V87" s="17">
        <v>170</v>
      </c>
      <c r="W87" s="18">
        <v>6.2750000000000004</v>
      </c>
      <c r="X87" s="17">
        <v>835</v>
      </c>
      <c r="Y87" s="18">
        <v>2.0329999999999999</v>
      </c>
      <c r="Z87" s="17">
        <v>356</v>
      </c>
      <c r="AA87" s="21">
        <v>0.67100000000000004</v>
      </c>
      <c r="AB87" s="8" t="s">
        <v>135</v>
      </c>
      <c r="AC87" s="9"/>
      <c r="AD87" s="9"/>
    </row>
    <row r="88" spans="1:30" x14ac:dyDescent="0.3">
      <c r="A88" s="7" t="s">
        <v>136</v>
      </c>
      <c r="B88" s="20">
        <v>9</v>
      </c>
      <c r="C88" s="18">
        <v>1.405</v>
      </c>
      <c r="D88" s="17">
        <v>181</v>
      </c>
      <c r="E88" s="18">
        <v>47.488999999999997</v>
      </c>
      <c r="F88" s="17">
        <v>199</v>
      </c>
      <c r="G88" s="18">
        <v>54.514000000000003</v>
      </c>
      <c r="H88" s="17" t="s">
        <v>210</v>
      </c>
      <c r="I88" s="18" t="s">
        <v>210</v>
      </c>
      <c r="J88" s="17" t="s">
        <v>210</v>
      </c>
      <c r="K88" s="18" t="s">
        <v>210</v>
      </c>
      <c r="L88" s="17">
        <v>2924</v>
      </c>
      <c r="M88" s="18">
        <v>34.933999999999997</v>
      </c>
      <c r="N88" s="17">
        <v>78</v>
      </c>
      <c r="O88" s="18">
        <v>1.4850000000000001</v>
      </c>
      <c r="P88" s="17">
        <v>7979</v>
      </c>
      <c r="Q88" s="18">
        <v>60.427999999999997</v>
      </c>
      <c r="R88" s="17">
        <v>464</v>
      </c>
      <c r="S88" s="18">
        <v>8.9220000000000006</v>
      </c>
      <c r="T88" s="17">
        <v>67</v>
      </c>
      <c r="U88" s="18">
        <v>1.123</v>
      </c>
      <c r="V88" s="17">
        <v>83</v>
      </c>
      <c r="W88" s="18">
        <v>5.149</v>
      </c>
      <c r="X88" s="17">
        <v>10236</v>
      </c>
      <c r="Y88" s="18">
        <v>20.422000000000001</v>
      </c>
      <c r="Z88" s="17" t="s">
        <v>210</v>
      </c>
      <c r="AA88" s="21" t="s">
        <v>210</v>
      </c>
      <c r="AB88" s="8" t="s">
        <v>137</v>
      </c>
      <c r="AC88" s="9"/>
      <c r="AD88" s="9"/>
    </row>
    <row r="89" spans="1:30" x14ac:dyDescent="0.3">
      <c r="A89" s="55" t="s">
        <v>138</v>
      </c>
      <c r="B89" s="53">
        <f t="shared" ref="B89:F89" si="27">SUM(B91:B103)</f>
        <v>1129</v>
      </c>
      <c r="C89" s="36">
        <f t="shared" si="27"/>
        <v>233.46900000000002</v>
      </c>
      <c r="D89" s="36">
        <f t="shared" si="27"/>
        <v>1833</v>
      </c>
      <c r="E89" s="36">
        <f t="shared" si="27"/>
        <v>462.36299999999994</v>
      </c>
      <c r="F89" s="36">
        <f t="shared" si="27"/>
        <v>893</v>
      </c>
      <c r="G89" s="36">
        <f t="shared" ref="G89:M89" si="28">SUM(G91:G103)</f>
        <v>323.137</v>
      </c>
      <c r="H89" s="36">
        <f t="shared" si="28"/>
        <v>0</v>
      </c>
      <c r="I89" s="35">
        <f t="shared" si="28"/>
        <v>0</v>
      </c>
      <c r="J89" s="36">
        <f t="shared" si="28"/>
        <v>0</v>
      </c>
      <c r="K89" s="35">
        <f t="shared" si="28"/>
        <v>0</v>
      </c>
      <c r="L89" s="36">
        <f t="shared" si="28"/>
        <v>88130</v>
      </c>
      <c r="M89" s="36">
        <f t="shared" si="28"/>
        <v>888.59199999999987</v>
      </c>
      <c r="N89" s="36">
        <f>SUM(N91:N103)</f>
        <v>9391</v>
      </c>
      <c r="O89" s="36">
        <f>SUM(O91:O103)</f>
        <v>184.18900000000002</v>
      </c>
      <c r="P89" s="35">
        <f>SUM(P91:P103)</f>
        <v>89691</v>
      </c>
      <c r="Q89" s="36">
        <f t="shared" ref="Q89:AA89" si="29">SUM(Q91:Q103)</f>
        <v>882.72199999999998</v>
      </c>
      <c r="R89" s="36">
        <f t="shared" si="29"/>
        <v>8071</v>
      </c>
      <c r="S89" s="35">
        <f t="shared" si="29"/>
        <v>171.12400000000002</v>
      </c>
      <c r="T89" s="36">
        <f t="shared" si="29"/>
        <v>3261</v>
      </c>
      <c r="U89" s="35">
        <f t="shared" si="29"/>
        <v>56.071999999999989</v>
      </c>
      <c r="V89" s="36">
        <f t="shared" si="29"/>
        <v>4979</v>
      </c>
      <c r="W89" s="35">
        <f t="shared" si="29"/>
        <v>336.84999999999991</v>
      </c>
      <c r="X89" s="36">
        <f t="shared" si="29"/>
        <v>67210</v>
      </c>
      <c r="Y89" s="35">
        <f t="shared" si="29"/>
        <v>135.77000000000001</v>
      </c>
      <c r="Z89" s="36">
        <f t="shared" si="29"/>
        <v>20458</v>
      </c>
      <c r="AA89" s="50">
        <f t="shared" si="29"/>
        <v>33.339999999999996</v>
      </c>
      <c r="AB89" s="63" t="s">
        <v>139</v>
      </c>
      <c r="AC89" s="63"/>
      <c r="AD89" s="63"/>
    </row>
    <row r="90" spans="1:30" x14ac:dyDescent="0.3">
      <c r="A90" s="55"/>
      <c r="B90" s="53"/>
      <c r="C90" s="36"/>
      <c r="D90" s="36"/>
      <c r="E90" s="36"/>
      <c r="F90" s="36"/>
      <c r="G90" s="36"/>
      <c r="H90" s="36"/>
      <c r="I90" s="35"/>
      <c r="J90" s="36"/>
      <c r="K90" s="35"/>
      <c r="L90" s="36"/>
      <c r="M90" s="36"/>
      <c r="N90" s="36"/>
      <c r="O90" s="36"/>
      <c r="P90" s="35"/>
      <c r="Q90" s="36"/>
      <c r="R90" s="36"/>
      <c r="S90" s="35"/>
      <c r="T90" s="36"/>
      <c r="U90" s="35"/>
      <c r="V90" s="36"/>
      <c r="W90" s="35"/>
      <c r="X90" s="36"/>
      <c r="Y90" s="35"/>
      <c r="Z90" s="36"/>
      <c r="AA90" s="50"/>
      <c r="AB90" s="63"/>
      <c r="AC90" s="63"/>
      <c r="AD90" s="63"/>
    </row>
    <row r="91" spans="1:30" x14ac:dyDescent="0.3">
      <c r="A91" s="7" t="s">
        <v>140</v>
      </c>
      <c r="B91" s="20">
        <v>20</v>
      </c>
      <c r="C91" s="18">
        <v>3.4</v>
      </c>
      <c r="D91" s="17">
        <v>136</v>
      </c>
      <c r="E91" s="18">
        <v>29.92</v>
      </c>
      <c r="F91" s="17" t="s">
        <v>210</v>
      </c>
      <c r="G91" s="18" t="s">
        <v>210</v>
      </c>
      <c r="H91" s="17" t="s">
        <v>210</v>
      </c>
      <c r="I91" s="18" t="s">
        <v>210</v>
      </c>
      <c r="J91" s="17" t="s">
        <v>210</v>
      </c>
      <c r="K91" s="18" t="s">
        <v>210</v>
      </c>
      <c r="L91" s="17">
        <v>1197</v>
      </c>
      <c r="M91" s="18">
        <v>11.97</v>
      </c>
      <c r="N91" s="17">
        <v>237</v>
      </c>
      <c r="O91" s="18">
        <v>3.7919999999999998</v>
      </c>
      <c r="P91" s="17">
        <v>1664</v>
      </c>
      <c r="Q91" s="18">
        <v>16.64</v>
      </c>
      <c r="R91" s="17">
        <v>197</v>
      </c>
      <c r="S91" s="18">
        <v>3.94</v>
      </c>
      <c r="T91" s="17">
        <v>122</v>
      </c>
      <c r="U91" s="18">
        <v>2.44</v>
      </c>
      <c r="V91" s="17">
        <v>24</v>
      </c>
      <c r="W91" s="18">
        <v>1.92</v>
      </c>
      <c r="X91" s="17">
        <v>1331</v>
      </c>
      <c r="Y91" s="18">
        <v>2.6619999999999999</v>
      </c>
      <c r="Z91" s="17">
        <v>166</v>
      </c>
      <c r="AA91" s="21">
        <v>0.248</v>
      </c>
      <c r="AB91" s="8" t="s">
        <v>141</v>
      </c>
      <c r="AC91" s="9"/>
      <c r="AD91" s="9"/>
    </row>
    <row r="92" spans="1:30" x14ac:dyDescent="0.3">
      <c r="A92" s="7" t="s">
        <v>142</v>
      </c>
      <c r="B92" s="20">
        <v>28</v>
      </c>
      <c r="C92" s="18">
        <v>4.5880000000000001</v>
      </c>
      <c r="D92" s="17">
        <v>181</v>
      </c>
      <c r="E92" s="18">
        <v>42.095999999999997</v>
      </c>
      <c r="F92" s="17">
        <v>46</v>
      </c>
      <c r="G92" s="18">
        <v>8.8140000000000001</v>
      </c>
      <c r="H92" s="17" t="s">
        <v>210</v>
      </c>
      <c r="I92" s="18" t="s">
        <v>210</v>
      </c>
      <c r="J92" s="17" t="s">
        <v>210</v>
      </c>
      <c r="K92" s="18" t="s">
        <v>210</v>
      </c>
      <c r="L92" s="17">
        <v>1567</v>
      </c>
      <c r="M92" s="18">
        <v>17.689</v>
      </c>
      <c r="N92" s="17">
        <v>137</v>
      </c>
      <c r="O92" s="18">
        <v>4.1100000000000003</v>
      </c>
      <c r="P92" s="17">
        <v>1063</v>
      </c>
      <c r="Q92" s="18">
        <v>10.916</v>
      </c>
      <c r="R92" s="17">
        <v>143</v>
      </c>
      <c r="S92" s="18">
        <v>4.29</v>
      </c>
      <c r="T92" s="17">
        <v>28</v>
      </c>
      <c r="U92" s="18">
        <v>0.56000000000000005</v>
      </c>
      <c r="V92" s="17">
        <v>835</v>
      </c>
      <c r="W92" s="18">
        <v>66.733999999999995</v>
      </c>
      <c r="X92" s="17">
        <v>7825</v>
      </c>
      <c r="Y92" s="18">
        <v>16.329999999999998</v>
      </c>
      <c r="Z92" s="17">
        <v>1413</v>
      </c>
      <c r="AA92" s="21">
        <v>2.7330000000000001</v>
      </c>
      <c r="AB92" s="8" t="s">
        <v>143</v>
      </c>
      <c r="AC92" s="9"/>
      <c r="AD92" s="9"/>
    </row>
    <row r="93" spans="1:30" x14ac:dyDescent="0.3">
      <c r="A93" s="7" t="s">
        <v>144</v>
      </c>
      <c r="B93" s="20">
        <v>57</v>
      </c>
      <c r="C93" s="18">
        <v>6.5549999999999997</v>
      </c>
      <c r="D93" s="17">
        <v>34</v>
      </c>
      <c r="E93" s="18">
        <v>6.3840000000000003</v>
      </c>
      <c r="F93" s="17" t="s">
        <v>210</v>
      </c>
      <c r="G93" s="18" t="s">
        <v>210</v>
      </c>
      <c r="H93" s="17" t="s">
        <v>210</v>
      </c>
      <c r="I93" s="18" t="s">
        <v>210</v>
      </c>
      <c r="J93" s="17" t="s">
        <v>210</v>
      </c>
      <c r="K93" s="18" t="s">
        <v>210</v>
      </c>
      <c r="L93" s="17">
        <v>157</v>
      </c>
      <c r="M93" s="18">
        <v>1.615</v>
      </c>
      <c r="N93" s="17">
        <v>102</v>
      </c>
      <c r="O93" s="18">
        <v>2</v>
      </c>
      <c r="P93" s="17">
        <v>925</v>
      </c>
      <c r="Q93" s="18">
        <v>10.93</v>
      </c>
      <c r="R93" s="17">
        <v>278</v>
      </c>
      <c r="S93" s="18">
        <v>5.524</v>
      </c>
      <c r="T93" s="17">
        <v>1288</v>
      </c>
      <c r="U93" s="18">
        <v>18.5</v>
      </c>
      <c r="V93" s="17">
        <v>475</v>
      </c>
      <c r="W93" s="18">
        <v>34.692999999999998</v>
      </c>
      <c r="X93" s="17">
        <v>5050</v>
      </c>
      <c r="Y93" s="18">
        <v>8.9450000000000003</v>
      </c>
      <c r="Z93" s="17">
        <v>3880</v>
      </c>
      <c r="AA93" s="21">
        <v>8.64</v>
      </c>
      <c r="AB93" s="8" t="s">
        <v>145</v>
      </c>
      <c r="AC93" s="9"/>
      <c r="AD93" s="9"/>
    </row>
    <row r="94" spans="1:30" x14ac:dyDescent="0.3">
      <c r="A94" s="7" t="s">
        <v>146</v>
      </c>
      <c r="B94" s="20">
        <v>3</v>
      </c>
      <c r="C94" s="18">
        <v>0.35</v>
      </c>
      <c r="D94" s="17">
        <v>7</v>
      </c>
      <c r="E94" s="18">
        <v>1.75</v>
      </c>
      <c r="F94" s="17">
        <v>9</v>
      </c>
      <c r="G94" s="18">
        <v>5.4</v>
      </c>
      <c r="H94" s="17" t="s">
        <v>210</v>
      </c>
      <c r="I94" s="18" t="s">
        <v>210</v>
      </c>
      <c r="J94" s="17" t="s">
        <v>210</v>
      </c>
      <c r="K94" s="18" t="s">
        <v>210</v>
      </c>
      <c r="L94" s="17">
        <v>6570</v>
      </c>
      <c r="M94" s="18">
        <v>46.61</v>
      </c>
      <c r="N94" s="17">
        <v>150</v>
      </c>
      <c r="O94" s="18">
        <v>2.4500000000000002</v>
      </c>
      <c r="P94" s="17">
        <v>17087</v>
      </c>
      <c r="Q94" s="18">
        <v>126.85</v>
      </c>
      <c r="R94" s="17">
        <v>280</v>
      </c>
      <c r="S94" s="18">
        <v>5.6</v>
      </c>
      <c r="T94" s="17">
        <v>53</v>
      </c>
      <c r="U94" s="18">
        <v>0.84</v>
      </c>
      <c r="V94" s="17">
        <v>44</v>
      </c>
      <c r="W94" s="18">
        <v>1.56</v>
      </c>
      <c r="X94" s="17">
        <v>3730</v>
      </c>
      <c r="Y94" s="18">
        <v>6.8540000000000001</v>
      </c>
      <c r="Z94" s="17">
        <v>900</v>
      </c>
      <c r="AA94" s="21">
        <v>1.46</v>
      </c>
      <c r="AB94" s="8" t="s">
        <v>147</v>
      </c>
      <c r="AC94" s="9"/>
      <c r="AD94" s="9"/>
    </row>
    <row r="95" spans="1:30" x14ac:dyDescent="0.3">
      <c r="A95" s="7" t="s">
        <v>148</v>
      </c>
      <c r="B95" s="22" t="s">
        <v>210</v>
      </c>
      <c r="C95" s="18" t="s">
        <v>210</v>
      </c>
      <c r="D95" s="19" t="s">
        <v>210</v>
      </c>
      <c r="E95" s="18" t="s">
        <v>210</v>
      </c>
      <c r="F95" s="19" t="s">
        <v>210</v>
      </c>
      <c r="G95" s="18" t="s">
        <v>210</v>
      </c>
      <c r="H95" s="19" t="s">
        <v>210</v>
      </c>
      <c r="I95" s="18" t="s">
        <v>210</v>
      </c>
      <c r="J95" s="19" t="s">
        <v>210</v>
      </c>
      <c r="K95" s="18" t="s">
        <v>210</v>
      </c>
      <c r="L95" s="19">
        <v>339</v>
      </c>
      <c r="M95" s="18">
        <v>4.407</v>
      </c>
      <c r="N95" s="19">
        <v>15</v>
      </c>
      <c r="O95" s="18">
        <v>0.23</v>
      </c>
      <c r="P95" s="19" t="s">
        <v>210</v>
      </c>
      <c r="Q95" s="18" t="s">
        <v>210</v>
      </c>
      <c r="R95" s="19" t="s">
        <v>210</v>
      </c>
      <c r="S95" s="18" t="s">
        <v>210</v>
      </c>
      <c r="T95" s="19" t="s">
        <v>210</v>
      </c>
      <c r="U95" s="18" t="s">
        <v>210</v>
      </c>
      <c r="V95" s="19" t="s">
        <v>210</v>
      </c>
      <c r="W95" s="18" t="s">
        <v>210</v>
      </c>
      <c r="X95" s="19" t="s">
        <v>210</v>
      </c>
      <c r="Y95" s="18" t="s">
        <v>210</v>
      </c>
      <c r="Z95" s="19" t="s">
        <v>210</v>
      </c>
      <c r="AA95" s="21" t="s">
        <v>210</v>
      </c>
      <c r="AB95" s="8" t="s">
        <v>149</v>
      </c>
      <c r="AC95" s="9"/>
      <c r="AD95" s="9"/>
    </row>
    <row r="96" spans="1:30" x14ac:dyDescent="0.3">
      <c r="A96" s="7" t="s">
        <v>150</v>
      </c>
      <c r="B96" s="20">
        <v>27</v>
      </c>
      <c r="C96" s="18">
        <v>5.4</v>
      </c>
      <c r="D96" s="17">
        <v>139</v>
      </c>
      <c r="E96" s="18">
        <v>30.58</v>
      </c>
      <c r="F96" s="17" t="s">
        <v>210</v>
      </c>
      <c r="G96" s="18" t="s">
        <v>210</v>
      </c>
      <c r="H96" s="17" t="s">
        <v>210</v>
      </c>
      <c r="I96" s="18" t="s">
        <v>210</v>
      </c>
      <c r="J96" s="17" t="s">
        <v>210</v>
      </c>
      <c r="K96" s="18" t="s">
        <v>210</v>
      </c>
      <c r="L96" s="17">
        <v>12199</v>
      </c>
      <c r="M96" s="18">
        <v>118.99</v>
      </c>
      <c r="N96" s="17">
        <v>2464</v>
      </c>
      <c r="O96" s="18">
        <v>39.423999999999999</v>
      </c>
      <c r="P96" s="17">
        <v>14320</v>
      </c>
      <c r="Q96" s="18">
        <v>143.19999999999999</v>
      </c>
      <c r="R96" s="17">
        <v>1621</v>
      </c>
      <c r="S96" s="18">
        <v>32.42</v>
      </c>
      <c r="T96" s="17">
        <v>764</v>
      </c>
      <c r="U96" s="18">
        <v>15.28</v>
      </c>
      <c r="V96" s="17">
        <v>20</v>
      </c>
      <c r="W96" s="18">
        <v>1.6</v>
      </c>
      <c r="X96" s="17">
        <v>362</v>
      </c>
      <c r="Y96" s="18">
        <v>0.72399999999999998</v>
      </c>
      <c r="Z96" s="17" t="s">
        <v>210</v>
      </c>
      <c r="AA96" s="21" t="s">
        <v>210</v>
      </c>
      <c r="AB96" s="8" t="s">
        <v>151</v>
      </c>
      <c r="AC96" s="9"/>
      <c r="AD96" s="9"/>
    </row>
    <row r="97" spans="1:30" x14ac:dyDescent="0.3">
      <c r="A97" s="7" t="s">
        <v>152</v>
      </c>
      <c r="B97" s="20">
        <v>38</v>
      </c>
      <c r="C97" s="18">
        <v>3.8</v>
      </c>
      <c r="D97" s="17">
        <v>410</v>
      </c>
      <c r="E97" s="18">
        <v>76.5</v>
      </c>
      <c r="F97" s="17">
        <v>240</v>
      </c>
      <c r="G97" s="18">
        <v>76.400000000000006</v>
      </c>
      <c r="H97" s="17" t="s">
        <v>210</v>
      </c>
      <c r="I97" s="18" t="s">
        <v>210</v>
      </c>
      <c r="J97" s="17" t="s">
        <v>210</v>
      </c>
      <c r="K97" s="18" t="s">
        <v>210</v>
      </c>
      <c r="L97" s="17">
        <v>1305</v>
      </c>
      <c r="M97" s="18">
        <v>15.234999999999999</v>
      </c>
      <c r="N97" s="17">
        <v>4</v>
      </c>
      <c r="O97" s="18">
        <v>0.12</v>
      </c>
      <c r="P97" s="17">
        <v>1762</v>
      </c>
      <c r="Q97" s="18">
        <v>16.085999999999999</v>
      </c>
      <c r="R97" s="17" t="s">
        <v>210</v>
      </c>
      <c r="S97" s="18" t="s">
        <v>210</v>
      </c>
      <c r="T97" s="17">
        <v>11</v>
      </c>
      <c r="U97" s="18">
        <v>0.21199999999999999</v>
      </c>
      <c r="V97" s="17">
        <v>340</v>
      </c>
      <c r="W97" s="18">
        <v>23.9</v>
      </c>
      <c r="X97" s="17" t="s">
        <v>210</v>
      </c>
      <c r="Y97" s="18" t="s">
        <v>210</v>
      </c>
      <c r="Z97" s="17">
        <v>230</v>
      </c>
      <c r="AA97" s="21">
        <v>0.34</v>
      </c>
      <c r="AB97" s="8" t="s">
        <v>153</v>
      </c>
      <c r="AC97" s="9"/>
      <c r="AD97" s="9"/>
    </row>
    <row r="98" spans="1:30" x14ac:dyDescent="0.3">
      <c r="A98" s="7" t="s">
        <v>154</v>
      </c>
      <c r="B98" s="20">
        <v>19</v>
      </c>
      <c r="C98" s="18">
        <v>2.97</v>
      </c>
      <c r="D98" s="17">
        <v>6</v>
      </c>
      <c r="E98" s="18">
        <v>1.32</v>
      </c>
      <c r="F98" s="17">
        <v>2</v>
      </c>
      <c r="G98" s="18">
        <v>0.36</v>
      </c>
      <c r="H98" s="17" t="s">
        <v>210</v>
      </c>
      <c r="I98" s="18" t="s">
        <v>210</v>
      </c>
      <c r="J98" s="17" t="s">
        <v>210</v>
      </c>
      <c r="K98" s="18" t="s">
        <v>210</v>
      </c>
      <c r="L98" s="17">
        <v>4837</v>
      </c>
      <c r="M98" s="18">
        <v>47.317999999999998</v>
      </c>
      <c r="N98" s="17">
        <v>1125</v>
      </c>
      <c r="O98" s="18">
        <v>20.925000000000001</v>
      </c>
      <c r="P98" s="17">
        <v>7384</v>
      </c>
      <c r="Q98" s="18">
        <v>72.405000000000001</v>
      </c>
      <c r="R98" s="17">
        <v>1833</v>
      </c>
      <c r="S98" s="18">
        <v>31.11</v>
      </c>
      <c r="T98" s="17">
        <v>49</v>
      </c>
      <c r="U98" s="18">
        <v>0.98</v>
      </c>
      <c r="V98" s="17">
        <v>340</v>
      </c>
      <c r="W98" s="18">
        <v>21.824999999999999</v>
      </c>
      <c r="X98" s="17">
        <v>14770</v>
      </c>
      <c r="Y98" s="18">
        <v>22.77</v>
      </c>
      <c r="Z98" s="17">
        <v>1605</v>
      </c>
      <c r="AA98" s="21">
        <v>2.69</v>
      </c>
      <c r="AB98" s="8" t="s">
        <v>155</v>
      </c>
      <c r="AC98" s="9"/>
      <c r="AD98" s="9"/>
    </row>
    <row r="99" spans="1:30" x14ac:dyDescent="0.3">
      <c r="A99" s="7" t="s">
        <v>156</v>
      </c>
      <c r="B99" s="20">
        <v>16</v>
      </c>
      <c r="C99" s="18">
        <v>3.2</v>
      </c>
      <c r="D99" s="17">
        <v>73</v>
      </c>
      <c r="E99" s="18">
        <v>16.425000000000001</v>
      </c>
      <c r="F99" s="17" t="s">
        <v>210</v>
      </c>
      <c r="G99" s="18" t="s">
        <v>210</v>
      </c>
      <c r="H99" s="17" t="s">
        <v>210</v>
      </c>
      <c r="I99" s="18" t="s">
        <v>210</v>
      </c>
      <c r="J99" s="17" t="s">
        <v>210</v>
      </c>
      <c r="K99" s="18" t="s">
        <v>210</v>
      </c>
      <c r="L99" s="17">
        <v>2394</v>
      </c>
      <c r="M99" s="18">
        <v>23.94</v>
      </c>
      <c r="N99" s="17">
        <v>271</v>
      </c>
      <c r="O99" s="18">
        <v>4.3360000000000003</v>
      </c>
      <c r="P99" s="17">
        <v>1446</v>
      </c>
      <c r="Q99" s="18">
        <v>14.46</v>
      </c>
      <c r="R99" s="17">
        <v>174</v>
      </c>
      <c r="S99" s="18">
        <v>3.48</v>
      </c>
      <c r="T99" s="17">
        <v>22</v>
      </c>
      <c r="U99" s="18">
        <v>0.44</v>
      </c>
      <c r="V99" s="17" t="s">
        <v>210</v>
      </c>
      <c r="W99" s="18" t="s">
        <v>210</v>
      </c>
      <c r="X99" s="17">
        <v>166</v>
      </c>
      <c r="Y99" s="18">
        <v>0.33200000000000002</v>
      </c>
      <c r="Z99" s="17" t="s">
        <v>210</v>
      </c>
      <c r="AA99" s="21" t="s">
        <v>210</v>
      </c>
      <c r="AB99" s="8" t="s">
        <v>157</v>
      </c>
      <c r="AC99" s="9"/>
      <c r="AD99" s="9"/>
    </row>
    <row r="100" spans="1:30" x14ac:dyDescent="0.3">
      <c r="A100" s="7" t="s">
        <v>158</v>
      </c>
      <c r="B100" s="20">
        <v>871</v>
      </c>
      <c r="C100" s="18">
        <v>194.95</v>
      </c>
      <c r="D100" s="17">
        <v>533</v>
      </c>
      <c r="E100" s="18">
        <v>183.2</v>
      </c>
      <c r="F100" s="17">
        <v>472</v>
      </c>
      <c r="G100" s="18">
        <v>197.55</v>
      </c>
      <c r="H100" s="17" t="s">
        <v>210</v>
      </c>
      <c r="I100" s="18" t="s">
        <v>210</v>
      </c>
      <c r="J100" s="17" t="s">
        <v>210</v>
      </c>
      <c r="K100" s="18" t="s">
        <v>210</v>
      </c>
      <c r="L100" s="17">
        <v>43953</v>
      </c>
      <c r="M100" s="18">
        <v>461.536</v>
      </c>
      <c r="N100" s="17">
        <v>2581</v>
      </c>
      <c r="O100" s="18">
        <v>69.070999999999998</v>
      </c>
      <c r="P100" s="17">
        <v>30406</v>
      </c>
      <c r="Q100" s="18">
        <v>340.65600000000001</v>
      </c>
      <c r="R100" s="17">
        <v>1691</v>
      </c>
      <c r="S100" s="18">
        <v>48.076999999999998</v>
      </c>
      <c r="T100" s="17">
        <v>579</v>
      </c>
      <c r="U100" s="18">
        <v>11.065</v>
      </c>
      <c r="V100" s="17">
        <v>1258</v>
      </c>
      <c r="W100" s="18">
        <v>80.322999999999993</v>
      </c>
      <c r="X100" s="17">
        <v>25530</v>
      </c>
      <c r="Y100" s="18">
        <v>63.667999999999999</v>
      </c>
      <c r="Z100" s="17">
        <v>12060</v>
      </c>
      <c r="AA100" s="21">
        <v>16.841000000000001</v>
      </c>
      <c r="AB100" s="8" t="s">
        <v>159</v>
      </c>
      <c r="AC100" s="9"/>
      <c r="AD100" s="9"/>
    </row>
    <row r="101" spans="1:30" x14ac:dyDescent="0.3">
      <c r="A101" s="7" t="s">
        <v>160</v>
      </c>
      <c r="B101" s="20">
        <v>2</v>
      </c>
      <c r="C101" s="18">
        <v>0.36</v>
      </c>
      <c r="D101" s="17">
        <v>152</v>
      </c>
      <c r="E101" s="18">
        <v>38</v>
      </c>
      <c r="F101" s="17">
        <v>48</v>
      </c>
      <c r="G101" s="18">
        <v>16.8</v>
      </c>
      <c r="H101" s="17" t="s">
        <v>210</v>
      </c>
      <c r="I101" s="18" t="s">
        <v>210</v>
      </c>
      <c r="J101" s="17" t="s">
        <v>210</v>
      </c>
      <c r="K101" s="18" t="s">
        <v>210</v>
      </c>
      <c r="L101" s="17">
        <v>606</v>
      </c>
      <c r="M101" s="18">
        <v>6.06</v>
      </c>
      <c r="N101" s="17">
        <v>37</v>
      </c>
      <c r="O101" s="18">
        <v>0.66600000000000004</v>
      </c>
      <c r="P101" s="17">
        <v>836</v>
      </c>
      <c r="Q101" s="18">
        <v>10.032</v>
      </c>
      <c r="R101" s="17">
        <v>95</v>
      </c>
      <c r="S101" s="18">
        <v>1.71</v>
      </c>
      <c r="T101" s="17">
        <v>20</v>
      </c>
      <c r="U101" s="18">
        <v>0.36</v>
      </c>
      <c r="V101" s="17">
        <v>12</v>
      </c>
      <c r="W101" s="18">
        <v>0.54</v>
      </c>
      <c r="X101" s="17">
        <v>1830</v>
      </c>
      <c r="Y101" s="18">
        <v>2.74</v>
      </c>
      <c r="Z101" s="17">
        <v>100</v>
      </c>
      <c r="AA101" s="21">
        <v>0.18</v>
      </c>
      <c r="AB101" s="8" t="s">
        <v>161</v>
      </c>
      <c r="AC101" s="9"/>
      <c r="AD101" s="9"/>
    </row>
    <row r="102" spans="1:30" x14ac:dyDescent="0.3">
      <c r="A102" s="7" t="s">
        <v>162</v>
      </c>
      <c r="B102" s="20">
        <v>29</v>
      </c>
      <c r="C102" s="18">
        <v>4.0960000000000001</v>
      </c>
      <c r="D102" s="17">
        <v>102</v>
      </c>
      <c r="E102" s="18">
        <v>22.988</v>
      </c>
      <c r="F102" s="17">
        <v>76</v>
      </c>
      <c r="G102" s="18">
        <v>17.812999999999999</v>
      </c>
      <c r="H102" s="17" t="s">
        <v>210</v>
      </c>
      <c r="I102" s="18" t="s">
        <v>210</v>
      </c>
      <c r="J102" s="17" t="s">
        <v>210</v>
      </c>
      <c r="K102" s="18" t="s">
        <v>210</v>
      </c>
      <c r="L102" s="17">
        <v>3824</v>
      </c>
      <c r="M102" s="18">
        <v>41.402000000000001</v>
      </c>
      <c r="N102" s="17">
        <v>420</v>
      </c>
      <c r="O102" s="18">
        <v>7.5030000000000001</v>
      </c>
      <c r="P102" s="17">
        <v>5263</v>
      </c>
      <c r="Q102" s="18">
        <v>52.497</v>
      </c>
      <c r="R102" s="17">
        <v>937</v>
      </c>
      <c r="S102" s="18">
        <v>18.533000000000001</v>
      </c>
      <c r="T102" s="17">
        <v>221</v>
      </c>
      <c r="U102" s="18">
        <v>3.3149999999999999</v>
      </c>
      <c r="V102" s="17">
        <v>1615</v>
      </c>
      <c r="W102" s="18">
        <v>102.47499999999999</v>
      </c>
      <c r="X102" s="17">
        <v>5011</v>
      </c>
      <c r="Y102" s="18">
        <v>7.5350000000000001</v>
      </c>
      <c r="Z102" s="17" t="s">
        <v>210</v>
      </c>
      <c r="AA102" s="21" t="s">
        <v>210</v>
      </c>
      <c r="AB102" s="8" t="s">
        <v>163</v>
      </c>
      <c r="AC102" s="9"/>
      <c r="AD102" s="9"/>
    </row>
    <row r="103" spans="1:30" x14ac:dyDescent="0.3">
      <c r="A103" s="7" t="s">
        <v>164</v>
      </c>
      <c r="B103" s="20">
        <v>19</v>
      </c>
      <c r="C103" s="18">
        <v>3.8</v>
      </c>
      <c r="D103" s="17">
        <v>60</v>
      </c>
      <c r="E103" s="18">
        <v>13.2</v>
      </c>
      <c r="F103" s="17" t="s">
        <v>210</v>
      </c>
      <c r="G103" s="18" t="s">
        <v>210</v>
      </c>
      <c r="H103" s="17" t="s">
        <v>210</v>
      </c>
      <c r="I103" s="18" t="s">
        <v>210</v>
      </c>
      <c r="J103" s="17" t="s">
        <v>210</v>
      </c>
      <c r="K103" s="18" t="s">
        <v>210</v>
      </c>
      <c r="L103" s="17">
        <v>9182</v>
      </c>
      <c r="M103" s="18">
        <v>91.82</v>
      </c>
      <c r="N103" s="17">
        <v>1848</v>
      </c>
      <c r="O103" s="18">
        <v>29.562000000000001</v>
      </c>
      <c r="P103" s="17">
        <v>7535</v>
      </c>
      <c r="Q103" s="18">
        <v>68.05</v>
      </c>
      <c r="R103" s="17">
        <v>822</v>
      </c>
      <c r="S103" s="18">
        <v>16.440000000000001</v>
      </c>
      <c r="T103" s="17">
        <v>104</v>
      </c>
      <c r="U103" s="18">
        <v>2.08</v>
      </c>
      <c r="V103" s="17">
        <v>16</v>
      </c>
      <c r="W103" s="18">
        <v>1.28</v>
      </c>
      <c r="X103" s="17">
        <v>1605</v>
      </c>
      <c r="Y103" s="18">
        <v>3.21</v>
      </c>
      <c r="Z103" s="17">
        <v>104</v>
      </c>
      <c r="AA103" s="21">
        <v>0.20799999999999999</v>
      </c>
      <c r="AB103" s="8" t="s">
        <v>165</v>
      </c>
      <c r="AC103" s="9"/>
      <c r="AD103" s="9"/>
    </row>
    <row r="104" spans="1:30" x14ac:dyDescent="0.3">
      <c r="A104" s="55" t="s">
        <v>166</v>
      </c>
      <c r="B104" s="53">
        <f t="shared" ref="B104:G104" si="30">SUM(B106:B109)</f>
        <v>479</v>
      </c>
      <c r="C104" s="36">
        <f t="shared" si="30"/>
        <v>86.162999999999997</v>
      </c>
      <c r="D104" s="36">
        <f t="shared" si="30"/>
        <v>1125</v>
      </c>
      <c r="E104" s="36">
        <f t="shared" si="30"/>
        <v>287.75799999999998</v>
      </c>
      <c r="F104" s="36">
        <f t="shared" si="30"/>
        <v>814</v>
      </c>
      <c r="G104" s="36">
        <f t="shared" si="30"/>
        <v>232.18699999999998</v>
      </c>
      <c r="H104" s="36">
        <f t="shared" ref="H104:M104" si="31">SUM(H106:H109)</f>
        <v>1</v>
      </c>
      <c r="I104" s="35">
        <f t="shared" si="31"/>
        <v>0.3</v>
      </c>
      <c r="J104" s="36">
        <f t="shared" si="31"/>
        <v>0</v>
      </c>
      <c r="K104" s="35">
        <f t="shared" si="31"/>
        <v>0</v>
      </c>
      <c r="L104" s="36">
        <f t="shared" si="31"/>
        <v>605675</v>
      </c>
      <c r="M104" s="36">
        <f t="shared" si="31"/>
        <v>6463.4179999999997</v>
      </c>
      <c r="N104" s="36">
        <f>SUM(N106:N109)</f>
        <v>61904</v>
      </c>
      <c r="O104" s="36">
        <f>SUM(O106:O109)</f>
        <v>1166.229</v>
      </c>
      <c r="P104" s="35">
        <f t="shared" ref="P104:AA104" si="32">SUM(P106:P109)</f>
        <v>97388</v>
      </c>
      <c r="Q104" s="36">
        <f t="shared" si="32"/>
        <v>1005.976</v>
      </c>
      <c r="R104" s="36">
        <f t="shared" si="32"/>
        <v>20520</v>
      </c>
      <c r="S104" s="35">
        <f t="shared" si="32"/>
        <v>376.37200000000001</v>
      </c>
      <c r="T104" s="36">
        <f t="shared" si="32"/>
        <v>6436</v>
      </c>
      <c r="U104" s="35">
        <f t="shared" si="32"/>
        <v>116.05099999999999</v>
      </c>
      <c r="V104" s="36">
        <f t="shared" si="32"/>
        <v>45318</v>
      </c>
      <c r="W104" s="35">
        <f t="shared" si="32"/>
        <v>3358.4409999999998</v>
      </c>
      <c r="X104" s="36">
        <f t="shared" si="32"/>
        <v>483182</v>
      </c>
      <c r="Y104" s="35">
        <f t="shared" si="32"/>
        <v>1077.152</v>
      </c>
      <c r="Z104" s="36">
        <f t="shared" si="32"/>
        <v>602505</v>
      </c>
      <c r="AA104" s="50">
        <f t="shared" si="32"/>
        <v>1088.0360000000001</v>
      </c>
      <c r="AB104" s="63" t="s">
        <v>167</v>
      </c>
      <c r="AC104" s="63"/>
      <c r="AD104" s="63"/>
    </row>
    <row r="105" spans="1:30" x14ac:dyDescent="0.3">
      <c r="A105" s="55"/>
      <c r="B105" s="53"/>
      <c r="C105" s="36"/>
      <c r="D105" s="36"/>
      <c r="E105" s="36"/>
      <c r="F105" s="36"/>
      <c r="G105" s="36"/>
      <c r="H105" s="36"/>
      <c r="I105" s="35"/>
      <c r="J105" s="36"/>
      <c r="K105" s="35"/>
      <c r="L105" s="36"/>
      <c r="M105" s="36"/>
      <c r="N105" s="36"/>
      <c r="O105" s="36"/>
      <c r="P105" s="35"/>
      <c r="Q105" s="36"/>
      <c r="R105" s="36"/>
      <c r="S105" s="35"/>
      <c r="T105" s="36"/>
      <c r="U105" s="35"/>
      <c r="V105" s="36"/>
      <c r="W105" s="35"/>
      <c r="X105" s="36"/>
      <c r="Y105" s="35"/>
      <c r="Z105" s="36"/>
      <c r="AA105" s="50"/>
      <c r="AB105" s="63"/>
      <c r="AC105" s="63"/>
      <c r="AD105" s="63"/>
    </row>
    <row r="106" spans="1:30" x14ac:dyDescent="0.3">
      <c r="A106" s="7" t="s">
        <v>168</v>
      </c>
      <c r="B106" s="20">
        <v>242</v>
      </c>
      <c r="C106" s="18">
        <v>35.985999999999997</v>
      </c>
      <c r="D106" s="17">
        <v>755</v>
      </c>
      <c r="E106" s="18">
        <v>180.79499999999999</v>
      </c>
      <c r="F106" s="17">
        <v>12</v>
      </c>
      <c r="G106" s="18">
        <v>2.14</v>
      </c>
      <c r="H106" s="17" t="s">
        <v>210</v>
      </c>
      <c r="I106" s="18" t="s">
        <v>210</v>
      </c>
      <c r="J106" s="17" t="s">
        <v>210</v>
      </c>
      <c r="K106" s="18" t="s">
        <v>210</v>
      </c>
      <c r="L106" s="17">
        <v>53099</v>
      </c>
      <c r="M106" s="18">
        <v>461.40899999999999</v>
      </c>
      <c r="N106" s="17">
        <v>10603</v>
      </c>
      <c r="O106" s="18">
        <v>165.09800000000001</v>
      </c>
      <c r="P106" s="17">
        <v>8466</v>
      </c>
      <c r="Q106" s="18">
        <v>69.039000000000001</v>
      </c>
      <c r="R106" s="17">
        <v>3023</v>
      </c>
      <c r="S106" s="18">
        <v>43.94</v>
      </c>
      <c r="T106" s="17">
        <v>637</v>
      </c>
      <c r="U106" s="18">
        <v>11.788</v>
      </c>
      <c r="V106" s="17">
        <v>4656</v>
      </c>
      <c r="W106" s="18">
        <v>217.52799999999999</v>
      </c>
      <c r="X106" s="17">
        <v>140628</v>
      </c>
      <c r="Y106" s="18">
        <v>219.12100000000001</v>
      </c>
      <c r="Z106" s="17">
        <v>246662</v>
      </c>
      <c r="AA106" s="21">
        <v>375.58199999999999</v>
      </c>
      <c r="AB106" s="8" t="s">
        <v>169</v>
      </c>
      <c r="AC106" s="9"/>
      <c r="AD106" s="9"/>
    </row>
    <row r="107" spans="1:30" x14ac:dyDescent="0.3">
      <c r="A107" s="7" t="s">
        <v>170</v>
      </c>
      <c r="B107" s="22" t="s">
        <v>210</v>
      </c>
      <c r="C107" s="18" t="s">
        <v>210</v>
      </c>
      <c r="D107" s="19" t="s">
        <v>210</v>
      </c>
      <c r="E107" s="18" t="s">
        <v>210</v>
      </c>
      <c r="F107" s="19" t="s">
        <v>210</v>
      </c>
      <c r="G107" s="18" t="s">
        <v>210</v>
      </c>
      <c r="H107" s="19" t="s">
        <v>210</v>
      </c>
      <c r="I107" s="18" t="s">
        <v>210</v>
      </c>
      <c r="J107" s="19" t="s">
        <v>210</v>
      </c>
      <c r="K107" s="18" t="s">
        <v>210</v>
      </c>
      <c r="L107" s="19">
        <v>3387</v>
      </c>
      <c r="M107" s="18">
        <v>32.572000000000003</v>
      </c>
      <c r="N107" s="19">
        <v>11431</v>
      </c>
      <c r="O107" s="18">
        <v>275.16199999999998</v>
      </c>
      <c r="P107" s="19">
        <v>1193</v>
      </c>
      <c r="Q107" s="18">
        <v>11.662000000000001</v>
      </c>
      <c r="R107" s="19">
        <v>4706</v>
      </c>
      <c r="S107" s="18">
        <v>120.45399999999999</v>
      </c>
      <c r="T107" s="19">
        <v>4</v>
      </c>
      <c r="U107" s="18">
        <v>0.08</v>
      </c>
      <c r="V107" s="19" t="s">
        <v>210</v>
      </c>
      <c r="W107" s="18" t="s">
        <v>210</v>
      </c>
      <c r="X107" s="19">
        <v>3530</v>
      </c>
      <c r="Y107" s="18">
        <v>6.875</v>
      </c>
      <c r="Z107" s="19">
        <v>3499</v>
      </c>
      <c r="AA107" s="21">
        <v>6.9279999999999999</v>
      </c>
      <c r="AB107" s="8" t="s">
        <v>171</v>
      </c>
      <c r="AC107" s="9"/>
      <c r="AD107" s="9"/>
    </row>
    <row r="108" spans="1:30" x14ac:dyDescent="0.3">
      <c r="A108" s="7" t="s">
        <v>172</v>
      </c>
      <c r="B108" s="20">
        <v>119</v>
      </c>
      <c r="C108" s="18">
        <v>26.297000000000001</v>
      </c>
      <c r="D108" s="17">
        <v>108</v>
      </c>
      <c r="E108" s="18">
        <v>31.32</v>
      </c>
      <c r="F108" s="17" t="s">
        <v>210</v>
      </c>
      <c r="G108" s="18" t="s">
        <v>210</v>
      </c>
      <c r="H108" s="17" t="s">
        <v>210</v>
      </c>
      <c r="I108" s="18" t="s">
        <v>210</v>
      </c>
      <c r="J108" s="17" t="s">
        <v>210</v>
      </c>
      <c r="K108" s="18" t="s">
        <v>210</v>
      </c>
      <c r="L108" s="17">
        <v>492757</v>
      </c>
      <c r="M108" s="18">
        <v>5332.8029999999999</v>
      </c>
      <c r="N108" s="17">
        <v>30879</v>
      </c>
      <c r="O108" s="18">
        <v>574.721</v>
      </c>
      <c r="P108" s="17">
        <v>63606</v>
      </c>
      <c r="Q108" s="18">
        <v>683.31799999999998</v>
      </c>
      <c r="R108" s="17">
        <v>6342</v>
      </c>
      <c r="S108" s="18">
        <v>109.331</v>
      </c>
      <c r="T108" s="17">
        <v>4323</v>
      </c>
      <c r="U108" s="18">
        <v>80.698999999999998</v>
      </c>
      <c r="V108" s="17">
        <v>34539</v>
      </c>
      <c r="W108" s="18">
        <v>2770.375</v>
      </c>
      <c r="X108" s="17">
        <v>196273</v>
      </c>
      <c r="Y108" s="18">
        <v>547.83500000000004</v>
      </c>
      <c r="Z108" s="17">
        <v>175322</v>
      </c>
      <c r="AA108" s="21">
        <v>390.67399999999998</v>
      </c>
      <c r="AB108" s="8" t="s">
        <v>173</v>
      </c>
      <c r="AC108" s="9"/>
      <c r="AD108" s="9"/>
    </row>
    <row r="109" spans="1:30" ht="15" thickBot="1" x14ac:dyDescent="0.35">
      <c r="A109" s="13" t="s">
        <v>174</v>
      </c>
      <c r="B109" s="23">
        <v>118</v>
      </c>
      <c r="C109" s="24">
        <v>23.88</v>
      </c>
      <c r="D109" s="25">
        <v>262</v>
      </c>
      <c r="E109" s="24">
        <v>75.643000000000001</v>
      </c>
      <c r="F109" s="25">
        <v>802</v>
      </c>
      <c r="G109" s="24">
        <v>230.047</v>
      </c>
      <c r="H109" s="25">
        <v>1</v>
      </c>
      <c r="I109" s="24">
        <v>0.3</v>
      </c>
      <c r="J109" s="25" t="s">
        <v>210</v>
      </c>
      <c r="K109" s="24" t="s">
        <v>210</v>
      </c>
      <c r="L109" s="25">
        <v>56432</v>
      </c>
      <c r="M109" s="24">
        <v>636.63400000000001</v>
      </c>
      <c r="N109" s="25">
        <v>8991</v>
      </c>
      <c r="O109" s="24">
        <v>151.24799999999999</v>
      </c>
      <c r="P109" s="25">
        <v>24123</v>
      </c>
      <c r="Q109" s="24">
        <v>241.95699999999999</v>
      </c>
      <c r="R109" s="25">
        <v>6449</v>
      </c>
      <c r="S109" s="24">
        <v>102.64700000000001</v>
      </c>
      <c r="T109" s="25">
        <v>1472</v>
      </c>
      <c r="U109" s="24">
        <v>23.484000000000002</v>
      </c>
      <c r="V109" s="25">
        <v>6123</v>
      </c>
      <c r="W109" s="24">
        <v>370.53800000000001</v>
      </c>
      <c r="X109" s="25">
        <v>142751</v>
      </c>
      <c r="Y109" s="24">
        <v>303.32100000000003</v>
      </c>
      <c r="Z109" s="25">
        <v>177022</v>
      </c>
      <c r="AA109" s="26">
        <v>314.85199999999998</v>
      </c>
      <c r="AB109" s="14" t="s">
        <v>175</v>
      </c>
      <c r="AC109" s="15"/>
      <c r="AD109" s="15"/>
    </row>
  </sheetData>
  <mergeCells count="395">
    <mergeCell ref="T6:U6"/>
    <mergeCell ref="T5:U5"/>
    <mergeCell ref="V6:W6"/>
    <mergeCell ref="A89:A90"/>
    <mergeCell ref="AB89:AD90"/>
    <mergeCell ref="A39:A40"/>
    <mergeCell ref="AB39:AD40"/>
    <mergeCell ref="V5:W5"/>
    <mergeCell ref="X6:Y6"/>
    <mergeCell ref="Z6:AA6"/>
    <mergeCell ref="B6:C6"/>
    <mergeCell ref="D6:E6"/>
    <mergeCell ref="F6:G6"/>
    <mergeCell ref="H6:I6"/>
    <mergeCell ref="J6:K6"/>
    <mergeCell ref="L6:M6"/>
    <mergeCell ref="N6:O6"/>
    <mergeCell ref="P6:Q6"/>
    <mergeCell ref="P5:Q5"/>
    <mergeCell ref="B5:C5"/>
    <mergeCell ref="D5:E5"/>
    <mergeCell ref="H5:I5"/>
    <mergeCell ref="J5:K5"/>
    <mergeCell ref="L5:M5"/>
    <mergeCell ref="X5:Y5"/>
    <mergeCell ref="R6:S6"/>
    <mergeCell ref="R5:S5"/>
    <mergeCell ref="L33:L34"/>
    <mergeCell ref="M33:M34"/>
    <mergeCell ref="J33:J34"/>
    <mergeCell ref="K33:K34"/>
    <mergeCell ref="M46:M47"/>
    <mergeCell ref="AB33:AD34"/>
    <mergeCell ref="A104:A105"/>
    <mergeCell ref="AB104:AD105"/>
    <mergeCell ref="A65:A66"/>
    <mergeCell ref="AB65:AD66"/>
    <mergeCell ref="A72:A73"/>
    <mergeCell ref="AB72:AD73"/>
    <mergeCell ref="A82:A83"/>
    <mergeCell ref="AB82:AD83"/>
    <mergeCell ref="A53:A54"/>
    <mergeCell ref="AB53:AD54"/>
    <mergeCell ref="A60:A61"/>
    <mergeCell ref="AB60:AD61"/>
    <mergeCell ref="E60:E61"/>
    <mergeCell ref="B60:B61"/>
    <mergeCell ref="C60:C61"/>
    <mergeCell ref="D60:D61"/>
    <mergeCell ref="F60:F61"/>
    <mergeCell ref="H65:H66"/>
    <mergeCell ref="AA11:AA12"/>
    <mergeCell ref="Z19:Z20"/>
    <mergeCell ref="AA19:AA20"/>
    <mergeCell ref="Y19:Y20"/>
    <mergeCell ref="K11:K12"/>
    <mergeCell ref="B39:B40"/>
    <mergeCell ref="C39:C40"/>
    <mergeCell ref="A46:A47"/>
    <mergeCell ref="AB46:AD47"/>
    <mergeCell ref="F39:F40"/>
    <mergeCell ref="G39:G40"/>
    <mergeCell ref="A33:A34"/>
    <mergeCell ref="B33:B34"/>
    <mergeCell ref="L39:L40"/>
    <mergeCell ref="M39:M40"/>
    <mergeCell ref="H39:H40"/>
    <mergeCell ref="I39:I40"/>
    <mergeCell ref="C33:C34"/>
    <mergeCell ref="D33:D34"/>
    <mergeCell ref="E33:E34"/>
    <mergeCell ref="J39:J40"/>
    <mergeCell ref="K39:K40"/>
    <mergeCell ref="D39:D40"/>
    <mergeCell ref="E39:E40"/>
    <mergeCell ref="Z5:AA5"/>
    <mergeCell ref="N5:O5"/>
    <mergeCell ref="F5:G5"/>
    <mergeCell ref="I9:I10"/>
    <mergeCell ref="J9:J10"/>
    <mergeCell ref="K9:K10"/>
    <mergeCell ref="D11:D12"/>
    <mergeCell ref="E11:E12"/>
    <mergeCell ref="A19:A20"/>
    <mergeCell ref="A9:A10"/>
    <mergeCell ref="H19:H20"/>
    <mergeCell ref="I19:I20"/>
    <mergeCell ref="J19:J20"/>
    <mergeCell ref="K19:K20"/>
    <mergeCell ref="H11:H12"/>
    <mergeCell ref="B11:B12"/>
    <mergeCell ref="C11:C12"/>
    <mergeCell ref="L19:L20"/>
    <mergeCell ref="M19:M20"/>
    <mergeCell ref="B19:B20"/>
    <mergeCell ref="C19:C20"/>
    <mergeCell ref="D19:D20"/>
    <mergeCell ref="E19:E20"/>
    <mergeCell ref="Z9:Z10"/>
    <mergeCell ref="J11:J12"/>
    <mergeCell ref="F33:F34"/>
    <mergeCell ref="H53:H54"/>
    <mergeCell ref="K46:K47"/>
    <mergeCell ref="K53:K54"/>
    <mergeCell ref="L53:L54"/>
    <mergeCell ref="AB9:AD10"/>
    <mergeCell ref="A11:A12"/>
    <mergeCell ref="AB11:AD12"/>
    <mergeCell ref="L11:L12"/>
    <mergeCell ref="M11:M12"/>
    <mergeCell ref="B9:B10"/>
    <mergeCell ref="C9:C10"/>
    <mergeCell ref="L9:L10"/>
    <mergeCell ref="M9:M10"/>
    <mergeCell ref="N9:N10"/>
    <mergeCell ref="O9:O10"/>
    <mergeCell ref="P9:P10"/>
    <mergeCell ref="N11:N12"/>
    <mergeCell ref="O11:O12"/>
    <mergeCell ref="P11:P12"/>
    <mergeCell ref="AB19:AD20"/>
    <mergeCell ref="AA9:AA10"/>
    <mergeCell ref="Z11:Z12"/>
    <mergeCell ref="G33:G34"/>
    <mergeCell ref="H33:H34"/>
    <mergeCell ref="I33:I34"/>
    <mergeCell ref="F19:F20"/>
    <mergeCell ref="G19:G20"/>
    <mergeCell ref="D9:D10"/>
    <mergeCell ref="E9:E10"/>
    <mergeCell ref="F11:F12"/>
    <mergeCell ref="G11:G12"/>
    <mergeCell ref="H9:H10"/>
    <mergeCell ref="F9:F10"/>
    <mergeCell ref="G9:G10"/>
    <mergeCell ref="I11:I12"/>
    <mergeCell ref="B53:B54"/>
    <mergeCell ref="C53:C54"/>
    <mergeCell ref="E46:E47"/>
    <mergeCell ref="B46:B47"/>
    <mergeCell ref="C46:C47"/>
    <mergeCell ref="D46:D47"/>
    <mergeCell ref="F46:F47"/>
    <mergeCell ref="I53:I54"/>
    <mergeCell ref="J53:J54"/>
    <mergeCell ref="I46:I47"/>
    <mergeCell ref="J46:J47"/>
    <mergeCell ref="D53:D54"/>
    <mergeCell ref="E53:E54"/>
    <mergeCell ref="M53:M54"/>
    <mergeCell ref="F53:F54"/>
    <mergeCell ref="G53:G54"/>
    <mergeCell ref="G46:G47"/>
    <mergeCell ref="H46:H47"/>
    <mergeCell ref="M65:M66"/>
    <mergeCell ref="J60:J61"/>
    <mergeCell ref="K60:K61"/>
    <mergeCell ref="L60:L61"/>
    <mergeCell ref="G60:G61"/>
    <mergeCell ref="H60:H61"/>
    <mergeCell ref="I60:I61"/>
    <mergeCell ref="L46:L47"/>
    <mergeCell ref="M60:M61"/>
    <mergeCell ref="B65:B66"/>
    <mergeCell ref="C65:C66"/>
    <mergeCell ref="E65:E66"/>
    <mergeCell ref="M72:M73"/>
    <mergeCell ref="F72:F73"/>
    <mergeCell ref="G72:G73"/>
    <mergeCell ref="H72:H73"/>
    <mergeCell ref="B72:B73"/>
    <mergeCell ref="C72:C73"/>
    <mergeCell ref="D72:D73"/>
    <mergeCell ref="E72:E73"/>
    <mergeCell ref="L65:L66"/>
    <mergeCell ref="D65:D66"/>
    <mergeCell ref="I65:I66"/>
    <mergeCell ref="J65:J66"/>
    <mergeCell ref="K65:K66"/>
    <mergeCell ref="F65:F66"/>
    <mergeCell ref="G65:G66"/>
    <mergeCell ref="M82:M83"/>
    <mergeCell ref="I72:I73"/>
    <mergeCell ref="J72:J73"/>
    <mergeCell ref="J82:J83"/>
    <mergeCell ref="K82:K83"/>
    <mergeCell ref="L82:L83"/>
    <mergeCell ref="G82:G83"/>
    <mergeCell ref="H82:H83"/>
    <mergeCell ref="I82:I83"/>
    <mergeCell ref="K72:K73"/>
    <mergeCell ref="L72:L73"/>
    <mergeCell ref="B82:B83"/>
    <mergeCell ref="C82:C83"/>
    <mergeCell ref="D82:D83"/>
    <mergeCell ref="E82:E83"/>
    <mergeCell ref="F82:F83"/>
    <mergeCell ref="M89:M90"/>
    <mergeCell ref="B104:B105"/>
    <mergeCell ref="C104:C105"/>
    <mergeCell ref="E104:E105"/>
    <mergeCell ref="H104:H105"/>
    <mergeCell ref="I104:I105"/>
    <mergeCell ref="J104:J105"/>
    <mergeCell ref="D104:D105"/>
    <mergeCell ref="F104:F105"/>
    <mergeCell ref="G104:G105"/>
    <mergeCell ref="K104:K105"/>
    <mergeCell ref="L104:L105"/>
    <mergeCell ref="M104:M105"/>
    <mergeCell ref="K89:K90"/>
    <mergeCell ref="F89:F90"/>
    <mergeCell ref="G89:G90"/>
    <mergeCell ref="H89:H90"/>
    <mergeCell ref="I89:I90"/>
    <mergeCell ref="J89:J90"/>
    <mergeCell ref="D89:D90"/>
    <mergeCell ref="B89:B90"/>
    <mergeCell ref="C89:C90"/>
    <mergeCell ref="E89:E90"/>
    <mergeCell ref="L89:L90"/>
    <mergeCell ref="N33:N34"/>
    <mergeCell ref="O33:O34"/>
    <mergeCell ref="P33:P34"/>
    <mergeCell ref="W19:W20"/>
    <mergeCell ref="N19:N20"/>
    <mergeCell ref="O19:O20"/>
    <mergeCell ref="P19:P20"/>
    <mergeCell ref="Q46:Q47"/>
    <mergeCell ref="T60:T61"/>
    <mergeCell ref="U60:U61"/>
    <mergeCell ref="V60:V61"/>
    <mergeCell ref="Q60:Q61"/>
    <mergeCell ref="T72:T73"/>
    <mergeCell ref="U72:U73"/>
    <mergeCell ref="V72:V73"/>
    <mergeCell ref="Q72:Q73"/>
    <mergeCell ref="N89:N90"/>
    <mergeCell ref="O89:O90"/>
    <mergeCell ref="P89:P90"/>
    <mergeCell ref="W11:W12"/>
    <mergeCell ref="X11:X12"/>
    <mergeCell ref="T11:T12"/>
    <mergeCell ref="U11:U12"/>
    <mergeCell ref="V11:V12"/>
    <mergeCell ref="Q11:Q12"/>
    <mergeCell ref="Y9:Y10"/>
    <mergeCell ref="Y11:Y12"/>
    <mergeCell ref="Q9:Q10"/>
    <mergeCell ref="R9:R10"/>
    <mergeCell ref="S9:S10"/>
    <mergeCell ref="R11:R12"/>
    <mergeCell ref="S11:S12"/>
    <mergeCell ref="W9:W10"/>
    <mergeCell ref="X9:X10"/>
    <mergeCell ref="T9:T10"/>
    <mergeCell ref="U9:U10"/>
    <mergeCell ref="V9:V10"/>
    <mergeCell ref="U46:U47"/>
    <mergeCell ref="V46:V47"/>
    <mergeCell ref="X19:X20"/>
    <mergeCell ref="T19:T20"/>
    <mergeCell ref="U19:U20"/>
    <mergeCell ref="V19:V20"/>
    <mergeCell ref="Q19:Q20"/>
    <mergeCell ref="R19:R20"/>
    <mergeCell ref="S19:S20"/>
    <mergeCell ref="R33:R34"/>
    <mergeCell ref="S33:S34"/>
    <mergeCell ref="W33:W34"/>
    <mergeCell ref="X33:X34"/>
    <mergeCell ref="T33:T34"/>
    <mergeCell ref="U33:U34"/>
    <mergeCell ref="V33:V34"/>
    <mergeCell ref="Q33:Q34"/>
    <mergeCell ref="W60:W61"/>
    <mergeCell ref="X60:X61"/>
    <mergeCell ref="Z33:Z34"/>
    <mergeCell ref="AA33:AA34"/>
    <mergeCell ref="Y33:Y34"/>
    <mergeCell ref="N46:N47"/>
    <mergeCell ref="O46:O47"/>
    <mergeCell ref="P46:P47"/>
    <mergeCell ref="W39:W40"/>
    <mergeCell ref="X39:X40"/>
    <mergeCell ref="T39:T40"/>
    <mergeCell ref="U39:U40"/>
    <mergeCell ref="V39:V40"/>
    <mergeCell ref="Q39:Q40"/>
    <mergeCell ref="R39:R40"/>
    <mergeCell ref="S39:S40"/>
    <mergeCell ref="R46:R47"/>
    <mergeCell ref="S46:S47"/>
    <mergeCell ref="N39:N40"/>
    <mergeCell ref="O39:O40"/>
    <mergeCell ref="P39:P40"/>
    <mergeCell ref="W46:W47"/>
    <mergeCell ref="X46:X47"/>
    <mergeCell ref="T46:T47"/>
    <mergeCell ref="W72:W73"/>
    <mergeCell ref="X72:X73"/>
    <mergeCell ref="Z39:Z40"/>
    <mergeCell ref="AA39:AA40"/>
    <mergeCell ref="Y39:Y40"/>
    <mergeCell ref="Z46:Z47"/>
    <mergeCell ref="AA46:AA47"/>
    <mergeCell ref="Y46:Y47"/>
    <mergeCell ref="N60:N61"/>
    <mergeCell ref="O60:O61"/>
    <mergeCell ref="P60:P61"/>
    <mergeCell ref="W53:W54"/>
    <mergeCell ref="X53:X54"/>
    <mergeCell ref="T53:T54"/>
    <mergeCell ref="U53:U54"/>
    <mergeCell ref="V53:V54"/>
    <mergeCell ref="Q53:Q54"/>
    <mergeCell ref="R53:R54"/>
    <mergeCell ref="S53:S54"/>
    <mergeCell ref="R60:R61"/>
    <mergeCell ref="S60:S61"/>
    <mergeCell ref="N53:N54"/>
    <mergeCell ref="O53:O54"/>
    <mergeCell ref="P53:P54"/>
    <mergeCell ref="Y89:Y90"/>
    <mergeCell ref="Z82:Z83"/>
    <mergeCell ref="Z53:Z54"/>
    <mergeCell ref="AA53:AA54"/>
    <mergeCell ref="Y53:Y54"/>
    <mergeCell ref="Z60:Z61"/>
    <mergeCell ref="AA60:AA61"/>
    <mergeCell ref="Y60:Y61"/>
    <mergeCell ref="N72:N73"/>
    <mergeCell ref="O72:O73"/>
    <mergeCell ref="P72:P73"/>
    <mergeCell ref="W65:W66"/>
    <mergeCell ref="X65:X66"/>
    <mergeCell ref="T65:T66"/>
    <mergeCell ref="U65:U66"/>
    <mergeCell ref="V65:V66"/>
    <mergeCell ref="Q65:Q66"/>
    <mergeCell ref="R65:R66"/>
    <mergeCell ref="S65:S66"/>
    <mergeCell ref="R72:R73"/>
    <mergeCell ref="S72:S73"/>
    <mergeCell ref="N65:N66"/>
    <mergeCell ref="O65:O66"/>
    <mergeCell ref="P65:P66"/>
    <mergeCell ref="B2:AA2"/>
    <mergeCell ref="B3:AA3"/>
    <mergeCell ref="W104:W105"/>
    <mergeCell ref="X104:X105"/>
    <mergeCell ref="Y104:Y105"/>
    <mergeCell ref="R104:R105"/>
    <mergeCell ref="S104:S105"/>
    <mergeCell ref="Z104:Z105"/>
    <mergeCell ref="AA104:AA105"/>
    <mergeCell ref="N104:N105"/>
    <mergeCell ref="O104:O105"/>
    <mergeCell ref="P104:P105"/>
    <mergeCell ref="W89:W90"/>
    <mergeCell ref="X89:X90"/>
    <mergeCell ref="T89:T90"/>
    <mergeCell ref="U89:U90"/>
    <mergeCell ref="V89:V90"/>
    <mergeCell ref="Q89:Q90"/>
    <mergeCell ref="T104:T105"/>
    <mergeCell ref="W82:W83"/>
    <mergeCell ref="X82:X83"/>
    <mergeCell ref="T82:T83"/>
    <mergeCell ref="U82:U83"/>
    <mergeCell ref="V82:V83"/>
    <mergeCell ref="U104:U105"/>
    <mergeCell ref="V104:V105"/>
    <mergeCell ref="Q104:Q105"/>
    <mergeCell ref="AB5:AD8"/>
    <mergeCell ref="A5:A8"/>
    <mergeCell ref="N82:N83"/>
    <mergeCell ref="O82:O83"/>
    <mergeCell ref="P82:P83"/>
    <mergeCell ref="AC4:AD4"/>
    <mergeCell ref="Q82:Q83"/>
    <mergeCell ref="R82:R83"/>
    <mergeCell ref="S82:S83"/>
    <mergeCell ref="R89:R90"/>
    <mergeCell ref="S89:S90"/>
    <mergeCell ref="Z65:Z66"/>
    <mergeCell ref="AA65:AA66"/>
    <mergeCell ref="Y65:Y66"/>
    <mergeCell ref="Z72:Z73"/>
    <mergeCell ref="AA72:AA73"/>
    <mergeCell ref="Y72:Y73"/>
    <mergeCell ref="AA82:AA83"/>
    <mergeCell ref="Y82:Y83"/>
    <mergeCell ref="Z89:Z90"/>
    <mergeCell ref="AA89:AA9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2015-05-22T07:33:21Z</dcterms:created>
  <dcterms:modified xsi:type="dcterms:W3CDTF">2026-06-24T07:06:17Z</dcterms:modified>
</cp:coreProperties>
</file>