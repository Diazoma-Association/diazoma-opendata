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C23C7375-C35A-4824-B363-C7D7A85CFC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5" i="1" l="1"/>
  <c r="D90" i="1"/>
  <c r="D83" i="1"/>
  <c r="D73" i="1"/>
  <c r="D66" i="1"/>
  <c r="D61" i="1"/>
  <c r="D54" i="1"/>
  <c r="D47" i="1"/>
  <c r="D40" i="1"/>
  <c r="D34" i="1"/>
  <c r="D29" i="1"/>
  <c r="D20" i="1"/>
  <c r="D12" i="1"/>
  <c r="D10" i="1" l="1"/>
  <c r="B12" i="1"/>
  <c r="C105" i="1" l="1"/>
  <c r="E105" i="1"/>
  <c r="F105" i="1"/>
  <c r="G105" i="1"/>
  <c r="H105" i="1"/>
  <c r="I105" i="1"/>
  <c r="J105" i="1"/>
  <c r="B105" i="1"/>
  <c r="C90" i="1"/>
  <c r="E90" i="1"/>
  <c r="F90" i="1"/>
  <c r="G90" i="1"/>
  <c r="H90" i="1"/>
  <c r="I90" i="1"/>
  <c r="J90" i="1"/>
  <c r="B90" i="1"/>
  <c r="C83" i="1"/>
  <c r="E83" i="1"/>
  <c r="F83" i="1"/>
  <c r="G83" i="1"/>
  <c r="H83" i="1"/>
  <c r="I83" i="1"/>
  <c r="J83" i="1"/>
  <c r="B83" i="1"/>
  <c r="C73" i="1"/>
  <c r="E73" i="1"/>
  <c r="F73" i="1"/>
  <c r="G73" i="1"/>
  <c r="H73" i="1"/>
  <c r="I73" i="1"/>
  <c r="J73" i="1"/>
  <c r="B73" i="1"/>
  <c r="B66" i="1"/>
  <c r="C66" i="1"/>
  <c r="E66" i="1"/>
  <c r="F66" i="1"/>
  <c r="G66" i="1"/>
  <c r="H66" i="1"/>
  <c r="I66" i="1"/>
  <c r="J66" i="1"/>
  <c r="C61" i="1"/>
  <c r="E61" i="1"/>
  <c r="F61" i="1"/>
  <c r="G61" i="1"/>
  <c r="H61" i="1"/>
  <c r="I61" i="1"/>
  <c r="J61" i="1"/>
  <c r="B61" i="1"/>
  <c r="C54" i="1"/>
  <c r="E54" i="1"/>
  <c r="F54" i="1"/>
  <c r="G54" i="1"/>
  <c r="H54" i="1"/>
  <c r="I54" i="1"/>
  <c r="J54" i="1"/>
  <c r="B54" i="1"/>
  <c r="C47" i="1"/>
  <c r="E47" i="1"/>
  <c r="F47" i="1"/>
  <c r="G47" i="1"/>
  <c r="H47" i="1"/>
  <c r="I47" i="1"/>
  <c r="J47" i="1"/>
  <c r="B47" i="1"/>
  <c r="C40" i="1"/>
  <c r="E40" i="1"/>
  <c r="F40" i="1"/>
  <c r="G40" i="1"/>
  <c r="H40" i="1"/>
  <c r="I40" i="1"/>
  <c r="J40" i="1"/>
  <c r="B40" i="1"/>
  <c r="C34" i="1"/>
  <c r="E34" i="1"/>
  <c r="F34" i="1"/>
  <c r="G34" i="1"/>
  <c r="H34" i="1"/>
  <c r="I34" i="1"/>
  <c r="J34" i="1"/>
  <c r="B34" i="1"/>
  <c r="C29" i="1"/>
  <c r="E29" i="1"/>
  <c r="F29" i="1"/>
  <c r="G29" i="1"/>
  <c r="H29" i="1"/>
  <c r="I29" i="1"/>
  <c r="J29" i="1"/>
  <c r="B29" i="1"/>
  <c r="C20" i="1"/>
  <c r="E20" i="1"/>
  <c r="F20" i="1"/>
  <c r="G20" i="1"/>
  <c r="H20" i="1"/>
  <c r="I20" i="1"/>
  <c r="J20" i="1"/>
  <c r="B20" i="1"/>
  <c r="C12" i="1"/>
  <c r="E12" i="1"/>
  <c r="F12" i="1"/>
  <c r="G12" i="1"/>
  <c r="H12" i="1"/>
  <c r="I12" i="1"/>
  <c r="J12" i="1"/>
  <c r="C10" i="1" l="1"/>
  <c r="B10" i="1"/>
  <c r="J10" i="1"/>
  <c r="G10" i="1"/>
  <c r="H10" i="1"/>
  <c r="E10" i="1"/>
  <c r="I10" i="1"/>
  <c r="F10" i="1"/>
</calcChain>
</file>

<file path=xl/sharedStrings.xml><?xml version="1.0" encoding="utf-8"?>
<sst xmlns="http://schemas.openxmlformats.org/spreadsheetml/2006/main" count="443" uniqueCount="205">
  <si>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</si>
  <si>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</si>
  <si>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</si>
  <si>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</si>
  <si>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</si>
  <si>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</si>
  <si>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</si>
  <si>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</si>
  <si>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</si>
  <si>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</si>
  <si>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</si>
  <si>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</si>
  <si>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</si>
  <si>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</si>
  <si>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</si>
  <si>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</si>
  <si>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</si>
  <si>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</si>
  <si>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</si>
  <si>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</si>
  <si>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</si>
  <si>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</si>
  <si>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</si>
  <si>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</si>
  <si>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</si>
  <si>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</si>
  <si>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</si>
  <si>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</si>
  <si>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</si>
  <si>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</si>
  <si>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</si>
  <si>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</si>
  <si>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</si>
  <si>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</si>
  <si>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</si>
  <si>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</si>
  <si>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</si>
  <si>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</si>
  <si>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</si>
  <si>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</si>
  <si>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</si>
  <si>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</si>
  <si>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</si>
  <si>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</si>
  <si>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</si>
  <si>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</si>
  <si>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</si>
  <si>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</si>
  <si>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</si>
  <si>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</si>
  <si>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</si>
  <si>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</si>
  <si>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</si>
  <si>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</si>
  <si>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</si>
  <si>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</si>
  <si>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</si>
  <si>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</si>
  <si>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</si>
  <si>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</si>
  <si>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</si>
  <si>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</si>
  <si>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</si>
  <si>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</si>
  <si>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</si>
  <si>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</si>
  <si>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</si>
  <si>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</si>
  <si>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</si>
  <si>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</si>
  <si>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</si>
  <si>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</si>
  <si>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</si>
  <si>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</si>
  <si>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</si>
  <si>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</si>
  <si>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</si>
  <si>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</si>
  <si>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</si>
  <si>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</si>
  <si>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</si>
  <si>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</si>
  <si>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</si>
  <si>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</si>
  <si>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</si>
  <si>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</si>
  <si>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</si>
  <si>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</si>
  <si>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</si>
  <si>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</si>
  <si>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</si>
  <si>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</si>
  <si>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</si>
  <si>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</si>
  <si>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</si>
  <si>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</si>
  <si>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</si>
  <si>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</si>
  <si>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</si>
  <si>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</si>
  <si>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</si>
  <si>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</si>
  <si>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</si>
  <si>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</si>
  <si>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</si>
  <si>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</si>
  <si>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</si>
  <si>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</si>
  <si>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</si>
  <si>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</si>
  <si>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</si>
  <si>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</si>
  <si>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</si>
  <si>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</si>
  <si>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</si>
  <si>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</si>
  <si>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</si>
  <si>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</si>
  <si>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</si>
  <si>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</si>
  <si>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</si>
  <si>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</si>
  <si>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</si>
  <si>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</si>
  <si>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</si>
  <si>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</si>
  <si>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</si>
  <si>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</si>
  <si>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</si>
  <si>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</si>
  <si>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</si>
  <si>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</si>
  <si>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</si>
  <si>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</si>
  <si>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</si>
  <si>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</si>
  <si>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</si>
  <si>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</si>
  <si>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</si>
  <si>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</si>
  <si>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</si>
  <si>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</si>
  <si>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</si>
  <si>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</si>
  <si>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</si>
  <si>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</si>
  <si>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</si>
  <si>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</si>
  <si>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</si>
  <si>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</si>
  <si>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</si>
  <si>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</si>
  <si>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</si>
  <si>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</si>
  <si>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</si>
  <si>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</si>
  <si>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</si>
  <si>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</si>
  <si>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</si>
  <si>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</si>
  <si>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</si>
  <si>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</si>
  <si>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</si>
  <si>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</si>
  <si>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</si>
  <si>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</si>
  <si>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</si>
  <si>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</si>
  <si>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</si>
  <si>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</si>
  <si>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</si>
  <si>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</si>
  <si>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</si>
  <si>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</si>
  <si>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</si>
  <si>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</si>
  <si>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</si>
  <si>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</si>
  <si>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—</t>
  </si>
  <si>
    <t>of small animals</t>
  </si>
  <si>
    <t>μεγάλων ζώων</t>
  </si>
  <si>
    <t>of large animals</t>
  </si>
  <si>
    <t>μικρών ζώων</t>
  </si>
  <si>
    <t>Μαλλιά προβάτων</t>
  </si>
  <si>
    <t>Sheep wool</t>
  </si>
  <si>
    <t>Τρίχες αιγών</t>
  </si>
  <si>
    <t>Goat hairs</t>
  </si>
  <si>
    <t>Λίπος χοιρινό</t>
  </si>
  <si>
    <t>Lard</t>
  </si>
  <si>
    <t>Μέλι</t>
  </si>
  <si>
    <t>Honey</t>
  </si>
  <si>
    <t>Wax</t>
  </si>
  <si>
    <t>Cocoons, fresh</t>
  </si>
  <si>
    <t>Κουκούλια, χλωρά</t>
  </si>
  <si>
    <t>Κερί</t>
  </si>
  <si>
    <t>Αυγά και δέρματα σε χιλιάδες τεμάχια</t>
  </si>
  <si>
    <t>Μαλλιά προβάτων, τρίχες αιγών, λίπος χοιρινό, μέλι καρί και κουκούλια σε τόνους</t>
  </si>
  <si>
    <t xml:space="preserve">Δέρματα νωπά </t>
  </si>
  <si>
    <t>Skins, fresh</t>
  </si>
  <si>
    <t>Eggs and skins in thousand pieces</t>
  </si>
  <si>
    <t>Sheep wool, goat hairs, lard, honey, wax and cocoons in tons</t>
  </si>
  <si>
    <t>Eggs</t>
  </si>
  <si>
    <t>Αυγά</t>
  </si>
  <si>
    <t>Πίνακας 7γ. Παραγωγή λοιπών κτηνοτροφικών προϊόντων, κατά Περιφέρεια και Περιφερειακή Ενότητα, 2024</t>
  </si>
  <si>
    <t>Table 7c. Production of other primary livestock by-products,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</si>
</sst>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0" fontId="4" fillId="0" borderId="0" xfId="0" applyFont="1"/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0" fontId="3" fillId="0" borderId="1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6" fillId="0" borderId="0" xfId="0" applyFont="1" applyAlignment="1">
      <alignment horizontal="left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right" vertical="center"/>
    </xf>
    <xf numFmtId="3" fontId="4" fillId="2" borderId="3" xfId="0" applyNumberFormat="1" applyFont="1" applyFill="1" applyBorder="1" applyAlignment="1">
      <alignment horizontal="right" vertical="center"/>
    </xf>
    <xf numFmtId="3" fontId="4" fillId="2" borderId="18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4" fillId="2" borderId="20" xfId="0" applyNumberFormat="1" applyFont="1" applyFill="1" applyBorder="1" applyAlignment="1">
      <alignment horizontal="right" vertical="center"/>
    </xf>
    <xf numFmtId="3" fontId="4" fillId="2" borderId="8" xfId="0" applyNumberFormat="1" applyFont="1" applyFill="1" applyBorder="1" applyAlignment="1">
      <alignment horizontal="right" vertical="center"/>
    </xf>
    <xf numFmtId="49" fontId="1" fillId="0" borderId="13" xfId="0" applyNumberFormat="1" applyFont="1" applyBorder="1" applyAlignment="1">
      <alignment horizontal="left" vertical="center" wrapText="1"/>
    </xf>
    <xf numFmtId="3" fontId="4" fillId="2" borderId="16" xfId="0" applyNumberFormat="1" applyFont="1" applyFill="1" applyBorder="1" applyAlignment="1">
      <alignment horizontal="right" vertical="center"/>
    </xf>
    <xf numFmtId="3" fontId="4" fillId="2" borderId="1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10"/>
  <sheetViews>
    <sheetView showGridLines="0" tabSelected="1" zoomScaleNormal="100" workbookViewId="0">
      <selection activeCell="H10" sqref="H10:H11"/>
    </sheetView>
  </sheetViews>
  <sheetFormatPr defaultRowHeight="14.4" x14ac:dyDescent="0.3"/>
  <cols>
    <col min="1" max="1" width="43.109375" style="2" bestFit="1" customWidth="1"/>
    <col min="2" max="2" width="14.21875" style="2" bestFit="1" customWidth="1"/>
    <col min="3" max="3" width="14" style="2" bestFit="1" customWidth="1"/>
    <col min="4" max="4" width="9.109375" style="2" bestFit="1" customWidth="1"/>
    <col min="5" max="5" width="13" style="2" customWidth="1"/>
    <col min="6" max="6" width="10.109375" style="2" customWidth="1"/>
    <col min="7" max="7" width="8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" x14ac:dyDescent="0.3">
      <c r="A2" s="34" t="s">
        <v>203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1"/>
      <c r="O2" s="1"/>
      <c r="P2" s="1"/>
    </row>
    <row r="3" spans="1:16" ht="18" x14ac:dyDescent="0.3">
      <c r="A3" s="34" t="s">
        <v>204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1"/>
      <c r="O3" s="1"/>
      <c r="P3" s="1"/>
    </row>
    <row r="4" spans="1:16" x14ac:dyDescent="0.3">
      <c r="A4" s="27" t="s">
        <v>195</v>
      </c>
      <c r="B4" s="3"/>
      <c r="C4" s="3"/>
      <c r="D4" s="3"/>
      <c r="E4" s="3"/>
      <c r="F4" s="3"/>
      <c r="G4" s="3"/>
      <c r="H4" s="3"/>
      <c r="I4" s="3"/>
      <c r="J4" s="3"/>
      <c r="K4" s="4"/>
      <c r="L4" s="35" t="s">
        <v>199</v>
      </c>
      <c r="M4" s="35"/>
      <c r="N4" s="4"/>
      <c r="O4" s="4"/>
      <c r="P4" s="4"/>
    </row>
    <row r="5" spans="1:16" ht="15" thickBot="1" x14ac:dyDescent="0.35">
      <c r="A5" s="27" t="s">
        <v>196</v>
      </c>
      <c r="B5" s="3"/>
      <c r="C5" s="3"/>
      <c r="D5" s="3"/>
      <c r="E5" s="3"/>
      <c r="F5" s="3"/>
      <c r="G5" s="3"/>
      <c r="H5" s="33" t="s">
        <v>200</v>
      </c>
      <c r="I5" s="33"/>
      <c r="J5" s="33"/>
      <c r="K5" s="33"/>
      <c r="L5" s="33"/>
      <c r="M5" s="33"/>
      <c r="N5" s="4"/>
      <c r="O5" s="4"/>
      <c r="P5" s="4"/>
    </row>
    <row r="6" spans="1:16" x14ac:dyDescent="0.3">
      <c r="A6" s="36" t="s">
        <v>0</v>
      </c>
      <c r="B6" s="42" t="s">
        <v>197</v>
      </c>
      <c r="C6" s="43"/>
      <c r="D6" s="46" t="s">
        <v>202</v>
      </c>
      <c r="E6" s="46" t="s">
        <v>183</v>
      </c>
      <c r="F6" s="46" t="s">
        <v>185</v>
      </c>
      <c r="G6" s="46" t="s">
        <v>187</v>
      </c>
      <c r="H6" s="46" t="s">
        <v>189</v>
      </c>
      <c r="I6" s="46" t="s">
        <v>194</v>
      </c>
      <c r="J6" s="48" t="s">
        <v>193</v>
      </c>
      <c r="K6" s="38" t="s">
        <v>1</v>
      </c>
      <c r="L6" s="39"/>
      <c r="M6" s="39"/>
    </row>
    <row r="7" spans="1:16" x14ac:dyDescent="0.3">
      <c r="A7" s="37"/>
      <c r="B7" s="44" t="s">
        <v>198</v>
      </c>
      <c r="C7" s="45"/>
      <c r="D7" s="47"/>
      <c r="E7" s="47"/>
      <c r="F7" s="47"/>
      <c r="G7" s="47"/>
      <c r="H7" s="47"/>
      <c r="I7" s="47"/>
      <c r="J7" s="49"/>
      <c r="K7" s="40"/>
      <c r="L7" s="41"/>
      <c r="M7" s="41"/>
    </row>
    <row r="8" spans="1:16" x14ac:dyDescent="0.3">
      <c r="A8" s="37"/>
      <c r="B8" s="24" t="s">
        <v>182</v>
      </c>
      <c r="C8" s="26" t="s">
        <v>180</v>
      </c>
      <c r="D8" s="31" t="s">
        <v>201</v>
      </c>
      <c r="E8" s="31" t="s">
        <v>184</v>
      </c>
      <c r="F8" s="31" t="s">
        <v>186</v>
      </c>
      <c r="G8" s="31" t="s">
        <v>188</v>
      </c>
      <c r="H8" s="31" t="s">
        <v>190</v>
      </c>
      <c r="I8" s="31" t="s">
        <v>191</v>
      </c>
      <c r="J8" s="50" t="s">
        <v>192</v>
      </c>
      <c r="K8" s="40"/>
      <c r="L8" s="41"/>
      <c r="M8" s="41"/>
    </row>
    <row r="9" spans="1:16" ht="14.4" customHeight="1" thickBot="1" x14ac:dyDescent="0.35">
      <c r="A9" s="37"/>
      <c r="B9" s="24" t="s">
        <v>179</v>
      </c>
      <c r="C9" s="25" t="s">
        <v>181</v>
      </c>
      <c r="D9" s="32"/>
      <c r="E9" s="32"/>
      <c r="F9" s="32"/>
      <c r="G9" s="32"/>
      <c r="H9" s="32"/>
      <c r="I9" s="32"/>
      <c r="J9" s="51"/>
      <c r="K9" s="40"/>
      <c r="L9" s="41"/>
      <c r="M9" s="41"/>
    </row>
    <row r="10" spans="1:16" x14ac:dyDescent="0.3">
      <c r="A10" s="61" t="s">
        <v>2</v>
      </c>
      <c r="B10" s="62">
        <f>SUM(B12,B20,B29,B34,B40,B47,B54,B61,B66,B73,B83,B90,B105)</f>
        <v>4626.5879999999997</v>
      </c>
      <c r="C10" s="59">
        <f>SUM(C12,C20,C29,C34,C40,C47,C54,C61,C66,C73,C83,C90,C105)</f>
        <v>140.28100000000003</v>
      </c>
      <c r="D10" s="59">
        <f>SUM(D12,D20,D29,D34,D40,D47,D54,D61,D66,D73,D83,D90,D105)</f>
        <v>1518676.4100000001</v>
      </c>
      <c r="E10" s="59">
        <f t="shared" ref="E10:J10" si="0">SUM(E12,E20,E29,E34,E40,E47,E54,E61,E66,E73,E83,E90,E105)</f>
        <v>5177.93</v>
      </c>
      <c r="F10" s="59">
        <f t="shared" si="0"/>
        <v>877.39699999999993</v>
      </c>
      <c r="G10" s="59">
        <f t="shared" si="0"/>
        <v>1211.5070000000001</v>
      </c>
      <c r="H10" s="59">
        <f t="shared" si="0"/>
        <v>25595.792000000001</v>
      </c>
      <c r="I10" s="59">
        <f t="shared" si="0"/>
        <v>1055.8850000000002</v>
      </c>
      <c r="J10" s="55">
        <f t="shared" si="0"/>
        <v>126.348</v>
      </c>
      <c r="K10" s="57" t="s">
        <v>3</v>
      </c>
      <c r="L10" s="57"/>
      <c r="M10" s="57"/>
    </row>
    <row r="11" spans="1:16" x14ac:dyDescent="0.3">
      <c r="A11" s="52"/>
      <c r="B11" s="63"/>
      <c r="C11" s="60"/>
      <c r="D11" s="60"/>
      <c r="E11" s="60"/>
      <c r="F11" s="60"/>
      <c r="G11" s="60"/>
      <c r="H11" s="60"/>
      <c r="I11" s="60"/>
      <c r="J11" s="56"/>
      <c r="K11" s="58"/>
      <c r="L11" s="58"/>
      <c r="M11" s="58"/>
    </row>
    <row r="12" spans="1:16" x14ac:dyDescent="0.3">
      <c r="A12" s="52" t="s">
        <v>4</v>
      </c>
      <c r="B12" s="53">
        <f>SUM(B14:B19)</f>
        <v>137.72500000000002</v>
      </c>
      <c r="C12" s="54">
        <f t="shared" ref="C12:J12" si="1">SUM(C14:C19)</f>
        <v>13.978000000000002</v>
      </c>
      <c r="D12" s="54">
        <f t="shared" ref="D12" si="2">SUM(D14:D19)</f>
        <v>101076.74499999998</v>
      </c>
      <c r="E12" s="54">
        <f t="shared" si="1"/>
        <v>188.35900000000001</v>
      </c>
      <c r="F12" s="54">
        <f t="shared" si="1"/>
        <v>147.42500000000001</v>
      </c>
      <c r="G12" s="54">
        <f t="shared" si="1"/>
        <v>1020.354</v>
      </c>
      <c r="H12" s="54">
        <f t="shared" si="1"/>
        <v>2848.1860000000001</v>
      </c>
      <c r="I12" s="54">
        <f t="shared" si="1"/>
        <v>63.459999999999994</v>
      </c>
      <c r="J12" s="56">
        <f t="shared" si="1"/>
        <v>36.246000000000002</v>
      </c>
      <c r="K12" s="58" t="s">
        <v>5</v>
      </c>
      <c r="L12" s="58"/>
      <c r="M12" s="58"/>
    </row>
    <row r="13" spans="1:16" x14ac:dyDescent="0.3">
      <c r="A13" s="52"/>
      <c r="B13" s="53"/>
      <c r="C13" s="54"/>
      <c r="D13" s="54"/>
      <c r="E13" s="54"/>
      <c r="F13" s="54"/>
      <c r="G13" s="54"/>
      <c r="H13" s="54"/>
      <c r="I13" s="54"/>
      <c r="J13" s="56"/>
      <c r="K13" s="58"/>
      <c r="L13" s="58"/>
      <c r="M13" s="58"/>
    </row>
    <row r="14" spans="1:16" x14ac:dyDescent="0.3">
      <c r="A14" s="5" t="s">
        <v>6</v>
      </c>
      <c r="B14" s="16">
        <v>24.117000000000001</v>
      </c>
      <c r="C14" s="14">
        <v>2.778</v>
      </c>
      <c r="D14" s="14">
        <v>4044.0880000000002</v>
      </c>
      <c r="E14" s="14">
        <v>36.575000000000003</v>
      </c>
      <c r="F14" s="15">
        <v>7.1989999999999998</v>
      </c>
      <c r="G14" s="14" t="s">
        <v>178</v>
      </c>
      <c r="H14" s="14">
        <v>67.563000000000002</v>
      </c>
      <c r="I14" s="14">
        <v>0.70599999999999996</v>
      </c>
      <c r="J14" s="17" t="s">
        <v>178</v>
      </c>
      <c r="K14" s="6" t="s">
        <v>7</v>
      </c>
      <c r="L14" s="7"/>
      <c r="M14" s="7"/>
    </row>
    <row r="15" spans="1:16" x14ac:dyDescent="0.3">
      <c r="A15" s="5" t="s">
        <v>8</v>
      </c>
      <c r="B15" s="16">
        <v>75.234999999999999</v>
      </c>
      <c r="C15" s="14">
        <v>3.6680000000000001</v>
      </c>
      <c r="D15" s="14">
        <v>2836.65</v>
      </c>
      <c r="E15" s="14">
        <v>42.021000000000001</v>
      </c>
      <c r="F15" s="15">
        <v>71.902000000000001</v>
      </c>
      <c r="G15" s="14">
        <v>955.1</v>
      </c>
      <c r="H15" s="14">
        <v>328.71699999999998</v>
      </c>
      <c r="I15" s="14">
        <v>7.3639999999999999</v>
      </c>
      <c r="J15" s="17" t="s">
        <v>178</v>
      </c>
      <c r="K15" s="6" t="s">
        <v>9</v>
      </c>
      <c r="L15" s="7"/>
      <c r="M15" s="7"/>
    </row>
    <row r="16" spans="1:16" x14ac:dyDescent="0.3">
      <c r="A16" s="5" t="s">
        <v>10</v>
      </c>
      <c r="B16" s="16">
        <v>13.337999999999999</v>
      </c>
      <c r="C16" s="14">
        <v>4.22</v>
      </c>
      <c r="D16" s="14">
        <v>91482.486999999994</v>
      </c>
      <c r="E16" s="14">
        <v>37.630000000000003</v>
      </c>
      <c r="F16" s="15">
        <v>35.1</v>
      </c>
      <c r="G16" s="14">
        <v>65.254000000000005</v>
      </c>
      <c r="H16" s="14">
        <v>700.1</v>
      </c>
      <c r="I16" s="14">
        <v>6.984</v>
      </c>
      <c r="J16" s="17">
        <v>36.246000000000002</v>
      </c>
      <c r="K16" s="6" t="s">
        <v>11</v>
      </c>
      <c r="L16" s="7"/>
      <c r="M16" s="7"/>
    </row>
    <row r="17" spans="1:13" x14ac:dyDescent="0.3">
      <c r="A17" s="5" t="s">
        <v>12</v>
      </c>
      <c r="B17" s="16">
        <v>0.39700000000000002</v>
      </c>
      <c r="C17" s="14" t="s">
        <v>178</v>
      </c>
      <c r="D17" s="14">
        <v>28.2</v>
      </c>
      <c r="E17" s="14">
        <v>10.031000000000001</v>
      </c>
      <c r="F17" s="15">
        <v>1.268</v>
      </c>
      <c r="G17" s="14" t="s">
        <v>178</v>
      </c>
      <c r="H17" s="14">
        <v>822.15</v>
      </c>
      <c r="I17" s="14">
        <v>25.739000000000001</v>
      </c>
      <c r="J17" s="17" t="s">
        <v>178</v>
      </c>
      <c r="K17" s="6" t="s">
        <v>13</v>
      </c>
      <c r="L17" s="7"/>
      <c r="M17" s="7"/>
    </row>
    <row r="18" spans="1:13" x14ac:dyDescent="0.3">
      <c r="A18" s="5" t="s">
        <v>14</v>
      </c>
      <c r="B18" s="16">
        <v>16.635999999999999</v>
      </c>
      <c r="C18" s="14">
        <v>9.5000000000000001E-2</v>
      </c>
      <c r="D18" s="14">
        <v>1848.14</v>
      </c>
      <c r="E18" s="14">
        <v>10.952</v>
      </c>
      <c r="F18" s="15">
        <v>2.4</v>
      </c>
      <c r="G18" s="14" t="s">
        <v>178</v>
      </c>
      <c r="H18" s="14">
        <v>492.37099999999998</v>
      </c>
      <c r="I18" s="14">
        <v>14.004</v>
      </c>
      <c r="J18" s="17" t="s">
        <v>178</v>
      </c>
      <c r="K18" s="6" t="s">
        <v>15</v>
      </c>
      <c r="L18" s="7"/>
      <c r="M18" s="7"/>
    </row>
    <row r="19" spans="1:13" x14ac:dyDescent="0.3">
      <c r="A19" s="5" t="s">
        <v>16</v>
      </c>
      <c r="B19" s="16">
        <v>8.0020000000000007</v>
      </c>
      <c r="C19" s="14">
        <v>3.2170000000000001</v>
      </c>
      <c r="D19" s="14">
        <v>837.18</v>
      </c>
      <c r="E19" s="14">
        <v>51.15</v>
      </c>
      <c r="F19" s="15">
        <v>29.556000000000001</v>
      </c>
      <c r="G19" s="14" t="s">
        <v>178</v>
      </c>
      <c r="H19" s="14">
        <v>437.28500000000003</v>
      </c>
      <c r="I19" s="14">
        <v>8.6630000000000003</v>
      </c>
      <c r="J19" s="17" t="s">
        <v>178</v>
      </c>
      <c r="K19" s="6" t="s">
        <v>17</v>
      </c>
      <c r="L19" s="7"/>
      <c r="M19" s="7"/>
    </row>
    <row r="20" spans="1:13" x14ac:dyDescent="0.3">
      <c r="A20" s="52" t="s">
        <v>18</v>
      </c>
      <c r="B20" s="53">
        <f>SUM(B22:B28)</f>
        <v>644.40199999999993</v>
      </c>
      <c r="C20" s="54">
        <f t="shared" ref="C20:J20" si="3">SUM(C22:C28)</f>
        <v>52.621000000000002</v>
      </c>
      <c r="D20" s="54">
        <f t="shared" ref="D20" si="4">SUM(D22:D28)</f>
        <v>190290.86600000001</v>
      </c>
      <c r="E20" s="54">
        <f t="shared" si="3"/>
        <v>591.51199999999994</v>
      </c>
      <c r="F20" s="54">
        <f t="shared" si="3"/>
        <v>181.98400000000001</v>
      </c>
      <c r="G20" s="54">
        <f t="shared" si="3"/>
        <v>106.315</v>
      </c>
      <c r="H20" s="54">
        <f t="shared" si="3"/>
        <v>3796.4469999999997</v>
      </c>
      <c r="I20" s="54">
        <f t="shared" si="3"/>
        <v>135.50700000000001</v>
      </c>
      <c r="J20" s="56">
        <f t="shared" si="3"/>
        <v>0.252</v>
      </c>
      <c r="K20" s="65" t="s">
        <v>19</v>
      </c>
      <c r="L20" s="65"/>
      <c r="M20" s="65"/>
    </row>
    <row r="21" spans="1:13" x14ac:dyDescent="0.3">
      <c r="A21" s="52"/>
      <c r="B21" s="53"/>
      <c r="C21" s="54"/>
      <c r="D21" s="54"/>
      <c r="E21" s="54"/>
      <c r="F21" s="54"/>
      <c r="G21" s="54"/>
      <c r="H21" s="54"/>
      <c r="I21" s="54"/>
      <c r="J21" s="56"/>
      <c r="K21" s="65"/>
      <c r="L21" s="65"/>
      <c r="M21" s="65"/>
    </row>
    <row r="22" spans="1:13" x14ac:dyDescent="0.3">
      <c r="A22" s="5" t="s">
        <v>20</v>
      </c>
      <c r="B22" s="16">
        <v>298.233</v>
      </c>
      <c r="C22" s="14">
        <v>14.948</v>
      </c>
      <c r="D22" s="14">
        <v>124782.42</v>
      </c>
      <c r="E22" s="14">
        <v>75.988</v>
      </c>
      <c r="F22" s="15">
        <v>29.738</v>
      </c>
      <c r="G22" s="14">
        <v>9.7799999999999994</v>
      </c>
      <c r="H22" s="14">
        <v>841.32500000000005</v>
      </c>
      <c r="I22" s="14">
        <v>17.725000000000001</v>
      </c>
      <c r="J22" s="17" t="s">
        <v>178</v>
      </c>
      <c r="K22" s="6" t="s">
        <v>21</v>
      </c>
      <c r="L22" s="7"/>
      <c r="M22" s="7"/>
    </row>
    <row r="23" spans="1:13" x14ac:dyDescent="0.3">
      <c r="A23" s="5" t="s">
        <v>22</v>
      </c>
      <c r="B23" s="16">
        <v>10.053000000000001</v>
      </c>
      <c r="C23" s="14">
        <v>15.015000000000001</v>
      </c>
      <c r="D23" s="14">
        <v>974.16</v>
      </c>
      <c r="E23" s="14">
        <v>37.909999999999997</v>
      </c>
      <c r="F23" s="15">
        <v>10.95</v>
      </c>
      <c r="G23" s="14" t="s">
        <v>178</v>
      </c>
      <c r="H23" s="14">
        <v>350.63499999999999</v>
      </c>
      <c r="I23" s="14">
        <v>41.28</v>
      </c>
      <c r="J23" s="17" t="s">
        <v>178</v>
      </c>
      <c r="K23" s="6" t="s">
        <v>23</v>
      </c>
      <c r="L23" s="7"/>
      <c r="M23" s="7"/>
    </row>
    <row r="24" spans="1:13" x14ac:dyDescent="0.3">
      <c r="A24" s="5" t="s">
        <v>24</v>
      </c>
      <c r="B24" s="16">
        <v>83.652000000000001</v>
      </c>
      <c r="C24" s="14">
        <v>9.0129999999999999</v>
      </c>
      <c r="D24" s="14">
        <v>20772.031999999999</v>
      </c>
      <c r="E24" s="14">
        <v>146.69399999999999</v>
      </c>
      <c r="F24" s="15">
        <v>30.669</v>
      </c>
      <c r="G24" s="14" t="s">
        <v>178</v>
      </c>
      <c r="H24" s="14">
        <v>144.26900000000001</v>
      </c>
      <c r="I24" s="14">
        <v>9.8819999999999997</v>
      </c>
      <c r="J24" s="17" t="s">
        <v>178</v>
      </c>
      <c r="K24" s="6" t="s">
        <v>25</v>
      </c>
      <c r="L24" s="7"/>
      <c r="M24" s="7"/>
    </row>
    <row r="25" spans="1:13" x14ac:dyDescent="0.3">
      <c r="A25" s="5" t="s">
        <v>26</v>
      </c>
      <c r="B25" s="16">
        <v>74.816999999999993</v>
      </c>
      <c r="C25" s="14">
        <v>3.4420000000000002</v>
      </c>
      <c r="D25" s="14">
        <v>6894.6540000000005</v>
      </c>
      <c r="E25" s="14">
        <v>75.632999999999996</v>
      </c>
      <c r="F25" s="15">
        <v>18.148</v>
      </c>
      <c r="G25" s="14">
        <v>0.56699999999999995</v>
      </c>
      <c r="H25" s="14">
        <v>718.50199999999995</v>
      </c>
      <c r="I25" s="14">
        <v>20.626999999999999</v>
      </c>
      <c r="J25" s="17" t="s">
        <v>178</v>
      </c>
      <c r="K25" s="6" t="s">
        <v>27</v>
      </c>
      <c r="L25" s="7"/>
      <c r="M25" s="7"/>
    </row>
    <row r="26" spans="1:13" x14ac:dyDescent="0.3">
      <c r="A26" s="5" t="s">
        <v>28</v>
      </c>
      <c r="B26" s="16">
        <v>51.662999999999997</v>
      </c>
      <c r="C26" s="14">
        <v>1.417</v>
      </c>
      <c r="D26" s="14">
        <v>17775.599999999999</v>
      </c>
      <c r="E26" s="14">
        <v>95.396000000000001</v>
      </c>
      <c r="F26" s="15" t="s">
        <v>178</v>
      </c>
      <c r="G26" s="14">
        <v>95.968000000000004</v>
      </c>
      <c r="H26" s="14">
        <v>208.04900000000001</v>
      </c>
      <c r="I26" s="14" t="s">
        <v>178</v>
      </c>
      <c r="J26" s="17" t="s">
        <v>178</v>
      </c>
      <c r="K26" s="6" t="s">
        <v>29</v>
      </c>
      <c r="L26" s="7"/>
      <c r="M26" s="7"/>
    </row>
    <row r="27" spans="1:13" x14ac:dyDescent="0.3">
      <c r="A27" s="5" t="s">
        <v>30</v>
      </c>
      <c r="B27" s="16">
        <v>72.852000000000004</v>
      </c>
      <c r="C27" s="14">
        <v>8.0500000000000007</v>
      </c>
      <c r="D27" s="14">
        <v>16548.8</v>
      </c>
      <c r="E27" s="14">
        <v>159.89099999999999</v>
      </c>
      <c r="F27" s="15">
        <v>92.379000000000005</v>
      </c>
      <c r="G27" s="14" t="s">
        <v>178</v>
      </c>
      <c r="H27" s="14">
        <v>960.54</v>
      </c>
      <c r="I27" s="14">
        <v>8.4909999999999997</v>
      </c>
      <c r="J27" s="17">
        <v>0.252</v>
      </c>
      <c r="K27" s="6" t="s">
        <v>31</v>
      </c>
      <c r="L27" s="7"/>
      <c r="M27" s="7"/>
    </row>
    <row r="28" spans="1:13" x14ac:dyDescent="0.3">
      <c r="A28" s="5" t="s">
        <v>32</v>
      </c>
      <c r="B28" s="16">
        <v>53.131999999999998</v>
      </c>
      <c r="C28" s="14">
        <v>0.73599999999999999</v>
      </c>
      <c r="D28" s="14">
        <v>2543.1999999999998</v>
      </c>
      <c r="E28" s="14" t="s">
        <v>178</v>
      </c>
      <c r="F28" s="15">
        <v>0.1</v>
      </c>
      <c r="G28" s="14" t="s">
        <v>178</v>
      </c>
      <c r="H28" s="14">
        <v>573.12699999999995</v>
      </c>
      <c r="I28" s="14">
        <v>37.502000000000002</v>
      </c>
      <c r="J28" s="17" t="s">
        <v>178</v>
      </c>
      <c r="K28" s="6" t="s">
        <v>33</v>
      </c>
      <c r="L28" s="7"/>
      <c r="M28" s="7"/>
    </row>
    <row r="29" spans="1:13" ht="27.6" customHeight="1" x14ac:dyDescent="0.3">
      <c r="A29" s="8" t="s">
        <v>176</v>
      </c>
      <c r="B29" s="28">
        <f>SUM(B30:B33)</f>
        <v>145.792</v>
      </c>
      <c r="C29" s="29">
        <f t="shared" ref="C29:J29" si="5">SUM(C30:C33)</f>
        <v>2.9209999999999998</v>
      </c>
      <c r="D29" s="29">
        <f t="shared" si="5"/>
        <v>16498.066999999999</v>
      </c>
      <c r="E29" s="29">
        <f t="shared" si="5"/>
        <v>474.45500000000004</v>
      </c>
      <c r="F29" s="29">
        <f t="shared" si="5"/>
        <v>95.695000000000007</v>
      </c>
      <c r="G29" s="29">
        <f t="shared" si="5"/>
        <v>4.93</v>
      </c>
      <c r="H29" s="29">
        <f t="shared" si="5"/>
        <v>707.94299999999998</v>
      </c>
      <c r="I29" s="29">
        <f t="shared" si="5"/>
        <v>35.033999999999999</v>
      </c>
      <c r="J29" s="30">
        <f t="shared" si="5"/>
        <v>0</v>
      </c>
      <c r="K29" s="9" t="s">
        <v>177</v>
      </c>
      <c r="L29" s="7"/>
      <c r="M29" s="7"/>
    </row>
    <row r="30" spans="1:13" x14ac:dyDescent="0.3">
      <c r="A30" s="5" t="s">
        <v>34</v>
      </c>
      <c r="B30" s="16">
        <v>92.575999999999993</v>
      </c>
      <c r="C30" s="14">
        <v>1.978</v>
      </c>
      <c r="D30" s="14">
        <v>9903.2150000000001</v>
      </c>
      <c r="E30" s="14">
        <v>191.96299999999999</v>
      </c>
      <c r="F30" s="15">
        <v>52.709000000000003</v>
      </c>
      <c r="G30" s="14" t="s">
        <v>178</v>
      </c>
      <c r="H30" s="14">
        <v>191.464</v>
      </c>
      <c r="I30" s="14">
        <v>14.987</v>
      </c>
      <c r="J30" s="17" t="s">
        <v>178</v>
      </c>
      <c r="K30" s="6" t="s">
        <v>35</v>
      </c>
      <c r="L30" s="7"/>
      <c r="M30" s="7"/>
    </row>
    <row r="31" spans="1:13" x14ac:dyDescent="0.3">
      <c r="A31" s="5" t="s">
        <v>36</v>
      </c>
      <c r="B31" s="16">
        <v>33.707000000000001</v>
      </c>
      <c r="C31" s="14">
        <v>0.49</v>
      </c>
      <c r="D31" s="14">
        <v>4148.5</v>
      </c>
      <c r="E31" s="14">
        <v>54.453000000000003</v>
      </c>
      <c r="F31" s="15">
        <v>15.012</v>
      </c>
      <c r="G31" s="14">
        <v>2.27</v>
      </c>
      <c r="H31" s="14">
        <v>106.152</v>
      </c>
      <c r="I31" s="14">
        <v>0.71399999999999997</v>
      </c>
      <c r="J31" s="17" t="s">
        <v>178</v>
      </c>
      <c r="K31" s="6" t="s">
        <v>37</v>
      </c>
      <c r="L31" s="7"/>
      <c r="M31" s="7"/>
    </row>
    <row r="32" spans="1:13" x14ac:dyDescent="0.3">
      <c r="A32" s="5" t="s">
        <v>38</v>
      </c>
      <c r="B32" s="16">
        <v>10.084</v>
      </c>
      <c r="C32" s="14">
        <v>0.437</v>
      </c>
      <c r="D32" s="14">
        <v>428.91199999999998</v>
      </c>
      <c r="E32" s="14">
        <v>7.4649999999999999</v>
      </c>
      <c r="F32" s="15">
        <v>0.4</v>
      </c>
      <c r="G32" s="14">
        <v>0.1</v>
      </c>
      <c r="H32" s="14">
        <v>230.667</v>
      </c>
      <c r="I32" s="14">
        <v>0.06</v>
      </c>
      <c r="J32" s="17" t="s">
        <v>178</v>
      </c>
      <c r="K32" s="6" t="s">
        <v>39</v>
      </c>
      <c r="L32" s="7"/>
      <c r="M32" s="7"/>
    </row>
    <row r="33" spans="1:13" x14ac:dyDescent="0.3">
      <c r="A33" s="5" t="s">
        <v>40</v>
      </c>
      <c r="B33" s="16">
        <v>9.4250000000000007</v>
      </c>
      <c r="C33" s="14">
        <v>1.6E-2</v>
      </c>
      <c r="D33" s="14">
        <v>2017.44</v>
      </c>
      <c r="E33" s="14">
        <v>220.57400000000001</v>
      </c>
      <c r="F33" s="15">
        <v>27.574000000000002</v>
      </c>
      <c r="G33" s="14">
        <v>2.56</v>
      </c>
      <c r="H33" s="14">
        <v>179.66</v>
      </c>
      <c r="I33" s="14">
        <v>19.273</v>
      </c>
      <c r="J33" s="17" t="s">
        <v>178</v>
      </c>
      <c r="K33" s="6" t="s">
        <v>41</v>
      </c>
      <c r="L33" s="7"/>
      <c r="M33" s="7"/>
    </row>
    <row r="34" spans="1:13" x14ac:dyDescent="0.3">
      <c r="A34" s="52" t="s">
        <v>42</v>
      </c>
      <c r="B34" s="53">
        <f>SUM(B36:B39)</f>
        <v>117.596</v>
      </c>
      <c r="C34" s="54">
        <f t="shared" ref="C34:J34" si="6">SUM(C36:C39)</f>
        <v>1.6369999999999998</v>
      </c>
      <c r="D34" s="54">
        <f t="shared" ref="D34" si="7">SUM(D36:D39)</f>
        <v>154600.01999999999</v>
      </c>
      <c r="E34" s="54">
        <f t="shared" si="6"/>
        <v>179.88699999999997</v>
      </c>
      <c r="F34" s="54">
        <f t="shared" si="6"/>
        <v>27.081</v>
      </c>
      <c r="G34" s="54">
        <f t="shared" si="6"/>
        <v>0</v>
      </c>
      <c r="H34" s="54">
        <f t="shared" si="6"/>
        <v>912.63600000000008</v>
      </c>
      <c r="I34" s="54">
        <f t="shared" si="6"/>
        <v>103.069</v>
      </c>
      <c r="J34" s="56">
        <f t="shared" si="6"/>
        <v>0</v>
      </c>
      <c r="K34" s="64" t="s">
        <v>43</v>
      </c>
      <c r="L34" s="64"/>
      <c r="M34" s="64"/>
    </row>
    <row r="35" spans="1:13" x14ac:dyDescent="0.3">
      <c r="A35" s="52"/>
      <c r="B35" s="53"/>
      <c r="C35" s="54"/>
      <c r="D35" s="54"/>
      <c r="E35" s="54"/>
      <c r="F35" s="54"/>
      <c r="G35" s="54"/>
      <c r="H35" s="54"/>
      <c r="I35" s="54"/>
      <c r="J35" s="56"/>
      <c r="K35" s="64"/>
      <c r="L35" s="64"/>
      <c r="M35" s="64"/>
    </row>
    <row r="36" spans="1:13" x14ac:dyDescent="0.3">
      <c r="A36" s="5" t="s">
        <v>44</v>
      </c>
      <c r="B36" s="16">
        <v>0.14499999999999999</v>
      </c>
      <c r="C36" s="14">
        <v>2E-3</v>
      </c>
      <c r="D36" s="14">
        <v>138106.60999999999</v>
      </c>
      <c r="E36" s="14">
        <v>1.7050000000000001</v>
      </c>
      <c r="F36" s="15">
        <v>0.52</v>
      </c>
      <c r="G36" s="14" t="s">
        <v>178</v>
      </c>
      <c r="H36" s="14">
        <v>267.35199999999998</v>
      </c>
      <c r="I36" s="14">
        <v>2.7530000000000001</v>
      </c>
      <c r="J36" s="17" t="s">
        <v>178</v>
      </c>
      <c r="K36" s="6" t="s">
        <v>45</v>
      </c>
      <c r="L36" s="7"/>
      <c r="M36" s="7"/>
    </row>
    <row r="37" spans="1:13" x14ac:dyDescent="0.3">
      <c r="A37" s="5" t="s">
        <v>46</v>
      </c>
      <c r="B37" s="16">
        <v>0.28199999999999997</v>
      </c>
      <c r="C37" s="14">
        <v>4.2999999999999997E-2</v>
      </c>
      <c r="D37" s="14">
        <v>13818.34</v>
      </c>
      <c r="E37" s="14">
        <v>92.323999999999998</v>
      </c>
      <c r="F37" s="15">
        <v>17.920999999999999</v>
      </c>
      <c r="G37" s="14" t="s">
        <v>178</v>
      </c>
      <c r="H37" s="14">
        <v>279.29000000000002</v>
      </c>
      <c r="I37" s="14">
        <v>95.926000000000002</v>
      </c>
      <c r="J37" s="17" t="s">
        <v>178</v>
      </c>
      <c r="K37" s="6" t="s">
        <v>47</v>
      </c>
      <c r="L37" s="7"/>
      <c r="M37" s="7"/>
    </row>
    <row r="38" spans="1:13" x14ac:dyDescent="0.3">
      <c r="A38" s="5" t="s">
        <v>48</v>
      </c>
      <c r="B38" s="16">
        <v>96.700999999999993</v>
      </c>
      <c r="C38" s="14">
        <v>1.2789999999999999</v>
      </c>
      <c r="D38" s="14">
        <v>1686.07</v>
      </c>
      <c r="E38" s="14">
        <v>83.2</v>
      </c>
      <c r="F38" s="15">
        <v>8.64</v>
      </c>
      <c r="G38" s="14" t="s">
        <v>178</v>
      </c>
      <c r="H38" s="14">
        <v>218.86500000000001</v>
      </c>
      <c r="I38" s="14">
        <v>2.1480000000000001</v>
      </c>
      <c r="J38" s="17" t="s">
        <v>178</v>
      </c>
      <c r="K38" s="6" t="s">
        <v>49</v>
      </c>
      <c r="L38" s="7"/>
      <c r="M38" s="7"/>
    </row>
    <row r="39" spans="1:13" x14ac:dyDescent="0.3">
      <c r="A39" s="5" t="s">
        <v>50</v>
      </c>
      <c r="B39" s="16">
        <v>20.468</v>
      </c>
      <c r="C39" s="14">
        <v>0.313</v>
      </c>
      <c r="D39" s="14">
        <v>989</v>
      </c>
      <c r="E39" s="14">
        <v>2.6579999999999999</v>
      </c>
      <c r="F39" s="15" t="s">
        <v>178</v>
      </c>
      <c r="G39" s="14" t="s">
        <v>178</v>
      </c>
      <c r="H39" s="14">
        <v>147.12899999999999</v>
      </c>
      <c r="I39" s="14">
        <v>2.242</v>
      </c>
      <c r="J39" s="17" t="s">
        <v>178</v>
      </c>
      <c r="K39" s="6" t="s">
        <v>51</v>
      </c>
      <c r="L39" s="7"/>
      <c r="M39" s="7"/>
    </row>
    <row r="40" spans="1:13" x14ac:dyDescent="0.3">
      <c r="A40" s="52" t="s">
        <v>52</v>
      </c>
      <c r="B40" s="53">
        <f>SUM(B42:B46)</f>
        <v>881.20500000000004</v>
      </c>
      <c r="C40" s="54">
        <f t="shared" ref="C40:J40" si="8">SUM(C42:C46)</f>
        <v>29.806000000000004</v>
      </c>
      <c r="D40" s="54">
        <f t="shared" ref="D40" si="9">SUM(D42:D46)</f>
        <v>51267.645000000004</v>
      </c>
      <c r="E40" s="54">
        <f t="shared" si="8"/>
        <v>1214.075</v>
      </c>
      <c r="F40" s="54">
        <f t="shared" si="8"/>
        <v>151.05199999999999</v>
      </c>
      <c r="G40" s="54">
        <f t="shared" si="8"/>
        <v>5.0999999999999997E-2</v>
      </c>
      <c r="H40" s="54">
        <f t="shared" si="8"/>
        <v>3165.7509999999997</v>
      </c>
      <c r="I40" s="54">
        <f t="shared" si="8"/>
        <v>81.373999999999995</v>
      </c>
      <c r="J40" s="56">
        <f t="shared" si="8"/>
        <v>0</v>
      </c>
      <c r="K40" s="64" t="s">
        <v>53</v>
      </c>
      <c r="L40" s="64"/>
      <c r="M40" s="64"/>
    </row>
    <row r="41" spans="1:13" x14ac:dyDescent="0.3">
      <c r="A41" s="52"/>
      <c r="B41" s="53"/>
      <c r="C41" s="54"/>
      <c r="D41" s="54"/>
      <c r="E41" s="54"/>
      <c r="F41" s="54"/>
      <c r="G41" s="54"/>
      <c r="H41" s="54"/>
      <c r="I41" s="54"/>
      <c r="J41" s="56"/>
      <c r="K41" s="64"/>
      <c r="L41" s="64"/>
      <c r="M41" s="64"/>
    </row>
    <row r="42" spans="1:13" x14ac:dyDescent="0.3">
      <c r="A42" s="5" t="s">
        <v>54</v>
      </c>
      <c r="B42" s="16">
        <v>589.58699999999999</v>
      </c>
      <c r="C42" s="14">
        <v>14.021000000000001</v>
      </c>
      <c r="D42" s="14">
        <v>32969.855000000003</v>
      </c>
      <c r="E42" s="14">
        <v>798.68700000000001</v>
      </c>
      <c r="F42" s="15">
        <v>99.516999999999996</v>
      </c>
      <c r="G42" s="14">
        <v>5.0999999999999997E-2</v>
      </c>
      <c r="H42" s="14">
        <v>1117.1600000000001</v>
      </c>
      <c r="I42" s="14">
        <v>18.224</v>
      </c>
      <c r="J42" s="17" t="s">
        <v>178</v>
      </c>
      <c r="K42" s="6" t="s">
        <v>55</v>
      </c>
      <c r="L42" s="7"/>
      <c r="M42" s="7"/>
    </row>
    <row r="43" spans="1:13" x14ac:dyDescent="0.3">
      <c r="A43" s="5" t="s">
        <v>56</v>
      </c>
      <c r="B43" s="16">
        <v>74.563999999999993</v>
      </c>
      <c r="C43" s="14">
        <v>3.367</v>
      </c>
      <c r="D43" s="14">
        <v>4554.3599999999997</v>
      </c>
      <c r="E43" s="14">
        <v>103.435</v>
      </c>
      <c r="F43" s="15">
        <v>9.5459999999999994</v>
      </c>
      <c r="G43" s="14" t="s">
        <v>178</v>
      </c>
      <c r="H43" s="14">
        <v>1127.6859999999999</v>
      </c>
      <c r="I43" s="14">
        <v>19.21</v>
      </c>
      <c r="J43" s="17" t="s">
        <v>178</v>
      </c>
      <c r="K43" s="6" t="s">
        <v>57</v>
      </c>
      <c r="L43" s="7"/>
      <c r="M43" s="7"/>
    </row>
    <row r="44" spans="1:13" x14ac:dyDescent="0.3">
      <c r="A44" s="5" t="s">
        <v>58</v>
      </c>
      <c r="B44" s="16">
        <v>32.046999999999997</v>
      </c>
      <c r="C44" s="14">
        <v>1.8120000000000001</v>
      </c>
      <c r="D44" s="14">
        <v>1084.43</v>
      </c>
      <c r="E44" s="14">
        <v>73.519000000000005</v>
      </c>
      <c r="F44" s="15">
        <v>13.066000000000001</v>
      </c>
      <c r="G44" s="14" t="s">
        <v>178</v>
      </c>
      <c r="H44" s="14">
        <v>406.74700000000001</v>
      </c>
      <c r="I44" s="14">
        <v>7.9729999999999999</v>
      </c>
      <c r="J44" s="17" t="s">
        <v>178</v>
      </c>
      <c r="K44" s="6" t="s">
        <v>59</v>
      </c>
      <c r="L44" s="7"/>
      <c r="M44" s="7"/>
    </row>
    <row r="45" spans="1:13" x14ac:dyDescent="0.3">
      <c r="A45" s="5" t="s">
        <v>60</v>
      </c>
      <c r="B45" s="16">
        <v>5.0999999999999997E-2</v>
      </c>
      <c r="C45" s="14">
        <v>1E-3</v>
      </c>
      <c r="D45" s="14" t="s">
        <v>178</v>
      </c>
      <c r="E45" s="14">
        <v>0.34</v>
      </c>
      <c r="F45" s="15">
        <v>1.478</v>
      </c>
      <c r="G45" s="14" t="s">
        <v>178</v>
      </c>
      <c r="H45" s="14">
        <v>20.49</v>
      </c>
      <c r="I45" s="14">
        <v>0.60299999999999998</v>
      </c>
      <c r="J45" s="17" t="s">
        <v>178</v>
      </c>
      <c r="K45" s="6" t="s">
        <v>61</v>
      </c>
      <c r="L45" s="7"/>
      <c r="M45" s="7"/>
    </row>
    <row r="46" spans="1:13" x14ac:dyDescent="0.3">
      <c r="A46" s="5" t="s">
        <v>62</v>
      </c>
      <c r="B46" s="16">
        <v>184.95599999999999</v>
      </c>
      <c r="C46" s="14">
        <v>10.605</v>
      </c>
      <c r="D46" s="14">
        <v>12659</v>
      </c>
      <c r="E46" s="14">
        <v>238.09399999999999</v>
      </c>
      <c r="F46" s="15">
        <v>27.445</v>
      </c>
      <c r="G46" s="14" t="s">
        <v>178</v>
      </c>
      <c r="H46" s="14">
        <v>493.66800000000001</v>
      </c>
      <c r="I46" s="14">
        <v>35.363999999999997</v>
      </c>
      <c r="J46" s="17" t="s">
        <v>178</v>
      </c>
      <c r="K46" s="6" t="s">
        <v>63</v>
      </c>
      <c r="L46" s="7"/>
      <c r="M46" s="7"/>
    </row>
    <row r="47" spans="1:13" x14ac:dyDescent="0.3">
      <c r="A47" s="52" t="s">
        <v>64</v>
      </c>
      <c r="B47" s="53">
        <f>SUM(B49:B53)</f>
        <v>330.81700000000001</v>
      </c>
      <c r="C47" s="54">
        <f t="shared" ref="C47:J47" si="10">SUM(C49:C53)</f>
        <v>7.6629999999999994</v>
      </c>
      <c r="D47" s="54">
        <f t="shared" ref="D47" si="11">SUM(D49:D53)</f>
        <v>229163.88099999999</v>
      </c>
      <c r="E47" s="54">
        <f t="shared" si="10"/>
        <v>151.215</v>
      </c>
      <c r="F47" s="54">
        <f t="shared" si="10"/>
        <v>26.333000000000002</v>
      </c>
      <c r="G47" s="54">
        <f t="shared" si="10"/>
        <v>20.045000000000002</v>
      </c>
      <c r="H47" s="54">
        <f t="shared" si="10"/>
        <v>2153.4940000000001</v>
      </c>
      <c r="I47" s="54">
        <f t="shared" si="10"/>
        <v>39.003999999999998</v>
      </c>
      <c r="J47" s="56">
        <f t="shared" si="10"/>
        <v>0</v>
      </c>
      <c r="K47" s="64" t="s">
        <v>65</v>
      </c>
      <c r="L47" s="64"/>
      <c r="M47" s="64"/>
    </row>
    <row r="48" spans="1:13" x14ac:dyDescent="0.3">
      <c r="A48" s="52"/>
      <c r="B48" s="53"/>
      <c r="C48" s="54"/>
      <c r="D48" s="54"/>
      <c r="E48" s="54"/>
      <c r="F48" s="54"/>
      <c r="G48" s="54"/>
      <c r="H48" s="54"/>
      <c r="I48" s="54"/>
      <c r="J48" s="56"/>
      <c r="K48" s="64"/>
      <c r="L48" s="64"/>
      <c r="M48" s="64"/>
    </row>
    <row r="49" spans="1:13" x14ac:dyDescent="0.3">
      <c r="A49" s="5" t="s">
        <v>66</v>
      </c>
      <c r="B49" s="16">
        <v>92.278000000000006</v>
      </c>
      <c r="C49" s="14">
        <v>3.4649999999999999</v>
      </c>
      <c r="D49" s="14">
        <v>6573.4489999999996</v>
      </c>
      <c r="E49" s="14">
        <v>103.52500000000001</v>
      </c>
      <c r="F49" s="15">
        <v>22.745000000000001</v>
      </c>
      <c r="G49" s="14" t="s">
        <v>178</v>
      </c>
      <c r="H49" s="14">
        <v>476.971</v>
      </c>
      <c r="I49" s="14">
        <v>13.454000000000001</v>
      </c>
      <c r="J49" s="17" t="s">
        <v>178</v>
      </c>
      <c r="K49" s="6" t="s">
        <v>67</v>
      </c>
      <c r="L49" s="7"/>
      <c r="M49" s="7"/>
    </row>
    <row r="50" spans="1:13" x14ac:dyDescent="0.3">
      <c r="A50" s="5" t="s">
        <v>68</v>
      </c>
      <c r="B50" s="16">
        <v>84.344999999999999</v>
      </c>
      <c r="C50" s="14">
        <v>2.4430000000000001</v>
      </c>
      <c r="D50" s="14">
        <v>215632.15700000001</v>
      </c>
      <c r="E50" s="14">
        <v>19.141999999999999</v>
      </c>
      <c r="F50" s="15" t="s">
        <v>178</v>
      </c>
      <c r="G50" s="14">
        <v>20</v>
      </c>
      <c r="H50" s="14">
        <v>342.77300000000002</v>
      </c>
      <c r="I50" s="14">
        <v>10.464</v>
      </c>
      <c r="J50" s="17" t="s">
        <v>178</v>
      </c>
      <c r="K50" s="6" t="s">
        <v>69</v>
      </c>
      <c r="L50" s="7"/>
      <c r="M50" s="7"/>
    </row>
    <row r="51" spans="1:13" x14ac:dyDescent="0.3">
      <c r="A51" s="5" t="s">
        <v>70</v>
      </c>
      <c r="B51" s="16">
        <v>117.021</v>
      </c>
      <c r="C51" s="14">
        <v>0.23899999999999999</v>
      </c>
      <c r="D51" s="14">
        <v>3697.1</v>
      </c>
      <c r="E51" s="14" t="s">
        <v>178</v>
      </c>
      <c r="F51" s="15" t="s">
        <v>178</v>
      </c>
      <c r="G51" s="14" t="s">
        <v>178</v>
      </c>
      <c r="H51" s="14">
        <v>897.98500000000001</v>
      </c>
      <c r="I51" s="14">
        <v>0.02</v>
      </c>
      <c r="J51" s="17" t="s">
        <v>178</v>
      </c>
      <c r="K51" s="6" t="s">
        <v>71</v>
      </c>
      <c r="L51" s="7"/>
      <c r="M51" s="7"/>
    </row>
    <row r="52" spans="1:13" x14ac:dyDescent="0.3">
      <c r="A52" s="5" t="s">
        <v>72</v>
      </c>
      <c r="B52" s="16">
        <v>6.35</v>
      </c>
      <c r="C52" s="14">
        <v>0.36</v>
      </c>
      <c r="D52" s="14">
        <v>1384.9649999999999</v>
      </c>
      <c r="E52" s="14">
        <v>21.35</v>
      </c>
      <c r="F52" s="15">
        <v>0.37</v>
      </c>
      <c r="G52" s="14">
        <v>4.4999999999999998E-2</v>
      </c>
      <c r="H52" s="14">
        <v>229.01</v>
      </c>
      <c r="I52" s="14">
        <v>0.19600000000000001</v>
      </c>
      <c r="J52" s="17" t="s">
        <v>178</v>
      </c>
      <c r="K52" s="6" t="s">
        <v>73</v>
      </c>
      <c r="L52" s="7"/>
      <c r="M52" s="7"/>
    </row>
    <row r="53" spans="1:13" x14ac:dyDescent="0.3">
      <c r="A53" s="5" t="s">
        <v>74</v>
      </c>
      <c r="B53" s="16">
        <v>30.823</v>
      </c>
      <c r="C53" s="14">
        <v>1.1559999999999999</v>
      </c>
      <c r="D53" s="14">
        <v>1876.21</v>
      </c>
      <c r="E53" s="14">
        <v>7.1980000000000004</v>
      </c>
      <c r="F53" s="15">
        <v>3.218</v>
      </c>
      <c r="G53" s="14" t="s">
        <v>178</v>
      </c>
      <c r="H53" s="14">
        <v>206.755</v>
      </c>
      <c r="I53" s="14">
        <v>14.87</v>
      </c>
      <c r="J53" s="17" t="s">
        <v>178</v>
      </c>
      <c r="K53" s="6" t="s">
        <v>75</v>
      </c>
      <c r="L53" s="7"/>
      <c r="M53" s="7"/>
    </row>
    <row r="54" spans="1:13" x14ac:dyDescent="0.3">
      <c r="A54" s="52" t="s">
        <v>76</v>
      </c>
      <c r="B54" s="53">
        <f>SUM(B56:B60)</f>
        <v>2.7090000000000001</v>
      </c>
      <c r="C54" s="54">
        <f t="shared" ref="C54:J54" si="12">SUM(C56:C60)</f>
        <v>9.8000000000000004E-2</v>
      </c>
      <c r="D54" s="54">
        <f t="shared" ref="D54" si="13">SUM(D56:D60)</f>
        <v>4385.3620000000001</v>
      </c>
      <c r="E54" s="54">
        <f t="shared" si="12"/>
        <v>6.11</v>
      </c>
      <c r="F54" s="54">
        <f t="shared" si="12"/>
        <v>1.0549999999999999</v>
      </c>
      <c r="G54" s="54">
        <f t="shared" si="12"/>
        <v>9.1750000000000007</v>
      </c>
      <c r="H54" s="54">
        <f t="shared" si="12"/>
        <v>300.45500000000004</v>
      </c>
      <c r="I54" s="54">
        <f t="shared" si="12"/>
        <v>6.7109999999999994</v>
      </c>
      <c r="J54" s="56">
        <f t="shared" si="12"/>
        <v>0</v>
      </c>
      <c r="K54" s="64" t="s">
        <v>77</v>
      </c>
      <c r="L54" s="64"/>
      <c r="M54" s="64"/>
    </row>
    <row r="55" spans="1:13" x14ac:dyDescent="0.3">
      <c r="A55" s="52"/>
      <c r="B55" s="53"/>
      <c r="C55" s="54"/>
      <c r="D55" s="54"/>
      <c r="E55" s="54"/>
      <c r="F55" s="54"/>
      <c r="G55" s="54"/>
      <c r="H55" s="54"/>
      <c r="I55" s="54"/>
      <c r="J55" s="56"/>
      <c r="K55" s="64"/>
      <c r="L55" s="64"/>
      <c r="M55" s="64"/>
    </row>
    <row r="56" spans="1:13" x14ac:dyDescent="0.3">
      <c r="A56" s="5" t="s">
        <v>78</v>
      </c>
      <c r="B56" s="16" t="s">
        <v>178</v>
      </c>
      <c r="C56" s="14">
        <v>1.0999999999999999E-2</v>
      </c>
      <c r="D56" s="14">
        <v>807.37199999999996</v>
      </c>
      <c r="E56" s="14">
        <v>1.7350000000000001</v>
      </c>
      <c r="F56" s="15">
        <v>9.5000000000000001E-2</v>
      </c>
      <c r="G56" s="14" t="s">
        <v>178</v>
      </c>
      <c r="H56" s="14">
        <v>27.975000000000001</v>
      </c>
      <c r="I56" s="14">
        <v>3.0059999999999998</v>
      </c>
      <c r="J56" s="17" t="s">
        <v>178</v>
      </c>
      <c r="K56" s="6" t="s">
        <v>79</v>
      </c>
      <c r="L56" s="7"/>
      <c r="M56" s="7"/>
    </row>
    <row r="57" spans="1:13" x14ac:dyDescent="0.3">
      <c r="A57" s="5" t="s">
        <v>80</v>
      </c>
      <c r="B57" s="16">
        <v>2.4740000000000002</v>
      </c>
      <c r="C57" s="14">
        <v>7.8E-2</v>
      </c>
      <c r="D57" s="14">
        <v>2267.1</v>
      </c>
      <c r="E57" s="14">
        <v>4.375</v>
      </c>
      <c r="F57" s="15">
        <v>0.96</v>
      </c>
      <c r="G57" s="14">
        <v>9.1750000000000007</v>
      </c>
      <c r="H57" s="14">
        <v>18.149999999999999</v>
      </c>
      <c r="I57" s="14">
        <v>3.585</v>
      </c>
      <c r="J57" s="17" t="s">
        <v>178</v>
      </c>
      <c r="K57" s="6" t="s">
        <v>81</v>
      </c>
      <c r="L57" s="7"/>
      <c r="M57" s="7"/>
    </row>
    <row r="58" spans="1:13" x14ac:dyDescent="0.3">
      <c r="A58" s="5" t="s">
        <v>82</v>
      </c>
      <c r="B58" s="16" t="s">
        <v>178</v>
      </c>
      <c r="C58" s="14" t="s">
        <v>178</v>
      </c>
      <c r="D58" s="14" t="s">
        <v>178</v>
      </c>
      <c r="E58" s="14" t="s">
        <v>178</v>
      </c>
      <c r="F58" s="15" t="s">
        <v>178</v>
      </c>
      <c r="G58" s="14" t="s">
        <v>178</v>
      </c>
      <c r="H58" s="14">
        <v>0.77</v>
      </c>
      <c r="I58" s="14" t="s">
        <v>178</v>
      </c>
      <c r="J58" s="17" t="s">
        <v>178</v>
      </c>
      <c r="K58" s="6" t="s">
        <v>83</v>
      </c>
      <c r="L58" s="7"/>
      <c r="M58" s="7"/>
    </row>
    <row r="59" spans="1:13" x14ac:dyDescent="0.3">
      <c r="A59" s="5" t="s">
        <v>84</v>
      </c>
      <c r="B59" s="16">
        <v>0.23499999999999999</v>
      </c>
      <c r="C59" s="14">
        <v>3.0000000000000001E-3</v>
      </c>
      <c r="D59" s="14">
        <v>932.4</v>
      </c>
      <c r="E59" s="14" t="s">
        <v>178</v>
      </c>
      <c r="F59" s="15" t="s">
        <v>178</v>
      </c>
      <c r="G59" s="14" t="s">
        <v>178</v>
      </c>
      <c r="H59" s="14">
        <v>172.28</v>
      </c>
      <c r="I59" s="14" t="s">
        <v>178</v>
      </c>
      <c r="J59" s="17" t="s">
        <v>178</v>
      </c>
      <c r="K59" s="6" t="s">
        <v>85</v>
      </c>
      <c r="L59" s="7"/>
      <c r="M59" s="7"/>
    </row>
    <row r="60" spans="1:13" x14ac:dyDescent="0.3">
      <c r="A60" s="5" t="s">
        <v>86</v>
      </c>
      <c r="B60" s="16" t="s">
        <v>178</v>
      </c>
      <c r="C60" s="14">
        <v>6.0000000000000001E-3</v>
      </c>
      <c r="D60" s="14">
        <v>378.49</v>
      </c>
      <c r="E60" s="14" t="s">
        <v>178</v>
      </c>
      <c r="F60" s="15" t="s">
        <v>178</v>
      </c>
      <c r="G60" s="14" t="s">
        <v>178</v>
      </c>
      <c r="H60" s="14">
        <v>81.28</v>
      </c>
      <c r="I60" s="14">
        <v>0.12</v>
      </c>
      <c r="J60" s="17" t="s">
        <v>178</v>
      </c>
      <c r="K60" s="6" t="s">
        <v>87</v>
      </c>
      <c r="L60" s="7"/>
      <c r="M60" s="7"/>
    </row>
    <row r="61" spans="1:13" x14ac:dyDescent="0.3">
      <c r="A61" s="52" t="s">
        <v>88</v>
      </c>
      <c r="B61" s="53">
        <f>SUM(B63:B65)</f>
        <v>914.3850000000001</v>
      </c>
      <c r="C61" s="54">
        <f t="shared" ref="C61:J61" si="14">SUM(C63:C65)</f>
        <v>21.003</v>
      </c>
      <c r="D61" s="54">
        <f t="shared" ref="D61" si="15">SUM(D63:D65)</f>
        <v>25156.127000000004</v>
      </c>
      <c r="E61" s="54">
        <f t="shared" si="14"/>
        <v>1347.982</v>
      </c>
      <c r="F61" s="54">
        <f t="shared" si="14"/>
        <v>159.98400000000001</v>
      </c>
      <c r="G61" s="54">
        <f t="shared" si="14"/>
        <v>47.637</v>
      </c>
      <c r="H61" s="54">
        <f t="shared" si="14"/>
        <v>2036.67</v>
      </c>
      <c r="I61" s="54">
        <f t="shared" si="14"/>
        <v>74.858000000000004</v>
      </c>
      <c r="J61" s="56">
        <f t="shared" si="14"/>
        <v>0</v>
      </c>
      <c r="K61" s="65" t="s">
        <v>89</v>
      </c>
      <c r="L61" s="65"/>
      <c r="M61" s="65"/>
    </row>
    <row r="62" spans="1:13" x14ac:dyDescent="0.3">
      <c r="A62" s="52"/>
      <c r="B62" s="53"/>
      <c r="C62" s="54"/>
      <c r="D62" s="54"/>
      <c r="E62" s="54"/>
      <c r="F62" s="54"/>
      <c r="G62" s="54"/>
      <c r="H62" s="54"/>
      <c r="I62" s="54"/>
      <c r="J62" s="56"/>
      <c r="K62" s="65"/>
      <c r="L62" s="65"/>
      <c r="M62" s="65"/>
    </row>
    <row r="63" spans="1:13" x14ac:dyDescent="0.3">
      <c r="A63" s="5" t="s">
        <v>90</v>
      </c>
      <c r="B63" s="16">
        <v>394.82400000000001</v>
      </c>
      <c r="C63" s="14">
        <v>3.2429999999999999</v>
      </c>
      <c r="D63" s="14">
        <v>7539.8410000000003</v>
      </c>
      <c r="E63" s="14">
        <v>232.85</v>
      </c>
      <c r="F63" s="15">
        <v>55.228999999999999</v>
      </c>
      <c r="G63" s="14">
        <v>4</v>
      </c>
      <c r="H63" s="14">
        <v>470.51499999999999</v>
      </c>
      <c r="I63" s="14">
        <v>10.882999999999999</v>
      </c>
      <c r="J63" s="17" t="s">
        <v>178</v>
      </c>
      <c r="K63" s="6" t="s">
        <v>91</v>
      </c>
      <c r="L63" s="7"/>
      <c r="M63" s="7"/>
    </row>
    <row r="64" spans="1:13" x14ac:dyDescent="0.3">
      <c r="A64" s="5" t="s">
        <v>92</v>
      </c>
      <c r="B64" s="16">
        <v>464.16399999999999</v>
      </c>
      <c r="C64" s="14">
        <v>14.521000000000001</v>
      </c>
      <c r="D64" s="14">
        <v>11046.156000000001</v>
      </c>
      <c r="E64" s="14">
        <v>762.33</v>
      </c>
      <c r="F64" s="15">
        <v>99.628</v>
      </c>
      <c r="G64" s="14" t="s">
        <v>178</v>
      </c>
      <c r="H64" s="14">
        <v>1220.5550000000001</v>
      </c>
      <c r="I64" s="14">
        <v>30.614999999999998</v>
      </c>
      <c r="J64" s="17" t="s">
        <v>178</v>
      </c>
      <c r="K64" s="6" t="s">
        <v>93</v>
      </c>
      <c r="L64" s="7"/>
      <c r="M64" s="7"/>
    </row>
    <row r="65" spans="1:13" x14ac:dyDescent="0.3">
      <c r="A65" s="5" t="s">
        <v>94</v>
      </c>
      <c r="B65" s="16">
        <v>55.396999999999998</v>
      </c>
      <c r="C65" s="14">
        <v>3.2389999999999999</v>
      </c>
      <c r="D65" s="14">
        <v>6570.13</v>
      </c>
      <c r="E65" s="14">
        <v>352.80200000000002</v>
      </c>
      <c r="F65" s="15">
        <v>5.1269999999999998</v>
      </c>
      <c r="G65" s="14">
        <v>43.637</v>
      </c>
      <c r="H65" s="14">
        <v>345.6</v>
      </c>
      <c r="I65" s="14">
        <v>33.36</v>
      </c>
      <c r="J65" s="17" t="s">
        <v>178</v>
      </c>
      <c r="K65" s="6" t="s">
        <v>95</v>
      </c>
      <c r="L65" s="7"/>
      <c r="M65" s="7"/>
    </row>
    <row r="66" spans="1:13" x14ac:dyDescent="0.3">
      <c r="A66" s="52" t="s">
        <v>96</v>
      </c>
      <c r="B66" s="53">
        <f>SUM(B68:B72)</f>
        <v>417.90500000000003</v>
      </c>
      <c r="C66" s="54">
        <f t="shared" ref="C66:J66" si="16">SUM(C68:C72)</f>
        <v>3.8879999999999999</v>
      </c>
      <c r="D66" s="54">
        <f t="shared" ref="D66" si="17">SUM(D68:D72)</f>
        <v>129748.27500000001</v>
      </c>
      <c r="E66" s="54">
        <f t="shared" si="16"/>
        <v>164.86399999999998</v>
      </c>
      <c r="F66" s="54">
        <f t="shared" si="16"/>
        <v>43.442</v>
      </c>
      <c r="G66" s="54">
        <f t="shared" si="16"/>
        <v>0.1</v>
      </c>
      <c r="H66" s="54">
        <f t="shared" si="16"/>
        <v>2792.54</v>
      </c>
      <c r="I66" s="54">
        <f t="shared" si="16"/>
        <v>102.62300000000002</v>
      </c>
      <c r="J66" s="56">
        <f t="shared" si="16"/>
        <v>0</v>
      </c>
      <c r="K66" s="64" t="s">
        <v>97</v>
      </c>
      <c r="L66" s="64"/>
      <c r="M66" s="64"/>
    </row>
    <row r="67" spans="1:13" x14ac:dyDescent="0.3">
      <c r="A67" s="52"/>
      <c r="B67" s="53"/>
      <c r="C67" s="54"/>
      <c r="D67" s="54"/>
      <c r="E67" s="54"/>
      <c r="F67" s="54"/>
      <c r="G67" s="54"/>
      <c r="H67" s="54"/>
      <c r="I67" s="54"/>
      <c r="J67" s="56"/>
      <c r="K67" s="64"/>
      <c r="L67" s="64"/>
      <c r="M67" s="64"/>
    </row>
    <row r="68" spans="1:13" x14ac:dyDescent="0.3">
      <c r="A68" s="5" t="s">
        <v>98</v>
      </c>
      <c r="B68" s="16">
        <v>8.9849999999999994</v>
      </c>
      <c r="C68" s="14">
        <v>3.9E-2</v>
      </c>
      <c r="D68" s="14">
        <v>16067.34</v>
      </c>
      <c r="E68" s="14" t="s">
        <v>178</v>
      </c>
      <c r="F68" s="15" t="s">
        <v>178</v>
      </c>
      <c r="G68" s="14">
        <v>0.1</v>
      </c>
      <c r="H68" s="14">
        <v>518.29499999999996</v>
      </c>
      <c r="I68" s="14">
        <v>13.19</v>
      </c>
      <c r="J68" s="17" t="s">
        <v>178</v>
      </c>
      <c r="K68" s="6" t="s">
        <v>99</v>
      </c>
      <c r="L68" s="7"/>
      <c r="M68" s="7"/>
    </row>
    <row r="69" spans="1:13" x14ac:dyDescent="0.3">
      <c r="A69" s="5" t="s">
        <v>100</v>
      </c>
      <c r="B69" s="16">
        <v>16.047999999999998</v>
      </c>
      <c r="C69" s="14">
        <v>6.0000000000000001E-3</v>
      </c>
      <c r="D69" s="14">
        <v>23327.695</v>
      </c>
      <c r="E69" s="14">
        <v>2.0489999999999999</v>
      </c>
      <c r="F69" s="15">
        <v>1.482</v>
      </c>
      <c r="G69" s="14" t="s">
        <v>178</v>
      </c>
      <c r="H69" s="14">
        <v>426.55399999999997</v>
      </c>
      <c r="I69" s="14">
        <v>54.872999999999998</v>
      </c>
      <c r="J69" s="17" t="s">
        <v>178</v>
      </c>
      <c r="K69" s="6" t="s">
        <v>101</v>
      </c>
      <c r="L69" s="7"/>
      <c r="M69" s="7"/>
    </row>
    <row r="70" spans="1:13" x14ac:dyDescent="0.3">
      <c r="A70" s="5" t="s">
        <v>102</v>
      </c>
      <c r="B70" s="16">
        <v>269.101</v>
      </c>
      <c r="C70" s="14">
        <v>1.2529999999999999</v>
      </c>
      <c r="D70" s="14">
        <v>77384.100000000006</v>
      </c>
      <c r="E70" s="14">
        <v>15.1</v>
      </c>
      <c r="F70" s="15">
        <v>18.792999999999999</v>
      </c>
      <c r="G70" s="14" t="s">
        <v>178</v>
      </c>
      <c r="H70" s="14">
        <v>224.04</v>
      </c>
      <c r="I70" s="14">
        <v>8.1880000000000006</v>
      </c>
      <c r="J70" s="17" t="s">
        <v>178</v>
      </c>
      <c r="K70" s="6" t="s">
        <v>103</v>
      </c>
      <c r="L70" s="7"/>
      <c r="M70" s="7"/>
    </row>
    <row r="71" spans="1:13" x14ac:dyDescent="0.3">
      <c r="A71" s="5" t="s">
        <v>104</v>
      </c>
      <c r="B71" s="16">
        <v>95.436999999999998</v>
      </c>
      <c r="C71" s="14">
        <v>1.216</v>
      </c>
      <c r="D71" s="14">
        <v>3119.51</v>
      </c>
      <c r="E71" s="14">
        <v>9.36</v>
      </c>
      <c r="F71" s="15">
        <v>22.934000000000001</v>
      </c>
      <c r="G71" s="14" t="s">
        <v>178</v>
      </c>
      <c r="H71" s="14">
        <v>968.18</v>
      </c>
      <c r="I71" s="14">
        <v>8.2870000000000008</v>
      </c>
      <c r="J71" s="17" t="s">
        <v>178</v>
      </c>
      <c r="K71" s="6" t="s">
        <v>105</v>
      </c>
      <c r="L71" s="7"/>
      <c r="M71" s="7"/>
    </row>
    <row r="72" spans="1:13" x14ac:dyDescent="0.3">
      <c r="A72" s="5" t="s">
        <v>106</v>
      </c>
      <c r="B72" s="16">
        <v>28.334</v>
      </c>
      <c r="C72" s="14">
        <v>1.3740000000000001</v>
      </c>
      <c r="D72" s="14">
        <v>9849.6299999999992</v>
      </c>
      <c r="E72" s="14">
        <v>138.35499999999999</v>
      </c>
      <c r="F72" s="15">
        <v>0.23300000000000001</v>
      </c>
      <c r="G72" s="14" t="s">
        <v>178</v>
      </c>
      <c r="H72" s="14">
        <v>655.471</v>
      </c>
      <c r="I72" s="14">
        <v>18.085000000000001</v>
      </c>
      <c r="J72" s="17" t="s">
        <v>178</v>
      </c>
      <c r="K72" s="6" t="s">
        <v>107</v>
      </c>
      <c r="L72" s="7"/>
      <c r="M72" s="7"/>
    </row>
    <row r="73" spans="1:13" x14ac:dyDescent="0.3">
      <c r="A73" s="52" t="s">
        <v>108</v>
      </c>
      <c r="B73" s="53">
        <f>SUM(B75:B82)</f>
        <v>13.735000000000001</v>
      </c>
      <c r="C73" s="54">
        <f t="shared" ref="C73:J73" si="18">SUM(C75:C82)</f>
        <v>0.09</v>
      </c>
      <c r="D73" s="54">
        <f t="shared" ref="D73" si="19">SUM(D75:D82)</f>
        <v>527703.16</v>
      </c>
      <c r="E73" s="54">
        <f t="shared" si="18"/>
        <v>4.8849999999999998</v>
      </c>
      <c r="F73" s="54">
        <f t="shared" si="18"/>
        <v>0.47899999999999998</v>
      </c>
      <c r="G73" s="54">
        <f t="shared" si="18"/>
        <v>0</v>
      </c>
      <c r="H73" s="54">
        <f t="shared" si="18"/>
        <v>324.928</v>
      </c>
      <c r="I73" s="54">
        <f t="shared" si="18"/>
        <v>9.2100000000000009</v>
      </c>
      <c r="J73" s="56">
        <f t="shared" si="18"/>
        <v>0</v>
      </c>
      <c r="K73" s="64" t="s">
        <v>109</v>
      </c>
      <c r="L73" s="64"/>
      <c r="M73" s="64"/>
    </row>
    <row r="74" spans="1:13" x14ac:dyDescent="0.3">
      <c r="A74" s="52"/>
      <c r="B74" s="53"/>
      <c r="C74" s="54"/>
      <c r="D74" s="54"/>
      <c r="E74" s="54"/>
      <c r="F74" s="54"/>
      <c r="G74" s="54"/>
      <c r="H74" s="54"/>
      <c r="I74" s="54"/>
      <c r="J74" s="56"/>
      <c r="K74" s="64"/>
      <c r="L74" s="64"/>
      <c r="M74" s="64"/>
    </row>
    <row r="75" spans="1:13" x14ac:dyDescent="0.3">
      <c r="A75" s="10" t="s">
        <v>110</v>
      </c>
      <c r="B75" s="16" t="s">
        <v>178</v>
      </c>
      <c r="C75" s="14" t="s">
        <v>178</v>
      </c>
      <c r="D75" s="14" t="s">
        <v>178</v>
      </c>
      <c r="E75" s="14" t="s">
        <v>178</v>
      </c>
      <c r="F75" s="15" t="s">
        <v>178</v>
      </c>
      <c r="G75" s="14" t="s">
        <v>178</v>
      </c>
      <c r="H75" s="14" t="s">
        <v>178</v>
      </c>
      <c r="I75" s="14" t="s">
        <v>178</v>
      </c>
      <c r="J75" s="17" t="s">
        <v>178</v>
      </c>
      <c r="K75" s="6" t="s">
        <v>111</v>
      </c>
      <c r="L75" s="7"/>
      <c r="M75" s="7"/>
    </row>
    <row r="76" spans="1:13" x14ac:dyDescent="0.3">
      <c r="A76" s="10" t="s">
        <v>112</v>
      </c>
      <c r="B76" s="22" t="s">
        <v>178</v>
      </c>
      <c r="C76" s="14" t="s">
        <v>178</v>
      </c>
      <c r="D76" s="14" t="s">
        <v>178</v>
      </c>
      <c r="E76" s="14" t="s">
        <v>178</v>
      </c>
      <c r="F76" s="15" t="s">
        <v>178</v>
      </c>
      <c r="G76" s="14" t="s">
        <v>178</v>
      </c>
      <c r="H76" s="14">
        <v>15.164999999999999</v>
      </c>
      <c r="I76" s="14" t="s">
        <v>178</v>
      </c>
      <c r="J76" s="17" t="s">
        <v>178</v>
      </c>
      <c r="K76" s="6" t="s">
        <v>113</v>
      </c>
      <c r="L76" s="7"/>
      <c r="M76" s="7"/>
    </row>
    <row r="77" spans="1:13" x14ac:dyDescent="0.3">
      <c r="A77" s="10" t="s">
        <v>114</v>
      </c>
      <c r="B77" s="22" t="s">
        <v>178</v>
      </c>
      <c r="C77" s="14" t="s">
        <v>178</v>
      </c>
      <c r="D77" s="14" t="s">
        <v>178</v>
      </c>
      <c r="E77" s="14" t="s">
        <v>178</v>
      </c>
      <c r="F77" s="15" t="s">
        <v>178</v>
      </c>
      <c r="G77" s="14" t="s">
        <v>178</v>
      </c>
      <c r="H77" s="14">
        <v>1.72</v>
      </c>
      <c r="I77" s="14" t="s">
        <v>178</v>
      </c>
      <c r="J77" s="17" t="s">
        <v>178</v>
      </c>
      <c r="K77" s="6" t="s">
        <v>115</v>
      </c>
      <c r="L77" s="7"/>
      <c r="M77" s="7"/>
    </row>
    <row r="78" spans="1:13" x14ac:dyDescent="0.3">
      <c r="A78" s="10" t="s">
        <v>116</v>
      </c>
      <c r="B78" s="22" t="s">
        <v>178</v>
      </c>
      <c r="C78" s="14" t="s">
        <v>178</v>
      </c>
      <c r="D78" s="14" t="s">
        <v>178</v>
      </c>
      <c r="E78" s="14" t="s">
        <v>178</v>
      </c>
      <c r="F78" s="15" t="s">
        <v>178</v>
      </c>
      <c r="G78" s="14" t="s">
        <v>178</v>
      </c>
      <c r="H78" s="14" t="s">
        <v>178</v>
      </c>
      <c r="I78" s="14" t="s">
        <v>178</v>
      </c>
      <c r="J78" s="17" t="s">
        <v>178</v>
      </c>
      <c r="K78" s="6" t="s">
        <v>117</v>
      </c>
      <c r="L78" s="7"/>
      <c r="M78" s="7"/>
    </row>
    <row r="79" spans="1:13" x14ac:dyDescent="0.3">
      <c r="A79" s="10" t="s">
        <v>118</v>
      </c>
      <c r="B79" s="16">
        <v>13.569000000000001</v>
      </c>
      <c r="C79" s="14">
        <v>0.09</v>
      </c>
      <c r="D79" s="14">
        <v>202212.8</v>
      </c>
      <c r="E79" s="14">
        <v>4.8849999999999998</v>
      </c>
      <c r="F79" s="15">
        <v>0.47899999999999998</v>
      </c>
      <c r="G79" s="14" t="s">
        <v>178</v>
      </c>
      <c r="H79" s="14">
        <v>195.84899999999999</v>
      </c>
      <c r="I79" s="14">
        <v>7.2789999999999999</v>
      </c>
      <c r="J79" s="17" t="s">
        <v>178</v>
      </c>
      <c r="K79" s="6" t="s">
        <v>119</v>
      </c>
      <c r="L79" s="7"/>
      <c r="M79" s="7"/>
    </row>
    <row r="80" spans="1:13" x14ac:dyDescent="0.3">
      <c r="A80" s="10" t="s">
        <v>120</v>
      </c>
      <c r="B80" s="16" t="s">
        <v>178</v>
      </c>
      <c r="C80" s="14" t="s">
        <v>178</v>
      </c>
      <c r="D80" s="14">
        <v>325353.56</v>
      </c>
      <c r="E80" s="14" t="s">
        <v>178</v>
      </c>
      <c r="F80" s="15" t="s">
        <v>178</v>
      </c>
      <c r="G80" s="14" t="s">
        <v>178</v>
      </c>
      <c r="H80" s="14">
        <v>97.698999999999998</v>
      </c>
      <c r="I80" s="14">
        <v>0.82599999999999996</v>
      </c>
      <c r="J80" s="17" t="s">
        <v>178</v>
      </c>
      <c r="K80" s="6" t="s">
        <v>121</v>
      </c>
      <c r="L80" s="7"/>
      <c r="M80" s="7"/>
    </row>
    <row r="81" spans="1:13" x14ac:dyDescent="0.3">
      <c r="A81" s="10" t="s">
        <v>122</v>
      </c>
      <c r="B81" s="22" t="s">
        <v>178</v>
      </c>
      <c r="C81" s="14" t="s">
        <v>178</v>
      </c>
      <c r="D81" s="14" t="s">
        <v>178</v>
      </c>
      <c r="E81" s="14" t="s">
        <v>178</v>
      </c>
      <c r="F81" s="15" t="s">
        <v>178</v>
      </c>
      <c r="G81" s="14" t="s">
        <v>178</v>
      </c>
      <c r="H81" s="14" t="s">
        <v>178</v>
      </c>
      <c r="I81" s="14" t="s">
        <v>178</v>
      </c>
      <c r="J81" s="17" t="s">
        <v>178</v>
      </c>
      <c r="K81" s="6" t="s">
        <v>123</v>
      </c>
      <c r="L81" s="7"/>
      <c r="M81" s="7"/>
    </row>
    <row r="82" spans="1:13" x14ac:dyDescent="0.3">
      <c r="A82" s="10" t="s">
        <v>124</v>
      </c>
      <c r="B82" s="16">
        <v>0.16600000000000001</v>
      </c>
      <c r="C82" s="14" t="s">
        <v>178</v>
      </c>
      <c r="D82" s="23">
        <v>136.80000000000001</v>
      </c>
      <c r="E82" s="14" t="s">
        <v>178</v>
      </c>
      <c r="F82" s="15" t="s">
        <v>178</v>
      </c>
      <c r="G82" s="14" t="s">
        <v>178</v>
      </c>
      <c r="H82" s="14">
        <v>14.494999999999999</v>
      </c>
      <c r="I82" s="14">
        <v>1.105</v>
      </c>
      <c r="J82" s="17" t="s">
        <v>178</v>
      </c>
      <c r="K82" s="6" t="s">
        <v>125</v>
      </c>
      <c r="L82" s="7"/>
      <c r="M82" s="7"/>
    </row>
    <row r="83" spans="1:13" x14ac:dyDescent="0.3">
      <c r="A83" s="52" t="s">
        <v>126</v>
      </c>
      <c r="B83" s="53">
        <f>SUM(B85:B89)</f>
        <v>272.61399999999998</v>
      </c>
      <c r="C83" s="54">
        <f t="shared" ref="C83:J83" si="20">SUM(C85:C89)</f>
        <v>2.0030000000000001</v>
      </c>
      <c r="D83" s="54">
        <f t="shared" ref="D83" si="21">SUM(D85:D89)</f>
        <v>8521.0500000000011</v>
      </c>
      <c r="E83" s="54">
        <f t="shared" si="20"/>
        <v>507.38600000000002</v>
      </c>
      <c r="F83" s="54">
        <f t="shared" si="20"/>
        <v>0</v>
      </c>
      <c r="G83" s="54">
        <f t="shared" si="20"/>
        <v>0</v>
      </c>
      <c r="H83" s="54">
        <f t="shared" si="20"/>
        <v>449.26300000000003</v>
      </c>
      <c r="I83" s="54">
        <f t="shared" si="20"/>
        <v>11.878</v>
      </c>
      <c r="J83" s="56">
        <f t="shared" si="20"/>
        <v>0</v>
      </c>
      <c r="K83" s="64" t="s">
        <v>127</v>
      </c>
      <c r="L83" s="64"/>
      <c r="M83" s="64"/>
    </row>
    <row r="84" spans="1:13" x14ac:dyDescent="0.3">
      <c r="A84" s="52"/>
      <c r="B84" s="53"/>
      <c r="C84" s="54"/>
      <c r="D84" s="54"/>
      <c r="E84" s="54"/>
      <c r="F84" s="54"/>
      <c r="G84" s="54"/>
      <c r="H84" s="54"/>
      <c r="I84" s="54"/>
      <c r="J84" s="56"/>
      <c r="K84" s="64"/>
      <c r="L84" s="64"/>
      <c r="M84" s="64"/>
    </row>
    <row r="85" spans="1:13" x14ac:dyDescent="0.3">
      <c r="A85" s="5" t="s">
        <v>128</v>
      </c>
      <c r="B85" s="16">
        <v>217.81100000000001</v>
      </c>
      <c r="C85" s="14">
        <v>1.1040000000000001</v>
      </c>
      <c r="D85" s="14">
        <v>1891.3</v>
      </c>
      <c r="E85" s="14">
        <v>507.38600000000002</v>
      </c>
      <c r="F85" s="15" t="s">
        <v>178</v>
      </c>
      <c r="G85" s="14" t="s">
        <v>178</v>
      </c>
      <c r="H85" s="14">
        <v>245.62</v>
      </c>
      <c r="I85" s="14">
        <v>6.1369999999999996</v>
      </c>
      <c r="J85" s="17" t="s">
        <v>178</v>
      </c>
      <c r="K85" s="6" t="s">
        <v>129</v>
      </c>
      <c r="L85" s="7"/>
      <c r="M85" s="7"/>
    </row>
    <row r="86" spans="1:13" x14ac:dyDescent="0.3">
      <c r="A86" s="5" t="s">
        <v>130</v>
      </c>
      <c r="B86" s="16">
        <v>18.100999999999999</v>
      </c>
      <c r="C86" s="14">
        <v>4.3999999999999997E-2</v>
      </c>
      <c r="D86" s="14">
        <v>1103</v>
      </c>
      <c r="E86" s="14" t="s">
        <v>178</v>
      </c>
      <c r="F86" s="15" t="s">
        <v>178</v>
      </c>
      <c r="G86" s="14" t="s">
        <v>178</v>
      </c>
      <c r="H86" s="14">
        <v>42.865000000000002</v>
      </c>
      <c r="I86" s="14">
        <v>1.7150000000000001</v>
      </c>
      <c r="J86" s="17" t="s">
        <v>178</v>
      </c>
      <c r="K86" s="6" t="s">
        <v>131</v>
      </c>
      <c r="L86" s="7"/>
      <c r="M86" s="7"/>
    </row>
    <row r="87" spans="1:13" x14ac:dyDescent="0.3">
      <c r="A87" s="5" t="s">
        <v>132</v>
      </c>
      <c r="B87" s="16">
        <v>23.751999999999999</v>
      </c>
      <c r="C87" s="14">
        <v>0.46600000000000003</v>
      </c>
      <c r="D87" s="14">
        <v>810.9</v>
      </c>
      <c r="E87" s="14" t="s">
        <v>178</v>
      </c>
      <c r="F87" s="15" t="s">
        <v>178</v>
      </c>
      <c r="G87" s="14" t="s">
        <v>178</v>
      </c>
      <c r="H87" s="14">
        <v>41.295999999999999</v>
      </c>
      <c r="I87" s="14" t="s">
        <v>178</v>
      </c>
      <c r="J87" s="17" t="s">
        <v>178</v>
      </c>
      <c r="K87" s="6" t="s">
        <v>133</v>
      </c>
      <c r="L87" s="7"/>
      <c r="M87" s="7"/>
    </row>
    <row r="88" spans="1:13" x14ac:dyDescent="0.3">
      <c r="A88" s="5" t="s">
        <v>134</v>
      </c>
      <c r="B88" s="16">
        <v>1.5049999999999999</v>
      </c>
      <c r="C88" s="14" t="s">
        <v>178</v>
      </c>
      <c r="D88" s="14">
        <v>280</v>
      </c>
      <c r="E88" s="14" t="s">
        <v>178</v>
      </c>
      <c r="F88" s="15" t="s">
        <v>178</v>
      </c>
      <c r="G88" s="14" t="s">
        <v>178</v>
      </c>
      <c r="H88" s="14">
        <v>75.572000000000003</v>
      </c>
      <c r="I88" s="14">
        <v>0.95099999999999996</v>
      </c>
      <c r="J88" s="17" t="s">
        <v>178</v>
      </c>
      <c r="K88" s="6" t="s">
        <v>135</v>
      </c>
      <c r="L88" s="7"/>
      <c r="M88" s="7"/>
    </row>
    <row r="89" spans="1:13" x14ac:dyDescent="0.3">
      <c r="A89" s="5" t="s">
        <v>136</v>
      </c>
      <c r="B89" s="16">
        <v>11.445</v>
      </c>
      <c r="C89" s="14">
        <v>0.38900000000000001</v>
      </c>
      <c r="D89" s="14">
        <v>4435.8500000000004</v>
      </c>
      <c r="E89" s="14" t="s">
        <v>178</v>
      </c>
      <c r="F89" s="15" t="s">
        <v>178</v>
      </c>
      <c r="G89" s="14" t="s">
        <v>178</v>
      </c>
      <c r="H89" s="14">
        <v>43.91</v>
      </c>
      <c r="I89" s="14">
        <v>3.0750000000000002</v>
      </c>
      <c r="J89" s="17" t="s">
        <v>178</v>
      </c>
      <c r="K89" s="6" t="s">
        <v>137</v>
      </c>
      <c r="L89" s="7"/>
      <c r="M89" s="7"/>
    </row>
    <row r="90" spans="1:13" x14ac:dyDescent="0.3">
      <c r="A90" s="52" t="s">
        <v>138</v>
      </c>
      <c r="B90" s="53">
        <f>SUM(B92:B104)</f>
        <v>126.58199999999999</v>
      </c>
      <c r="C90" s="54">
        <f t="shared" ref="C90:J90" si="22">SUM(C92:C104)</f>
        <v>2.2450000000000001</v>
      </c>
      <c r="D90" s="54">
        <f t="shared" ref="D90" si="23">SUM(D92:D104)</f>
        <v>31786.845000000001</v>
      </c>
      <c r="E90" s="54">
        <f t="shared" si="22"/>
        <v>0</v>
      </c>
      <c r="F90" s="54">
        <f t="shared" si="22"/>
        <v>0</v>
      </c>
      <c r="G90" s="54">
        <f t="shared" si="22"/>
        <v>2.9</v>
      </c>
      <c r="H90" s="54">
        <f t="shared" si="22"/>
        <v>582.66599999999994</v>
      </c>
      <c r="I90" s="54">
        <f t="shared" si="22"/>
        <v>7.6940000000000008</v>
      </c>
      <c r="J90" s="56">
        <f t="shared" si="22"/>
        <v>0</v>
      </c>
      <c r="K90" s="64" t="s">
        <v>139</v>
      </c>
      <c r="L90" s="64"/>
      <c r="M90" s="64"/>
    </row>
    <row r="91" spans="1:13" x14ac:dyDescent="0.3">
      <c r="A91" s="52"/>
      <c r="B91" s="53"/>
      <c r="C91" s="54"/>
      <c r="D91" s="54"/>
      <c r="E91" s="54"/>
      <c r="F91" s="54"/>
      <c r="G91" s="54"/>
      <c r="H91" s="54"/>
      <c r="I91" s="54"/>
      <c r="J91" s="56"/>
      <c r="K91" s="64"/>
      <c r="L91" s="64"/>
      <c r="M91" s="64"/>
    </row>
    <row r="92" spans="1:13" x14ac:dyDescent="0.3">
      <c r="A92" s="5" t="s">
        <v>140</v>
      </c>
      <c r="B92" s="16">
        <v>7.9000000000000001E-2</v>
      </c>
      <c r="C92" s="14">
        <v>2E-3</v>
      </c>
      <c r="D92" s="14">
        <v>310.64</v>
      </c>
      <c r="E92" s="14" t="s">
        <v>178</v>
      </c>
      <c r="F92" s="15" t="s">
        <v>178</v>
      </c>
      <c r="G92" s="14" t="s">
        <v>178</v>
      </c>
      <c r="H92" s="14">
        <v>5.44</v>
      </c>
      <c r="I92" s="14" t="s">
        <v>178</v>
      </c>
      <c r="J92" s="17" t="s">
        <v>178</v>
      </c>
      <c r="K92" s="6" t="s">
        <v>141</v>
      </c>
      <c r="L92" s="7"/>
      <c r="M92" s="7"/>
    </row>
    <row r="93" spans="1:13" x14ac:dyDescent="0.3">
      <c r="A93" s="5" t="s">
        <v>142</v>
      </c>
      <c r="B93" s="16">
        <v>1.29</v>
      </c>
      <c r="C93" s="14">
        <v>0.255</v>
      </c>
      <c r="D93" s="14">
        <v>1153.4000000000001</v>
      </c>
      <c r="E93" s="14" t="s">
        <v>178</v>
      </c>
      <c r="F93" s="15" t="s">
        <v>178</v>
      </c>
      <c r="G93" s="14">
        <v>2.4649999999999999</v>
      </c>
      <c r="H93" s="14">
        <v>8.41</v>
      </c>
      <c r="I93" s="14">
        <v>0.36499999999999999</v>
      </c>
      <c r="J93" s="17" t="s">
        <v>178</v>
      </c>
      <c r="K93" s="6" t="s">
        <v>143</v>
      </c>
      <c r="L93" s="7"/>
      <c r="M93" s="7"/>
    </row>
    <row r="94" spans="1:13" x14ac:dyDescent="0.3">
      <c r="A94" s="5" t="s">
        <v>144</v>
      </c>
      <c r="B94" s="16">
        <v>0.13100000000000001</v>
      </c>
      <c r="C94" s="14">
        <v>4.0000000000000001E-3</v>
      </c>
      <c r="D94" s="14">
        <v>876.3</v>
      </c>
      <c r="E94" s="14" t="s">
        <v>178</v>
      </c>
      <c r="F94" s="15" t="s">
        <v>178</v>
      </c>
      <c r="G94" s="14" t="s">
        <v>178</v>
      </c>
      <c r="H94" s="14">
        <v>35.549999999999997</v>
      </c>
      <c r="I94" s="14">
        <v>1.2450000000000001</v>
      </c>
      <c r="J94" s="17" t="s">
        <v>178</v>
      </c>
      <c r="K94" s="6" t="s">
        <v>145</v>
      </c>
      <c r="L94" s="7"/>
      <c r="M94" s="7"/>
    </row>
    <row r="95" spans="1:13" x14ac:dyDescent="0.3">
      <c r="A95" s="5" t="s">
        <v>146</v>
      </c>
      <c r="B95" s="16">
        <v>23.446999999999999</v>
      </c>
      <c r="C95" s="14">
        <v>1.7999999999999999E-2</v>
      </c>
      <c r="D95" s="14">
        <v>1195.5</v>
      </c>
      <c r="E95" s="14" t="s">
        <v>178</v>
      </c>
      <c r="F95" s="15" t="s">
        <v>178</v>
      </c>
      <c r="G95" s="14" t="s">
        <v>178</v>
      </c>
      <c r="H95" s="14">
        <v>109.90900000000001</v>
      </c>
      <c r="I95" s="14">
        <v>0.83</v>
      </c>
      <c r="J95" s="17" t="s">
        <v>178</v>
      </c>
      <c r="K95" s="6" t="s">
        <v>147</v>
      </c>
      <c r="L95" s="7"/>
      <c r="M95" s="7"/>
    </row>
    <row r="96" spans="1:13" x14ac:dyDescent="0.3">
      <c r="A96" s="5" t="s">
        <v>148</v>
      </c>
      <c r="B96" s="16">
        <v>0.34</v>
      </c>
      <c r="C96" s="14" t="s">
        <v>178</v>
      </c>
      <c r="D96" s="14" t="s">
        <v>178</v>
      </c>
      <c r="E96" s="14" t="s">
        <v>178</v>
      </c>
      <c r="F96" s="15" t="s">
        <v>178</v>
      </c>
      <c r="G96" s="14" t="s">
        <v>178</v>
      </c>
      <c r="H96" s="14">
        <v>32.1</v>
      </c>
      <c r="I96" s="14">
        <v>0.5</v>
      </c>
      <c r="J96" s="17" t="s">
        <v>178</v>
      </c>
      <c r="K96" s="6" t="s">
        <v>149</v>
      </c>
      <c r="L96" s="7"/>
      <c r="M96" s="7"/>
    </row>
    <row r="97" spans="1:13" x14ac:dyDescent="0.3">
      <c r="A97" s="5" t="s">
        <v>150</v>
      </c>
      <c r="B97" s="16">
        <v>0.71099999999999997</v>
      </c>
      <c r="C97" s="14">
        <v>8.9999999999999993E-3</v>
      </c>
      <c r="D97" s="14">
        <v>86.02</v>
      </c>
      <c r="E97" s="14" t="s">
        <v>178</v>
      </c>
      <c r="F97" s="15" t="s">
        <v>178</v>
      </c>
      <c r="G97" s="14" t="s">
        <v>178</v>
      </c>
      <c r="H97" s="14">
        <v>13.58</v>
      </c>
      <c r="I97" s="14" t="s">
        <v>178</v>
      </c>
      <c r="J97" s="17" t="s">
        <v>178</v>
      </c>
      <c r="K97" s="6" t="s">
        <v>151</v>
      </c>
      <c r="L97" s="7"/>
      <c r="M97" s="7"/>
    </row>
    <row r="98" spans="1:13" x14ac:dyDescent="0.3">
      <c r="A98" s="5" t="s">
        <v>152</v>
      </c>
      <c r="B98" s="16">
        <v>2.8210000000000002</v>
      </c>
      <c r="C98" s="14">
        <v>0.51800000000000002</v>
      </c>
      <c r="D98" s="14" t="s">
        <v>178</v>
      </c>
      <c r="E98" s="14" t="s">
        <v>178</v>
      </c>
      <c r="F98" s="15" t="s">
        <v>178</v>
      </c>
      <c r="G98" s="14" t="s">
        <v>178</v>
      </c>
      <c r="H98" s="14">
        <v>85.1</v>
      </c>
      <c r="I98" s="14">
        <v>0.57999999999999996</v>
      </c>
      <c r="J98" s="17" t="s">
        <v>178</v>
      </c>
      <c r="K98" s="6" t="s">
        <v>153</v>
      </c>
      <c r="L98" s="7"/>
      <c r="M98" s="7"/>
    </row>
    <row r="99" spans="1:13" x14ac:dyDescent="0.3">
      <c r="A99" s="5" t="s">
        <v>154</v>
      </c>
      <c r="B99" s="16">
        <v>11.327999999999999</v>
      </c>
      <c r="C99" s="14">
        <v>2E-3</v>
      </c>
      <c r="D99" s="14">
        <v>850</v>
      </c>
      <c r="E99" s="14" t="s">
        <v>178</v>
      </c>
      <c r="F99" s="15" t="s">
        <v>178</v>
      </c>
      <c r="G99" s="14">
        <v>0.435</v>
      </c>
      <c r="H99" s="14">
        <v>12.945</v>
      </c>
      <c r="I99" s="14">
        <v>0.64500000000000002</v>
      </c>
      <c r="J99" s="17" t="s">
        <v>178</v>
      </c>
      <c r="K99" s="6" t="s">
        <v>155</v>
      </c>
      <c r="L99" s="7"/>
      <c r="M99" s="7"/>
    </row>
    <row r="100" spans="1:13" x14ac:dyDescent="0.3">
      <c r="A100" s="5" t="s">
        <v>156</v>
      </c>
      <c r="B100" s="16">
        <v>9.4E-2</v>
      </c>
      <c r="C100" s="14">
        <v>4.0000000000000001E-3</v>
      </c>
      <c r="D100" s="14">
        <v>39.49</v>
      </c>
      <c r="E100" s="14" t="s">
        <v>178</v>
      </c>
      <c r="F100" s="15" t="s">
        <v>178</v>
      </c>
      <c r="G100" s="14" t="s">
        <v>178</v>
      </c>
      <c r="H100" s="14">
        <v>5.8999999999999997E-2</v>
      </c>
      <c r="I100" s="14" t="s">
        <v>178</v>
      </c>
      <c r="J100" s="17" t="s">
        <v>178</v>
      </c>
      <c r="K100" s="6" t="s">
        <v>157</v>
      </c>
      <c r="L100" s="7"/>
      <c r="M100" s="7"/>
    </row>
    <row r="101" spans="1:13" x14ac:dyDescent="0.3">
      <c r="A101" s="5" t="s">
        <v>158</v>
      </c>
      <c r="B101" s="16">
        <v>78.438000000000002</v>
      </c>
      <c r="C101" s="14">
        <v>1.276</v>
      </c>
      <c r="D101" s="14">
        <v>4401.45</v>
      </c>
      <c r="E101" s="14" t="s">
        <v>178</v>
      </c>
      <c r="F101" s="15" t="s">
        <v>178</v>
      </c>
      <c r="G101" s="14" t="s">
        <v>178</v>
      </c>
      <c r="H101" s="14">
        <v>17.033999999999999</v>
      </c>
      <c r="I101" s="14" t="s">
        <v>178</v>
      </c>
      <c r="J101" s="17" t="s">
        <v>178</v>
      </c>
      <c r="K101" s="6" t="s">
        <v>159</v>
      </c>
      <c r="L101" s="7"/>
      <c r="M101" s="7"/>
    </row>
    <row r="102" spans="1:13" x14ac:dyDescent="0.3">
      <c r="A102" s="5" t="s">
        <v>160</v>
      </c>
      <c r="B102" s="16">
        <v>2E-3</v>
      </c>
      <c r="C102" s="14">
        <v>1E-3</v>
      </c>
      <c r="D102" s="14">
        <v>177.6</v>
      </c>
      <c r="E102" s="14" t="s">
        <v>178</v>
      </c>
      <c r="F102" s="15" t="s">
        <v>178</v>
      </c>
      <c r="G102" s="14" t="s">
        <v>178</v>
      </c>
      <c r="H102" s="14">
        <v>13.209</v>
      </c>
      <c r="I102" s="14">
        <v>0.53</v>
      </c>
      <c r="J102" s="17" t="s">
        <v>178</v>
      </c>
      <c r="K102" s="6" t="s">
        <v>161</v>
      </c>
      <c r="L102" s="7"/>
      <c r="M102" s="7"/>
    </row>
    <row r="103" spans="1:13" x14ac:dyDescent="0.3">
      <c r="A103" s="5" t="s">
        <v>162</v>
      </c>
      <c r="B103" s="16">
        <v>7.4630000000000001</v>
      </c>
      <c r="C103" s="14">
        <v>0.152</v>
      </c>
      <c r="D103" s="14">
        <v>22308.915000000001</v>
      </c>
      <c r="E103" s="14" t="s">
        <v>178</v>
      </c>
      <c r="F103" s="15" t="s">
        <v>178</v>
      </c>
      <c r="G103" s="14" t="s">
        <v>178</v>
      </c>
      <c r="H103" s="14">
        <v>240.05</v>
      </c>
      <c r="I103" s="14">
        <v>2.9990000000000001</v>
      </c>
      <c r="J103" s="17" t="s">
        <v>178</v>
      </c>
      <c r="K103" s="6" t="s">
        <v>163</v>
      </c>
      <c r="L103" s="7"/>
      <c r="M103" s="7"/>
    </row>
    <row r="104" spans="1:13" x14ac:dyDescent="0.3">
      <c r="A104" s="5" t="s">
        <v>164</v>
      </c>
      <c r="B104" s="16">
        <v>0.438</v>
      </c>
      <c r="C104" s="14">
        <v>4.0000000000000001E-3</v>
      </c>
      <c r="D104" s="14">
        <v>387.53</v>
      </c>
      <c r="E104" s="14" t="s">
        <v>178</v>
      </c>
      <c r="F104" s="15" t="s">
        <v>178</v>
      </c>
      <c r="G104" s="14" t="s">
        <v>178</v>
      </c>
      <c r="H104" s="14">
        <v>9.2799999999999994</v>
      </c>
      <c r="I104" s="14" t="s">
        <v>178</v>
      </c>
      <c r="J104" s="17" t="s">
        <v>178</v>
      </c>
      <c r="K104" s="6" t="s">
        <v>165</v>
      </c>
      <c r="L104" s="7"/>
      <c r="M104" s="7"/>
    </row>
    <row r="105" spans="1:13" x14ac:dyDescent="0.3">
      <c r="A105" s="52" t="s">
        <v>166</v>
      </c>
      <c r="B105" s="53">
        <f>SUM(B107:B110)</f>
        <v>621.12099999999998</v>
      </c>
      <c r="C105" s="54">
        <f t="shared" ref="C105:J105" si="24">SUM(C107:C110)</f>
        <v>2.3279999999999998</v>
      </c>
      <c r="D105" s="54">
        <f t="shared" ref="D105" si="25">SUM(D107:D110)</f>
        <v>48478.367000000006</v>
      </c>
      <c r="E105" s="54">
        <f t="shared" si="24"/>
        <v>347.2</v>
      </c>
      <c r="F105" s="54">
        <f t="shared" si="24"/>
        <v>42.866999999999997</v>
      </c>
      <c r="G105" s="54">
        <f t="shared" si="24"/>
        <v>0</v>
      </c>
      <c r="H105" s="54">
        <f t="shared" si="24"/>
        <v>5524.8130000000001</v>
      </c>
      <c r="I105" s="54">
        <f t="shared" si="24"/>
        <v>385.46300000000002</v>
      </c>
      <c r="J105" s="56">
        <f t="shared" si="24"/>
        <v>89.85</v>
      </c>
      <c r="K105" s="64" t="s">
        <v>167</v>
      </c>
      <c r="L105" s="64"/>
      <c r="M105" s="64"/>
    </row>
    <row r="106" spans="1:13" x14ac:dyDescent="0.3">
      <c r="A106" s="52"/>
      <c r="B106" s="53"/>
      <c r="C106" s="54"/>
      <c r="D106" s="54"/>
      <c r="E106" s="54"/>
      <c r="F106" s="54"/>
      <c r="G106" s="54"/>
      <c r="H106" s="54"/>
      <c r="I106" s="54"/>
      <c r="J106" s="56"/>
      <c r="K106" s="64"/>
      <c r="L106" s="64"/>
      <c r="M106" s="64"/>
    </row>
    <row r="107" spans="1:13" x14ac:dyDescent="0.3">
      <c r="A107" s="5" t="s">
        <v>168</v>
      </c>
      <c r="B107" s="16">
        <v>72.924999999999997</v>
      </c>
      <c r="C107" s="14">
        <v>1.0089999999999999</v>
      </c>
      <c r="D107" s="14">
        <v>23402.400000000001</v>
      </c>
      <c r="E107" s="14">
        <v>177.58799999999999</v>
      </c>
      <c r="F107" s="15">
        <v>42.137</v>
      </c>
      <c r="G107" s="14" t="s">
        <v>178</v>
      </c>
      <c r="H107" s="14">
        <v>2904.6909999999998</v>
      </c>
      <c r="I107" s="14">
        <v>272.33699999999999</v>
      </c>
      <c r="J107" s="17">
        <v>79.099999999999994</v>
      </c>
      <c r="K107" s="6" t="s">
        <v>169</v>
      </c>
      <c r="L107" s="7"/>
      <c r="M107" s="7"/>
    </row>
    <row r="108" spans="1:13" x14ac:dyDescent="0.3">
      <c r="A108" s="5" t="s">
        <v>170</v>
      </c>
      <c r="B108" s="16">
        <v>2.387</v>
      </c>
      <c r="C108" s="14" t="s">
        <v>178</v>
      </c>
      <c r="D108" s="14">
        <v>348.8</v>
      </c>
      <c r="E108" s="14">
        <v>28.838000000000001</v>
      </c>
      <c r="F108" s="15" t="s">
        <v>178</v>
      </c>
      <c r="G108" s="14" t="s">
        <v>178</v>
      </c>
      <c r="H108" s="14">
        <v>343.46100000000001</v>
      </c>
      <c r="I108" s="14">
        <v>9.1430000000000007</v>
      </c>
      <c r="J108" s="17" t="s">
        <v>178</v>
      </c>
      <c r="K108" s="6" t="s">
        <v>171</v>
      </c>
      <c r="L108" s="7"/>
      <c r="M108" s="7"/>
    </row>
    <row r="109" spans="1:13" x14ac:dyDescent="0.3">
      <c r="A109" s="5" t="s">
        <v>172</v>
      </c>
      <c r="B109" s="16">
        <v>452.90100000000001</v>
      </c>
      <c r="C109" s="14">
        <v>0.20799999999999999</v>
      </c>
      <c r="D109" s="14">
        <v>14195.877</v>
      </c>
      <c r="E109" s="14">
        <v>24.634</v>
      </c>
      <c r="F109" s="15" t="s">
        <v>178</v>
      </c>
      <c r="G109" s="14" t="s">
        <v>178</v>
      </c>
      <c r="H109" s="14">
        <v>811.58</v>
      </c>
      <c r="I109" s="14">
        <v>16.728999999999999</v>
      </c>
      <c r="J109" s="17" t="s">
        <v>178</v>
      </c>
      <c r="K109" s="6" t="s">
        <v>173</v>
      </c>
      <c r="L109" s="7"/>
      <c r="M109" s="7"/>
    </row>
    <row r="110" spans="1:13" ht="15" thickBot="1" x14ac:dyDescent="0.35">
      <c r="A110" s="11" t="s">
        <v>174</v>
      </c>
      <c r="B110" s="18">
        <v>92.908000000000001</v>
      </c>
      <c r="C110" s="20">
        <v>1.111</v>
      </c>
      <c r="D110" s="20">
        <v>10531.29</v>
      </c>
      <c r="E110" s="20">
        <v>116.14</v>
      </c>
      <c r="F110" s="19">
        <v>0.73</v>
      </c>
      <c r="G110" s="20" t="s">
        <v>178</v>
      </c>
      <c r="H110" s="20">
        <v>1465.0809999999999</v>
      </c>
      <c r="I110" s="20">
        <v>87.254000000000005</v>
      </c>
      <c r="J110" s="21">
        <v>10.75</v>
      </c>
      <c r="K110" s="12" t="s">
        <v>175</v>
      </c>
      <c r="L110" s="13"/>
      <c r="M110" s="13"/>
    </row>
  </sheetData>
  <mergeCells count="165">
    <mergeCell ref="A105:A106"/>
    <mergeCell ref="B105:B106"/>
    <mergeCell ref="C105:C106"/>
    <mergeCell ref="E105:E106"/>
    <mergeCell ref="H105:H106"/>
    <mergeCell ref="I105:I106"/>
    <mergeCell ref="J83:J84"/>
    <mergeCell ref="K83:M84"/>
    <mergeCell ref="A90:A91"/>
    <mergeCell ref="B90:B91"/>
    <mergeCell ref="C90:C91"/>
    <mergeCell ref="E90:E91"/>
    <mergeCell ref="H90:H91"/>
    <mergeCell ref="I90:I91"/>
    <mergeCell ref="J90:J91"/>
    <mergeCell ref="K90:M91"/>
    <mergeCell ref="A83:A84"/>
    <mergeCell ref="B83:B84"/>
    <mergeCell ref="I83:I84"/>
    <mergeCell ref="J105:J106"/>
    <mergeCell ref="K105:M106"/>
    <mergeCell ref="D90:D91"/>
    <mergeCell ref="D105:D106"/>
    <mergeCell ref="G90:G91"/>
    <mergeCell ref="J47:J48"/>
    <mergeCell ref="K47:M48"/>
    <mergeCell ref="J40:J41"/>
    <mergeCell ref="K40:M41"/>
    <mergeCell ref="D83:D84"/>
    <mergeCell ref="F83:F84"/>
    <mergeCell ref="G83:G84"/>
    <mergeCell ref="C83:C84"/>
    <mergeCell ref="F105:F106"/>
    <mergeCell ref="G105:G106"/>
    <mergeCell ref="F90:F91"/>
    <mergeCell ref="E83:E84"/>
    <mergeCell ref="H83:H84"/>
    <mergeCell ref="A66:A67"/>
    <mergeCell ref="B66:B67"/>
    <mergeCell ref="C66:C67"/>
    <mergeCell ref="E66:E67"/>
    <mergeCell ref="H66:H67"/>
    <mergeCell ref="I66:I67"/>
    <mergeCell ref="J66:J67"/>
    <mergeCell ref="K66:M67"/>
    <mergeCell ref="F73:F74"/>
    <mergeCell ref="G73:G74"/>
    <mergeCell ref="F66:F67"/>
    <mergeCell ref="G66:G67"/>
    <mergeCell ref="D73:D74"/>
    <mergeCell ref="D66:D67"/>
    <mergeCell ref="A73:A74"/>
    <mergeCell ref="B73:B74"/>
    <mergeCell ref="C73:C74"/>
    <mergeCell ref="E73:E74"/>
    <mergeCell ref="H73:H74"/>
    <mergeCell ref="I73:I74"/>
    <mergeCell ref="J73:J74"/>
    <mergeCell ref="K73:M74"/>
    <mergeCell ref="A61:A62"/>
    <mergeCell ref="B61:B62"/>
    <mergeCell ref="C61:C62"/>
    <mergeCell ref="E61:E62"/>
    <mergeCell ref="H61:H62"/>
    <mergeCell ref="I61:I62"/>
    <mergeCell ref="J61:J62"/>
    <mergeCell ref="K61:M62"/>
    <mergeCell ref="G54:G55"/>
    <mergeCell ref="A54:A55"/>
    <mergeCell ref="B54:B55"/>
    <mergeCell ref="C54:C55"/>
    <mergeCell ref="E54:E55"/>
    <mergeCell ref="H54:H55"/>
    <mergeCell ref="I54:I55"/>
    <mergeCell ref="J54:J55"/>
    <mergeCell ref="K54:M55"/>
    <mergeCell ref="F54:F55"/>
    <mergeCell ref="F61:F62"/>
    <mergeCell ref="G61:G62"/>
    <mergeCell ref="D54:D55"/>
    <mergeCell ref="D61:D62"/>
    <mergeCell ref="A47:A48"/>
    <mergeCell ref="B47:B48"/>
    <mergeCell ref="C47:C48"/>
    <mergeCell ref="E47:E48"/>
    <mergeCell ref="H47:H48"/>
    <mergeCell ref="I47:I48"/>
    <mergeCell ref="F47:F48"/>
    <mergeCell ref="G47:G48"/>
    <mergeCell ref="A40:A41"/>
    <mergeCell ref="B40:B41"/>
    <mergeCell ref="C40:C41"/>
    <mergeCell ref="E40:E41"/>
    <mergeCell ref="H40:H41"/>
    <mergeCell ref="I40:I41"/>
    <mergeCell ref="F40:F41"/>
    <mergeCell ref="G40:G41"/>
    <mergeCell ref="D40:D41"/>
    <mergeCell ref="D47:D48"/>
    <mergeCell ref="A34:A35"/>
    <mergeCell ref="B34:B35"/>
    <mergeCell ref="C34:C35"/>
    <mergeCell ref="E34:E35"/>
    <mergeCell ref="H34:H35"/>
    <mergeCell ref="I34:I35"/>
    <mergeCell ref="J34:J35"/>
    <mergeCell ref="K34:M35"/>
    <mergeCell ref="A20:A21"/>
    <mergeCell ref="B20:B21"/>
    <mergeCell ref="C20:C21"/>
    <mergeCell ref="E20:E21"/>
    <mergeCell ref="H20:H21"/>
    <mergeCell ref="I20:I21"/>
    <mergeCell ref="G20:G21"/>
    <mergeCell ref="F34:F35"/>
    <mergeCell ref="G34:G35"/>
    <mergeCell ref="F20:F21"/>
    <mergeCell ref="D20:D21"/>
    <mergeCell ref="D34:D35"/>
    <mergeCell ref="J20:J21"/>
    <mergeCell ref="K20:M21"/>
    <mergeCell ref="A12:A13"/>
    <mergeCell ref="B12:B13"/>
    <mergeCell ref="C12:C13"/>
    <mergeCell ref="E12:E13"/>
    <mergeCell ref="J10:J11"/>
    <mergeCell ref="K10:M11"/>
    <mergeCell ref="F10:F11"/>
    <mergeCell ref="G10:G11"/>
    <mergeCell ref="A10:A11"/>
    <mergeCell ref="B10:B11"/>
    <mergeCell ref="C10:C11"/>
    <mergeCell ref="E10:E11"/>
    <mergeCell ref="I10:I11"/>
    <mergeCell ref="F12:F13"/>
    <mergeCell ref="G12:G13"/>
    <mergeCell ref="H10:H11"/>
    <mergeCell ref="H12:H13"/>
    <mergeCell ref="D10:D11"/>
    <mergeCell ref="D12:D13"/>
    <mergeCell ref="I12:I13"/>
    <mergeCell ref="J12:J13"/>
    <mergeCell ref="K12:M13"/>
    <mergeCell ref="I8:I9"/>
    <mergeCell ref="H8:H9"/>
    <mergeCell ref="G8:G9"/>
    <mergeCell ref="F8:F9"/>
    <mergeCell ref="H5:M5"/>
    <mergeCell ref="A2:M2"/>
    <mergeCell ref="A3:M3"/>
    <mergeCell ref="L4:M4"/>
    <mergeCell ref="A6:A9"/>
    <mergeCell ref="K6:M9"/>
    <mergeCell ref="B6:C6"/>
    <mergeCell ref="B7:C7"/>
    <mergeCell ref="D6:D7"/>
    <mergeCell ref="D8:D9"/>
    <mergeCell ref="E6:E7"/>
    <mergeCell ref="E8:E9"/>
    <mergeCell ref="J6:J7"/>
    <mergeCell ref="I6:I7"/>
    <mergeCell ref="H6:H7"/>
    <mergeCell ref="G6:G7"/>
    <mergeCell ref="F6:F7"/>
    <mergeCell ref="J8:J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2015-05-19T07:21:10Z</cp:lastPrinted>
  <dcterms:created xsi:type="dcterms:W3CDTF">2015-05-19T06:55:03Z</dcterms:created>
  <dcterms:modified xsi:type="dcterms:W3CDTF">2026-06-24T07:19:48Z</dcterms:modified>
</cp:coreProperties>
</file>